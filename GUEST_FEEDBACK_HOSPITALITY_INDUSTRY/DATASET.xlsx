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Midhun\DataScience\EXCEL\"/>
    </mc:Choice>
  </mc:AlternateContent>
  <xr:revisionPtr revIDLastSave="0" documentId="13_ncr:1_{A8A2E904-4F97-43B0-B3A1-9EF18E9A5918}" xr6:coauthVersionLast="47" xr6:coauthVersionMax="47" xr10:uidLastSave="{00000000-0000-0000-0000-000000000000}"/>
  <bookViews>
    <workbookView xWindow="-108" yWindow="-108" windowWidth="23256" windowHeight="12456" activeTab="1" xr2:uid="{C4B2AA28-3E3C-470F-8D1E-E9AA93D1C66E}"/>
  </bookViews>
  <sheets>
    <sheet name="PIVOT ANALYSIS" sheetId="3" r:id="rId1"/>
    <sheet name="SUMMARY" sheetId="6" r:id="rId2"/>
    <sheet name="QUALITY ANALYSIS" sheetId="10" r:id="rId3"/>
    <sheet name="DATA ANALYSIS" sheetId="4" r:id="rId4"/>
    <sheet name="Guest_Feedback_Hospitality_Indu" sheetId="1" r:id="rId5"/>
  </sheets>
  <definedNames>
    <definedName name="_xlnm._FilterDatabase" localSheetId="4" hidden="1">Guest_Feedback_Hospitality_Indu!$A$1:$Z$2001</definedName>
    <definedName name="Slicer_Booking_Source">#N/A</definedName>
    <definedName name="Slicer_Guest_Gender">#N/A</definedName>
    <definedName name="Slicer_HOTEL">#N/A</definedName>
    <definedName name="Slicer_Months__Checkin_Date">#N/A</definedName>
    <definedName name="Slicer_Room_Type">#N/A</definedName>
    <definedName name="Slicer_Satisfication_level">#N/A</definedName>
    <definedName name="Slicer_Travel_Purpose">#N/A</definedName>
    <definedName name="Slicer_Would_Recommend">#N/A</definedName>
    <definedName name="Slicer_Would_Recommend1">#N/A</definedName>
    <definedName name="Slicer_Years__Checkin_Date">#N/A</definedName>
  </definedNames>
  <calcPr calcId="191029"/>
  <pivotCaches>
    <pivotCache cacheId="0" r:id="rId6"/>
    <pivotCache cacheId="1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10" l="1"/>
  <c r="F29" i="10"/>
  <c r="E30" i="10"/>
  <c r="F30" i="10"/>
  <c r="E31" i="10"/>
  <c r="F31" i="10"/>
  <c r="E32" i="10"/>
  <c r="F32" i="10"/>
  <c r="E33" i="10"/>
  <c r="F33" i="10"/>
  <c r="E34" i="10"/>
  <c r="F34" i="10"/>
  <c r="E20" i="10"/>
  <c r="F20" i="10"/>
  <c r="E21" i="10"/>
  <c r="F21" i="10"/>
  <c r="E22" i="10"/>
  <c r="F22" i="10"/>
  <c r="E23" i="10"/>
  <c r="F23" i="10"/>
  <c r="E24" i="10"/>
  <c r="F24" i="10"/>
  <c r="E25" i="10"/>
  <c r="F25" i="10"/>
  <c r="E11" i="10"/>
  <c r="F11" i="10"/>
  <c r="E12" i="10"/>
  <c r="F12" i="10"/>
  <c r="E13" i="10"/>
  <c r="F13" i="10"/>
  <c r="E14" i="10"/>
  <c r="F14" i="10"/>
  <c r="E15" i="10"/>
  <c r="F15" i="10"/>
  <c r="E16" i="10"/>
  <c r="F16" i="10"/>
  <c r="E3" i="10"/>
  <c r="F3" i="10"/>
  <c r="E4" i="10"/>
  <c r="F4" i="10"/>
  <c r="E5" i="10"/>
  <c r="F5" i="10"/>
  <c r="E6" i="10"/>
  <c r="F6" i="10"/>
  <c r="E7" i="10"/>
  <c r="F7" i="10"/>
  <c r="E8" i="10"/>
  <c r="F8" i="10"/>
  <c r="D2" i="3" a="1"/>
  <c r="G3" i="3" s="1"/>
  <c r="I5" i="3"/>
  <c r="B1" i="3"/>
  <c r="B2" i="3"/>
  <c r="B3" i="3"/>
  <c r="B4" i="3"/>
  <c r="E212" i="3"/>
  <c r="F212" i="3"/>
  <c r="E213" i="3"/>
  <c r="F213" i="3"/>
  <c r="G213" i="3"/>
  <c r="E214" i="3"/>
  <c r="F214" i="3"/>
  <c r="G214" i="3"/>
  <c r="E215" i="3"/>
  <c r="F215" i="3"/>
  <c r="G215" i="3"/>
  <c r="E216" i="3"/>
  <c r="F216" i="3"/>
  <c r="G216" i="3"/>
  <c r="E217" i="3"/>
  <c r="F217" i="3"/>
  <c r="G217" i="3"/>
  <c r="E218" i="3"/>
  <c r="F218" i="3"/>
  <c r="G218" i="3"/>
  <c r="D107" i="3"/>
  <c r="D108" i="3"/>
  <c r="E108" i="3"/>
  <c r="D109" i="3"/>
  <c r="E109" i="3"/>
  <c r="D110" i="3"/>
  <c r="E110" i="3"/>
  <c r="D111" i="3"/>
  <c r="E111" i="3"/>
  <c r="D191" i="3"/>
  <c r="E191" i="3"/>
  <c r="D192" i="3"/>
  <c r="E192" i="3"/>
  <c r="D193" i="3"/>
  <c r="E193" i="3"/>
  <c r="D194" i="3"/>
  <c r="E194" i="3"/>
  <c r="D195" i="3"/>
  <c r="E195" i="3"/>
  <c r="D196" i="3"/>
  <c r="E196" i="3"/>
  <c r="D169" i="3"/>
  <c r="E169" i="3"/>
  <c r="D170" i="3"/>
  <c r="E170" i="3"/>
  <c r="D171" i="3"/>
  <c r="E171" i="3"/>
  <c r="D172" i="3"/>
  <c r="E172" i="3"/>
  <c r="D173" i="3"/>
  <c r="E173" i="3"/>
  <c r="D174" i="3"/>
  <c r="E174" i="3"/>
  <c r="D149" i="3"/>
  <c r="E149" i="3"/>
  <c r="D150" i="3"/>
  <c r="E150" i="3"/>
  <c r="D151" i="3"/>
  <c r="E151" i="3"/>
  <c r="D152" i="3"/>
  <c r="E152" i="3"/>
  <c r="D153" i="3"/>
  <c r="E153" i="3"/>
  <c r="D154" i="3"/>
  <c r="E154" i="3"/>
  <c r="D127" i="3"/>
  <c r="E127" i="3"/>
  <c r="D128" i="3"/>
  <c r="E128" i="3"/>
  <c r="D129" i="3"/>
  <c r="E129" i="3"/>
  <c r="D130" i="3"/>
  <c r="E130" i="3"/>
  <c r="D131" i="3"/>
  <c r="E131" i="3"/>
  <c r="D132" i="3"/>
  <c r="E132" i="3"/>
  <c r="D48" i="3"/>
  <c r="E48" i="3"/>
  <c r="D49" i="3"/>
  <c r="E49" i="3"/>
  <c r="D50" i="3"/>
  <c r="E50" i="3"/>
  <c r="D51" i="3"/>
  <c r="E51" i="3"/>
  <c r="E88" i="3"/>
  <c r="F88" i="3"/>
  <c r="E89" i="3"/>
  <c r="F89" i="3"/>
  <c r="E90" i="3"/>
  <c r="F90" i="3"/>
  <c r="E91" i="3"/>
  <c r="F91" i="3"/>
  <c r="E92" i="3"/>
  <c r="F92" i="3"/>
  <c r="E93" i="3"/>
  <c r="F93" i="3"/>
  <c r="E94" i="3"/>
  <c r="F94" i="3"/>
  <c r="E95" i="3"/>
  <c r="F95" i="3"/>
  <c r="E96" i="3"/>
  <c r="F96" i="3"/>
  <c r="E97" i="3"/>
  <c r="F97" i="3"/>
  <c r="E98" i="3"/>
  <c r="F98" i="3"/>
  <c r="E99" i="3"/>
  <c r="F99" i="3"/>
  <c r="D67" i="3"/>
  <c r="D68" i="3"/>
  <c r="E68" i="3"/>
  <c r="D69" i="3"/>
  <c r="E69" i="3"/>
  <c r="D70" i="3"/>
  <c r="E70" i="3"/>
  <c r="F29" i="3"/>
  <c r="G29" i="3"/>
  <c r="H29" i="3"/>
  <c r="I29" i="3"/>
  <c r="F30" i="3"/>
  <c r="G30" i="3"/>
  <c r="H30" i="3"/>
  <c r="I30" i="3"/>
  <c r="F31" i="3"/>
  <c r="G31" i="3"/>
  <c r="H31" i="3"/>
  <c r="I31" i="3"/>
  <c r="F32" i="3"/>
  <c r="G32" i="3"/>
  <c r="H32" i="3"/>
  <c r="I32" i="3"/>
  <c r="F33" i="3"/>
  <c r="G33" i="3"/>
  <c r="H33" i="3"/>
  <c r="I33" i="3"/>
  <c r="D10" i="3"/>
  <c r="E10" i="3"/>
  <c r="D11" i="3"/>
  <c r="E11" i="3"/>
  <c r="D12" i="3"/>
  <c r="E12" i="3"/>
  <c r="D13" i="3"/>
  <c r="E13" i="3"/>
  <c r="D14" i="3"/>
  <c r="E14" i="3"/>
  <c r="D15" i="3"/>
  <c r="E15" i="3"/>
  <c r="AC3" i="1" a="1"/>
  <c r="AC3" i="1" s="1"/>
  <c r="AC20" i="1" a="1"/>
  <c r="AC20" i="1" s="1"/>
  <c r="AC21" i="1" a="1"/>
  <c r="AC21" i="1" s="1"/>
  <c r="AC22" i="1"/>
  <c r="AC56" i="1"/>
  <c r="AC86" i="1" a="1"/>
  <c r="AC86" i="1" s="1"/>
  <c r="AC88" i="1" a="1"/>
  <c r="AC88" i="1" s="1"/>
  <c r="AC91" i="1" a="1"/>
  <c r="AC91" i="1" s="1"/>
  <c r="AC101" i="1" a="1"/>
  <c r="AC101" i="1" s="1"/>
  <c r="AC120" i="1" a="1"/>
  <c r="AC120" i="1" s="1"/>
  <c r="AC150" i="1" a="1"/>
  <c r="AC150" i="1"/>
  <c r="AC152" i="1"/>
  <c r="AC156" i="1"/>
  <c r="AC180" i="1" a="1"/>
  <c r="AC180" i="1"/>
  <c r="AC181" i="1" a="1"/>
  <c r="AC181" i="1" s="1"/>
  <c r="AC210" i="1"/>
  <c r="AC225" i="1"/>
  <c r="AC227" i="1" a="1"/>
  <c r="AC227" i="1" s="1"/>
  <c r="AC229" i="1" a="1"/>
  <c r="AC229" i="1" s="1"/>
  <c r="AC245" i="1" a="1"/>
  <c r="AC245" i="1" s="1"/>
  <c r="AC280" i="1"/>
  <c r="AC293" i="1" a="1"/>
  <c r="AC293" i="1" s="1"/>
  <c r="AC295" i="1"/>
  <c r="AC296" i="1" a="1"/>
  <c r="AC296" i="1" s="1"/>
  <c r="AC341" i="1" a="1"/>
  <c r="AC341" i="1"/>
  <c r="AC342" i="1" a="1"/>
  <c r="AC342" i="1" s="1"/>
  <c r="AC353" i="1" a="1"/>
  <c r="AC353" i="1" s="1"/>
  <c r="AC356" i="1" a="1"/>
  <c r="AC356" i="1" s="1"/>
  <c r="AC372" i="1" a="1"/>
  <c r="AC372" i="1" s="1"/>
  <c r="AC387" i="1" a="1"/>
  <c r="AC387" i="1" s="1"/>
  <c r="AC388" i="1" a="1"/>
  <c r="AC388" i="1" s="1"/>
  <c r="AC405" i="1" a="1"/>
  <c r="AC405" i="1" s="1"/>
  <c r="AC456" i="1" a="1"/>
  <c r="AC456" i="1" s="1"/>
  <c r="AC458" i="1" a="1"/>
  <c r="AC458" i="1" s="1"/>
  <c r="AC488" i="1" a="1"/>
  <c r="AC488" i="1"/>
  <c r="AC501" i="1"/>
  <c r="AC512" i="1" a="1"/>
  <c r="AC512" i="1" s="1"/>
  <c r="AC520" i="1" a="1"/>
  <c r="AC520" i="1" s="1"/>
  <c r="AC549" i="1" a="1"/>
  <c r="AC549" i="1" s="1"/>
  <c r="AC564" i="1" a="1"/>
  <c r="AC564" i="1" s="1"/>
  <c r="AC565" i="1" a="1"/>
  <c r="AC565" i="1" s="1"/>
  <c r="AC575" i="1" a="1"/>
  <c r="AC575" i="1" s="1"/>
  <c r="AC577" i="1"/>
  <c r="AC579" i="1" a="1"/>
  <c r="AC579" i="1" s="1"/>
  <c r="AC583" i="1" a="1"/>
  <c r="AC583" i="1" s="1"/>
  <c r="AC613" i="1" a="1"/>
  <c r="AC613" i="1" s="1"/>
  <c r="AC616" i="1" a="1"/>
  <c r="AC616" i="1" s="1"/>
  <c r="AC632" i="1" a="1"/>
  <c r="AC632" i="1"/>
  <c r="AC661" i="1" a="1"/>
  <c r="AC661" i="1" s="1"/>
  <c r="AC696" i="1" a="1"/>
  <c r="AC696" i="1" s="1"/>
  <c r="AC712" i="1"/>
  <c r="AC723" i="1" a="1"/>
  <c r="AC723" i="1" s="1"/>
  <c r="AC724" i="1"/>
  <c r="AC737" i="1"/>
  <c r="AC739" i="1" a="1"/>
  <c r="AC739" i="1" s="1"/>
  <c r="AC758" i="1" a="1"/>
  <c r="AC758" i="1" s="1"/>
  <c r="AC840" i="1"/>
  <c r="AC847" i="1" a="1"/>
  <c r="AC847" i="1" s="1"/>
  <c r="AC853" i="1" a="1"/>
  <c r="AC853" i="1" s="1"/>
  <c r="AC856" i="1" a="1"/>
  <c r="AC856" i="1" s="1"/>
  <c r="AC885" i="1" a="1"/>
  <c r="AC885" i="1" s="1"/>
  <c r="AC888" i="1" a="1"/>
  <c r="AC888" i="1"/>
  <c r="AC920" i="1" a="1"/>
  <c r="AC920" i="1"/>
  <c r="AC933" i="1" a="1"/>
  <c r="AC933" i="1" s="1"/>
  <c r="AC936" i="1" a="1"/>
  <c r="AC936" i="1" s="1"/>
  <c r="AC947" i="1" a="1"/>
  <c r="AC947" i="1" s="1"/>
  <c r="AC948" i="1"/>
  <c r="AC949" i="1" a="1"/>
  <c r="AC949" i="1" s="1"/>
  <c r="AC965" i="1" a="1"/>
  <c r="AC965" i="1" s="1"/>
  <c r="AC966" i="1" a="1"/>
  <c r="AC966" i="1" s="1"/>
  <c r="AC982" i="1"/>
  <c r="AC1029" i="1" a="1"/>
  <c r="AC1029" i="1" s="1"/>
  <c r="AC1045" i="1" a="1"/>
  <c r="AC1045" i="1" s="1"/>
  <c r="AC1057" i="1" a="1"/>
  <c r="AC1057" i="1" s="1"/>
  <c r="AC1059" i="1" a="1"/>
  <c r="AC1059" i="1" s="1"/>
  <c r="AC1061" i="1" a="1"/>
  <c r="AC1061" i="1" s="1"/>
  <c r="AC1093" i="1" a="1"/>
  <c r="AC1093" i="1"/>
  <c r="AC1097" i="1" a="1"/>
  <c r="AC1097" i="1" s="1"/>
  <c r="AC1112" i="1" a="1"/>
  <c r="AC1112" i="1"/>
  <c r="AC1144" i="1" a="1"/>
  <c r="AC1144" i="1" s="1"/>
  <c r="AC1157" i="1" a="1"/>
  <c r="AC1157" i="1" s="1"/>
  <c r="AC1189" i="1" a="1"/>
  <c r="AC1189" i="1" s="1"/>
  <c r="AC1217" i="1" a="1"/>
  <c r="AC1217" i="1" s="1"/>
  <c r="AC1222" i="1" a="1"/>
  <c r="AC1222" i="1" s="1"/>
  <c r="AC1224" i="1"/>
  <c r="AC1235" i="1" a="1"/>
  <c r="AC1235" i="1" s="1"/>
  <c r="AC1272" i="1"/>
  <c r="AC1284" i="1" a="1"/>
  <c r="AC1284" i="1" s="1"/>
  <c r="AC1286" i="1" a="1"/>
  <c r="AC1286" i="1" s="1"/>
  <c r="AC1292" i="1"/>
  <c r="AC1349" i="1" a="1"/>
  <c r="AC1349" i="1" s="1"/>
  <c r="AC1365" i="1" a="1"/>
  <c r="AC1365" i="1" s="1"/>
  <c r="AC1366" i="1" a="1"/>
  <c r="AC1366" i="1" s="1"/>
  <c r="AC1376" i="1" a="1"/>
  <c r="AC1376" i="1"/>
  <c r="AC1377" i="1" a="1"/>
  <c r="AC1377" i="1" s="1"/>
  <c r="AC1413" i="1"/>
  <c r="AC1414" i="1"/>
  <c r="AC1416" i="1" a="1"/>
  <c r="AC1416" i="1" s="1"/>
  <c r="AC1445" i="1" a="1"/>
  <c r="AC1445" i="1" s="1"/>
  <c r="AC1477" i="1"/>
  <c r="AC1493" i="1" a="1"/>
  <c r="AC1493" i="1"/>
  <c r="AC1494" i="1" a="1"/>
  <c r="AC1494" i="1"/>
  <c r="AC1499" i="1" a="1"/>
  <c r="AC1499" i="1" s="1"/>
  <c r="AC1510" i="1"/>
  <c r="AC1512" i="1" a="1"/>
  <c r="AC1512" i="1" s="1"/>
  <c r="AC1521" i="1"/>
  <c r="AC1525" i="1" a="1"/>
  <c r="AC1525" i="1" s="1"/>
  <c r="AC1528" i="1" a="1"/>
  <c r="AC1528" i="1" s="1"/>
  <c r="AC1544" i="1" a="1"/>
  <c r="AC1544" i="1" s="1"/>
  <c r="AC1586" i="1"/>
  <c r="AC1589" i="1" a="1"/>
  <c r="AC1589" i="1" s="1"/>
  <c r="AC1620" i="1" a="1"/>
  <c r="AC1620" i="1"/>
  <c r="AC1621" i="1" a="1"/>
  <c r="AC1621" i="1" s="1"/>
  <c r="AC1624" i="1" a="1"/>
  <c r="AC1624" i="1" s="1"/>
  <c r="AC1635" i="1" a="1"/>
  <c r="AC1635" i="1" s="1"/>
  <c r="AC1736" i="1"/>
  <c r="AC1749" i="1" a="1"/>
  <c r="AC1749" i="1" s="1"/>
  <c r="AC1754" i="1" a="1"/>
  <c r="AC1754" i="1" s="1"/>
  <c r="AC1755" i="1" a="1"/>
  <c r="AC1755" i="1" s="1"/>
  <c r="AC1777" i="1"/>
  <c r="AC1778" i="1" a="1"/>
  <c r="AC1778" i="1"/>
  <c r="AC1781" i="1" a="1"/>
  <c r="AC1781" i="1" s="1"/>
  <c r="AC1797" i="1" a="1"/>
  <c r="AC1797" i="1" s="1"/>
  <c r="AC1798" i="1"/>
  <c r="AC1833" i="1" a="1"/>
  <c r="AC1833" i="1" s="1"/>
  <c r="AC1834" i="1" a="1"/>
  <c r="AC1834" i="1" s="1"/>
  <c r="AC1835" i="1" a="1"/>
  <c r="AC1835" i="1"/>
  <c r="AC1861" i="1" a="1"/>
  <c r="AC1861" i="1" s="1"/>
  <c r="AC1862" i="1" a="1"/>
  <c r="AC1862" i="1" s="1"/>
  <c r="AC1865" i="1" a="1"/>
  <c r="AC1865" i="1" s="1"/>
  <c r="AC1877" i="1" a="1"/>
  <c r="AC1877" i="1"/>
  <c r="AC1878" i="1" a="1"/>
  <c r="AC1878" i="1" s="1"/>
  <c r="AC1879" i="1" a="1"/>
  <c r="AC1879" i="1" s="1"/>
  <c r="AC1913" i="1" a="1"/>
  <c r="AC1913" i="1"/>
  <c r="AC1914" i="1" a="1"/>
  <c r="AC1914" i="1" s="1"/>
  <c r="AC1926" i="1" a="1"/>
  <c r="AC1926" i="1"/>
  <c r="AC1940" i="1" a="1"/>
  <c r="AC1940" i="1"/>
  <c r="AC1941" i="1" a="1"/>
  <c r="AC1941" i="1" s="1"/>
  <c r="AC1943" i="1"/>
  <c r="AC1945" i="1"/>
  <c r="AC1989" i="1"/>
  <c r="AC1990" i="1" a="1"/>
  <c r="AC1990" i="1"/>
  <c r="AC1995" i="1" a="1"/>
  <c r="AC1995" i="1" s="1"/>
  <c r="AB2" i="1"/>
  <c r="AC2" i="1" s="1" a="1"/>
  <c r="AC2" i="1" s="1"/>
  <c r="AB3" i="1"/>
  <c r="AB4" i="1"/>
  <c r="AC4" i="1" s="1" a="1"/>
  <c r="AC4" i="1" s="1"/>
  <c r="AB5" i="1"/>
  <c r="AC5" i="1" s="1" a="1"/>
  <c r="AC5" i="1" s="1"/>
  <c r="AB6" i="1"/>
  <c r="AC6" i="1" s="1" a="1"/>
  <c r="AC6" i="1" s="1"/>
  <c r="AB7" i="1"/>
  <c r="AC7" i="1" s="1" a="1"/>
  <c r="AC7" i="1" s="1"/>
  <c r="AB8" i="1"/>
  <c r="AC8" i="1" s="1" a="1"/>
  <c r="AC8" i="1" s="1"/>
  <c r="AB9" i="1"/>
  <c r="AC9" i="1" s="1" a="1"/>
  <c r="AC9" i="1" s="1"/>
  <c r="AB10" i="1"/>
  <c r="AC10" i="1" s="1" a="1"/>
  <c r="AC10" i="1" s="1"/>
  <c r="AB11" i="1"/>
  <c r="AC11" i="1" s="1" a="1"/>
  <c r="AC11" i="1" s="1"/>
  <c r="AB12" i="1"/>
  <c r="AC12" i="1" s="1" a="1"/>
  <c r="AC12" i="1" s="1"/>
  <c r="AB13" i="1"/>
  <c r="AC13" i="1" s="1" a="1"/>
  <c r="AC13" i="1" s="1"/>
  <c r="AB14" i="1"/>
  <c r="AC14" i="1" s="1" a="1"/>
  <c r="AC14" i="1" s="1"/>
  <c r="AB15" i="1"/>
  <c r="AC15" i="1" s="1" a="1"/>
  <c r="AC15" i="1" s="1"/>
  <c r="AB16" i="1"/>
  <c r="AC16" i="1" s="1" a="1"/>
  <c r="AC16" i="1" s="1"/>
  <c r="AB17" i="1"/>
  <c r="AC17" i="1" s="1" a="1"/>
  <c r="AC17" i="1" s="1"/>
  <c r="AB18" i="1"/>
  <c r="AC18" i="1" s="1" a="1"/>
  <c r="AC18" i="1" s="1"/>
  <c r="AB19" i="1"/>
  <c r="AC19" i="1" s="1" a="1"/>
  <c r="AC19" i="1" s="1"/>
  <c r="AB20" i="1"/>
  <c r="AB21" i="1"/>
  <c r="AB22" i="1"/>
  <c r="AC22" i="1" s="1" a="1"/>
  <c r="AB23" i="1"/>
  <c r="AC23" i="1" s="1" a="1"/>
  <c r="AC23" i="1" s="1"/>
  <c r="AB24" i="1"/>
  <c r="AC24" i="1" s="1" a="1"/>
  <c r="AC24" i="1" s="1"/>
  <c r="AB25" i="1"/>
  <c r="AC25" i="1" s="1" a="1"/>
  <c r="AC25" i="1" s="1"/>
  <c r="AB26" i="1"/>
  <c r="AC26" i="1" s="1" a="1"/>
  <c r="AC26" i="1" s="1"/>
  <c r="AB27" i="1"/>
  <c r="AC27" i="1" s="1" a="1"/>
  <c r="AC27" i="1" s="1"/>
  <c r="AB28" i="1"/>
  <c r="AC28" i="1" s="1" a="1"/>
  <c r="AC28" i="1" s="1"/>
  <c r="AB29" i="1"/>
  <c r="AC29" i="1" s="1" a="1"/>
  <c r="AC29" i="1" s="1"/>
  <c r="AB30" i="1"/>
  <c r="AC30" i="1" s="1" a="1"/>
  <c r="AC30" i="1" s="1"/>
  <c r="AB31" i="1"/>
  <c r="AC31" i="1" s="1" a="1"/>
  <c r="AC31" i="1" s="1"/>
  <c r="AB32" i="1"/>
  <c r="AC32" i="1" s="1" a="1"/>
  <c r="AC32" i="1" s="1"/>
  <c r="AB33" i="1"/>
  <c r="AC33" i="1" s="1" a="1"/>
  <c r="AC33" i="1" s="1"/>
  <c r="AB34" i="1"/>
  <c r="AC34" i="1" s="1" a="1"/>
  <c r="AC34" i="1" s="1"/>
  <c r="AB35" i="1"/>
  <c r="AC35" i="1" s="1" a="1"/>
  <c r="AC35" i="1" s="1"/>
  <c r="AB36" i="1"/>
  <c r="AC36" i="1" s="1" a="1"/>
  <c r="AC36" i="1" s="1"/>
  <c r="AB37" i="1"/>
  <c r="AC37" i="1" s="1" a="1"/>
  <c r="AC37" i="1" s="1"/>
  <c r="AB38" i="1"/>
  <c r="AC38" i="1" s="1" a="1"/>
  <c r="AC38" i="1" s="1"/>
  <c r="AB39" i="1"/>
  <c r="AC39" i="1" s="1" a="1"/>
  <c r="AC39" i="1" s="1"/>
  <c r="AB40" i="1"/>
  <c r="AC40" i="1" s="1" a="1"/>
  <c r="AC40" i="1" s="1"/>
  <c r="AB41" i="1"/>
  <c r="AC41" i="1" s="1" a="1"/>
  <c r="AC41" i="1" s="1"/>
  <c r="AB42" i="1"/>
  <c r="AC42" i="1" s="1" a="1"/>
  <c r="AC42" i="1" s="1"/>
  <c r="AB43" i="1"/>
  <c r="AC43" i="1" s="1" a="1"/>
  <c r="AC43" i="1" s="1"/>
  <c r="AB44" i="1"/>
  <c r="AC44" i="1" s="1" a="1"/>
  <c r="AC44" i="1" s="1"/>
  <c r="AB45" i="1"/>
  <c r="AC45" i="1" s="1" a="1"/>
  <c r="AC45" i="1" s="1"/>
  <c r="AB46" i="1"/>
  <c r="AC46" i="1" s="1" a="1"/>
  <c r="AC46" i="1" s="1"/>
  <c r="AB47" i="1"/>
  <c r="AC47" i="1" s="1" a="1"/>
  <c r="AC47" i="1" s="1"/>
  <c r="AB48" i="1"/>
  <c r="AC48" i="1" s="1" a="1"/>
  <c r="AC48" i="1" s="1"/>
  <c r="AB49" i="1"/>
  <c r="AC49" i="1" s="1" a="1"/>
  <c r="AC49" i="1" s="1"/>
  <c r="AB50" i="1"/>
  <c r="AC50" i="1" s="1" a="1"/>
  <c r="AC50" i="1" s="1"/>
  <c r="AB51" i="1"/>
  <c r="AC51" i="1" s="1" a="1"/>
  <c r="AC51" i="1" s="1"/>
  <c r="AB52" i="1"/>
  <c r="AC52" i="1" s="1" a="1"/>
  <c r="AC52" i="1" s="1"/>
  <c r="AB53" i="1"/>
  <c r="AC53" i="1" s="1" a="1"/>
  <c r="AC53" i="1" s="1"/>
  <c r="AB54" i="1"/>
  <c r="AC54" i="1" s="1" a="1"/>
  <c r="AC54" i="1" s="1"/>
  <c r="AB55" i="1"/>
  <c r="AC55" i="1" s="1" a="1"/>
  <c r="AC55" i="1" s="1"/>
  <c r="AB56" i="1"/>
  <c r="AC56" i="1" s="1" a="1"/>
  <c r="AB57" i="1"/>
  <c r="AC57" i="1" s="1" a="1"/>
  <c r="AC57" i="1" s="1"/>
  <c r="AB58" i="1"/>
  <c r="AC58" i="1" s="1" a="1"/>
  <c r="AC58" i="1" s="1"/>
  <c r="AB59" i="1"/>
  <c r="AC59" i="1" s="1" a="1"/>
  <c r="AC59" i="1" s="1"/>
  <c r="AB60" i="1"/>
  <c r="AC60" i="1" s="1" a="1"/>
  <c r="AC60" i="1" s="1"/>
  <c r="AB61" i="1"/>
  <c r="AC61" i="1" s="1" a="1"/>
  <c r="AC61" i="1" s="1"/>
  <c r="AB62" i="1"/>
  <c r="AC62" i="1" s="1" a="1"/>
  <c r="AC62" i="1" s="1"/>
  <c r="AB63" i="1"/>
  <c r="AC63" i="1" s="1" a="1"/>
  <c r="AC63" i="1" s="1"/>
  <c r="AB64" i="1"/>
  <c r="AC64" i="1" s="1" a="1"/>
  <c r="AC64" i="1" s="1"/>
  <c r="AB65" i="1"/>
  <c r="AC65" i="1" s="1" a="1"/>
  <c r="AC65" i="1" s="1"/>
  <c r="AB66" i="1"/>
  <c r="AC66" i="1" s="1" a="1"/>
  <c r="AC66" i="1" s="1"/>
  <c r="AB67" i="1"/>
  <c r="AC67" i="1" s="1" a="1"/>
  <c r="AC67" i="1" s="1"/>
  <c r="AB68" i="1"/>
  <c r="AC68" i="1" s="1" a="1"/>
  <c r="AC68" i="1" s="1"/>
  <c r="AB69" i="1"/>
  <c r="AC69" i="1" s="1" a="1"/>
  <c r="AC69" i="1" s="1"/>
  <c r="AB70" i="1"/>
  <c r="AC70" i="1" s="1" a="1"/>
  <c r="AC70" i="1" s="1"/>
  <c r="AB71" i="1"/>
  <c r="AC71" i="1" s="1" a="1"/>
  <c r="AC71" i="1" s="1"/>
  <c r="AB72" i="1"/>
  <c r="AC72" i="1" s="1" a="1"/>
  <c r="AC72" i="1" s="1"/>
  <c r="AB73" i="1"/>
  <c r="AC73" i="1" s="1" a="1"/>
  <c r="AC73" i="1" s="1"/>
  <c r="AB74" i="1"/>
  <c r="AC74" i="1" s="1" a="1"/>
  <c r="AC74" i="1" s="1"/>
  <c r="AB75" i="1"/>
  <c r="AC75" i="1" s="1" a="1"/>
  <c r="AC75" i="1" s="1"/>
  <c r="AB76" i="1"/>
  <c r="AC76" i="1" s="1" a="1"/>
  <c r="AC76" i="1" s="1"/>
  <c r="AB77" i="1"/>
  <c r="AC77" i="1" s="1" a="1"/>
  <c r="AC77" i="1" s="1"/>
  <c r="AB78" i="1"/>
  <c r="AC78" i="1" s="1" a="1"/>
  <c r="AC78" i="1" s="1"/>
  <c r="AB79" i="1"/>
  <c r="AC79" i="1" s="1" a="1"/>
  <c r="AC79" i="1" s="1"/>
  <c r="AB80" i="1"/>
  <c r="AC80" i="1" s="1" a="1"/>
  <c r="AC80" i="1" s="1"/>
  <c r="AB81" i="1"/>
  <c r="AC81" i="1" s="1" a="1"/>
  <c r="AC81" i="1" s="1"/>
  <c r="AB82" i="1"/>
  <c r="AC82" i="1" s="1" a="1"/>
  <c r="AC82" i="1" s="1"/>
  <c r="AB83" i="1"/>
  <c r="AC83" i="1" s="1" a="1"/>
  <c r="AC83" i="1" s="1"/>
  <c r="AB84" i="1"/>
  <c r="AC84" i="1" s="1" a="1"/>
  <c r="AC84" i="1" s="1"/>
  <c r="AB85" i="1"/>
  <c r="AC85" i="1" s="1" a="1"/>
  <c r="AC85" i="1" s="1"/>
  <c r="AB86" i="1"/>
  <c r="AB87" i="1"/>
  <c r="AC87" i="1" s="1" a="1"/>
  <c r="AC87" i="1" s="1"/>
  <c r="AB88" i="1"/>
  <c r="AB89" i="1"/>
  <c r="AC89" i="1" s="1" a="1"/>
  <c r="AC89" i="1" s="1"/>
  <c r="AB90" i="1"/>
  <c r="AC90" i="1" s="1" a="1"/>
  <c r="AC90" i="1" s="1"/>
  <c r="AB91" i="1"/>
  <c r="AB92" i="1"/>
  <c r="AC92" i="1" s="1" a="1"/>
  <c r="AC92" i="1" s="1"/>
  <c r="AB93" i="1"/>
  <c r="AC93" i="1" s="1" a="1"/>
  <c r="AC93" i="1" s="1"/>
  <c r="AB94" i="1"/>
  <c r="AC94" i="1" s="1" a="1"/>
  <c r="AC94" i="1" s="1"/>
  <c r="AB95" i="1"/>
  <c r="AC95" i="1" s="1" a="1"/>
  <c r="AC95" i="1" s="1"/>
  <c r="AB96" i="1"/>
  <c r="AC96" i="1" s="1" a="1"/>
  <c r="AC96" i="1" s="1"/>
  <c r="AB97" i="1"/>
  <c r="AC97" i="1" s="1" a="1"/>
  <c r="AC97" i="1" s="1"/>
  <c r="AB98" i="1"/>
  <c r="AC98" i="1" s="1" a="1"/>
  <c r="AC98" i="1" s="1"/>
  <c r="AB99" i="1"/>
  <c r="AC99" i="1" s="1" a="1"/>
  <c r="AC99" i="1" s="1"/>
  <c r="AB100" i="1"/>
  <c r="AC100" i="1" s="1" a="1"/>
  <c r="AC100" i="1" s="1"/>
  <c r="AB101" i="1"/>
  <c r="AB102" i="1"/>
  <c r="AC102" i="1" s="1" a="1"/>
  <c r="AC102" i="1" s="1"/>
  <c r="AB103" i="1"/>
  <c r="AC103" i="1" s="1" a="1"/>
  <c r="AC103" i="1" s="1"/>
  <c r="AB104" i="1"/>
  <c r="AC104" i="1" s="1" a="1"/>
  <c r="AC104" i="1" s="1"/>
  <c r="AB105" i="1"/>
  <c r="AC105" i="1" s="1" a="1"/>
  <c r="AC105" i="1" s="1"/>
  <c r="AB106" i="1"/>
  <c r="AC106" i="1" s="1" a="1"/>
  <c r="AC106" i="1" s="1"/>
  <c r="AB107" i="1"/>
  <c r="AC107" i="1" s="1" a="1"/>
  <c r="AC107" i="1" s="1"/>
  <c r="AB108" i="1"/>
  <c r="AC108" i="1" s="1" a="1"/>
  <c r="AC108" i="1" s="1"/>
  <c r="AB109" i="1"/>
  <c r="AC109" i="1" s="1" a="1"/>
  <c r="AC109" i="1" s="1"/>
  <c r="AB110" i="1"/>
  <c r="AC110" i="1" s="1" a="1"/>
  <c r="AC110" i="1" s="1"/>
  <c r="AB111" i="1"/>
  <c r="AC111" i="1" s="1" a="1"/>
  <c r="AC111" i="1" s="1"/>
  <c r="AB112" i="1"/>
  <c r="AC112" i="1" s="1" a="1"/>
  <c r="AC112" i="1" s="1"/>
  <c r="AB113" i="1"/>
  <c r="AC113" i="1" s="1" a="1"/>
  <c r="AC113" i="1" s="1"/>
  <c r="AB114" i="1"/>
  <c r="AC114" i="1" s="1" a="1"/>
  <c r="AC114" i="1" s="1"/>
  <c r="AB115" i="1"/>
  <c r="AC115" i="1" s="1" a="1"/>
  <c r="AC115" i="1" s="1"/>
  <c r="AB116" i="1"/>
  <c r="AC116" i="1" s="1" a="1"/>
  <c r="AC116" i="1" s="1"/>
  <c r="AB117" i="1"/>
  <c r="AC117" i="1" s="1" a="1"/>
  <c r="AC117" i="1" s="1"/>
  <c r="AB118" i="1"/>
  <c r="AC118" i="1" s="1" a="1"/>
  <c r="AC118" i="1" s="1"/>
  <c r="AB119" i="1"/>
  <c r="AC119" i="1" s="1" a="1"/>
  <c r="AC119" i="1" s="1"/>
  <c r="AB120" i="1"/>
  <c r="AB121" i="1"/>
  <c r="AC121" i="1" s="1" a="1"/>
  <c r="AC121" i="1" s="1"/>
  <c r="AB122" i="1"/>
  <c r="AC122" i="1" s="1" a="1"/>
  <c r="AC122" i="1" s="1"/>
  <c r="AB123" i="1"/>
  <c r="AC123" i="1" s="1" a="1"/>
  <c r="AC123" i="1" s="1"/>
  <c r="AB124" i="1"/>
  <c r="AC124" i="1" s="1" a="1"/>
  <c r="AC124" i="1" s="1"/>
  <c r="AB125" i="1"/>
  <c r="AC125" i="1" s="1" a="1"/>
  <c r="AC125" i="1" s="1"/>
  <c r="AB126" i="1"/>
  <c r="AC126" i="1" s="1" a="1"/>
  <c r="AC126" i="1" s="1"/>
  <c r="AB127" i="1"/>
  <c r="AC127" i="1" s="1" a="1"/>
  <c r="AC127" i="1" s="1"/>
  <c r="AB128" i="1"/>
  <c r="AC128" i="1" s="1" a="1"/>
  <c r="AC128" i="1" s="1"/>
  <c r="AB129" i="1"/>
  <c r="AC129" i="1" s="1" a="1"/>
  <c r="AC129" i="1" s="1"/>
  <c r="AB130" i="1"/>
  <c r="AC130" i="1" s="1" a="1"/>
  <c r="AC130" i="1" s="1"/>
  <c r="AB131" i="1"/>
  <c r="AC131" i="1" s="1" a="1"/>
  <c r="AC131" i="1" s="1"/>
  <c r="AB132" i="1"/>
  <c r="AC132" i="1" s="1" a="1"/>
  <c r="AC132" i="1" s="1"/>
  <c r="AB133" i="1"/>
  <c r="AC133" i="1" s="1" a="1"/>
  <c r="AC133" i="1" s="1"/>
  <c r="AB134" i="1"/>
  <c r="AC134" i="1" s="1" a="1"/>
  <c r="AC134" i="1" s="1"/>
  <c r="AB135" i="1"/>
  <c r="AC135" i="1" s="1" a="1"/>
  <c r="AC135" i="1" s="1"/>
  <c r="AB136" i="1"/>
  <c r="AC136" i="1" s="1" a="1"/>
  <c r="AC136" i="1" s="1"/>
  <c r="AB137" i="1"/>
  <c r="AC137" i="1" s="1" a="1"/>
  <c r="AC137" i="1" s="1"/>
  <c r="AB138" i="1"/>
  <c r="AC138" i="1" s="1" a="1"/>
  <c r="AC138" i="1" s="1"/>
  <c r="AB139" i="1"/>
  <c r="AC139" i="1" s="1" a="1"/>
  <c r="AC139" i="1" s="1"/>
  <c r="AB140" i="1"/>
  <c r="AC140" i="1" s="1" a="1"/>
  <c r="AC140" i="1" s="1"/>
  <c r="AB141" i="1"/>
  <c r="AC141" i="1" s="1" a="1"/>
  <c r="AC141" i="1" s="1"/>
  <c r="AB142" i="1"/>
  <c r="AC142" i="1" s="1" a="1"/>
  <c r="AC142" i="1" s="1"/>
  <c r="AB143" i="1"/>
  <c r="AC143" i="1" s="1" a="1"/>
  <c r="AC143" i="1" s="1"/>
  <c r="AB144" i="1"/>
  <c r="AC144" i="1" s="1" a="1"/>
  <c r="AC144" i="1" s="1"/>
  <c r="AB145" i="1"/>
  <c r="AC145" i="1" s="1" a="1"/>
  <c r="AC145" i="1" s="1"/>
  <c r="AB146" i="1"/>
  <c r="AC146" i="1" s="1" a="1"/>
  <c r="AC146" i="1" s="1"/>
  <c r="AB147" i="1"/>
  <c r="AC147" i="1" s="1" a="1"/>
  <c r="AC147" i="1" s="1"/>
  <c r="AB148" i="1"/>
  <c r="AC148" i="1" s="1" a="1"/>
  <c r="AC148" i="1" s="1"/>
  <c r="AB149" i="1"/>
  <c r="AC149" i="1" s="1" a="1"/>
  <c r="AC149" i="1" s="1"/>
  <c r="AB150" i="1"/>
  <c r="AB151" i="1"/>
  <c r="AC151" i="1" s="1" a="1"/>
  <c r="AC151" i="1" s="1"/>
  <c r="AB152" i="1"/>
  <c r="AC152" i="1" s="1" a="1"/>
  <c r="AB153" i="1"/>
  <c r="AC153" i="1" s="1" a="1"/>
  <c r="AC153" i="1" s="1"/>
  <c r="AB154" i="1"/>
  <c r="AC154" i="1" s="1" a="1"/>
  <c r="AC154" i="1" s="1"/>
  <c r="AB155" i="1"/>
  <c r="AC155" i="1" s="1" a="1"/>
  <c r="AC155" i="1" s="1"/>
  <c r="AB156" i="1"/>
  <c r="AC156" i="1" s="1" a="1"/>
  <c r="AB157" i="1"/>
  <c r="AC157" i="1" s="1" a="1"/>
  <c r="AC157" i="1" s="1"/>
  <c r="AB158" i="1"/>
  <c r="AC158" i="1" s="1" a="1"/>
  <c r="AC158" i="1" s="1"/>
  <c r="AB159" i="1"/>
  <c r="AC159" i="1" s="1" a="1"/>
  <c r="AC159" i="1" s="1"/>
  <c r="AB160" i="1"/>
  <c r="AC160" i="1" s="1" a="1"/>
  <c r="AC160" i="1" s="1"/>
  <c r="AB161" i="1"/>
  <c r="AC161" i="1" s="1" a="1"/>
  <c r="AC161" i="1" s="1"/>
  <c r="AB162" i="1"/>
  <c r="AC162" i="1" s="1" a="1"/>
  <c r="AC162" i="1" s="1"/>
  <c r="AB163" i="1"/>
  <c r="AC163" i="1" s="1" a="1"/>
  <c r="AC163" i="1" s="1"/>
  <c r="AB164" i="1"/>
  <c r="AC164" i="1" s="1" a="1"/>
  <c r="AC164" i="1" s="1"/>
  <c r="AB165" i="1"/>
  <c r="AC165" i="1" s="1" a="1"/>
  <c r="AC165" i="1" s="1"/>
  <c r="AB166" i="1"/>
  <c r="AC166" i="1" s="1" a="1"/>
  <c r="AC166" i="1" s="1"/>
  <c r="AB167" i="1"/>
  <c r="AC167" i="1" s="1" a="1"/>
  <c r="AC167" i="1" s="1"/>
  <c r="AB168" i="1"/>
  <c r="AC168" i="1" s="1" a="1"/>
  <c r="AC168" i="1" s="1"/>
  <c r="AB169" i="1"/>
  <c r="AC169" i="1" s="1" a="1"/>
  <c r="AC169" i="1" s="1"/>
  <c r="AB170" i="1"/>
  <c r="AC170" i="1" s="1" a="1"/>
  <c r="AC170" i="1" s="1"/>
  <c r="AB171" i="1"/>
  <c r="AC171" i="1" s="1" a="1"/>
  <c r="AC171" i="1" s="1"/>
  <c r="AB172" i="1"/>
  <c r="AC172" i="1" s="1" a="1"/>
  <c r="AC172" i="1" s="1"/>
  <c r="AB173" i="1"/>
  <c r="AC173" i="1" s="1" a="1"/>
  <c r="AC173" i="1" s="1"/>
  <c r="AB174" i="1"/>
  <c r="AC174" i="1" s="1" a="1"/>
  <c r="AC174" i="1" s="1"/>
  <c r="AB175" i="1"/>
  <c r="AC175" i="1" s="1" a="1"/>
  <c r="AC175" i="1" s="1"/>
  <c r="AB176" i="1"/>
  <c r="AC176" i="1" s="1" a="1"/>
  <c r="AC176" i="1" s="1"/>
  <c r="AB177" i="1"/>
  <c r="AC177" i="1" s="1" a="1"/>
  <c r="AC177" i="1" s="1"/>
  <c r="AB178" i="1"/>
  <c r="AC178" i="1" s="1" a="1"/>
  <c r="AC178" i="1" s="1"/>
  <c r="AB179" i="1"/>
  <c r="AC179" i="1" s="1" a="1"/>
  <c r="AC179" i="1" s="1"/>
  <c r="AB180" i="1"/>
  <c r="AB181" i="1"/>
  <c r="AB182" i="1"/>
  <c r="AC182" i="1" s="1" a="1"/>
  <c r="AC182" i="1" s="1"/>
  <c r="AB183" i="1"/>
  <c r="AC183" i="1" s="1" a="1"/>
  <c r="AC183" i="1" s="1"/>
  <c r="AB184" i="1"/>
  <c r="AC184" i="1" s="1" a="1"/>
  <c r="AC184" i="1" s="1"/>
  <c r="AB185" i="1"/>
  <c r="AC185" i="1" s="1" a="1"/>
  <c r="AC185" i="1" s="1"/>
  <c r="AB186" i="1"/>
  <c r="AC186" i="1" s="1" a="1"/>
  <c r="AC186" i="1" s="1"/>
  <c r="AB187" i="1"/>
  <c r="AC187" i="1" s="1" a="1"/>
  <c r="AC187" i="1" s="1"/>
  <c r="AB188" i="1"/>
  <c r="AC188" i="1" s="1" a="1"/>
  <c r="AC188" i="1" s="1"/>
  <c r="AB189" i="1"/>
  <c r="AC189" i="1" s="1" a="1"/>
  <c r="AC189" i="1" s="1"/>
  <c r="AB190" i="1"/>
  <c r="AC190" i="1" s="1" a="1"/>
  <c r="AC190" i="1" s="1"/>
  <c r="AB191" i="1"/>
  <c r="AC191" i="1" s="1" a="1"/>
  <c r="AC191" i="1" s="1"/>
  <c r="AB192" i="1"/>
  <c r="AC192" i="1" s="1" a="1"/>
  <c r="AC192" i="1" s="1"/>
  <c r="AB193" i="1"/>
  <c r="AC193" i="1" s="1" a="1"/>
  <c r="AC193" i="1" s="1"/>
  <c r="AB194" i="1"/>
  <c r="AC194" i="1" s="1" a="1"/>
  <c r="AC194" i="1" s="1"/>
  <c r="AB195" i="1"/>
  <c r="AC195" i="1" s="1" a="1"/>
  <c r="AC195" i="1" s="1"/>
  <c r="AB196" i="1"/>
  <c r="AC196" i="1" s="1" a="1"/>
  <c r="AC196" i="1" s="1"/>
  <c r="AB197" i="1"/>
  <c r="AC197" i="1" s="1" a="1"/>
  <c r="AC197" i="1" s="1"/>
  <c r="AB198" i="1"/>
  <c r="AC198" i="1" s="1" a="1"/>
  <c r="AC198" i="1" s="1"/>
  <c r="AB199" i="1"/>
  <c r="AC199" i="1" s="1" a="1"/>
  <c r="AC199" i="1" s="1"/>
  <c r="AB200" i="1"/>
  <c r="AC200" i="1" s="1" a="1"/>
  <c r="AC200" i="1" s="1"/>
  <c r="AB201" i="1"/>
  <c r="AC201" i="1" s="1" a="1"/>
  <c r="AC201" i="1" s="1"/>
  <c r="AB202" i="1"/>
  <c r="AC202" i="1" s="1" a="1"/>
  <c r="AC202" i="1" s="1"/>
  <c r="AB203" i="1"/>
  <c r="AC203" i="1" s="1" a="1"/>
  <c r="AC203" i="1" s="1"/>
  <c r="AB204" i="1"/>
  <c r="AC204" i="1" s="1" a="1"/>
  <c r="AC204" i="1" s="1"/>
  <c r="AB205" i="1"/>
  <c r="AC205" i="1" s="1" a="1"/>
  <c r="AC205" i="1" s="1"/>
  <c r="AB206" i="1"/>
  <c r="AC206" i="1" s="1" a="1"/>
  <c r="AC206" i="1" s="1"/>
  <c r="AB207" i="1"/>
  <c r="AC207" i="1" s="1" a="1"/>
  <c r="AC207" i="1" s="1"/>
  <c r="AB208" i="1"/>
  <c r="AC208" i="1" s="1" a="1"/>
  <c r="AC208" i="1" s="1"/>
  <c r="AB209" i="1"/>
  <c r="AC209" i="1" s="1" a="1"/>
  <c r="AC209" i="1" s="1"/>
  <c r="AB210" i="1"/>
  <c r="AC210" i="1" s="1" a="1"/>
  <c r="AB211" i="1"/>
  <c r="AC211" i="1" s="1" a="1"/>
  <c r="AC211" i="1" s="1"/>
  <c r="AB212" i="1"/>
  <c r="AC212" i="1" s="1" a="1"/>
  <c r="AC212" i="1" s="1"/>
  <c r="AB213" i="1"/>
  <c r="AC213" i="1" s="1" a="1"/>
  <c r="AC213" i="1" s="1"/>
  <c r="AB214" i="1"/>
  <c r="AC214" i="1" s="1" a="1"/>
  <c r="AC214" i="1" s="1"/>
  <c r="AB215" i="1"/>
  <c r="AC215" i="1" s="1" a="1"/>
  <c r="AC215" i="1" s="1"/>
  <c r="AB216" i="1"/>
  <c r="AC216" i="1" s="1" a="1"/>
  <c r="AC216" i="1" s="1"/>
  <c r="AB217" i="1"/>
  <c r="AC217" i="1" s="1" a="1"/>
  <c r="AC217" i="1" s="1"/>
  <c r="AB218" i="1"/>
  <c r="AC218" i="1" s="1" a="1"/>
  <c r="AC218" i="1" s="1"/>
  <c r="AB219" i="1"/>
  <c r="AC219" i="1" s="1" a="1"/>
  <c r="AC219" i="1" s="1"/>
  <c r="AB220" i="1"/>
  <c r="AC220" i="1" s="1" a="1"/>
  <c r="AC220" i="1" s="1"/>
  <c r="AB221" i="1"/>
  <c r="AC221" i="1" s="1" a="1"/>
  <c r="AC221" i="1" s="1"/>
  <c r="AB222" i="1"/>
  <c r="AC222" i="1" s="1" a="1"/>
  <c r="AC222" i="1" s="1"/>
  <c r="AB223" i="1"/>
  <c r="AC223" i="1" s="1" a="1"/>
  <c r="AC223" i="1" s="1"/>
  <c r="AB224" i="1"/>
  <c r="AC224" i="1" s="1" a="1"/>
  <c r="AC224" i="1" s="1"/>
  <c r="AB225" i="1"/>
  <c r="AC225" i="1" s="1" a="1"/>
  <c r="AB226" i="1"/>
  <c r="AC226" i="1" s="1" a="1"/>
  <c r="AC226" i="1" s="1"/>
  <c r="AB227" i="1"/>
  <c r="AB228" i="1"/>
  <c r="AC228" i="1" s="1" a="1"/>
  <c r="AC228" i="1" s="1"/>
  <c r="AB229" i="1"/>
  <c r="AB230" i="1"/>
  <c r="AC230" i="1" s="1" a="1"/>
  <c r="AC230" i="1" s="1"/>
  <c r="AB231" i="1"/>
  <c r="AC231" i="1" s="1" a="1"/>
  <c r="AC231" i="1" s="1"/>
  <c r="AB232" i="1"/>
  <c r="AC232" i="1" s="1" a="1"/>
  <c r="AC232" i="1" s="1"/>
  <c r="AB233" i="1"/>
  <c r="AC233" i="1" s="1" a="1"/>
  <c r="AC233" i="1" s="1"/>
  <c r="AB234" i="1"/>
  <c r="AC234" i="1" s="1" a="1"/>
  <c r="AC234" i="1" s="1"/>
  <c r="AB235" i="1"/>
  <c r="AC235" i="1" s="1" a="1"/>
  <c r="AC235" i="1" s="1"/>
  <c r="AB236" i="1"/>
  <c r="AC236" i="1" s="1" a="1"/>
  <c r="AC236" i="1" s="1"/>
  <c r="AB237" i="1"/>
  <c r="AC237" i="1" s="1" a="1"/>
  <c r="AC237" i="1" s="1"/>
  <c r="AB238" i="1"/>
  <c r="AC238" i="1" s="1" a="1"/>
  <c r="AC238" i="1" s="1"/>
  <c r="AB239" i="1"/>
  <c r="AC239" i="1" s="1" a="1"/>
  <c r="AC239" i="1" s="1"/>
  <c r="AB240" i="1"/>
  <c r="AC240" i="1" s="1" a="1"/>
  <c r="AC240" i="1" s="1"/>
  <c r="AB241" i="1"/>
  <c r="AC241" i="1" s="1" a="1"/>
  <c r="AC241" i="1" s="1"/>
  <c r="AB242" i="1"/>
  <c r="AC242" i="1" s="1" a="1"/>
  <c r="AC242" i="1" s="1"/>
  <c r="AB243" i="1"/>
  <c r="AC243" i="1" s="1" a="1"/>
  <c r="AC243" i="1" s="1"/>
  <c r="AB244" i="1"/>
  <c r="AC244" i="1" s="1" a="1"/>
  <c r="AC244" i="1" s="1"/>
  <c r="AB245" i="1"/>
  <c r="AB246" i="1"/>
  <c r="AC246" i="1" s="1" a="1"/>
  <c r="AC246" i="1" s="1"/>
  <c r="AB247" i="1"/>
  <c r="AC247" i="1" s="1" a="1"/>
  <c r="AC247" i="1" s="1"/>
  <c r="AB248" i="1"/>
  <c r="AC248" i="1" s="1" a="1"/>
  <c r="AC248" i="1" s="1"/>
  <c r="AB249" i="1"/>
  <c r="AC249" i="1" s="1" a="1"/>
  <c r="AC249" i="1" s="1"/>
  <c r="AB250" i="1"/>
  <c r="AC250" i="1" s="1" a="1"/>
  <c r="AC250" i="1" s="1"/>
  <c r="AB251" i="1"/>
  <c r="AC251" i="1" s="1" a="1"/>
  <c r="AC251" i="1" s="1"/>
  <c r="AB252" i="1"/>
  <c r="AC252" i="1" s="1" a="1"/>
  <c r="AC252" i="1" s="1"/>
  <c r="AB253" i="1"/>
  <c r="AC253" i="1" s="1" a="1"/>
  <c r="AC253" i="1" s="1"/>
  <c r="AB254" i="1"/>
  <c r="AC254" i="1" s="1" a="1"/>
  <c r="AC254" i="1" s="1"/>
  <c r="AB255" i="1"/>
  <c r="AC255" i="1" s="1" a="1"/>
  <c r="AC255" i="1" s="1"/>
  <c r="AB256" i="1"/>
  <c r="AC256" i="1" s="1" a="1"/>
  <c r="AC256" i="1" s="1"/>
  <c r="AB257" i="1"/>
  <c r="AC257" i="1" s="1" a="1"/>
  <c r="AC257" i="1" s="1"/>
  <c r="AB258" i="1"/>
  <c r="AC258" i="1" s="1" a="1"/>
  <c r="AC258" i="1" s="1"/>
  <c r="AB259" i="1"/>
  <c r="AC259" i="1" s="1" a="1"/>
  <c r="AC259" i="1" s="1"/>
  <c r="AB260" i="1"/>
  <c r="AC260" i="1" s="1" a="1"/>
  <c r="AC260" i="1" s="1"/>
  <c r="AB261" i="1"/>
  <c r="AC261" i="1" s="1" a="1"/>
  <c r="AC261" i="1" s="1"/>
  <c r="AB262" i="1"/>
  <c r="AC262" i="1" s="1" a="1"/>
  <c r="AC262" i="1" s="1"/>
  <c r="AB263" i="1"/>
  <c r="AC263" i="1" s="1" a="1"/>
  <c r="AC263" i="1" s="1"/>
  <c r="AB264" i="1"/>
  <c r="AC264" i="1" s="1" a="1"/>
  <c r="AC264" i="1" s="1"/>
  <c r="AB265" i="1"/>
  <c r="AC265" i="1" s="1" a="1"/>
  <c r="AC265" i="1" s="1"/>
  <c r="AB266" i="1"/>
  <c r="AC266" i="1" s="1" a="1"/>
  <c r="AC266" i="1" s="1"/>
  <c r="AB267" i="1"/>
  <c r="AC267" i="1" s="1" a="1"/>
  <c r="AC267" i="1" s="1"/>
  <c r="AB268" i="1"/>
  <c r="AC268" i="1" s="1" a="1"/>
  <c r="AC268" i="1" s="1"/>
  <c r="AB269" i="1"/>
  <c r="AC269" i="1" s="1" a="1"/>
  <c r="AC269" i="1" s="1"/>
  <c r="AB270" i="1"/>
  <c r="AC270" i="1" s="1" a="1"/>
  <c r="AC270" i="1" s="1"/>
  <c r="AB271" i="1"/>
  <c r="AC271" i="1" s="1" a="1"/>
  <c r="AC271" i="1" s="1"/>
  <c r="AB272" i="1"/>
  <c r="AC272" i="1" s="1" a="1"/>
  <c r="AC272" i="1" s="1"/>
  <c r="AB273" i="1"/>
  <c r="AC273" i="1" s="1" a="1"/>
  <c r="AC273" i="1" s="1"/>
  <c r="AB274" i="1"/>
  <c r="AC274" i="1" s="1" a="1"/>
  <c r="AC274" i="1" s="1"/>
  <c r="AB275" i="1"/>
  <c r="AC275" i="1" s="1" a="1"/>
  <c r="AC275" i="1" s="1"/>
  <c r="AB276" i="1"/>
  <c r="AC276" i="1" s="1" a="1"/>
  <c r="AC276" i="1" s="1"/>
  <c r="AB277" i="1"/>
  <c r="AC277" i="1" s="1" a="1"/>
  <c r="AC277" i="1" s="1"/>
  <c r="AB278" i="1"/>
  <c r="AC278" i="1" s="1" a="1"/>
  <c r="AC278" i="1" s="1"/>
  <c r="AB279" i="1"/>
  <c r="AC279" i="1" s="1" a="1"/>
  <c r="AC279" i="1" s="1"/>
  <c r="AB280" i="1"/>
  <c r="AC280" i="1" s="1" a="1"/>
  <c r="AB281" i="1"/>
  <c r="AC281" i="1" s="1" a="1"/>
  <c r="AC281" i="1" s="1"/>
  <c r="AB282" i="1"/>
  <c r="AC282" i="1" s="1" a="1"/>
  <c r="AC282" i="1" s="1"/>
  <c r="AB283" i="1"/>
  <c r="AC283" i="1" s="1" a="1"/>
  <c r="AC283" i="1" s="1"/>
  <c r="AB284" i="1"/>
  <c r="AC284" i="1" s="1" a="1"/>
  <c r="AC284" i="1" s="1"/>
  <c r="AB285" i="1"/>
  <c r="AC285" i="1" s="1" a="1"/>
  <c r="AC285" i="1" s="1"/>
  <c r="AB286" i="1"/>
  <c r="AC286" i="1" s="1" a="1"/>
  <c r="AC286" i="1" s="1"/>
  <c r="AB287" i="1"/>
  <c r="AC287" i="1" s="1" a="1"/>
  <c r="AC287" i="1" s="1"/>
  <c r="AB288" i="1"/>
  <c r="AC288" i="1" s="1" a="1"/>
  <c r="AC288" i="1" s="1"/>
  <c r="AB289" i="1"/>
  <c r="AC289" i="1" s="1" a="1"/>
  <c r="AC289" i="1" s="1"/>
  <c r="AB290" i="1"/>
  <c r="AC290" i="1" s="1" a="1"/>
  <c r="AC290" i="1" s="1"/>
  <c r="AB291" i="1"/>
  <c r="AC291" i="1" s="1" a="1"/>
  <c r="AC291" i="1" s="1"/>
  <c r="AB292" i="1"/>
  <c r="AC292" i="1" s="1" a="1"/>
  <c r="AC292" i="1" s="1"/>
  <c r="AB293" i="1"/>
  <c r="AB294" i="1"/>
  <c r="AC294" i="1" s="1" a="1"/>
  <c r="AC294" i="1" s="1"/>
  <c r="AB295" i="1"/>
  <c r="AC295" i="1" s="1" a="1"/>
  <c r="AB296" i="1"/>
  <c r="AB297" i="1"/>
  <c r="AC297" i="1" s="1" a="1"/>
  <c r="AC297" i="1" s="1"/>
  <c r="AB298" i="1"/>
  <c r="AC298" i="1" s="1" a="1"/>
  <c r="AC298" i="1" s="1"/>
  <c r="AB299" i="1"/>
  <c r="AC299" i="1" s="1" a="1"/>
  <c r="AC299" i="1" s="1"/>
  <c r="AB300" i="1"/>
  <c r="AC300" i="1" s="1" a="1"/>
  <c r="AC300" i="1" s="1"/>
  <c r="AB301" i="1"/>
  <c r="AC301" i="1" s="1" a="1"/>
  <c r="AC301" i="1" s="1"/>
  <c r="AB302" i="1"/>
  <c r="AC302" i="1" s="1" a="1"/>
  <c r="AC302" i="1" s="1"/>
  <c r="AB303" i="1"/>
  <c r="AC303" i="1" s="1" a="1"/>
  <c r="AC303" i="1" s="1"/>
  <c r="AB304" i="1"/>
  <c r="AC304" i="1" s="1" a="1"/>
  <c r="AC304" i="1" s="1"/>
  <c r="AB305" i="1"/>
  <c r="AC305" i="1" s="1" a="1"/>
  <c r="AC305" i="1" s="1"/>
  <c r="AB306" i="1"/>
  <c r="AC306" i="1" s="1" a="1"/>
  <c r="AC306" i="1" s="1"/>
  <c r="AB307" i="1"/>
  <c r="AC307" i="1" s="1" a="1"/>
  <c r="AC307" i="1" s="1"/>
  <c r="AB308" i="1"/>
  <c r="AC308" i="1" s="1" a="1"/>
  <c r="AC308" i="1" s="1"/>
  <c r="AB309" i="1"/>
  <c r="AC309" i="1" s="1" a="1"/>
  <c r="AC309" i="1" s="1"/>
  <c r="AB310" i="1"/>
  <c r="AC310" i="1" s="1" a="1"/>
  <c r="AC310" i="1" s="1"/>
  <c r="AB311" i="1"/>
  <c r="AC311" i="1" s="1" a="1"/>
  <c r="AC311" i="1" s="1"/>
  <c r="AB312" i="1"/>
  <c r="AC312" i="1" s="1" a="1"/>
  <c r="AC312" i="1" s="1"/>
  <c r="AB313" i="1"/>
  <c r="AC313" i="1" s="1" a="1"/>
  <c r="AC313" i="1" s="1"/>
  <c r="AB314" i="1"/>
  <c r="AC314" i="1" s="1" a="1"/>
  <c r="AC314" i="1" s="1"/>
  <c r="AB315" i="1"/>
  <c r="AC315" i="1" s="1" a="1"/>
  <c r="AC315" i="1" s="1"/>
  <c r="AB316" i="1"/>
  <c r="AC316" i="1" s="1" a="1"/>
  <c r="AC316" i="1" s="1"/>
  <c r="AB317" i="1"/>
  <c r="AC317" i="1" s="1" a="1"/>
  <c r="AC317" i="1" s="1"/>
  <c r="AB318" i="1"/>
  <c r="AC318" i="1" s="1" a="1"/>
  <c r="AC318" i="1" s="1"/>
  <c r="AB319" i="1"/>
  <c r="AC319" i="1" s="1" a="1"/>
  <c r="AC319" i="1" s="1"/>
  <c r="AB320" i="1"/>
  <c r="AC320" i="1" s="1" a="1"/>
  <c r="AC320" i="1" s="1"/>
  <c r="AB321" i="1"/>
  <c r="AC321" i="1" s="1" a="1"/>
  <c r="AC321" i="1" s="1"/>
  <c r="AB322" i="1"/>
  <c r="AC322" i="1" s="1" a="1"/>
  <c r="AC322" i="1" s="1"/>
  <c r="AB323" i="1"/>
  <c r="AC323" i="1" s="1" a="1"/>
  <c r="AC323" i="1" s="1"/>
  <c r="AB324" i="1"/>
  <c r="AC324" i="1" s="1" a="1"/>
  <c r="AC324" i="1" s="1"/>
  <c r="AB325" i="1"/>
  <c r="AC325" i="1" s="1" a="1"/>
  <c r="AC325" i="1" s="1"/>
  <c r="AB326" i="1"/>
  <c r="AC326" i="1" s="1" a="1"/>
  <c r="AC326" i="1" s="1"/>
  <c r="AB327" i="1"/>
  <c r="AC327" i="1" s="1" a="1"/>
  <c r="AC327" i="1" s="1"/>
  <c r="AB328" i="1"/>
  <c r="AC328" i="1" s="1" a="1"/>
  <c r="AC328" i="1" s="1"/>
  <c r="AB329" i="1"/>
  <c r="AC329" i="1" s="1" a="1"/>
  <c r="AC329" i="1" s="1"/>
  <c r="AB330" i="1"/>
  <c r="AC330" i="1" s="1" a="1"/>
  <c r="AC330" i="1" s="1"/>
  <c r="AB331" i="1"/>
  <c r="AC331" i="1" s="1" a="1"/>
  <c r="AC331" i="1" s="1"/>
  <c r="AB332" i="1"/>
  <c r="AC332" i="1" s="1" a="1"/>
  <c r="AC332" i="1" s="1"/>
  <c r="AB333" i="1"/>
  <c r="AC333" i="1" s="1" a="1"/>
  <c r="AC333" i="1" s="1"/>
  <c r="AB334" i="1"/>
  <c r="AC334" i="1" s="1" a="1"/>
  <c r="AC334" i="1" s="1"/>
  <c r="AB335" i="1"/>
  <c r="AC335" i="1" s="1" a="1"/>
  <c r="AC335" i="1" s="1"/>
  <c r="AB336" i="1"/>
  <c r="AC336" i="1" s="1" a="1"/>
  <c r="AC336" i="1" s="1"/>
  <c r="AB337" i="1"/>
  <c r="AC337" i="1" s="1" a="1"/>
  <c r="AC337" i="1" s="1"/>
  <c r="AB338" i="1"/>
  <c r="AC338" i="1" s="1" a="1"/>
  <c r="AC338" i="1" s="1"/>
  <c r="AB339" i="1"/>
  <c r="AC339" i="1" s="1" a="1"/>
  <c r="AC339" i="1" s="1"/>
  <c r="AB340" i="1"/>
  <c r="AC340" i="1" s="1" a="1"/>
  <c r="AC340" i="1" s="1"/>
  <c r="AB341" i="1"/>
  <c r="AB342" i="1"/>
  <c r="AB343" i="1"/>
  <c r="AC343" i="1" s="1" a="1"/>
  <c r="AC343" i="1" s="1"/>
  <c r="AB344" i="1"/>
  <c r="AC344" i="1" s="1" a="1"/>
  <c r="AC344" i="1" s="1"/>
  <c r="AB345" i="1"/>
  <c r="AC345" i="1" s="1" a="1"/>
  <c r="AC345" i="1" s="1"/>
  <c r="AB346" i="1"/>
  <c r="AC346" i="1" s="1" a="1"/>
  <c r="AC346" i="1" s="1"/>
  <c r="AB347" i="1"/>
  <c r="AC347" i="1" s="1" a="1"/>
  <c r="AC347" i="1" s="1"/>
  <c r="AB348" i="1"/>
  <c r="AC348" i="1" s="1" a="1"/>
  <c r="AC348" i="1" s="1"/>
  <c r="AB349" i="1"/>
  <c r="AC349" i="1" s="1" a="1"/>
  <c r="AC349" i="1" s="1"/>
  <c r="AB350" i="1"/>
  <c r="AC350" i="1" s="1" a="1"/>
  <c r="AC350" i="1" s="1"/>
  <c r="AB351" i="1"/>
  <c r="AC351" i="1" s="1" a="1"/>
  <c r="AC351" i="1" s="1"/>
  <c r="AB352" i="1"/>
  <c r="AC352" i="1" s="1" a="1"/>
  <c r="AC352" i="1" s="1"/>
  <c r="AB353" i="1"/>
  <c r="AB354" i="1"/>
  <c r="AC354" i="1" s="1" a="1"/>
  <c r="AC354" i="1" s="1"/>
  <c r="AB355" i="1"/>
  <c r="AC355" i="1" s="1" a="1"/>
  <c r="AC355" i="1" s="1"/>
  <c r="AB356" i="1"/>
  <c r="AB357" i="1"/>
  <c r="AC357" i="1" s="1" a="1"/>
  <c r="AC357" i="1" s="1"/>
  <c r="AB358" i="1"/>
  <c r="AC358" i="1" s="1" a="1"/>
  <c r="AC358" i="1" s="1"/>
  <c r="AB359" i="1"/>
  <c r="AC359" i="1" s="1" a="1"/>
  <c r="AC359" i="1" s="1"/>
  <c r="AB360" i="1"/>
  <c r="AC360" i="1" s="1" a="1"/>
  <c r="AC360" i="1" s="1"/>
  <c r="AB361" i="1"/>
  <c r="AC361" i="1" s="1" a="1"/>
  <c r="AC361" i="1" s="1"/>
  <c r="AB362" i="1"/>
  <c r="AC362" i="1" s="1" a="1"/>
  <c r="AC362" i="1" s="1"/>
  <c r="AB363" i="1"/>
  <c r="AC363" i="1" s="1" a="1"/>
  <c r="AC363" i="1" s="1"/>
  <c r="AB364" i="1"/>
  <c r="AC364" i="1" s="1" a="1"/>
  <c r="AC364" i="1" s="1"/>
  <c r="AB365" i="1"/>
  <c r="AC365" i="1" s="1" a="1"/>
  <c r="AC365" i="1" s="1"/>
  <c r="AB366" i="1"/>
  <c r="AC366" i="1" s="1" a="1"/>
  <c r="AC366" i="1" s="1"/>
  <c r="AB367" i="1"/>
  <c r="AC367" i="1" s="1" a="1"/>
  <c r="AC367" i="1" s="1"/>
  <c r="AB368" i="1"/>
  <c r="AC368" i="1" s="1" a="1"/>
  <c r="AC368" i="1" s="1"/>
  <c r="AB369" i="1"/>
  <c r="AC369" i="1" s="1" a="1"/>
  <c r="AC369" i="1" s="1"/>
  <c r="AB370" i="1"/>
  <c r="AC370" i="1" s="1" a="1"/>
  <c r="AC370" i="1" s="1"/>
  <c r="AB371" i="1"/>
  <c r="AC371" i="1" s="1" a="1"/>
  <c r="AC371" i="1" s="1"/>
  <c r="AB372" i="1"/>
  <c r="AB373" i="1"/>
  <c r="AC373" i="1" s="1" a="1"/>
  <c r="AC373" i="1" s="1"/>
  <c r="AB374" i="1"/>
  <c r="AC374" i="1" s="1" a="1"/>
  <c r="AC374" i="1" s="1"/>
  <c r="AB375" i="1"/>
  <c r="AC375" i="1" s="1" a="1"/>
  <c r="AC375" i="1" s="1"/>
  <c r="AB376" i="1"/>
  <c r="AC376" i="1" s="1" a="1"/>
  <c r="AC376" i="1" s="1"/>
  <c r="AB377" i="1"/>
  <c r="AC377" i="1" s="1" a="1"/>
  <c r="AC377" i="1" s="1"/>
  <c r="AB378" i="1"/>
  <c r="AC378" i="1" s="1" a="1"/>
  <c r="AC378" i="1" s="1"/>
  <c r="AB379" i="1"/>
  <c r="AC379" i="1" s="1" a="1"/>
  <c r="AC379" i="1" s="1"/>
  <c r="AB380" i="1"/>
  <c r="AC380" i="1" s="1" a="1"/>
  <c r="AC380" i="1" s="1"/>
  <c r="AB381" i="1"/>
  <c r="AC381" i="1" s="1" a="1"/>
  <c r="AC381" i="1" s="1"/>
  <c r="AB382" i="1"/>
  <c r="AC382" i="1" s="1" a="1"/>
  <c r="AC382" i="1" s="1"/>
  <c r="AB383" i="1"/>
  <c r="AC383" i="1" s="1" a="1"/>
  <c r="AC383" i="1" s="1"/>
  <c r="AB384" i="1"/>
  <c r="AC384" i="1" s="1" a="1"/>
  <c r="AC384" i="1" s="1"/>
  <c r="AB385" i="1"/>
  <c r="AC385" i="1" s="1" a="1"/>
  <c r="AC385" i="1" s="1"/>
  <c r="AB386" i="1"/>
  <c r="AC386" i="1" s="1" a="1"/>
  <c r="AC386" i="1" s="1"/>
  <c r="AB387" i="1"/>
  <c r="AB388" i="1"/>
  <c r="AB389" i="1"/>
  <c r="AC389" i="1" s="1" a="1"/>
  <c r="AC389" i="1" s="1"/>
  <c r="AB390" i="1"/>
  <c r="AC390" i="1" s="1" a="1"/>
  <c r="AC390" i="1" s="1"/>
  <c r="AB391" i="1"/>
  <c r="AC391" i="1" s="1" a="1"/>
  <c r="AC391" i="1" s="1"/>
  <c r="AB392" i="1"/>
  <c r="AC392" i="1" s="1" a="1"/>
  <c r="AC392" i="1" s="1"/>
  <c r="AB393" i="1"/>
  <c r="AC393" i="1" s="1" a="1"/>
  <c r="AC393" i="1" s="1"/>
  <c r="AB394" i="1"/>
  <c r="AC394" i="1" s="1" a="1"/>
  <c r="AC394" i="1" s="1"/>
  <c r="AB395" i="1"/>
  <c r="AC395" i="1" s="1" a="1"/>
  <c r="AC395" i="1" s="1"/>
  <c r="AB396" i="1"/>
  <c r="AC396" i="1" s="1" a="1"/>
  <c r="AC396" i="1" s="1"/>
  <c r="AB397" i="1"/>
  <c r="AC397" i="1" s="1" a="1"/>
  <c r="AC397" i="1" s="1"/>
  <c r="AB398" i="1"/>
  <c r="AC398" i="1" s="1" a="1"/>
  <c r="AC398" i="1" s="1"/>
  <c r="AB399" i="1"/>
  <c r="AC399" i="1" s="1" a="1"/>
  <c r="AC399" i="1" s="1"/>
  <c r="AB400" i="1"/>
  <c r="AC400" i="1" s="1" a="1"/>
  <c r="AC400" i="1" s="1"/>
  <c r="AB401" i="1"/>
  <c r="AC401" i="1" s="1" a="1"/>
  <c r="AC401" i="1" s="1"/>
  <c r="AB402" i="1"/>
  <c r="AC402" i="1" s="1" a="1"/>
  <c r="AC402" i="1" s="1"/>
  <c r="AB403" i="1"/>
  <c r="AC403" i="1" s="1" a="1"/>
  <c r="AC403" i="1" s="1"/>
  <c r="AB404" i="1"/>
  <c r="AC404" i="1" s="1" a="1"/>
  <c r="AC404" i="1" s="1"/>
  <c r="AB405" i="1"/>
  <c r="AB406" i="1"/>
  <c r="AC406" i="1" s="1" a="1"/>
  <c r="AC406" i="1" s="1"/>
  <c r="AB407" i="1"/>
  <c r="AC407" i="1" s="1" a="1"/>
  <c r="AC407" i="1" s="1"/>
  <c r="AB408" i="1"/>
  <c r="AC408" i="1" s="1" a="1"/>
  <c r="AC408" i="1" s="1"/>
  <c r="AB409" i="1"/>
  <c r="AC409" i="1" s="1" a="1"/>
  <c r="AC409" i="1" s="1"/>
  <c r="AB410" i="1"/>
  <c r="AC410" i="1" s="1" a="1"/>
  <c r="AC410" i="1" s="1"/>
  <c r="AB411" i="1"/>
  <c r="AC411" i="1" s="1" a="1"/>
  <c r="AC411" i="1" s="1"/>
  <c r="AB412" i="1"/>
  <c r="AC412" i="1" s="1" a="1"/>
  <c r="AC412" i="1" s="1"/>
  <c r="AB413" i="1"/>
  <c r="AC413" i="1" s="1" a="1"/>
  <c r="AC413" i="1" s="1"/>
  <c r="AB414" i="1"/>
  <c r="AC414" i="1" s="1" a="1"/>
  <c r="AC414" i="1" s="1"/>
  <c r="AB415" i="1"/>
  <c r="AC415" i="1" s="1" a="1"/>
  <c r="AC415" i="1" s="1"/>
  <c r="AB416" i="1"/>
  <c r="AC416" i="1" s="1" a="1"/>
  <c r="AC416" i="1" s="1"/>
  <c r="AB417" i="1"/>
  <c r="AC417" i="1" s="1" a="1"/>
  <c r="AC417" i="1" s="1"/>
  <c r="AB418" i="1"/>
  <c r="AC418" i="1" s="1" a="1"/>
  <c r="AC418" i="1" s="1"/>
  <c r="AB419" i="1"/>
  <c r="AC419" i="1" s="1" a="1"/>
  <c r="AC419" i="1" s="1"/>
  <c r="AB420" i="1"/>
  <c r="AC420" i="1" s="1" a="1"/>
  <c r="AC420" i="1" s="1"/>
  <c r="AB421" i="1"/>
  <c r="AC421" i="1" s="1" a="1"/>
  <c r="AC421" i="1" s="1"/>
  <c r="AB422" i="1"/>
  <c r="AC422" i="1" s="1" a="1"/>
  <c r="AC422" i="1" s="1"/>
  <c r="AB423" i="1"/>
  <c r="AC423" i="1" s="1" a="1"/>
  <c r="AC423" i="1" s="1"/>
  <c r="AB424" i="1"/>
  <c r="AC424" i="1" s="1" a="1"/>
  <c r="AC424" i="1" s="1"/>
  <c r="AB425" i="1"/>
  <c r="AC425" i="1" s="1" a="1"/>
  <c r="AC425" i="1" s="1"/>
  <c r="AB426" i="1"/>
  <c r="AC426" i="1" s="1" a="1"/>
  <c r="AC426" i="1" s="1"/>
  <c r="AB427" i="1"/>
  <c r="AC427" i="1" s="1" a="1"/>
  <c r="AC427" i="1" s="1"/>
  <c r="AB428" i="1"/>
  <c r="AC428" i="1" s="1" a="1"/>
  <c r="AC428" i="1" s="1"/>
  <c r="AB429" i="1"/>
  <c r="AC429" i="1" s="1" a="1"/>
  <c r="AC429" i="1" s="1"/>
  <c r="AB430" i="1"/>
  <c r="AC430" i="1" s="1" a="1"/>
  <c r="AC430" i="1" s="1"/>
  <c r="AB431" i="1"/>
  <c r="AC431" i="1" s="1" a="1"/>
  <c r="AC431" i="1" s="1"/>
  <c r="AB432" i="1"/>
  <c r="AC432" i="1" s="1" a="1"/>
  <c r="AC432" i="1" s="1"/>
  <c r="AB433" i="1"/>
  <c r="AC433" i="1" s="1" a="1"/>
  <c r="AC433" i="1" s="1"/>
  <c r="AB434" i="1"/>
  <c r="AC434" i="1" s="1" a="1"/>
  <c r="AC434" i="1" s="1"/>
  <c r="AB435" i="1"/>
  <c r="AC435" i="1" s="1" a="1"/>
  <c r="AC435" i="1" s="1"/>
  <c r="AB436" i="1"/>
  <c r="AC436" i="1" s="1" a="1"/>
  <c r="AC436" i="1" s="1"/>
  <c r="AB437" i="1"/>
  <c r="AC437" i="1" s="1" a="1"/>
  <c r="AC437" i="1" s="1"/>
  <c r="AB438" i="1"/>
  <c r="AC438" i="1" s="1" a="1"/>
  <c r="AC438" i="1" s="1"/>
  <c r="AB439" i="1"/>
  <c r="AC439" i="1" s="1" a="1"/>
  <c r="AC439" i="1" s="1"/>
  <c r="AB440" i="1"/>
  <c r="AC440" i="1" s="1" a="1"/>
  <c r="AC440" i="1" s="1"/>
  <c r="AB441" i="1"/>
  <c r="AC441" i="1" s="1" a="1"/>
  <c r="AC441" i="1" s="1"/>
  <c r="AB442" i="1"/>
  <c r="AC442" i="1" s="1" a="1"/>
  <c r="AC442" i="1" s="1"/>
  <c r="AB443" i="1"/>
  <c r="AC443" i="1" s="1" a="1"/>
  <c r="AC443" i="1" s="1"/>
  <c r="AB444" i="1"/>
  <c r="AC444" i="1" s="1" a="1"/>
  <c r="AC444" i="1" s="1"/>
  <c r="AB445" i="1"/>
  <c r="AC445" i="1" s="1" a="1"/>
  <c r="AC445" i="1" s="1"/>
  <c r="AB446" i="1"/>
  <c r="AC446" i="1" s="1" a="1"/>
  <c r="AC446" i="1" s="1"/>
  <c r="AB447" i="1"/>
  <c r="AC447" i="1" s="1" a="1"/>
  <c r="AC447" i="1" s="1"/>
  <c r="AB448" i="1"/>
  <c r="AC448" i="1" s="1" a="1"/>
  <c r="AC448" i="1" s="1"/>
  <c r="AB449" i="1"/>
  <c r="AC449" i="1" s="1" a="1"/>
  <c r="AC449" i="1" s="1"/>
  <c r="AB450" i="1"/>
  <c r="AC450" i="1" s="1" a="1"/>
  <c r="AC450" i="1" s="1"/>
  <c r="AB451" i="1"/>
  <c r="AC451" i="1" s="1" a="1"/>
  <c r="AC451" i="1" s="1"/>
  <c r="AB452" i="1"/>
  <c r="AC452" i="1" s="1" a="1"/>
  <c r="AC452" i="1" s="1"/>
  <c r="AB453" i="1"/>
  <c r="AC453" i="1" s="1" a="1"/>
  <c r="AC453" i="1" s="1"/>
  <c r="AB454" i="1"/>
  <c r="AC454" i="1" s="1" a="1"/>
  <c r="AC454" i="1" s="1"/>
  <c r="AB455" i="1"/>
  <c r="AC455" i="1" s="1" a="1"/>
  <c r="AC455" i="1" s="1"/>
  <c r="AB456" i="1"/>
  <c r="AB457" i="1"/>
  <c r="AC457" i="1" s="1" a="1"/>
  <c r="AC457" i="1" s="1"/>
  <c r="AB458" i="1"/>
  <c r="AB459" i="1"/>
  <c r="AC459" i="1" s="1" a="1"/>
  <c r="AC459" i="1" s="1"/>
  <c r="AB460" i="1"/>
  <c r="AC460" i="1" s="1" a="1"/>
  <c r="AC460" i="1" s="1"/>
  <c r="AB461" i="1"/>
  <c r="AC461" i="1" s="1" a="1"/>
  <c r="AC461" i="1" s="1"/>
  <c r="AB462" i="1"/>
  <c r="AC462" i="1" s="1" a="1"/>
  <c r="AC462" i="1" s="1"/>
  <c r="AB463" i="1"/>
  <c r="AC463" i="1" s="1" a="1"/>
  <c r="AC463" i="1" s="1"/>
  <c r="AB464" i="1"/>
  <c r="AC464" i="1" s="1" a="1"/>
  <c r="AC464" i="1" s="1"/>
  <c r="AB465" i="1"/>
  <c r="AC465" i="1" s="1" a="1"/>
  <c r="AC465" i="1" s="1"/>
  <c r="AB466" i="1"/>
  <c r="AC466" i="1" s="1" a="1"/>
  <c r="AC466" i="1" s="1"/>
  <c r="AB467" i="1"/>
  <c r="AC467" i="1" s="1" a="1"/>
  <c r="AC467" i="1" s="1"/>
  <c r="AB468" i="1"/>
  <c r="AC468" i="1" s="1" a="1"/>
  <c r="AC468" i="1" s="1"/>
  <c r="AB469" i="1"/>
  <c r="AC469" i="1" s="1" a="1"/>
  <c r="AC469" i="1" s="1"/>
  <c r="AB470" i="1"/>
  <c r="AC470" i="1" s="1" a="1"/>
  <c r="AC470" i="1" s="1"/>
  <c r="AB471" i="1"/>
  <c r="AC471" i="1" s="1" a="1"/>
  <c r="AC471" i="1" s="1"/>
  <c r="AB472" i="1"/>
  <c r="AC472" i="1" s="1" a="1"/>
  <c r="AC472" i="1" s="1"/>
  <c r="AB473" i="1"/>
  <c r="AC473" i="1" s="1" a="1"/>
  <c r="AC473" i="1" s="1"/>
  <c r="AB474" i="1"/>
  <c r="AC474" i="1" s="1" a="1"/>
  <c r="AC474" i="1" s="1"/>
  <c r="AB475" i="1"/>
  <c r="AC475" i="1" s="1" a="1"/>
  <c r="AC475" i="1" s="1"/>
  <c r="AB476" i="1"/>
  <c r="AC476" i="1" s="1" a="1"/>
  <c r="AC476" i="1" s="1"/>
  <c r="AB477" i="1"/>
  <c r="AC477" i="1" s="1" a="1"/>
  <c r="AC477" i="1" s="1"/>
  <c r="AB478" i="1"/>
  <c r="AC478" i="1" s="1" a="1"/>
  <c r="AC478" i="1" s="1"/>
  <c r="AB479" i="1"/>
  <c r="AC479" i="1" s="1" a="1"/>
  <c r="AC479" i="1" s="1"/>
  <c r="AB480" i="1"/>
  <c r="AC480" i="1" s="1" a="1"/>
  <c r="AC480" i="1" s="1"/>
  <c r="AB481" i="1"/>
  <c r="AC481" i="1" s="1" a="1"/>
  <c r="AC481" i="1" s="1"/>
  <c r="AB482" i="1"/>
  <c r="AC482" i="1" s="1" a="1"/>
  <c r="AC482" i="1" s="1"/>
  <c r="AB483" i="1"/>
  <c r="AC483" i="1" s="1" a="1"/>
  <c r="AC483" i="1" s="1"/>
  <c r="AB484" i="1"/>
  <c r="AC484" i="1" s="1" a="1"/>
  <c r="AC484" i="1" s="1"/>
  <c r="AB485" i="1"/>
  <c r="AC485" i="1" s="1" a="1"/>
  <c r="AC485" i="1" s="1"/>
  <c r="AB486" i="1"/>
  <c r="AC486" i="1" s="1" a="1"/>
  <c r="AC486" i="1" s="1"/>
  <c r="AB487" i="1"/>
  <c r="AC487" i="1" s="1" a="1"/>
  <c r="AC487" i="1" s="1"/>
  <c r="AB488" i="1"/>
  <c r="AB489" i="1"/>
  <c r="AC489" i="1" s="1" a="1"/>
  <c r="AC489" i="1" s="1"/>
  <c r="AB490" i="1"/>
  <c r="AC490" i="1" s="1" a="1"/>
  <c r="AC490" i="1" s="1"/>
  <c r="AB491" i="1"/>
  <c r="AC491" i="1" s="1" a="1"/>
  <c r="AC491" i="1" s="1"/>
  <c r="AB492" i="1"/>
  <c r="AC492" i="1" s="1" a="1"/>
  <c r="AC492" i="1" s="1"/>
  <c r="AB493" i="1"/>
  <c r="AC493" i="1" s="1" a="1"/>
  <c r="AC493" i="1" s="1"/>
  <c r="AB494" i="1"/>
  <c r="AC494" i="1" s="1" a="1"/>
  <c r="AC494" i="1" s="1"/>
  <c r="AB495" i="1"/>
  <c r="AC495" i="1" s="1" a="1"/>
  <c r="AC495" i="1" s="1"/>
  <c r="AB496" i="1"/>
  <c r="AC496" i="1" s="1" a="1"/>
  <c r="AC496" i="1" s="1"/>
  <c r="AB497" i="1"/>
  <c r="AC497" i="1" s="1" a="1"/>
  <c r="AC497" i="1" s="1"/>
  <c r="AB498" i="1"/>
  <c r="AC498" i="1" s="1" a="1"/>
  <c r="AC498" i="1" s="1"/>
  <c r="AB499" i="1"/>
  <c r="AC499" i="1" s="1" a="1"/>
  <c r="AC499" i="1" s="1"/>
  <c r="AB500" i="1"/>
  <c r="AC500" i="1" s="1" a="1"/>
  <c r="AC500" i="1" s="1"/>
  <c r="AB501" i="1"/>
  <c r="AC501" i="1" s="1" a="1"/>
  <c r="AB502" i="1"/>
  <c r="AC502" i="1" s="1" a="1"/>
  <c r="AC502" i="1" s="1"/>
  <c r="AB503" i="1"/>
  <c r="AC503" i="1" s="1" a="1"/>
  <c r="AC503" i="1" s="1"/>
  <c r="AB504" i="1"/>
  <c r="AC504" i="1" s="1" a="1"/>
  <c r="AC504" i="1" s="1"/>
  <c r="AB505" i="1"/>
  <c r="AC505" i="1" s="1" a="1"/>
  <c r="AC505" i="1" s="1"/>
  <c r="AB506" i="1"/>
  <c r="AC506" i="1" s="1" a="1"/>
  <c r="AC506" i="1" s="1"/>
  <c r="AB507" i="1"/>
  <c r="AC507" i="1" s="1" a="1"/>
  <c r="AC507" i="1" s="1"/>
  <c r="AB508" i="1"/>
  <c r="AC508" i="1" s="1" a="1"/>
  <c r="AC508" i="1" s="1"/>
  <c r="AB509" i="1"/>
  <c r="AC509" i="1" s="1" a="1"/>
  <c r="AC509" i="1" s="1"/>
  <c r="AB510" i="1"/>
  <c r="AC510" i="1" s="1" a="1"/>
  <c r="AC510" i="1" s="1"/>
  <c r="AB511" i="1"/>
  <c r="AC511" i="1" s="1" a="1"/>
  <c r="AC511" i="1" s="1"/>
  <c r="AB512" i="1"/>
  <c r="AB513" i="1"/>
  <c r="AC513" i="1" s="1" a="1"/>
  <c r="AC513" i="1" s="1"/>
  <c r="AB514" i="1"/>
  <c r="AC514" i="1" s="1" a="1"/>
  <c r="AC514" i="1" s="1"/>
  <c r="AB515" i="1"/>
  <c r="AC515" i="1" s="1" a="1"/>
  <c r="AC515" i="1" s="1"/>
  <c r="AB516" i="1"/>
  <c r="AC516" i="1" s="1" a="1"/>
  <c r="AC516" i="1" s="1"/>
  <c r="AB517" i="1"/>
  <c r="AC517" i="1" s="1" a="1"/>
  <c r="AC517" i="1" s="1"/>
  <c r="AB518" i="1"/>
  <c r="AC518" i="1" s="1" a="1"/>
  <c r="AC518" i="1" s="1"/>
  <c r="AB519" i="1"/>
  <c r="AC519" i="1" s="1" a="1"/>
  <c r="AC519" i="1" s="1"/>
  <c r="AB520" i="1"/>
  <c r="AB521" i="1"/>
  <c r="AC521" i="1" s="1" a="1"/>
  <c r="AC521" i="1" s="1"/>
  <c r="AB522" i="1"/>
  <c r="AC522" i="1" s="1" a="1"/>
  <c r="AC522" i="1" s="1"/>
  <c r="AB523" i="1"/>
  <c r="AC523" i="1" s="1" a="1"/>
  <c r="AC523" i="1" s="1"/>
  <c r="AB524" i="1"/>
  <c r="AC524" i="1" s="1" a="1"/>
  <c r="AC524" i="1" s="1"/>
  <c r="AB525" i="1"/>
  <c r="AC525" i="1" s="1" a="1"/>
  <c r="AC525" i="1" s="1"/>
  <c r="AB526" i="1"/>
  <c r="AC526" i="1" s="1" a="1"/>
  <c r="AC526" i="1" s="1"/>
  <c r="AB527" i="1"/>
  <c r="AC527" i="1" s="1" a="1"/>
  <c r="AC527" i="1" s="1"/>
  <c r="AB528" i="1"/>
  <c r="AC528" i="1" s="1" a="1"/>
  <c r="AC528" i="1" s="1"/>
  <c r="AB529" i="1"/>
  <c r="AC529" i="1" s="1" a="1"/>
  <c r="AC529" i="1" s="1"/>
  <c r="AB530" i="1"/>
  <c r="AC530" i="1" s="1" a="1"/>
  <c r="AC530" i="1" s="1"/>
  <c r="AB531" i="1"/>
  <c r="AC531" i="1" s="1" a="1"/>
  <c r="AC531" i="1" s="1"/>
  <c r="AB532" i="1"/>
  <c r="AC532" i="1" s="1" a="1"/>
  <c r="AC532" i="1" s="1"/>
  <c r="AB533" i="1"/>
  <c r="AC533" i="1" s="1" a="1"/>
  <c r="AC533" i="1" s="1"/>
  <c r="AB534" i="1"/>
  <c r="AC534" i="1" s="1" a="1"/>
  <c r="AC534" i="1" s="1"/>
  <c r="AB535" i="1"/>
  <c r="AC535" i="1" s="1" a="1"/>
  <c r="AC535" i="1" s="1"/>
  <c r="AB536" i="1"/>
  <c r="AC536" i="1" s="1" a="1"/>
  <c r="AC536" i="1" s="1"/>
  <c r="AB537" i="1"/>
  <c r="AC537" i="1" s="1" a="1"/>
  <c r="AC537" i="1" s="1"/>
  <c r="AB538" i="1"/>
  <c r="AC538" i="1" s="1" a="1"/>
  <c r="AC538" i="1" s="1"/>
  <c r="AB539" i="1"/>
  <c r="AC539" i="1" s="1" a="1"/>
  <c r="AC539" i="1" s="1"/>
  <c r="AB540" i="1"/>
  <c r="AC540" i="1" s="1" a="1"/>
  <c r="AC540" i="1" s="1"/>
  <c r="AB541" i="1"/>
  <c r="AC541" i="1" s="1" a="1"/>
  <c r="AC541" i="1" s="1"/>
  <c r="AB542" i="1"/>
  <c r="AC542" i="1" s="1" a="1"/>
  <c r="AC542" i="1" s="1"/>
  <c r="AB543" i="1"/>
  <c r="AC543" i="1" s="1" a="1"/>
  <c r="AC543" i="1" s="1"/>
  <c r="AB544" i="1"/>
  <c r="AC544" i="1" s="1" a="1"/>
  <c r="AC544" i="1" s="1"/>
  <c r="AB545" i="1"/>
  <c r="AC545" i="1" s="1" a="1"/>
  <c r="AC545" i="1" s="1"/>
  <c r="AB546" i="1"/>
  <c r="AC546" i="1" s="1" a="1"/>
  <c r="AC546" i="1" s="1"/>
  <c r="AB547" i="1"/>
  <c r="AC547" i="1" s="1" a="1"/>
  <c r="AC547" i="1" s="1"/>
  <c r="AB548" i="1"/>
  <c r="AC548" i="1" s="1" a="1"/>
  <c r="AC548" i="1" s="1"/>
  <c r="AB549" i="1"/>
  <c r="AB550" i="1"/>
  <c r="AC550" i="1" s="1" a="1"/>
  <c r="AC550" i="1" s="1"/>
  <c r="AB551" i="1"/>
  <c r="AC551" i="1" s="1" a="1"/>
  <c r="AC551" i="1" s="1"/>
  <c r="AB552" i="1"/>
  <c r="AC552" i="1" s="1" a="1"/>
  <c r="AC552" i="1" s="1"/>
  <c r="AB553" i="1"/>
  <c r="AC553" i="1" s="1" a="1"/>
  <c r="AC553" i="1" s="1"/>
  <c r="AB554" i="1"/>
  <c r="AC554" i="1" s="1" a="1"/>
  <c r="AC554" i="1" s="1"/>
  <c r="AB555" i="1"/>
  <c r="AC555" i="1" s="1" a="1"/>
  <c r="AC555" i="1" s="1"/>
  <c r="AB556" i="1"/>
  <c r="AC556" i="1" s="1" a="1"/>
  <c r="AC556" i="1" s="1"/>
  <c r="AB557" i="1"/>
  <c r="AC557" i="1" s="1" a="1"/>
  <c r="AC557" i="1" s="1"/>
  <c r="AB558" i="1"/>
  <c r="AC558" i="1" s="1" a="1"/>
  <c r="AC558" i="1" s="1"/>
  <c r="AB559" i="1"/>
  <c r="AC559" i="1" s="1" a="1"/>
  <c r="AC559" i="1" s="1"/>
  <c r="AB560" i="1"/>
  <c r="AC560" i="1" s="1" a="1"/>
  <c r="AC560" i="1" s="1"/>
  <c r="AB561" i="1"/>
  <c r="AC561" i="1" s="1" a="1"/>
  <c r="AC561" i="1" s="1"/>
  <c r="AB562" i="1"/>
  <c r="AC562" i="1" s="1" a="1"/>
  <c r="AC562" i="1" s="1"/>
  <c r="AB563" i="1"/>
  <c r="AC563" i="1" s="1" a="1"/>
  <c r="AC563" i="1" s="1"/>
  <c r="AB564" i="1"/>
  <c r="AB565" i="1"/>
  <c r="AB566" i="1"/>
  <c r="AC566" i="1" s="1" a="1"/>
  <c r="AC566" i="1" s="1"/>
  <c r="AB567" i="1"/>
  <c r="AC567" i="1" s="1" a="1"/>
  <c r="AC567" i="1" s="1"/>
  <c r="AB568" i="1"/>
  <c r="AC568" i="1" s="1" a="1"/>
  <c r="AC568" i="1" s="1"/>
  <c r="AB569" i="1"/>
  <c r="AC569" i="1" s="1" a="1"/>
  <c r="AC569" i="1" s="1"/>
  <c r="AB570" i="1"/>
  <c r="AC570" i="1" s="1" a="1"/>
  <c r="AC570" i="1" s="1"/>
  <c r="AB571" i="1"/>
  <c r="AC571" i="1" s="1" a="1"/>
  <c r="AC571" i="1" s="1"/>
  <c r="AB572" i="1"/>
  <c r="AC572" i="1" s="1" a="1"/>
  <c r="AC572" i="1" s="1"/>
  <c r="AB573" i="1"/>
  <c r="AC573" i="1" s="1" a="1"/>
  <c r="AC573" i="1" s="1"/>
  <c r="AB574" i="1"/>
  <c r="AC574" i="1" s="1" a="1"/>
  <c r="AC574" i="1" s="1"/>
  <c r="AB575" i="1"/>
  <c r="AB576" i="1"/>
  <c r="AC576" i="1" s="1" a="1"/>
  <c r="AC576" i="1" s="1"/>
  <c r="AB577" i="1"/>
  <c r="AC577" i="1" s="1" a="1"/>
  <c r="AB578" i="1"/>
  <c r="AC578" i="1" s="1" a="1"/>
  <c r="AC578" i="1" s="1"/>
  <c r="AB579" i="1"/>
  <c r="AB580" i="1"/>
  <c r="AC580" i="1" s="1" a="1"/>
  <c r="AC580" i="1" s="1"/>
  <c r="AB581" i="1"/>
  <c r="AC581" i="1" s="1" a="1"/>
  <c r="AC581" i="1" s="1"/>
  <c r="AB582" i="1"/>
  <c r="AC582" i="1" s="1" a="1"/>
  <c r="AC582" i="1" s="1"/>
  <c r="AB583" i="1"/>
  <c r="AB584" i="1"/>
  <c r="AC584" i="1" s="1" a="1"/>
  <c r="AC584" i="1" s="1"/>
  <c r="AB585" i="1"/>
  <c r="AC585" i="1" s="1" a="1"/>
  <c r="AC585" i="1" s="1"/>
  <c r="AB586" i="1"/>
  <c r="AC586" i="1" s="1" a="1"/>
  <c r="AC586" i="1" s="1"/>
  <c r="AB587" i="1"/>
  <c r="AC587" i="1" s="1" a="1"/>
  <c r="AC587" i="1" s="1"/>
  <c r="AB588" i="1"/>
  <c r="AC588" i="1" s="1" a="1"/>
  <c r="AC588" i="1" s="1"/>
  <c r="AB589" i="1"/>
  <c r="AC589" i="1" s="1" a="1"/>
  <c r="AC589" i="1" s="1"/>
  <c r="AB590" i="1"/>
  <c r="AC590" i="1" s="1" a="1"/>
  <c r="AC590" i="1" s="1"/>
  <c r="AB591" i="1"/>
  <c r="AC591" i="1" s="1" a="1"/>
  <c r="AC591" i="1" s="1"/>
  <c r="AB592" i="1"/>
  <c r="AC592" i="1" s="1" a="1"/>
  <c r="AC592" i="1" s="1"/>
  <c r="AB593" i="1"/>
  <c r="AC593" i="1" s="1" a="1"/>
  <c r="AC593" i="1" s="1"/>
  <c r="AB594" i="1"/>
  <c r="AC594" i="1" s="1" a="1"/>
  <c r="AC594" i="1" s="1"/>
  <c r="AB595" i="1"/>
  <c r="AC595" i="1" s="1" a="1"/>
  <c r="AC595" i="1" s="1"/>
  <c r="AB596" i="1"/>
  <c r="AC596" i="1" s="1" a="1"/>
  <c r="AC596" i="1" s="1"/>
  <c r="AB597" i="1"/>
  <c r="AC597" i="1" s="1" a="1"/>
  <c r="AC597" i="1" s="1"/>
  <c r="AB598" i="1"/>
  <c r="AC598" i="1" s="1" a="1"/>
  <c r="AC598" i="1" s="1"/>
  <c r="AB599" i="1"/>
  <c r="AC599" i="1" s="1" a="1"/>
  <c r="AC599" i="1" s="1"/>
  <c r="AB600" i="1"/>
  <c r="AC600" i="1" s="1" a="1"/>
  <c r="AC600" i="1" s="1"/>
  <c r="AB601" i="1"/>
  <c r="AC601" i="1" s="1" a="1"/>
  <c r="AC601" i="1" s="1"/>
  <c r="AB602" i="1"/>
  <c r="AC602" i="1" s="1" a="1"/>
  <c r="AC602" i="1" s="1"/>
  <c r="AB603" i="1"/>
  <c r="AC603" i="1" s="1" a="1"/>
  <c r="AC603" i="1" s="1"/>
  <c r="AB604" i="1"/>
  <c r="AC604" i="1" s="1" a="1"/>
  <c r="AC604" i="1" s="1"/>
  <c r="AB605" i="1"/>
  <c r="AC605" i="1" s="1" a="1"/>
  <c r="AC605" i="1" s="1"/>
  <c r="AB606" i="1"/>
  <c r="AC606" i="1" s="1" a="1"/>
  <c r="AC606" i="1" s="1"/>
  <c r="AB607" i="1"/>
  <c r="AC607" i="1" s="1" a="1"/>
  <c r="AC607" i="1" s="1"/>
  <c r="AB608" i="1"/>
  <c r="AC608" i="1" s="1" a="1"/>
  <c r="AC608" i="1" s="1"/>
  <c r="AB609" i="1"/>
  <c r="AC609" i="1" s="1" a="1"/>
  <c r="AC609" i="1" s="1"/>
  <c r="AB610" i="1"/>
  <c r="AC610" i="1" s="1" a="1"/>
  <c r="AC610" i="1" s="1"/>
  <c r="AB611" i="1"/>
  <c r="AC611" i="1" s="1" a="1"/>
  <c r="AC611" i="1" s="1"/>
  <c r="AB612" i="1"/>
  <c r="AC612" i="1" s="1" a="1"/>
  <c r="AC612" i="1" s="1"/>
  <c r="AB613" i="1"/>
  <c r="AB614" i="1"/>
  <c r="AC614" i="1" s="1" a="1"/>
  <c r="AC614" i="1" s="1"/>
  <c r="AB615" i="1"/>
  <c r="AC615" i="1" s="1" a="1"/>
  <c r="AC615" i="1" s="1"/>
  <c r="AB616" i="1"/>
  <c r="AB617" i="1"/>
  <c r="AC617" i="1" s="1" a="1"/>
  <c r="AC617" i="1" s="1"/>
  <c r="AB618" i="1"/>
  <c r="AC618" i="1" s="1" a="1"/>
  <c r="AC618" i="1" s="1"/>
  <c r="AB619" i="1"/>
  <c r="AC619" i="1" s="1" a="1"/>
  <c r="AC619" i="1" s="1"/>
  <c r="AB620" i="1"/>
  <c r="AC620" i="1" s="1" a="1"/>
  <c r="AC620" i="1" s="1"/>
  <c r="AB621" i="1"/>
  <c r="AC621" i="1" s="1" a="1"/>
  <c r="AC621" i="1" s="1"/>
  <c r="AB622" i="1"/>
  <c r="AC622" i="1" s="1" a="1"/>
  <c r="AC622" i="1" s="1"/>
  <c r="AB623" i="1"/>
  <c r="AC623" i="1" s="1" a="1"/>
  <c r="AC623" i="1" s="1"/>
  <c r="AB624" i="1"/>
  <c r="AC624" i="1" s="1" a="1"/>
  <c r="AC624" i="1" s="1"/>
  <c r="AB625" i="1"/>
  <c r="AC625" i="1" s="1" a="1"/>
  <c r="AC625" i="1" s="1"/>
  <c r="AB626" i="1"/>
  <c r="AC626" i="1" s="1" a="1"/>
  <c r="AC626" i="1" s="1"/>
  <c r="AB627" i="1"/>
  <c r="AC627" i="1" s="1" a="1"/>
  <c r="AC627" i="1" s="1"/>
  <c r="AB628" i="1"/>
  <c r="AC628" i="1" s="1" a="1"/>
  <c r="AC628" i="1" s="1"/>
  <c r="AB629" i="1"/>
  <c r="AC629" i="1" s="1" a="1"/>
  <c r="AC629" i="1" s="1"/>
  <c r="AB630" i="1"/>
  <c r="AC630" i="1" s="1" a="1"/>
  <c r="AC630" i="1" s="1"/>
  <c r="AB631" i="1"/>
  <c r="AC631" i="1" s="1" a="1"/>
  <c r="AC631" i="1" s="1"/>
  <c r="AB632" i="1"/>
  <c r="AB633" i="1"/>
  <c r="AC633" i="1" s="1" a="1"/>
  <c r="AC633" i="1" s="1"/>
  <c r="AB634" i="1"/>
  <c r="AC634" i="1" s="1" a="1"/>
  <c r="AC634" i="1" s="1"/>
  <c r="AB635" i="1"/>
  <c r="AC635" i="1" s="1" a="1"/>
  <c r="AC635" i="1" s="1"/>
  <c r="AB636" i="1"/>
  <c r="AC636" i="1" s="1" a="1"/>
  <c r="AC636" i="1" s="1"/>
  <c r="AB637" i="1"/>
  <c r="AC637" i="1" s="1" a="1"/>
  <c r="AC637" i="1" s="1"/>
  <c r="AB638" i="1"/>
  <c r="AC638" i="1" s="1" a="1"/>
  <c r="AC638" i="1" s="1"/>
  <c r="AB639" i="1"/>
  <c r="AC639" i="1" s="1" a="1"/>
  <c r="AC639" i="1" s="1"/>
  <c r="AB640" i="1"/>
  <c r="AC640" i="1" s="1" a="1"/>
  <c r="AC640" i="1" s="1"/>
  <c r="AB641" i="1"/>
  <c r="AC641" i="1" s="1" a="1"/>
  <c r="AC641" i="1" s="1"/>
  <c r="AB642" i="1"/>
  <c r="AC642" i="1" s="1" a="1"/>
  <c r="AC642" i="1" s="1"/>
  <c r="AB643" i="1"/>
  <c r="AC643" i="1" s="1" a="1"/>
  <c r="AC643" i="1" s="1"/>
  <c r="AB644" i="1"/>
  <c r="AC644" i="1" s="1" a="1"/>
  <c r="AC644" i="1" s="1"/>
  <c r="AB645" i="1"/>
  <c r="AC645" i="1" s="1" a="1"/>
  <c r="AC645" i="1" s="1"/>
  <c r="AB646" i="1"/>
  <c r="AC646" i="1" s="1" a="1"/>
  <c r="AC646" i="1" s="1"/>
  <c r="AB647" i="1"/>
  <c r="AC647" i="1" s="1" a="1"/>
  <c r="AC647" i="1" s="1"/>
  <c r="AB648" i="1"/>
  <c r="AC648" i="1" s="1" a="1"/>
  <c r="AC648" i="1" s="1"/>
  <c r="AB649" i="1"/>
  <c r="AC649" i="1" s="1" a="1"/>
  <c r="AC649" i="1" s="1"/>
  <c r="AB650" i="1"/>
  <c r="AC650" i="1" s="1" a="1"/>
  <c r="AC650" i="1" s="1"/>
  <c r="AB651" i="1"/>
  <c r="AC651" i="1" s="1" a="1"/>
  <c r="AC651" i="1" s="1"/>
  <c r="AB652" i="1"/>
  <c r="AC652" i="1" s="1" a="1"/>
  <c r="AC652" i="1" s="1"/>
  <c r="AB653" i="1"/>
  <c r="AC653" i="1" s="1" a="1"/>
  <c r="AC653" i="1" s="1"/>
  <c r="AB654" i="1"/>
  <c r="AC654" i="1" s="1" a="1"/>
  <c r="AC654" i="1" s="1"/>
  <c r="AB655" i="1"/>
  <c r="AC655" i="1" s="1" a="1"/>
  <c r="AC655" i="1" s="1"/>
  <c r="AB656" i="1"/>
  <c r="AC656" i="1" s="1" a="1"/>
  <c r="AC656" i="1" s="1"/>
  <c r="AB657" i="1"/>
  <c r="AC657" i="1" s="1" a="1"/>
  <c r="AC657" i="1" s="1"/>
  <c r="AB658" i="1"/>
  <c r="AC658" i="1" s="1" a="1"/>
  <c r="AC658" i="1" s="1"/>
  <c r="AB659" i="1"/>
  <c r="AC659" i="1" s="1" a="1"/>
  <c r="AC659" i="1" s="1"/>
  <c r="AB660" i="1"/>
  <c r="AC660" i="1" s="1" a="1"/>
  <c r="AC660" i="1" s="1"/>
  <c r="AB661" i="1"/>
  <c r="AB662" i="1"/>
  <c r="AC662" i="1" s="1" a="1"/>
  <c r="AC662" i="1" s="1"/>
  <c r="AB663" i="1"/>
  <c r="AC663" i="1" s="1" a="1"/>
  <c r="AC663" i="1" s="1"/>
  <c r="AB664" i="1"/>
  <c r="AC664" i="1" s="1" a="1"/>
  <c r="AC664" i="1" s="1"/>
  <c r="AB665" i="1"/>
  <c r="AC665" i="1" s="1" a="1"/>
  <c r="AC665" i="1" s="1"/>
  <c r="AB666" i="1"/>
  <c r="AC666" i="1" s="1" a="1"/>
  <c r="AC666" i="1" s="1"/>
  <c r="AB667" i="1"/>
  <c r="AC667" i="1" s="1" a="1"/>
  <c r="AC667" i="1" s="1"/>
  <c r="AB668" i="1"/>
  <c r="AC668" i="1" s="1" a="1"/>
  <c r="AC668" i="1" s="1"/>
  <c r="AB669" i="1"/>
  <c r="AC669" i="1" s="1" a="1"/>
  <c r="AC669" i="1" s="1"/>
  <c r="AB670" i="1"/>
  <c r="AC670" i="1" s="1" a="1"/>
  <c r="AC670" i="1" s="1"/>
  <c r="AB671" i="1"/>
  <c r="AC671" i="1" s="1" a="1"/>
  <c r="AC671" i="1" s="1"/>
  <c r="AB672" i="1"/>
  <c r="AC672" i="1" s="1" a="1"/>
  <c r="AC672" i="1" s="1"/>
  <c r="AB673" i="1"/>
  <c r="AC673" i="1" s="1" a="1"/>
  <c r="AC673" i="1" s="1"/>
  <c r="AB674" i="1"/>
  <c r="AC674" i="1" s="1" a="1"/>
  <c r="AC674" i="1" s="1"/>
  <c r="AB675" i="1"/>
  <c r="AC675" i="1" s="1" a="1"/>
  <c r="AC675" i="1" s="1"/>
  <c r="AB676" i="1"/>
  <c r="AC676" i="1" s="1" a="1"/>
  <c r="AC676" i="1" s="1"/>
  <c r="AB677" i="1"/>
  <c r="AC677" i="1" s="1" a="1"/>
  <c r="AC677" i="1" s="1"/>
  <c r="AB678" i="1"/>
  <c r="AC678" i="1" s="1" a="1"/>
  <c r="AC678" i="1" s="1"/>
  <c r="AB679" i="1"/>
  <c r="AC679" i="1" s="1" a="1"/>
  <c r="AC679" i="1" s="1"/>
  <c r="AB680" i="1"/>
  <c r="AC680" i="1" s="1" a="1"/>
  <c r="AC680" i="1" s="1"/>
  <c r="AB681" i="1"/>
  <c r="AC681" i="1" s="1" a="1"/>
  <c r="AC681" i="1" s="1"/>
  <c r="AB682" i="1"/>
  <c r="AC682" i="1" s="1" a="1"/>
  <c r="AC682" i="1" s="1"/>
  <c r="AB683" i="1"/>
  <c r="AC683" i="1" s="1" a="1"/>
  <c r="AC683" i="1" s="1"/>
  <c r="AB684" i="1"/>
  <c r="AC684" i="1" s="1" a="1"/>
  <c r="AC684" i="1" s="1"/>
  <c r="AB685" i="1"/>
  <c r="AC685" i="1" s="1" a="1"/>
  <c r="AC685" i="1" s="1"/>
  <c r="AB686" i="1"/>
  <c r="AC686" i="1" s="1" a="1"/>
  <c r="AC686" i="1" s="1"/>
  <c r="AB687" i="1"/>
  <c r="AC687" i="1" s="1" a="1"/>
  <c r="AC687" i="1" s="1"/>
  <c r="AB688" i="1"/>
  <c r="AC688" i="1" s="1" a="1"/>
  <c r="AC688" i="1" s="1"/>
  <c r="AB689" i="1"/>
  <c r="AC689" i="1" s="1" a="1"/>
  <c r="AC689" i="1" s="1"/>
  <c r="AB690" i="1"/>
  <c r="AC690" i="1" s="1" a="1"/>
  <c r="AC690" i="1" s="1"/>
  <c r="AB691" i="1"/>
  <c r="AC691" i="1" s="1" a="1"/>
  <c r="AC691" i="1" s="1"/>
  <c r="AB692" i="1"/>
  <c r="AC692" i="1" s="1" a="1"/>
  <c r="AC692" i="1" s="1"/>
  <c r="AB693" i="1"/>
  <c r="AC693" i="1" s="1" a="1"/>
  <c r="AC693" i="1" s="1"/>
  <c r="AB694" i="1"/>
  <c r="AC694" i="1" s="1" a="1"/>
  <c r="AC694" i="1" s="1"/>
  <c r="AB695" i="1"/>
  <c r="AC695" i="1" s="1" a="1"/>
  <c r="AC695" i="1" s="1"/>
  <c r="AB696" i="1"/>
  <c r="AB697" i="1"/>
  <c r="AC697" i="1" s="1" a="1"/>
  <c r="AC697" i="1" s="1"/>
  <c r="AB698" i="1"/>
  <c r="AC698" i="1" s="1" a="1"/>
  <c r="AC698" i="1" s="1"/>
  <c r="AB699" i="1"/>
  <c r="AC699" i="1" s="1" a="1"/>
  <c r="AC699" i="1" s="1"/>
  <c r="AB700" i="1"/>
  <c r="AC700" i="1" s="1" a="1"/>
  <c r="AC700" i="1" s="1"/>
  <c r="AB701" i="1"/>
  <c r="AC701" i="1" s="1" a="1"/>
  <c r="AC701" i="1" s="1"/>
  <c r="AB702" i="1"/>
  <c r="AC702" i="1" s="1" a="1"/>
  <c r="AC702" i="1" s="1"/>
  <c r="AB703" i="1"/>
  <c r="AC703" i="1" s="1" a="1"/>
  <c r="AC703" i="1" s="1"/>
  <c r="AB704" i="1"/>
  <c r="AC704" i="1" s="1" a="1"/>
  <c r="AC704" i="1" s="1"/>
  <c r="AB705" i="1"/>
  <c r="AC705" i="1" s="1" a="1"/>
  <c r="AC705" i="1" s="1"/>
  <c r="AB706" i="1"/>
  <c r="AC706" i="1" s="1" a="1"/>
  <c r="AC706" i="1" s="1"/>
  <c r="AB707" i="1"/>
  <c r="AC707" i="1" s="1" a="1"/>
  <c r="AC707" i="1" s="1"/>
  <c r="AB708" i="1"/>
  <c r="AC708" i="1" s="1" a="1"/>
  <c r="AC708" i="1" s="1"/>
  <c r="AB709" i="1"/>
  <c r="AC709" i="1" s="1" a="1"/>
  <c r="AC709" i="1" s="1"/>
  <c r="AB710" i="1"/>
  <c r="AC710" i="1" s="1" a="1"/>
  <c r="AC710" i="1" s="1"/>
  <c r="AB711" i="1"/>
  <c r="AC711" i="1" s="1" a="1"/>
  <c r="AC711" i="1" s="1"/>
  <c r="AB712" i="1"/>
  <c r="AC712" i="1" s="1" a="1"/>
  <c r="AB713" i="1"/>
  <c r="AC713" i="1" s="1" a="1"/>
  <c r="AC713" i="1" s="1"/>
  <c r="AB714" i="1"/>
  <c r="AC714" i="1" s="1" a="1"/>
  <c r="AC714" i="1" s="1"/>
  <c r="AB715" i="1"/>
  <c r="AC715" i="1" s="1" a="1"/>
  <c r="AC715" i="1" s="1"/>
  <c r="AB716" i="1"/>
  <c r="AC716" i="1" s="1" a="1"/>
  <c r="AC716" i="1" s="1"/>
  <c r="AB717" i="1"/>
  <c r="AC717" i="1" s="1" a="1"/>
  <c r="AC717" i="1" s="1"/>
  <c r="AB718" i="1"/>
  <c r="AC718" i="1" s="1" a="1"/>
  <c r="AC718" i="1" s="1"/>
  <c r="AB719" i="1"/>
  <c r="AC719" i="1" s="1" a="1"/>
  <c r="AC719" i="1" s="1"/>
  <c r="AB720" i="1"/>
  <c r="AC720" i="1" s="1" a="1"/>
  <c r="AC720" i="1" s="1"/>
  <c r="AB721" i="1"/>
  <c r="AC721" i="1" s="1" a="1"/>
  <c r="AC721" i="1" s="1"/>
  <c r="AB722" i="1"/>
  <c r="AC722" i="1" s="1" a="1"/>
  <c r="AC722" i="1" s="1"/>
  <c r="AB723" i="1"/>
  <c r="AB724" i="1"/>
  <c r="AC724" i="1" s="1" a="1"/>
  <c r="AB725" i="1"/>
  <c r="AC725" i="1" s="1" a="1"/>
  <c r="AC725" i="1" s="1"/>
  <c r="AB726" i="1"/>
  <c r="AC726" i="1" s="1" a="1"/>
  <c r="AC726" i="1" s="1"/>
  <c r="AB727" i="1"/>
  <c r="AC727" i="1" s="1" a="1"/>
  <c r="AC727" i="1" s="1"/>
  <c r="AB728" i="1"/>
  <c r="AC728" i="1" s="1" a="1"/>
  <c r="AC728" i="1" s="1"/>
  <c r="AB729" i="1"/>
  <c r="AC729" i="1" s="1" a="1"/>
  <c r="AC729" i="1" s="1"/>
  <c r="AB730" i="1"/>
  <c r="AC730" i="1" s="1" a="1"/>
  <c r="AC730" i="1" s="1"/>
  <c r="AB731" i="1"/>
  <c r="AC731" i="1" s="1" a="1"/>
  <c r="AC731" i="1" s="1"/>
  <c r="AB732" i="1"/>
  <c r="AC732" i="1" s="1" a="1"/>
  <c r="AC732" i="1" s="1"/>
  <c r="AB733" i="1"/>
  <c r="AC733" i="1" s="1" a="1"/>
  <c r="AC733" i="1" s="1"/>
  <c r="AB734" i="1"/>
  <c r="AC734" i="1" s="1" a="1"/>
  <c r="AC734" i="1" s="1"/>
  <c r="AB735" i="1"/>
  <c r="AC735" i="1" s="1" a="1"/>
  <c r="AC735" i="1" s="1"/>
  <c r="AB736" i="1"/>
  <c r="AC736" i="1" s="1" a="1"/>
  <c r="AC736" i="1" s="1"/>
  <c r="AB737" i="1"/>
  <c r="AC737" i="1" s="1" a="1"/>
  <c r="AB738" i="1"/>
  <c r="AC738" i="1" s="1" a="1"/>
  <c r="AC738" i="1" s="1"/>
  <c r="AB739" i="1"/>
  <c r="AB740" i="1"/>
  <c r="AC740" i="1" s="1" a="1"/>
  <c r="AC740" i="1" s="1"/>
  <c r="AB741" i="1"/>
  <c r="AC741" i="1" s="1" a="1"/>
  <c r="AC741" i="1" s="1"/>
  <c r="AB742" i="1"/>
  <c r="AC742" i="1" s="1" a="1"/>
  <c r="AC742" i="1" s="1"/>
  <c r="AB743" i="1"/>
  <c r="AC743" i="1" s="1" a="1"/>
  <c r="AC743" i="1" s="1"/>
  <c r="AB744" i="1"/>
  <c r="AC744" i="1" s="1" a="1"/>
  <c r="AC744" i="1" s="1"/>
  <c r="AB745" i="1"/>
  <c r="AC745" i="1" s="1" a="1"/>
  <c r="AC745" i="1" s="1"/>
  <c r="AB746" i="1"/>
  <c r="AC746" i="1" s="1" a="1"/>
  <c r="AC746" i="1" s="1"/>
  <c r="AB747" i="1"/>
  <c r="AC747" i="1" s="1" a="1"/>
  <c r="AC747" i="1" s="1"/>
  <c r="AB748" i="1"/>
  <c r="AC748" i="1" s="1" a="1"/>
  <c r="AC748" i="1" s="1"/>
  <c r="AB749" i="1"/>
  <c r="AC749" i="1" s="1" a="1"/>
  <c r="AC749" i="1" s="1"/>
  <c r="AB750" i="1"/>
  <c r="AC750" i="1" s="1" a="1"/>
  <c r="AC750" i="1" s="1"/>
  <c r="AB751" i="1"/>
  <c r="AC751" i="1" s="1" a="1"/>
  <c r="AC751" i="1" s="1"/>
  <c r="AB752" i="1"/>
  <c r="AC752" i="1" s="1" a="1"/>
  <c r="AC752" i="1" s="1"/>
  <c r="AB753" i="1"/>
  <c r="AC753" i="1" s="1" a="1"/>
  <c r="AC753" i="1" s="1"/>
  <c r="AB754" i="1"/>
  <c r="AC754" i="1" s="1" a="1"/>
  <c r="AC754" i="1" s="1"/>
  <c r="AB755" i="1"/>
  <c r="AC755" i="1" s="1" a="1"/>
  <c r="AC755" i="1" s="1"/>
  <c r="AB756" i="1"/>
  <c r="AC756" i="1" s="1" a="1"/>
  <c r="AC756" i="1" s="1"/>
  <c r="AB757" i="1"/>
  <c r="AC757" i="1" s="1" a="1"/>
  <c r="AC757" i="1" s="1"/>
  <c r="AB758" i="1"/>
  <c r="AB759" i="1"/>
  <c r="AC759" i="1" s="1" a="1"/>
  <c r="AC759" i="1" s="1"/>
  <c r="AB760" i="1"/>
  <c r="AC760" i="1" s="1" a="1"/>
  <c r="AC760" i="1" s="1"/>
  <c r="AB761" i="1"/>
  <c r="AC761" i="1" s="1" a="1"/>
  <c r="AC761" i="1" s="1"/>
  <c r="AB762" i="1"/>
  <c r="AC762" i="1" s="1" a="1"/>
  <c r="AC762" i="1" s="1"/>
  <c r="AB763" i="1"/>
  <c r="AC763" i="1" s="1" a="1"/>
  <c r="AC763" i="1" s="1"/>
  <c r="AB764" i="1"/>
  <c r="AC764" i="1" s="1" a="1"/>
  <c r="AC764" i="1" s="1"/>
  <c r="AB765" i="1"/>
  <c r="AC765" i="1" s="1" a="1"/>
  <c r="AC765" i="1" s="1"/>
  <c r="AB766" i="1"/>
  <c r="AC766" i="1" s="1" a="1"/>
  <c r="AC766" i="1" s="1"/>
  <c r="AB767" i="1"/>
  <c r="AC767" i="1" s="1" a="1"/>
  <c r="AC767" i="1" s="1"/>
  <c r="AB768" i="1"/>
  <c r="AC768" i="1" s="1" a="1"/>
  <c r="AC768" i="1" s="1"/>
  <c r="AB769" i="1"/>
  <c r="AC769" i="1" s="1" a="1"/>
  <c r="AC769" i="1" s="1"/>
  <c r="AB770" i="1"/>
  <c r="AC770" i="1" s="1" a="1"/>
  <c r="AC770" i="1" s="1"/>
  <c r="AB771" i="1"/>
  <c r="AC771" i="1" s="1" a="1"/>
  <c r="AC771" i="1" s="1"/>
  <c r="AB772" i="1"/>
  <c r="AC772" i="1" s="1" a="1"/>
  <c r="AC772" i="1" s="1"/>
  <c r="AB773" i="1"/>
  <c r="AC773" i="1" s="1" a="1"/>
  <c r="AC773" i="1" s="1"/>
  <c r="AB774" i="1"/>
  <c r="AC774" i="1" s="1" a="1"/>
  <c r="AC774" i="1" s="1"/>
  <c r="AB775" i="1"/>
  <c r="AC775" i="1" s="1" a="1"/>
  <c r="AC775" i="1" s="1"/>
  <c r="AB776" i="1"/>
  <c r="AC776" i="1" s="1" a="1"/>
  <c r="AC776" i="1" s="1"/>
  <c r="AB777" i="1"/>
  <c r="AC777" i="1" s="1" a="1"/>
  <c r="AC777" i="1" s="1"/>
  <c r="AB778" i="1"/>
  <c r="AC778" i="1" s="1" a="1"/>
  <c r="AC778" i="1" s="1"/>
  <c r="AB779" i="1"/>
  <c r="AC779" i="1" s="1" a="1"/>
  <c r="AC779" i="1" s="1"/>
  <c r="AB780" i="1"/>
  <c r="AC780" i="1" s="1" a="1"/>
  <c r="AC780" i="1" s="1"/>
  <c r="AB781" i="1"/>
  <c r="AC781" i="1" s="1" a="1"/>
  <c r="AC781" i="1" s="1"/>
  <c r="AB782" i="1"/>
  <c r="AC782" i="1" s="1" a="1"/>
  <c r="AC782" i="1" s="1"/>
  <c r="AB783" i="1"/>
  <c r="AC783" i="1" s="1" a="1"/>
  <c r="AC783" i="1" s="1"/>
  <c r="AB784" i="1"/>
  <c r="AC784" i="1" s="1" a="1"/>
  <c r="AC784" i="1" s="1"/>
  <c r="AB785" i="1"/>
  <c r="AC785" i="1" s="1" a="1"/>
  <c r="AC785" i="1" s="1"/>
  <c r="AB786" i="1"/>
  <c r="AC786" i="1" s="1" a="1"/>
  <c r="AC786" i="1" s="1"/>
  <c r="AB787" i="1"/>
  <c r="AC787" i="1" s="1" a="1"/>
  <c r="AC787" i="1" s="1"/>
  <c r="AB788" i="1"/>
  <c r="AC788" i="1" s="1" a="1"/>
  <c r="AC788" i="1" s="1"/>
  <c r="AB789" i="1"/>
  <c r="AC789" i="1" s="1" a="1"/>
  <c r="AC789" i="1" s="1"/>
  <c r="AB790" i="1"/>
  <c r="AC790" i="1" s="1" a="1"/>
  <c r="AC790" i="1" s="1"/>
  <c r="AB791" i="1"/>
  <c r="AC791" i="1" s="1" a="1"/>
  <c r="AC791" i="1" s="1"/>
  <c r="AB792" i="1"/>
  <c r="AC792" i="1" s="1" a="1"/>
  <c r="AC792" i="1" s="1"/>
  <c r="AB793" i="1"/>
  <c r="AC793" i="1" s="1" a="1"/>
  <c r="AC793" i="1" s="1"/>
  <c r="AB794" i="1"/>
  <c r="AC794" i="1" s="1" a="1"/>
  <c r="AC794" i="1" s="1"/>
  <c r="AB795" i="1"/>
  <c r="AC795" i="1" s="1" a="1"/>
  <c r="AC795" i="1" s="1"/>
  <c r="AB796" i="1"/>
  <c r="AC796" i="1" s="1" a="1"/>
  <c r="AC796" i="1" s="1"/>
  <c r="AB797" i="1"/>
  <c r="AC797" i="1" s="1" a="1"/>
  <c r="AC797" i="1" s="1"/>
  <c r="AB798" i="1"/>
  <c r="AC798" i="1" s="1" a="1"/>
  <c r="AC798" i="1" s="1"/>
  <c r="AB799" i="1"/>
  <c r="AC799" i="1" s="1" a="1"/>
  <c r="AC799" i="1" s="1"/>
  <c r="AB800" i="1"/>
  <c r="AC800" i="1" s="1" a="1"/>
  <c r="AC800" i="1" s="1"/>
  <c r="AB801" i="1"/>
  <c r="AC801" i="1" s="1" a="1"/>
  <c r="AC801" i="1" s="1"/>
  <c r="AB802" i="1"/>
  <c r="AC802" i="1" s="1" a="1"/>
  <c r="AC802" i="1" s="1"/>
  <c r="AB803" i="1"/>
  <c r="AC803" i="1" s="1" a="1"/>
  <c r="AC803" i="1" s="1"/>
  <c r="AB804" i="1"/>
  <c r="AC804" i="1" s="1" a="1"/>
  <c r="AC804" i="1" s="1"/>
  <c r="AB805" i="1"/>
  <c r="AC805" i="1" s="1" a="1"/>
  <c r="AC805" i="1" s="1"/>
  <c r="AB806" i="1"/>
  <c r="AC806" i="1" s="1" a="1"/>
  <c r="AC806" i="1" s="1"/>
  <c r="AB807" i="1"/>
  <c r="AC807" i="1" s="1" a="1"/>
  <c r="AC807" i="1" s="1"/>
  <c r="AB808" i="1"/>
  <c r="AC808" i="1" s="1" a="1"/>
  <c r="AC808" i="1" s="1"/>
  <c r="AB809" i="1"/>
  <c r="AC809" i="1" s="1" a="1"/>
  <c r="AC809" i="1" s="1"/>
  <c r="AB810" i="1"/>
  <c r="AC810" i="1" s="1" a="1"/>
  <c r="AC810" i="1" s="1"/>
  <c r="AB811" i="1"/>
  <c r="AC811" i="1" s="1" a="1"/>
  <c r="AC811" i="1" s="1"/>
  <c r="AB812" i="1"/>
  <c r="AC812" i="1" s="1" a="1"/>
  <c r="AC812" i="1" s="1"/>
  <c r="AB813" i="1"/>
  <c r="AC813" i="1" s="1" a="1"/>
  <c r="AC813" i="1" s="1"/>
  <c r="AB814" i="1"/>
  <c r="AC814" i="1" s="1" a="1"/>
  <c r="AC814" i="1" s="1"/>
  <c r="AB815" i="1"/>
  <c r="AC815" i="1" s="1" a="1"/>
  <c r="AC815" i="1" s="1"/>
  <c r="AB816" i="1"/>
  <c r="AC816" i="1" s="1" a="1"/>
  <c r="AC816" i="1" s="1"/>
  <c r="AB817" i="1"/>
  <c r="AC817" i="1" s="1" a="1"/>
  <c r="AC817" i="1" s="1"/>
  <c r="AB818" i="1"/>
  <c r="AC818" i="1" s="1" a="1"/>
  <c r="AC818" i="1" s="1"/>
  <c r="AB819" i="1"/>
  <c r="AC819" i="1" s="1" a="1"/>
  <c r="AC819" i="1" s="1"/>
  <c r="AB820" i="1"/>
  <c r="AC820" i="1" s="1" a="1"/>
  <c r="AC820" i="1" s="1"/>
  <c r="AB821" i="1"/>
  <c r="AC821" i="1" s="1" a="1"/>
  <c r="AC821" i="1" s="1"/>
  <c r="AB822" i="1"/>
  <c r="AC822" i="1" s="1" a="1"/>
  <c r="AC822" i="1" s="1"/>
  <c r="AB823" i="1"/>
  <c r="AC823" i="1" s="1" a="1"/>
  <c r="AC823" i="1" s="1"/>
  <c r="AB824" i="1"/>
  <c r="AC824" i="1" s="1" a="1"/>
  <c r="AC824" i="1" s="1"/>
  <c r="AB825" i="1"/>
  <c r="AC825" i="1" s="1" a="1"/>
  <c r="AC825" i="1" s="1"/>
  <c r="AB826" i="1"/>
  <c r="AC826" i="1" s="1" a="1"/>
  <c r="AC826" i="1" s="1"/>
  <c r="AB827" i="1"/>
  <c r="AC827" i="1" s="1" a="1"/>
  <c r="AC827" i="1" s="1"/>
  <c r="AB828" i="1"/>
  <c r="AC828" i="1" s="1" a="1"/>
  <c r="AC828" i="1" s="1"/>
  <c r="AB829" i="1"/>
  <c r="AC829" i="1" s="1" a="1"/>
  <c r="AC829" i="1" s="1"/>
  <c r="AB830" i="1"/>
  <c r="AC830" i="1" s="1" a="1"/>
  <c r="AC830" i="1" s="1"/>
  <c r="AB831" i="1"/>
  <c r="AC831" i="1" s="1" a="1"/>
  <c r="AC831" i="1" s="1"/>
  <c r="AB832" i="1"/>
  <c r="AC832" i="1" s="1" a="1"/>
  <c r="AC832" i="1" s="1"/>
  <c r="AB833" i="1"/>
  <c r="AC833" i="1" s="1" a="1"/>
  <c r="AC833" i="1" s="1"/>
  <c r="AB834" i="1"/>
  <c r="AC834" i="1" s="1" a="1"/>
  <c r="AC834" i="1" s="1"/>
  <c r="AB835" i="1"/>
  <c r="AC835" i="1" s="1" a="1"/>
  <c r="AC835" i="1" s="1"/>
  <c r="AB836" i="1"/>
  <c r="AC836" i="1" s="1" a="1"/>
  <c r="AC836" i="1" s="1"/>
  <c r="AB837" i="1"/>
  <c r="AC837" i="1" s="1" a="1"/>
  <c r="AC837" i="1" s="1"/>
  <c r="AB838" i="1"/>
  <c r="AC838" i="1" s="1" a="1"/>
  <c r="AC838" i="1" s="1"/>
  <c r="AB839" i="1"/>
  <c r="AC839" i="1" s="1" a="1"/>
  <c r="AC839" i="1" s="1"/>
  <c r="AB840" i="1"/>
  <c r="AC840" i="1" s="1" a="1"/>
  <c r="AB841" i="1"/>
  <c r="AC841" i="1" s="1" a="1"/>
  <c r="AC841" i="1" s="1"/>
  <c r="AB842" i="1"/>
  <c r="AC842" i="1" s="1" a="1"/>
  <c r="AC842" i="1" s="1"/>
  <c r="AB843" i="1"/>
  <c r="AC843" i="1" s="1" a="1"/>
  <c r="AC843" i="1" s="1"/>
  <c r="AB844" i="1"/>
  <c r="AC844" i="1" s="1" a="1"/>
  <c r="AC844" i="1" s="1"/>
  <c r="AB845" i="1"/>
  <c r="AC845" i="1" s="1" a="1"/>
  <c r="AC845" i="1" s="1"/>
  <c r="AB846" i="1"/>
  <c r="AC846" i="1" s="1" a="1"/>
  <c r="AC846" i="1" s="1"/>
  <c r="AB847" i="1"/>
  <c r="AB848" i="1"/>
  <c r="AC848" i="1" s="1" a="1"/>
  <c r="AC848" i="1" s="1"/>
  <c r="AB849" i="1"/>
  <c r="AC849" i="1" s="1" a="1"/>
  <c r="AC849" i="1" s="1"/>
  <c r="AB850" i="1"/>
  <c r="AC850" i="1" s="1" a="1"/>
  <c r="AC850" i="1" s="1"/>
  <c r="AB851" i="1"/>
  <c r="AC851" i="1" s="1" a="1"/>
  <c r="AC851" i="1" s="1"/>
  <c r="AB852" i="1"/>
  <c r="AC852" i="1" s="1" a="1"/>
  <c r="AC852" i="1" s="1"/>
  <c r="AB853" i="1"/>
  <c r="AB854" i="1"/>
  <c r="AC854" i="1" s="1" a="1"/>
  <c r="AC854" i="1" s="1"/>
  <c r="AB855" i="1"/>
  <c r="AC855" i="1" s="1" a="1"/>
  <c r="AC855" i="1" s="1"/>
  <c r="AB856" i="1"/>
  <c r="AB857" i="1"/>
  <c r="AC857" i="1" s="1" a="1"/>
  <c r="AC857" i="1" s="1"/>
  <c r="AB858" i="1"/>
  <c r="AC858" i="1" s="1" a="1"/>
  <c r="AC858" i="1" s="1"/>
  <c r="AB859" i="1"/>
  <c r="AC859" i="1" s="1" a="1"/>
  <c r="AC859" i="1" s="1"/>
  <c r="AB860" i="1"/>
  <c r="AC860" i="1" s="1" a="1"/>
  <c r="AC860" i="1" s="1"/>
  <c r="AB861" i="1"/>
  <c r="AC861" i="1" s="1" a="1"/>
  <c r="AC861" i="1" s="1"/>
  <c r="AB862" i="1"/>
  <c r="AC862" i="1" s="1" a="1"/>
  <c r="AC862" i="1" s="1"/>
  <c r="AB863" i="1"/>
  <c r="AC863" i="1" s="1" a="1"/>
  <c r="AC863" i="1" s="1"/>
  <c r="AB864" i="1"/>
  <c r="AC864" i="1" s="1" a="1"/>
  <c r="AC864" i="1" s="1"/>
  <c r="AB865" i="1"/>
  <c r="AC865" i="1" s="1" a="1"/>
  <c r="AC865" i="1" s="1"/>
  <c r="AB866" i="1"/>
  <c r="AC866" i="1" s="1" a="1"/>
  <c r="AC866" i="1" s="1"/>
  <c r="AB867" i="1"/>
  <c r="AC867" i="1" s="1" a="1"/>
  <c r="AC867" i="1" s="1"/>
  <c r="AB868" i="1"/>
  <c r="AC868" i="1" s="1" a="1"/>
  <c r="AC868" i="1" s="1"/>
  <c r="AB869" i="1"/>
  <c r="AC869" i="1" s="1" a="1"/>
  <c r="AC869" i="1" s="1"/>
  <c r="AB870" i="1"/>
  <c r="AC870" i="1" s="1" a="1"/>
  <c r="AC870" i="1" s="1"/>
  <c r="AB871" i="1"/>
  <c r="AC871" i="1" s="1" a="1"/>
  <c r="AC871" i="1" s="1"/>
  <c r="AB872" i="1"/>
  <c r="AC872" i="1" s="1" a="1"/>
  <c r="AC872" i="1" s="1"/>
  <c r="AB873" i="1"/>
  <c r="AC873" i="1" s="1" a="1"/>
  <c r="AC873" i="1" s="1"/>
  <c r="AB874" i="1"/>
  <c r="AC874" i="1" s="1" a="1"/>
  <c r="AC874" i="1" s="1"/>
  <c r="AB875" i="1"/>
  <c r="AC875" i="1" s="1" a="1"/>
  <c r="AC875" i="1" s="1"/>
  <c r="AB876" i="1"/>
  <c r="AC876" i="1" s="1" a="1"/>
  <c r="AC876" i="1" s="1"/>
  <c r="AB877" i="1"/>
  <c r="AC877" i="1" s="1" a="1"/>
  <c r="AC877" i="1" s="1"/>
  <c r="AB878" i="1"/>
  <c r="AC878" i="1" s="1" a="1"/>
  <c r="AC878" i="1" s="1"/>
  <c r="AB879" i="1"/>
  <c r="AC879" i="1" s="1" a="1"/>
  <c r="AC879" i="1" s="1"/>
  <c r="AB880" i="1"/>
  <c r="AC880" i="1" s="1" a="1"/>
  <c r="AC880" i="1" s="1"/>
  <c r="AB881" i="1"/>
  <c r="AC881" i="1" s="1" a="1"/>
  <c r="AC881" i="1" s="1"/>
  <c r="AB882" i="1"/>
  <c r="AC882" i="1" s="1" a="1"/>
  <c r="AC882" i="1" s="1"/>
  <c r="AB883" i="1"/>
  <c r="AC883" i="1" s="1" a="1"/>
  <c r="AC883" i="1" s="1"/>
  <c r="AB884" i="1"/>
  <c r="AC884" i="1" s="1" a="1"/>
  <c r="AC884" i="1" s="1"/>
  <c r="AB885" i="1"/>
  <c r="AB886" i="1"/>
  <c r="AC886" i="1" s="1" a="1"/>
  <c r="AC886" i="1" s="1"/>
  <c r="AB887" i="1"/>
  <c r="AC887" i="1" s="1" a="1"/>
  <c r="AC887" i="1" s="1"/>
  <c r="AB888" i="1"/>
  <c r="AB889" i="1"/>
  <c r="AC889" i="1" s="1" a="1"/>
  <c r="AC889" i="1" s="1"/>
  <c r="AB890" i="1"/>
  <c r="AC890" i="1" s="1" a="1"/>
  <c r="AC890" i="1" s="1"/>
  <c r="AB891" i="1"/>
  <c r="AC891" i="1" s="1" a="1"/>
  <c r="AC891" i="1" s="1"/>
  <c r="AB892" i="1"/>
  <c r="AC892" i="1" s="1" a="1"/>
  <c r="AC892" i="1" s="1"/>
  <c r="AB893" i="1"/>
  <c r="AC893" i="1" s="1" a="1"/>
  <c r="AC893" i="1" s="1"/>
  <c r="AB894" i="1"/>
  <c r="AC894" i="1" s="1" a="1"/>
  <c r="AC894" i="1" s="1"/>
  <c r="AB895" i="1"/>
  <c r="AC895" i="1" s="1" a="1"/>
  <c r="AC895" i="1" s="1"/>
  <c r="AB896" i="1"/>
  <c r="AC896" i="1" s="1" a="1"/>
  <c r="AC896" i="1" s="1"/>
  <c r="AB897" i="1"/>
  <c r="AC897" i="1" s="1" a="1"/>
  <c r="AC897" i="1" s="1"/>
  <c r="AB898" i="1"/>
  <c r="AC898" i="1" s="1" a="1"/>
  <c r="AC898" i="1" s="1"/>
  <c r="AB899" i="1"/>
  <c r="AC899" i="1" s="1" a="1"/>
  <c r="AC899" i="1" s="1"/>
  <c r="AB900" i="1"/>
  <c r="AC900" i="1" s="1" a="1"/>
  <c r="AC900" i="1" s="1"/>
  <c r="AB901" i="1"/>
  <c r="AC901" i="1" s="1" a="1"/>
  <c r="AC901" i="1" s="1"/>
  <c r="AB902" i="1"/>
  <c r="AC902" i="1" s="1" a="1"/>
  <c r="AC902" i="1" s="1"/>
  <c r="AB903" i="1"/>
  <c r="AC903" i="1" s="1" a="1"/>
  <c r="AC903" i="1" s="1"/>
  <c r="AB904" i="1"/>
  <c r="AC904" i="1" s="1" a="1"/>
  <c r="AC904" i="1" s="1"/>
  <c r="AB905" i="1"/>
  <c r="AC905" i="1" s="1" a="1"/>
  <c r="AC905" i="1" s="1"/>
  <c r="AB906" i="1"/>
  <c r="AC906" i="1" s="1" a="1"/>
  <c r="AC906" i="1" s="1"/>
  <c r="AB907" i="1"/>
  <c r="AC907" i="1" s="1" a="1"/>
  <c r="AC907" i="1" s="1"/>
  <c r="AB908" i="1"/>
  <c r="AC908" i="1" s="1" a="1"/>
  <c r="AC908" i="1" s="1"/>
  <c r="AB909" i="1"/>
  <c r="AC909" i="1" s="1" a="1"/>
  <c r="AC909" i="1" s="1"/>
  <c r="AB910" i="1"/>
  <c r="AC910" i="1" s="1" a="1"/>
  <c r="AC910" i="1" s="1"/>
  <c r="AB911" i="1"/>
  <c r="AC911" i="1" s="1" a="1"/>
  <c r="AC911" i="1" s="1"/>
  <c r="AB912" i="1"/>
  <c r="AC912" i="1" s="1" a="1"/>
  <c r="AC912" i="1" s="1"/>
  <c r="AB913" i="1"/>
  <c r="AC913" i="1" s="1" a="1"/>
  <c r="AC913" i="1" s="1"/>
  <c r="AB914" i="1"/>
  <c r="AC914" i="1" s="1" a="1"/>
  <c r="AC914" i="1" s="1"/>
  <c r="AB915" i="1"/>
  <c r="AC915" i="1" s="1" a="1"/>
  <c r="AC915" i="1" s="1"/>
  <c r="AB916" i="1"/>
  <c r="AC916" i="1" s="1" a="1"/>
  <c r="AC916" i="1" s="1"/>
  <c r="AB917" i="1"/>
  <c r="AC917" i="1" s="1" a="1"/>
  <c r="AC917" i="1" s="1"/>
  <c r="AB918" i="1"/>
  <c r="AC918" i="1" s="1" a="1"/>
  <c r="AC918" i="1" s="1"/>
  <c r="AB919" i="1"/>
  <c r="AC919" i="1" s="1" a="1"/>
  <c r="AC919" i="1" s="1"/>
  <c r="AB920" i="1"/>
  <c r="AB921" i="1"/>
  <c r="AC921" i="1" s="1" a="1"/>
  <c r="AC921" i="1" s="1"/>
  <c r="AB922" i="1"/>
  <c r="AC922" i="1" s="1" a="1"/>
  <c r="AC922" i="1" s="1"/>
  <c r="AB923" i="1"/>
  <c r="AC923" i="1" s="1" a="1"/>
  <c r="AC923" i="1" s="1"/>
  <c r="AB924" i="1"/>
  <c r="AC924" i="1" s="1" a="1"/>
  <c r="AC924" i="1" s="1"/>
  <c r="AB925" i="1"/>
  <c r="AC925" i="1" s="1" a="1"/>
  <c r="AC925" i="1" s="1"/>
  <c r="AB926" i="1"/>
  <c r="AC926" i="1" s="1" a="1"/>
  <c r="AC926" i="1" s="1"/>
  <c r="AB927" i="1"/>
  <c r="AC927" i="1" s="1" a="1"/>
  <c r="AC927" i="1" s="1"/>
  <c r="AB928" i="1"/>
  <c r="AC928" i="1" s="1" a="1"/>
  <c r="AC928" i="1" s="1"/>
  <c r="AB929" i="1"/>
  <c r="AC929" i="1" s="1" a="1"/>
  <c r="AC929" i="1" s="1"/>
  <c r="AB930" i="1"/>
  <c r="AC930" i="1" s="1" a="1"/>
  <c r="AC930" i="1" s="1"/>
  <c r="AB931" i="1"/>
  <c r="AC931" i="1" s="1" a="1"/>
  <c r="AC931" i="1" s="1"/>
  <c r="AB932" i="1"/>
  <c r="AC932" i="1" s="1" a="1"/>
  <c r="AC932" i="1" s="1"/>
  <c r="AB933" i="1"/>
  <c r="AB934" i="1"/>
  <c r="AC934" i="1" s="1" a="1"/>
  <c r="AC934" i="1" s="1"/>
  <c r="AB935" i="1"/>
  <c r="AC935" i="1" s="1" a="1"/>
  <c r="AC935" i="1" s="1"/>
  <c r="AB936" i="1"/>
  <c r="AB937" i="1"/>
  <c r="AC937" i="1" s="1" a="1"/>
  <c r="AC937" i="1" s="1"/>
  <c r="AB938" i="1"/>
  <c r="AC938" i="1" s="1" a="1"/>
  <c r="AC938" i="1" s="1"/>
  <c r="AB939" i="1"/>
  <c r="AC939" i="1" s="1" a="1"/>
  <c r="AC939" i="1" s="1"/>
  <c r="AB940" i="1"/>
  <c r="AC940" i="1" s="1" a="1"/>
  <c r="AC940" i="1" s="1"/>
  <c r="AB941" i="1"/>
  <c r="AC941" i="1" s="1" a="1"/>
  <c r="AC941" i="1" s="1"/>
  <c r="AB942" i="1"/>
  <c r="AC942" i="1" s="1" a="1"/>
  <c r="AC942" i="1" s="1"/>
  <c r="AB943" i="1"/>
  <c r="AC943" i="1" s="1" a="1"/>
  <c r="AC943" i="1" s="1"/>
  <c r="AB944" i="1"/>
  <c r="AC944" i="1" s="1" a="1"/>
  <c r="AC944" i="1" s="1"/>
  <c r="AB945" i="1"/>
  <c r="AC945" i="1" s="1" a="1"/>
  <c r="AC945" i="1" s="1"/>
  <c r="AB946" i="1"/>
  <c r="AC946" i="1" s="1" a="1"/>
  <c r="AC946" i="1" s="1"/>
  <c r="AB947" i="1"/>
  <c r="AB948" i="1"/>
  <c r="AC948" i="1" s="1" a="1"/>
  <c r="AB949" i="1"/>
  <c r="AB950" i="1"/>
  <c r="AC950" i="1" s="1" a="1"/>
  <c r="AC950" i="1" s="1"/>
  <c r="AB951" i="1"/>
  <c r="AC951" i="1" s="1" a="1"/>
  <c r="AC951" i="1" s="1"/>
  <c r="AB952" i="1"/>
  <c r="AC952" i="1" s="1" a="1"/>
  <c r="AC952" i="1" s="1"/>
  <c r="AB953" i="1"/>
  <c r="AC953" i="1" s="1" a="1"/>
  <c r="AC953" i="1" s="1"/>
  <c r="AB954" i="1"/>
  <c r="AC954" i="1" s="1" a="1"/>
  <c r="AC954" i="1" s="1"/>
  <c r="AB955" i="1"/>
  <c r="AC955" i="1" s="1" a="1"/>
  <c r="AC955" i="1" s="1"/>
  <c r="AB956" i="1"/>
  <c r="AC956" i="1" s="1" a="1"/>
  <c r="AC956" i="1" s="1"/>
  <c r="AB957" i="1"/>
  <c r="AC957" i="1" s="1" a="1"/>
  <c r="AC957" i="1" s="1"/>
  <c r="AB958" i="1"/>
  <c r="AC958" i="1" s="1" a="1"/>
  <c r="AC958" i="1" s="1"/>
  <c r="AB959" i="1"/>
  <c r="AC959" i="1" s="1" a="1"/>
  <c r="AC959" i="1" s="1"/>
  <c r="AB960" i="1"/>
  <c r="AC960" i="1" s="1" a="1"/>
  <c r="AC960" i="1" s="1"/>
  <c r="AB961" i="1"/>
  <c r="AC961" i="1" s="1" a="1"/>
  <c r="AC961" i="1" s="1"/>
  <c r="AB962" i="1"/>
  <c r="AC962" i="1" s="1" a="1"/>
  <c r="AC962" i="1" s="1"/>
  <c r="AB963" i="1"/>
  <c r="AC963" i="1" s="1" a="1"/>
  <c r="AC963" i="1" s="1"/>
  <c r="AB964" i="1"/>
  <c r="AC964" i="1" s="1" a="1"/>
  <c r="AC964" i="1" s="1"/>
  <c r="AB965" i="1"/>
  <c r="AB966" i="1"/>
  <c r="AB967" i="1"/>
  <c r="AC967" i="1" s="1" a="1"/>
  <c r="AC967" i="1" s="1"/>
  <c r="AB968" i="1"/>
  <c r="AC968" i="1" s="1" a="1"/>
  <c r="AC968" i="1" s="1"/>
  <c r="AB969" i="1"/>
  <c r="AC969" i="1" s="1" a="1"/>
  <c r="AC969" i="1" s="1"/>
  <c r="AB970" i="1"/>
  <c r="AC970" i="1" s="1" a="1"/>
  <c r="AC970" i="1" s="1"/>
  <c r="AB971" i="1"/>
  <c r="AC971" i="1" s="1" a="1"/>
  <c r="AC971" i="1" s="1"/>
  <c r="AB972" i="1"/>
  <c r="AC972" i="1" s="1" a="1"/>
  <c r="AC972" i="1" s="1"/>
  <c r="AB973" i="1"/>
  <c r="AC973" i="1" s="1" a="1"/>
  <c r="AC973" i="1" s="1"/>
  <c r="AB974" i="1"/>
  <c r="AC974" i="1" s="1" a="1"/>
  <c r="AC974" i="1" s="1"/>
  <c r="AB975" i="1"/>
  <c r="AC975" i="1" s="1" a="1"/>
  <c r="AC975" i="1" s="1"/>
  <c r="AB976" i="1"/>
  <c r="AC976" i="1" s="1" a="1"/>
  <c r="AC976" i="1" s="1"/>
  <c r="AB977" i="1"/>
  <c r="AC977" i="1" s="1" a="1"/>
  <c r="AC977" i="1" s="1"/>
  <c r="AB978" i="1"/>
  <c r="AC978" i="1" s="1" a="1"/>
  <c r="AC978" i="1" s="1"/>
  <c r="AB979" i="1"/>
  <c r="AC979" i="1" s="1" a="1"/>
  <c r="AC979" i="1" s="1"/>
  <c r="AB980" i="1"/>
  <c r="AC980" i="1" s="1" a="1"/>
  <c r="AC980" i="1" s="1"/>
  <c r="AB981" i="1"/>
  <c r="AC981" i="1" s="1" a="1"/>
  <c r="AC981" i="1" s="1"/>
  <c r="AB982" i="1"/>
  <c r="AC982" i="1" s="1" a="1"/>
  <c r="AB983" i="1"/>
  <c r="AC983" i="1" s="1" a="1"/>
  <c r="AC983" i="1" s="1"/>
  <c r="AB984" i="1"/>
  <c r="AC984" i="1" s="1" a="1"/>
  <c r="AC984" i="1" s="1"/>
  <c r="AB985" i="1"/>
  <c r="AC985" i="1" s="1" a="1"/>
  <c r="AC985" i="1" s="1"/>
  <c r="AB986" i="1"/>
  <c r="AC986" i="1" s="1" a="1"/>
  <c r="AC986" i="1" s="1"/>
  <c r="AB987" i="1"/>
  <c r="AC987" i="1" s="1" a="1"/>
  <c r="AC987" i="1" s="1"/>
  <c r="AB988" i="1"/>
  <c r="AC988" i="1" s="1" a="1"/>
  <c r="AC988" i="1" s="1"/>
  <c r="AB989" i="1"/>
  <c r="AC989" i="1" s="1" a="1"/>
  <c r="AC989" i="1" s="1"/>
  <c r="AB990" i="1"/>
  <c r="AC990" i="1" s="1" a="1"/>
  <c r="AC990" i="1" s="1"/>
  <c r="AB991" i="1"/>
  <c r="AC991" i="1" s="1" a="1"/>
  <c r="AC991" i="1" s="1"/>
  <c r="AB992" i="1"/>
  <c r="AC992" i="1" s="1" a="1"/>
  <c r="AC992" i="1" s="1"/>
  <c r="AB993" i="1"/>
  <c r="AC993" i="1" s="1" a="1"/>
  <c r="AC993" i="1" s="1"/>
  <c r="AB994" i="1"/>
  <c r="AC994" i="1" s="1" a="1"/>
  <c r="AC994" i="1" s="1"/>
  <c r="AB995" i="1"/>
  <c r="AC995" i="1" s="1" a="1"/>
  <c r="AC995" i="1" s="1"/>
  <c r="AB996" i="1"/>
  <c r="AC996" i="1" s="1" a="1"/>
  <c r="AC996" i="1" s="1"/>
  <c r="AB997" i="1"/>
  <c r="AC997" i="1" s="1" a="1"/>
  <c r="AC997" i="1" s="1"/>
  <c r="AB998" i="1"/>
  <c r="AC998" i="1" s="1" a="1"/>
  <c r="AC998" i="1" s="1"/>
  <c r="AB999" i="1"/>
  <c r="AC999" i="1" s="1" a="1"/>
  <c r="AC999" i="1" s="1"/>
  <c r="AB1000" i="1"/>
  <c r="AC1000" i="1" s="1" a="1"/>
  <c r="AC1000" i="1" s="1"/>
  <c r="AB1001" i="1"/>
  <c r="AC1001" i="1" s="1" a="1"/>
  <c r="AC1001" i="1" s="1"/>
  <c r="AB1002" i="1"/>
  <c r="AC1002" i="1" s="1" a="1"/>
  <c r="AC1002" i="1" s="1"/>
  <c r="AB1003" i="1"/>
  <c r="AC1003" i="1" s="1" a="1"/>
  <c r="AC1003" i="1" s="1"/>
  <c r="AB1004" i="1"/>
  <c r="AC1004" i="1" s="1" a="1"/>
  <c r="AC1004" i="1" s="1"/>
  <c r="AB1005" i="1"/>
  <c r="AC1005" i="1" s="1" a="1"/>
  <c r="AC1005" i="1" s="1"/>
  <c r="AB1006" i="1"/>
  <c r="AC1006" i="1" s="1" a="1"/>
  <c r="AC1006" i="1" s="1"/>
  <c r="AB1007" i="1"/>
  <c r="AC1007" i="1" s="1" a="1"/>
  <c r="AC1007" i="1" s="1"/>
  <c r="AB1008" i="1"/>
  <c r="AC1008" i="1" s="1" a="1"/>
  <c r="AC1008" i="1" s="1"/>
  <c r="AB1009" i="1"/>
  <c r="AC1009" i="1" s="1" a="1"/>
  <c r="AC1009" i="1" s="1"/>
  <c r="AB1010" i="1"/>
  <c r="AC1010" i="1" s="1" a="1"/>
  <c r="AC1010" i="1" s="1"/>
  <c r="AB1011" i="1"/>
  <c r="AC1011" i="1" s="1" a="1"/>
  <c r="AC1011" i="1" s="1"/>
  <c r="AB1012" i="1"/>
  <c r="AC1012" i="1" s="1" a="1"/>
  <c r="AC1012" i="1" s="1"/>
  <c r="AB1013" i="1"/>
  <c r="AC1013" i="1" s="1" a="1"/>
  <c r="AC1013" i="1" s="1"/>
  <c r="AB1014" i="1"/>
  <c r="AC1014" i="1" s="1" a="1"/>
  <c r="AC1014" i="1" s="1"/>
  <c r="AB1015" i="1"/>
  <c r="AC1015" i="1" s="1" a="1"/>
  <c r="AC1015" i="1" s="1"/>
  <c r="AB1016" i="1"/>
  <c r="AC1016" i="1" s="1" a="1"/>
  <c r="AC1016" i="1" s="1"/>
  <c r="AB1017" i="1"/>
  <c r="AC1017" i="1" s="1" a="1"/>
  <c r="AC1017" i="1" s="1"/>
  <c r="AB1018" i="1"/>
  <c r="AC1018" i="1" s="1" a="1"/>
  <c r="AC1018" i="1" s="1"/>
  <c r="AB1019" i="1"/>
  <c r="AC1019" i="1" s="1" a="1"/>
  <c r="AC1019" i="1" s="1"/>
  <c r="AB1020" i="1"/>
  <c r="AC1020" i="1" s="1" a="1"/>
  <c r="AC1020" i="1" s="1"/>
  <c r="AB1021" i="1"/>
  <c r="AC1021" i="1" s="1" a="1"/>
  <c r="AC1021" i="1" s="1"/>
  <c r="AB1022" i="1"/>
  <c r="AC1022" i="1" s="1" a="1"/>
  <c r="AC1022" i="1" s="1"/>
  <c r="AB1023" i="1"/>
  <c r="AC1023" i="1" s="1" a="1"/>
  <c r="AC1023" i="1" s="1"/>
  <c r="AB1024" i="1"/>
  <c r="AC1024" i="1" s="1" a="1"/>
  <c r="AC1024" i="1" s="1"/>
  <c r="AB1025" i="1"/>
  <c r="AC1025" i="1" s="1" a="1"/>
  <c r="AC1025" i="1" s="1"/>
  <c r="AB1026" i="1"/>
  <c r="AC1026" i="1" s="1" a="1"/>
  <c r="AC1026" i="1" s="1"/>
  <c r="AB1027" i="1"/>
  <c r="AC1027" i="1" s="1" a="1"/>
  <c r="AC1027" i="1" s="1"/>
  <c r="AB1028" i="1"/>
  <c r="AC1028" i="1" s="1" a="1"/>
  <c r="AC1028" i="1" s="1"/>
  <c r="AB1029" i="1"/>
  <c r="AB1030" i="1"/>
  <c r="AC1030" i="1" s="1" a="1"/>
  <c r="AC1030" i="1" s="1"/>
  <c r="AB1031" i="1"/>
  <c r="AC1031" i="1" s="1" a="1"/>
  <c r="AC1031" i="1" s="1"/>
  <c r="AB1032" i="1"/>
  <c r="AC1032" i="1" s="1" a="1"/>
  <c r="AC1032" i="1" s="1"/>
  <c r="AB1033" i="1"/>
  <c r="AC1033" i="1" s="1" a="1"/>
  <c r="AC1033" i="1" s="1"/>
  <c r="AB1034" i="1"/>
  <c r="AC1034" i="1" s="1" a="1"/>
  <c r="AC1034" i="1" s="1"/>
  <c r="AB1035" i="1"/>
  <c r="AC1035" i="1" s="1" a="1"/>
  <c r="AC1035" i="1" s="1"/>
  <c r="AB1036" i="1"/>
  <c r="AC1036" i="1" s="1" a="1"/>
  <c r="AC1036" i="1" s="1"/>
  <c r="AB1037" i="1"/>
  <c r="AC1037" i="1" s="1" a="1"/>
  <c r="AC1037" i="1" s="1"/>
  <c r="AB1038" i="1"/>
  <c r="AC1038" i="1" s="1" a="1"/>
  <c r="AC1038" i="1" s="1"/>
  <c r="AB1039" i="1"/>
  <c r="AC1039" i="1" s="1" a="1"/>
  <c r="AC1039" i="1" s="1"/>
  <c r="AB1040" i="1"/>
  <c r="AC1040" i="1" s="1" a="1"/>
  <c r="AC1040" i="1" s="1"/>
  <c r="AB1041" i="1"/>
  <c r="AC1041" i="1" s="1" a="1"/>
  <c r="AC1041" i="1" s="1"/>
  <c r="AB1042" i="1"/>
  <c r="AC1042" i="1" s="1" a="1"/>
  <c r="AC1042" i="1" s="1"/>
  <c r="AB1043" i="1"/>
  <c r="AC1043" i="1" s="1" a="1"/>
  <c r="AC1043" i="1" s="1"/>
  <c r="AB1044" i="1"/>
  <c r="AC1044" i="1" s="1" a="1"/>
  <c r="AC1044" i="1" s="1"/>
  <c r="AB1045" i="1"/>
  <c r="AB1046" i="1"/>
  <c r="AC1046" i="1" s="1" a="1"/>
  <c r="AC1046" i="1" s="1"/>
  <c r="AB1047" i="1"/>
  <c r="AC1047" i="1" s="1" a="1"/>
  <c r="AC1047" i="1" s="1"/>
  <c r="AB1048" i="1"/>
  <c r="AC1048" i="1" s="1" a="1"/>
  <c r="AC1048" i="1" s="1"/>
  <c r="AB1049" i="1"/>
  <c r="AC1049" i="1" s="1" a="1"/>
  <c r="AC1049" i="1" s="1"/>
  <c r="AB1050" i="1"/>
  <c r="AC1050" i="1" s="1" a="1"/>
  <c r="AC1050" i="1" s="1"/>
  <c r="AB1051" i="1"/>
  <c r="AC1051" i="1" s="1" a="1"/>
  <c r="AC1051" i="1" s="1"/>
  <c r="AB1052" i="1"/>
  <c r="AC1052" i="1" s="1" a="1"/>
  <c r="AC1052" i="1" s="1"/>
  <c r="AB1053" i="1"/>
  <c r="AC1053" i="1" s="1" a="1"/>
  <c r="AC1053" i="1" s="1"/>
  <c r="AB1054" i="1"/>
  <c r="AC1054" i="1" s="1" a="1"/>
  <c r="AC1054" i="1" s="1"/>
  <c r="AB1055" i="1"/>
  <c r="AC1055" i="1" s="1" a="1"/>
  <c r="AC1055" i="1" s="1"/>
  <c r="AB1056" i="1"/>
  <c r="AC1056" i="1" s="1" a="1"/>
  <c r="AC1056" i="1" s="1"/>
  <c r="AB1057" i="1"/>
  <c r="AB1058" i="1"/>
  <c r="AC1058" i="1" s="1" a="1"/>
  <c r="AC1058" i="1" s="1"/>
  <c r="AB1059" i="1"/>
  <c r="AB1060" i="1"/>
  <c r="AC1060" i="1" s="1" a="1"/>
  <c r="AC1060" i="1" s="1"/>
  <c r="AB1061" i="1"/>
  <c r="AB1062" i="1"/>
  <c r="AC1062" i="1" s="1" a="1"/>
  <c r="AC1062" i="1" s="1"/>
  <c r="AB1063" i="1"/>
  <c r="AC1063" i="1" s="1" a="1"/>
  <c r="AC1063" i="1" s="1"/>
  <c r="AB1064" i="1"/>
  <c r="AC1064" i="1" s="1" a="1"/>
  <c r="AC1064" i="1" s="1"/>
  <c r="AB1065" i="1"/>
  <c r="AC1065" i="1" s="1" a="1"/>
  <c r="AC1065" i="1" s="1"/>
  <c r="AB1066" i="1"/>
  <c r="AC1066" i="1" s="1" a="1"/>
  <c r="AC1066" i="1" s="1"/>
  <c r="AB1067" i="1"/>
  <c r="AC1067" i="1" s="1" a="1"/>
  <c r="AC1067" i="1" s="1"/>
  <c r="AB1068" i="1"/>
  <c r="AC1068" i="1" s="1" a="1"/>
  <c r="AC1068" i="1" s="1"/>
  <c r="AB1069" i="1"/>
  <c r="AC1069" i="1" s="1" a="1"/>
  <c r="AC1069" i="1" s="1"/>
  <c r="AB1070" i="1"/>
  <c r="AC1070" i="1" s="1" a="1"/>
  <c r="AC1070" i="1" s="1"/>
  <c r="AB1071" i="1"/>
  <c r="AC1071" i="1" s="1" a="1"/>
  <c r="AC1071" i="1" s="1"/>
  <c r="AB1072" i="1"/>
  <c r="AC1072" i="1" s="1" a="1"/>
  <c r="AC1072" i="1" s="1"/>
  <c r="AB1073" i="1"/>
  <c r="AC1073" i="1" s="1" a="1"/>
  <c r="AC1073" i="1" s="1"/>
  <c r="AB1074" i="1"/>
  <c r="AC1074" i="1" s="1" a="1"/>
  <c r="AC1074" i="1" s="1"/>
  <c r="AB1075" i="1"/>
  <c r="AC1075" i="1" s="1" a="1"/>
  <c r="AC1075" i="1" s="1"/>
  <c r="AB1076" i="1"/>
  <c r="AC1076" i="1" s="1" a="1"/>
  <c r="AC1076" i="1" s="1"/>
  <c r="AB1077" i="1"/>
  <c r="AC1077" i="1" s="1" a="1"/>
  <c r="AC1077" i="1" s="1"/>
  <c r="AB1078" i="1"/>
  <c r="AC1078" i="1" s="1" a="1"/>
  <c r="AC1078" i="1" s="1"/>
  <c r="AB1079" i="1"/>
  <c r="AC1079" i="1" s="1" a="1"/>
  <c r="AC1079" i="1" s="1"/>
  <c r="AB1080" i="1"/>
  <c r="AC1080" i="1" s="1" a="1"/>
  <c r="AC1080" i="1" s="1"/>
  <c r="AB1081" i="1"/>
  <c r="AC1081" i="1" s="1" a="1"/>
  <c r="AC1081" i="1" s="1"/>
  <c r="AB1082" i="1"/>
  <c r="AC1082" i="1" s="1" a="1"/>
  <c r="AC1082" i="1" s="1"/>
  <c r="AB1083" i="1"/>
  <c r="AC1083" i="1" s="1" a="1"/>
  <c r="AC1083" i="1" s="1"/>
  <c r="AB1084" i="1"/>
  <c r="AC1084" i="1" s="1" a="1"/>
  <c r="AC1084" i="1" s="1"/>
  <c r="AB1085" i="1"/>
  <c r="AC1085" i="1" s="1" a="1"/>
  <c r="AC1085" i="1" s="1"/>
  <c r="AB1086" i="1"/>
  <c r="AC1086" i="1" s="1" a="1"/>
  <c r="AC1086" i="1" s="1"/>
  <c r="AB1087" i="1"/>
  <c r="AC1087" i="1" s="1" a="1"/>
  <c r="AC1087" i="1" s="1"/>
  <c r="AB1088" i="1"/>
  <c r="AC1088" i="1" s="1" a="1"/>
  <c r="AC1088" i="1" s="1"/>
  <c r="AB1089" i="1"/>
  <c r="AC1089" i="1" s="1" a="1"/>
  <c r="AC1089" i="1" s="1"/>
  <c r="AB1090" i="1"/>
  <c r="AC1090" i="1" s="1" a="1"/>
  <c r="AC1090" i="1" s="1"/>
  <c r="AB1091" i="1"/>
  <c r="AC1091" i="1" s="1" a="1"/>
  <c r="AC1091" i="1" s="1"/>
  <c r="AB1092" i="1"/>
  <c r="AC1092" i="1" s="1" a="1"/>
  <c r="AC1092" i="1" s="1"/>
  <c r="AB1093" i="1"/>
  <c r="AB1094" i="1"/>
  <c r="AC1094" i="1" s="1" a="1"/>
  <c r="AC1094" i="1" s="1"/>
  <c r="AB1095" i="1"/>
  <c r="AC1095" i="1" s="1" a="1"/>
  <c r="AC1095" i="1" s="1"/>
  <c r="AB1096" i="1"/>
  <c r="AC1096" i="1" s="1" a="1"/>
  <c r="AC1096" i="1" s="1"/>
  <c r="AB1097" i="1"/>
  <c r="AB1098" i="1"/>
  <c r="AC1098" i="1" s="1" a="1"/>
  <c r="AC1098" i="1" s="1"/>
  <c r="AB1099" i="1"/>
  <c r="AC1099" i="1" s="1" a="1"/>
  <c r="AC1099" i="1" s="1"/>
  <c r="AB1100" i="1"/>
  <c r="AC1100" i="1" s="1" a="1"/>
  <c r="AC1100" i="1" s="1"/>
  <c r="AB1101" i="1"/>
  <c r="AC1101" i="1" s="1" a="1"/>
  <c r="AC1101" i="1" s="1"/>
  <c r="AB1102" i="1"/>
  <c r="AC1102" i="1" s="1" a="1"/>
  <c r="AC1102" i="1" s="1"/>
  <c r="AB1103" i="1"/>
  <c r="AC1103" i="1" s="1" a="1"/>
  <c r="AC1103" i="1" s="1"/>
  <c r="AB1104" i="1"/>
  <c r="AC1104" i="1" s="1" a="1"/>
  <c r="AC1104" i="1" s="1"/>
  <c r="AB1105" i="1"/>
  <c r="AC1105" i="1" s="1" a="1"/>
  <c r="AC1105" i="1" s="1"/>
  <c r="AB1106" i="1"/>
  <c r="AC1106" i="1" s="1" a="1"/>
  <c r="AC1106" i="1" s="1"/>
  <c r="AB1107" i="1"/>
  <c r="AC1107" i="1" s="1" a="1"/>
  <c r="AC1107" i="1" s="1"/>
  <c r="AB1108" i="1"/>
  <c r="AC1108" i="1" s="1" a="1"/>
  <c r="AC1108" i="1" s="1"/>
  <c r="AB1109" i="1"/>
  <c r="AC1109" i="1" s="1" a="1"/>
  <c r="AC1109" i="1" s="1"/>
  <c r="AB1110" i="1"/>
  <c r="AC1110" i="1" s="1" a="1"/>
  <c r="AC1110" i="1" s="1"/>
  <c r="AB1111" i="1"/>
  <c r="AC1111" i="1" s="1" a="1"/>
  <c r="AC1111" i="1" s="1"/>
  <c r="AB1112" i="1"/>
  <c r="AB1113" i="1"/>
  <c r="AC1113" i="1" s="1" a="1"/>
  <c r="AC1113" i="1" s="1"/>
  <c r="AB1114" i="1"/>
  <c r="AC1114" i="1" s="1" a="1"/>
  <c r="AC1114" i="1" s="1"/>
  <c r="AB1115" i="1"/>
  <c r="AC1115" i="1" s="1" a="1"/>
  <c r="AC1115" i="1" s="1"/>
  <c r="AB1116" i="1"/>
  <c r="AC1116" i="1" s="1" a="1"/>
  <c r="AC1116" i="1" s="1"/>
  <c r="AB1117" i="1"/>
  <c r="AC1117" i="1" s="1" a="1"/>
  <c r="AC1117" i="1" s="1"/>
  <c r="AB1118" i="1"/>
  <c r="AC1118" i="1" s="1" a="1"/>
  <c r="AC1118" i="1" s="1"/>
  <c r="AB1119" i="1"/>
  <c r="AC1119" i="1" s="1" a="1"/>
  <c r="AC1119" i="1" s="1"/>
  <c r="AB1120" i="1"/>
  <c r="AC1120" i="1" s="1" a="1"/>
  <c r="AC1120" i="1" s="1"/>
  <c r="AB1121" i="1"/>
  <c r="AC1121" i="1" s="1" a="1"/>
  <c r="AC1121" i="1" s="1"/>
  <c r="AB1122" i="1"/>
  <c r="AC1122" i="1" s="1" a="1"/>
  <c r="AC1122" i="1" s="1"/>
  <c r="AB1123" i="1"/>
  <c r="AC1123" i="1" s="1" a="1"/>
  <c r="AC1123" i="1" s="1"/>
  <c r="AB1124" i="1"/>
  <c r="AC1124" i="1" s="1" a="1"/>
  <c r="AC1124" i="1" s="1"/>
  <c r="AB1125" i="1"/>
  <c r="AC1125" i="1" s="1" a="1"/>
  <c r="AC1125" i="1" s="1"/>
  <c r="AB1126" i="1"/>
  <c r="AC1126" i="1" s="1" a="1"/>
  <c r="AC1126" i="1" s="1"/>
  <c r="AB1127" i="1"/>
  <c r="AC1127" i="1" s="1" a="1"/>
  <c r="AC1127" i="1" s="1"/>
  <c r="AB1128" i="1"/>
  <c r="AC1128" i="1" s="1" a="1"/>
  <c r="AC1128" i="1" s="1"/>
  <c r="AB1129" i="1"/>
  <c r="AC1129" i="1" s="1" a="1"/>
  <c r="AC1129" i="1" s="1"/>
  <c r="AB1130" i="1"/>
  <c r="AC1130" i="1" s="1" a="1"/>
  <c r="AC1130" i="1" s="1"/>
  <c r="AB1131" i="1"/>
  <c r="AC1131" i="1" s="1" a="1"/>
  <c r="AC1131" i="1" s="1"/>
  <c r="AB1132" i="1"/>
  <c r="AC1132" i="1" s="1" a="1"/>
  <c r="AC1132" i="1" s="1"/>
  <c r="AB1133" i="1"/>
  <c r="AC1133" i="1" s="1" a="1"/>
  <c r="AC1133" i="1" s="1"/>
  <c r="AB1134" i="1"/>
  <c r="AC1134" i="1" s="1" a="1"/>
  <c r="AC1134" i="1" s="1"/>
  <c r="AB1135" i="1"/>
  <c r="AC1135" i="1" s="1" a="1"/>
  <c r="AC1135" i="1" s="1"/>
  <c r="AB1136" i="1"/>
  <c r="AC1136" i="1" s="1" a="1"/>
  <c r="AC1136" i="1" s="1"/>
  <c r="AB1137" i="1"/>
  <c r="AC1137" i="1" s="1" a="1"/>
  <c r="AC1137" i="1" s="1"/>
  <c r="AB1138" i="1"/>
  <c r="AC1138" i="1" s="1" a="1"/>
  <c r="AC1138" i="1" s="1"/>
  <c r="AB1139" i="1"/>
  <c r="AC1139" i="1" s="1" a="1"/>
  <c r="AC1139" i="1" s="1"/>
  <c r="AB1140" i="1"/>
  <c r="AC1140" i="1" s="1" a="1"/>
  <c r="AC1140" i="1" s="1"/>
  <c r="AB1141" i="1"/>
  <c r="AC1141" i="1" s="1" a="1"/>
  <c r="AC1141" i="1" s="1"/>
  <c r="AB1142" i="1"/>
  <c r="AC1142" i="1" s="1" a="1"/>
  <c r="AC1142" i="1" s="1"/>
  <c r="AB1143" i="1"/>
  <c r="AC1143" i="1" s="1" a="1"/>
  <c r="AC1143" i="1" s="1"/>
  <c r="AB1144" i="1"/>
  <c r="AB1145" i="1"/>
  <c r="AC1145" i="1" s="1" a="1"/>
  <c r="AC1145" i="1" s="1"/>
  <c r="AB1146" i="1"/>
  <c r="AC1146" i="1" s="1" a="1"/>
  <c r="AC1146" i="1" s="1"/>
  <c r="AB1147" i="1"/>
  <c r="AC1147" i="1" s="1" a="1"/>
  <c r="AC1147" i="1" s="1"/>
  <c r="AB1148" i="1"/>
  <c r="AC1148" i="1" s="1" a="1"/>
  <c r="AC1148" i="1" s="1"/>
  <c r="AB1149" i="1"/>
  <c r="AC1149" i="1" s="1" a="1"/>
  <c r="AC1149" i="1" s="1"/>
  <c r="AB1150" i="1"/>
  <c r="AC1150" i="1" s="1" a="1"/>
  <c r="AC1150" i="1" s="1"/>
  <c r="AB1151" i="1"/>
  <c r="AC1151" i="1" s="1" a="1"/>
  <c r="AC1151" i="1" s="1"/>
  <c r="AB1152" i="1"/>
  <c r="AC1152" i="1" s="1" a="1"/>
  <c r="AC1152" i="1" s="1"/>
  <c r="AB1153" i="1"/>
  <c r="AC1153" i="1" s="1" a="1"/>
  <c r="AC1153" i="1" s="1"/>
  <c r="AB1154" i="1"/>
  <c r="AC1154" i="1" s="1" a="1"/>
  <c r="AC1154" i="1" s="1"/>
  <c r="AB1155" i="1"/>
  <c r="AC1155" i="1" s="1" a="1"/>
  <c r="AC1155" i="1" s="1"/>
  <c r="AB1156" i="1"/>
  <c r="AC1156" i="1" s="1" a="1"/>
  <c r="AC1156" i="1" s="1"/>
  <c r="AB1157" i="1"/>
  <c r="AB1158" i="1"/>
  <c r="AC1158" i="1" s="1" a="1"/>
  <c r="AC1158" i="1" s="1"/>
  <c r="AB1159" i="1"/>
  <c r="AC1159" i="1" s="1" a="1"/>
  <c r="AC1159" i="1" s="1"/>
  <c r="AB1160" i="1"/>
  <c r="AC1160" i="1" s="1" a="1"/>
  <c r="AC1160" i="1" s="1"/>
  <c r="AB1161" i="1"/>
  <c r="AC1161" i="1" s="1" a="1"/>
  <c r="AC1161" i="1" s="1"/>
  <c r="AB1162" i="1"/>
  <c r="AC1162" i="1" s="1" a="1"/>
  <c r="AC1162" i="1" s="1"/>
  <c r="AB1163" i="1"/>
  <c r="AC1163" i="1" s="1" a="1"/>
  <c r="AC1163" i="1" s="1"/>
  <c r="AB1164" i="1"/>
  <c r="AC1164" i="1" s="1" a="1"/>
  <c r="AC1164" i="1" s="1"/>
  <c r="AB1165" i="1"/>
  <c r="AC1165" i="1" s="1" a="1"/>
  <c r="AC1165" i="1" s="1"/>
  <c r="AB1166" i="1"/>
  <c r="AC1166" i="1" s="1" a="1"/>
  <c r="AC1166" i="1" s="1"/>
  <c r="AB1167" i="1"/>
  <c r="AC1167" i="1" s="1" a="1"/>
  <c r="AC1167" i="1" s="1"/>
  <c r="AB1168" i="1"/>
  <c r="AC1168" i="1" s="1" a="1"/>
  <c r="AC1168" i="1" s="1"/>
  <c r="AB1169" i="1"/>
  <c r="AC1169" i="1" s="1" a="1"/>
  <c r="AC1169" i="1" s="1"/>
  <c r="AB1170" i="1"/>
  <c r="AC1170" i="1" s="1" a="1"/>
  <c r="AC1170" i="1" s="1"/>
  <c r="AB1171" i="1"/>
  <c r="AC1171" i="1" s="1" a="1"/>
  <c r="AC1171" i="1" s="1"/>
  <c r="AB1172" i="1"/>
  <c r="AC1172" i="1" s="1" a="1"/>
  <c r="AC1172" i="1" s="1"/>
  <c r="AB1173" i="1"/>
  <c r="AC1173" i="1" s="1" a="1"/>
  <c r="AC1173" i="1" s="1"/>
  <c r="AB1174" i="1"/>
  <c r="AC1174" i="1" s="1" a="1"/>
  <c r="AC1174" i="1" s="1"/>
  <c r="AB1175" i="1"/>
  <c r="AC1175" i="1" s="1" a="1"/>
  <c r="AC1175" i="1" s="1"/>
  <c r="AB1176" i="1"/>
  <c r="AC1176" i="1" s="1" a="1"/>
  <c r="AC1176" i="1" s="1"/>
  <c r="AB1177" i="1"/>
  <c r="AC1177" i="1" s="1" a="1"/>
  <c r="AC1177" i="1" s="1"/>
  <c r="AB1178" i="1"/>
  <c r="AC1178" i="1" s="1" a="1"/>
  <c r="AC1178" i="1" s="1"/>
  <c r="AB1179" i="1"/>
  <c r="AC1179" i="1" s="1" a="1"/>
  <c r="AC1179" i="1" s="1"/>
  <c r="AB1180" i="1"/>
  <c r="AC1180" i="1" s="1" a="1"/>
  <c r="AC1180" i="1" s="1"/>
  <c r="AB1181" i="1"/>
  <c r="AC1181" i="1" s="1" a="1"/>
  <c r="AC1181" i="1" s="1"/>
  <c r="AB1182" i="1"/>
  <c r="AC1182" i="1" s="1" a="1"/>
  <c r="AC1182" i="1" s="1"/>
  <c r="AB1183" i="1"/>
  <c r="AC1183" i="1" s="1" a="1"/>
  <c r="AC1183" i="1" s="1"/>
  <c r="AB1184" i="1"/>
  <c r="AC1184" i="1" s="1" a="1"/>
  <c r="AC1184" i="1" s="1"/>
  <c r="AB1185" i="1"/>
  <c r="AC1185" i="1" s="1" a="1"/>
  <c r="AC1185" i="1" s="1"/>
  <c r="AB1186" i="1"/>
  <c r="AC1186" i="1" s="1" a="1"/>
  <c r="AC1186" i="1" s="1"/>
  <c r="AB1187" i="1"/>
  <c r="AC1187" i="1" s="1" a="1"/>
  <c r="AC1187" i="1" s="1"/>
  <c r="AB1188" i="1"/>
  <c r="AC1188" i="1" s="1" a="1"/>
  <c r="AC1188" i="1" s="1"/>
  <c r="AB1189" i="1"/>
  <c r="AB1190" i="1"/>
  <c r="AC1190" i="1" s="1" a="1"/>
  <c r="AC1190" i="1" s="1"/>
  <c r="AB1191" i="1"/>
  <c r="AC1191" i="1" s="1" a="1"/>
  <c r="AC1191" i="1" s="1"/>
  <c r="AB1192" i="1"/>
  <c r="AC1192" i="1" s="1" a="1"/>
  <c r="AC1192" i="1" s="1"/>
  <c r="AB1193" i="1"/>
  <c r="AC1193" i="1" s="1" a="1"/>
  <c r="AC1193" i="1" s="1"/>
  <c r="AB1194" i="1"/>
  <c r="AC1194" i="1" s="1" a="1"/>
  <c r="AC1194" i="1" s="1"/>
  <c r="AB1195" i="1"/>
  <c r="AC1195" i="1" s="1" a="1"/>
  <c r="AC1195" i="1" s="1"/>
  <c r="AB1196" i="1"/>
  <c r="AC1196" i="1" s="1" a="1"/>
  <c r="AC1196" i="1" s="1"/>
  <c r="AB1197" i="1"/>
  <c r="AC1197" i="1" s="1" a="1"/>
  <c r="AC1197" i="1" s="1"/>
  <c r="AB1198" i="1"/>
  <c r="AC1198" i="1" s="1" a="1"/>
  <c r="AC1198" i="1" s="1"/>
  <c r="AB1199" i="1"/>
  <c r="AC1199" i="1" s="1" a="1"/>
  <c r="AC1199" i="1" s="1"/>
  <c r="AB1200" i="1"/>
  <c r="AC1200" i="1" s="1" a="1"/>
  <c r="AC1200" i="1" s="1"/>
  <c r="AB1201" i="1"/>
  <c r="AC1201" i="1" s="1" a="1"/>
  <c r="AC1201" i="1" s="1"/>
  <c r="AB1202" i="1"/>
  <c r="AC1202" i="1" s="1" a="1"/>
  <c r="AC1202" i="1" s="1"/>
  <c r="AB1203" i="1"/>
  <c r="AC1203" i="1" s="1" a="1"/>
  <c r="AC1203" i="1" s="1"/>
  <c r="AB1204" i="1"/>
  <c r="AC1204" i="1" s="1" a="1"/>
  <c r="AC1204" i="1" s="1"/>
  <c r="AB1205" i="1"/>
  <c r="AC1205" i="1" s="1" a="1"/>
  <c r="AC1205" i="1" s="1"/>
  <c r="AB1206" i="1"/>
  <c r="AC1206" i="1" s="1" a="1"/>
  <c r="AC1206" i="1" s="1"/>
  <c r="AB1207" i="1"/>
  <c r="AC1207" i="1" s="1" a="1"/>
  <c r="AC1207" i="1" s="1"/>
  <c r="AB1208" i="1"/>
  <c r="AC1208" i="1" s="1" a="1"/>
  <c r="AC1208" i="1" s="1"/>
  <c r="AB1209" i="1"/>
  <c r="AC1209" i="1" s="1" a="1"/>
  <c r="AC1209" i="1" s="1"/>
  <c r="AB1210" i="1"/>
  <c r="AC1210" i="1" s="1" a="1"/>
  <c r="AC1210" i="1" s="1"/>
  <c r="AB1211" i="1"/>
  <c r="AC1211" i="1" s="1" a="1"/>
  <c r="AC1211" i="1" s="1"/>
  <c r="AB1212" i="1"/>
  <c r="AC1212" i="1" s="1" a="1"/>
  <c r="AC1212" i="1" s="1"/>
  <c r="AB1213" i="1"/>
  <c r="AC1213" i="1" s="1" a="1"/>
  <c r="AC1213" i="1" s="1"/>
  <c r="AB1214" i="1"/>
  <c r="AC1214" i="1" s="1" a="1"/>
  <c r="AC1214" i="1" s="1"/>
  <c r="AB1215" i="1"/>
  <c r="AC1215" i="1" s="1" a="1"/>
  <c r="AC1215" i="1" s="1"/>
  <c r="AB1216" i="1"/>
  <c r="AC1216" i="1" s="1" a="1"/>
  <c r="AC1216" i="1" s="1"/>
  <c r="AB1217" i="1"/>
  <c r="AB1218" i="1"/>
  <c r="AC1218" i="1" s="1" a="1"/>
  <c r="AC1218" i="1" s="1"/>
  <c r="AB1219" i="1"/>
  <c r="AC1219" i="1" s="1" a="1"/>
  <c r="AC1219" i="1" s="1"/>
  <c r="AB1220" i="1"/>
  <c r="AC1220" i="1" s="1" a="1"/>
  <c r="AC1220" i="1" s="1"/>
  <c r="AB1221" i="1"/>
  <c r="AC1221" i="1" s="1" a="1"/>
  <c r="AC1221" i="1" s="1"/>
  <c r="AB1222" i="1"/>
  <c r="AB1223" i="1"/>
  <c r="AC1223" i="1" s="1" a="1"/>
  <c r="AC1223" i="1" s="1"/>
  <c r="AB1224" i="1"/>
  <c r="AC1224" i="1" s="1" a="1"/>
  <c r="AB1225" i="1"/>
  <c r="AC1225" i="1" s="1" a="1"/>
  <c r="AC1225" i="1" s="1"/>
  <c r="AB1226" i="1"/>
  <c r="AC1226" i="1" s="1" a="1"/>
  <c r="AC1226" i="1" s="1"/>
  <c r="AB1227" i="1"/>
  <c r="AC1227" i="1" s="1" a="1"/>
  <c r="AC1227" i="1" s="1"/>
  <c r="AB1228" i="1"/>
  <c r="AC1228" i="1" s="1" a="1"/>
  <c r="AC1228" i="1" s="1"/>
  <c r="AB1229" i="1"/>
  <c r="AC1229" i="1" s="1" a="1"/>
  <c r="AC1229" i="1" s="1"/>
  <c r="AB1230" i="1"/>
  <c r="AC1230" i="1" s="1" a="1"/>
  <c r="AC1230" i="1" s="1"/>
  <c r="AB1231" i="1"/>
  <c r="AC1231" i="1" s="1" a="1"/>
  <c r="AC1231" i="1" s="1"/>
  <c r="AB1232" i="1"/>
  <c r="AC1232" i="1" s="1" a="1"/>
  <c r="AC1232" i="1" s="1"/>
  <c r="AB1233" i="1"/>
  <c r="AC1233" i="1" s="1" a="1"/>
  <c r="AC1233" i="1" s="1"/>
  <c r="AB1234" i="1"/>
  <c r="AC1234" i="1" s="1" a="1"/>
  <c r="AC1234" i="1" s="1"/>
  <c r="AB1235" i="1"/>
  <c r="AB1236" i="1"/>
  <c r="AC1236" i="1" s="1" a="1"/>
  <c r="AC1236" i="1" s="1"/>
  <c r="AB1237" i="1"/>
  <c r="AC1237" i="1" s="1" a="1"/>
  <c r="AC1237" i="1" s="1"/>
  <c r="AB1238" i="1"/>
  <c r="AC1238" i="1" s="1" a="1"/>
  <c r="AC1238" i="1" s="1"/>
  <c r="AB1239" i="1"/>
  <c r="AC1239" i="1" s="1" a="1"/>
  <c r="AC1239" i="1" s="1"/>
  <c r="AB1240" i="1"/>
  <c r="AC1240" i="1" s="1" a="1"/>
  <c r="AC1240" i="1" s="1"/>
  <c r="AB1241" i="1"/>
  <c r="AC1241" i="1" s="1" a="1"/>
  <c r="AC1241" i="1" s="1"/>
  <c r="AB1242" i="1"/>
  <c r="AC1242" i="1" s="1" a="1"/>
  <c r="AC1242" i="1" s="1"/>
  <c r="AB1243" i="1"/>
  <c r="AC1243" i="1" s="1" a="1"/>
  <c r="AC1243" i="1" s="1"/>
  <c r="AB1244" i="1"/>
  <c r="AC1244" i="1" s="1" a="1"/>
  <c r="AC1244" i="1" s="1"/>
  <c r="AB1245" i="1"/>
  <c r="AC1245" i="1" s="1" a="1"/>
  <c r="AC1245" i="1" s="1"/>
  <c r="AB1246" i="1"/>
  <c r="AC1246" i="1" s="1" a="1"/>
  <c r="AC1246" i="1" s="1"/>
  <c r="AB1247" i="1"/>
  <c r="AC1247" i="1" s="1" a="1"/>
  <c r="AC1247" i="1" s="1"/>
  <c r="AB1248" i="1"/>
  <c r="AC1248" i="1" s="1" a="1"/>
  <c r="AC1248" i="1" s="1"/>
  <c r="AB1249" i="1"/>
  <c r="AC1249" i="1" s="1" a="1"/>
  <c r="AC1249" i="1" s="1"/>
  <c r="AB1250" i="1"/>
  <c r="AC1250" i="1" s="1" a="1"/>
  <c r="AC1250" i="1" s="1"/>
  <c r="AB1251" i="1"/>
  <c r="AC1251" i="1" s="1" a="1"/>
  <c r="AC1251" i="1" s="1"/>
  <c r="AB1252" i="1"/>
  <c r="AC1252" i="1" s="1" a="1"/>
  <c r="AC1252" i="1" s="1"/>
  <c r="AB1253" i="1"/>
  <c r="AC1253" i="1" s="1" a="1"/>
  <c r="AC1253" i="1" s="1"/>
  <c r="AB1254" i="1"/>
  <c r="AC1254" i="1" s="1" a="1"/>
  <c r="AC1254" i="1" s="1"/>
  <c r="AB1255" i="1"/>
  <c r="AC1255" i="1" s="1" a="1"/>
  <c r="AC1255" i="1" s="1"/>
  <c r="AB1256" i="1"/>
  <c r="AC1256" i="1" s="1" a="1"/>
  <c r="AC1256" i="1" s="1"/>
  <c r="AB1257" i="1"/>
  <c r="AC1257" i="1" s="1" a="1"/>
  <c r="AC1257" i="1" s="1"/>
  <c r="AB1258" i="1"/>
  <c r="AC1258" i="1" s="1" a="1"/>
  <c r="AC1258" i="1" s="1"/>
  <c r="AB1259" i="1"/>
  <c r="AC1259" i="1" s="1" a="1"/>
  <c r="AC1259" i="1" s="1"/>
  <c r="AB1260" i="1"/>
  <c r="AC1260" i="1" s="1" a="1"/>
  <c r="AC1260" i="1" s="1"/>
  <c r="AB1261" i="1"/>
  <c r="AC1261" i="1" s="1" a="1"/>
  <c r="AC1261" i="1" s="1"/>
  <c r="AB1262" i="1"/>
  <c r="AC1262" i="1" s="1" a="1"/>
  <c r="AC1262" i="1" s="1"/>
  <c r="AB1263" i="1"/>
  <c r="AC1263" i="1" s="1" a="1"/>
  <c r="AC1263" i="1" s="1"/>
  <c r="AB1264" i="1"/>
  <c r="AC1264" i="1" s="1" a="1"/>
  <c r="AC1264" i="1" s="1"/>
  <c r="AB1265" i="1"/>
  <c r="AC1265" i="1" s="1" a="1"/>
  <c r="AC1265" i="1" s="1"/>
  <c r="AB1266" i="1"/>
  <c r="AC1266" i="1" s="1" a="1"/>
  <c r="AC1266" i="1" s="1"/>
  <c r="AB1267" i="1"/>
  <c r="AC1267" i="1" s="1" a="1"/>
  <c r="AC1267" i="1" s="1"/>
  <c r="AB1268" i="1"/>
  <c r="AC1268" i="1" s="1" a="1"/>
  <c r="AC1268" i="1" s="1"/>
  <c r="AB1269" i="1"/>
  <c r="AC1269" i="1" s="1" a="1"/>
  <c r="AC1269" i="1" s="1"/>
  <c r="AB1270" i="1"/>
  <c r="AC1270" i="1" s="1" a="1"/>
  <c r="AC1270" i="1" s="1"/>
  <c r="AB1271" i="1"/>
  <c r="AC1271" i="1" s="1" a="1"/>
  <c r="AC1271" i="1" s="1"/>
  <c r="AB1272" i="1"/>
  <c r="AC1272" i="1" s="1" a="1"/>
  <c r="AB1273" i="1"/>
  <c r="AC1273" i="1" s="1" a="1"/>
  <c r="AC1273" i="1" s="1"/>
  <c r="AB1274" i="1"/>
  <c r="AC1274" i="1" s="1" a="1"/>
  <c r="AC1274" i="1" s="1"/>
  <c r="AB1275" i="1"/>
  <c r="AC1275" i="1" s="1" a="1"/>
  <c r="AC1275" i="1" s="1"/>
  <c r="AB1276" i="1"/>
  <c r="AC1276" i="1" s="1" a="1"/>
  <c r="AC1276" i="1" s="1"/>
  <c r="AB1277" i="1"/>
  <c r="AC1277" i="1" s="1" a="1"/>
  <c r="AC1277" i="1" s="1"/>
  <c r="AB1278" i="1"/>
  <c r="AC1278" i="1" s="1" a="1"/>
  <c r="AC1278" i="1" s="1"/>
  <c r="AB1279" i="1"/>
  <c r="AC1279" i="1" s="1" a="1"/>
  <c r="AC1279" i="1" s="1"/>
  <c r="AB1280" i="1"/>
  <c r="AC1280" i="1" s="1" a="1"/>
  <c r="AC1280" i="1" s="1"/>
  <c r="AB1281" i="1"/>
  <c r="AC1281" i="1" s="1" a="1"/>
  <c r="AC1281" i="1" s="1"/>
  <c r="AB1282" i="1"/>
  <c r="AC1282" i="1" s="1" a="1"/>
  <c r="AC1282" i="1" s="1"/>
  <c r="AB1283" i="1"/>
  <c r="AC1283" i="1" s="1" a="1"/>
  <c r="AC1283" i="1" s="1"/>
  <c r="AB1284" i="1"/>
  <c r="AB1285" i="1"/>
  <c r="AC1285" i="1" s="1" a="1"/>
  <c r="AC1285" i="1" s="1"/>
  <c r="AB1286" i="1"/>
  <c r="AB1287" i="1"/>
  <c r="AC1287" i="1" s="1" a="1"/>
  <c r="AC1287" i="1" s="1"/>
  <c r="AB1288" i="1"/>
  <c r="AC1288" i="1" s="1" a="1"/>
  <c r="AC1288" i="1" s="1"/>
  <c r="AB1289" i="1"/>
  <c r="AC1289" i="1" s="1" a="1"/>
  <c r="AC1289" i="1" s="1"/>
  <c r="AB1290" i="1"/>
  <c r="AC1290" i="1" s="1" a="1"/>
  <c r="AC1290" i="1" s="1"/>
  <c r="AB1291" i="1"/>
  <c r="AC1291" i="1" s="1" a="1"/>
  <c r="AC1291" i="1" s="1"/>
  <c r="AB1292" i="1"/>
  <c r="AC1292" i="1" s="1" a="1"/>
  <c r="AB1293" i="1"/>
  <c r="AC1293" i="1" s="1" a="1"/>
  <c r="AC1293" i="1" s="1"/>
  <c r="AB1294" i="1"/>
  <c r="AC1294" i="1" s="1" a="1"/>
  <c r="AC1294" i="1" s="1"/>
  <c r="AB1295" i="1"/>
  <c r="AC1295" i="1" s="1" a="1"/>
  <c r="AC1295" i="1" s="1"/>
  <c r="AB1296" i="1"/>
  <c r="AC1296" i="1" s="1" a="1"/>
  <c r="AC1296" i="1" s="1"/>
  <c r="AB1297" i="1"/>
  <c r="AC1297" i="1" s="1" a="1"/>
  <c r="AC1297" i="1" s="1"/>
  <c r="AB1298" i="1"/>
  <c r="AC1298" i="1" s="1" a="1"/>
  <c r="AC1298" i="1" s="1"/>
  <c r="AB1299" i="1"/>
  <c r="AC1299" i="1" s="1" a="1"/>
  <c r="AC1299" i="1" s="1"/>
  <c r="AB1300" i="1"/>
  <c r="AC1300" i="1" s="1" a="1"/>
  <c r="AC1300" i="1" s="1"/>
  <c r="AB1301" i="1"/>
  <c r="AC1301" i="1" s="1" a="1"/>
  <c r="AC1301" i="1" s="1"/>
  <c r="AB1302" i="1"/>
  <c r="AC1302" i="1" s="1" a="1"/>
  <c r="AC1302" i="1" s="1"/>
  <c r="AB1303" i="1"/>
  <c r="AC1303" i="1" s="1" a="1"/>
  <c r="AC1303" i="1" s="1"/>
  <c r="AB1304" i="1"/>
  <c r="AC1304" i="1" s="1" a="1"/>
  <c r="AC1304" i="1" s="1"/>
  <c r="AB1305" i="1"/>
  <c r="AC1305" i="1" s="1" a="1"/>
  <c r="AC1305" i="1" s="1"/>
  <c r="AB1306" i="1"/>
  <c r="AC1306" i="1" s="1" a="1"/>
  <c r="AC1306" i="1" s="1"/>
  <c r="AB1307" i="1"/>
  <c r="AC1307" i="1" s="1" a="1"/>
  <c r="AC1307" i="1" s="1"/>
  <c r="AB1308" i="1"/>
  <c r="AC1308" i="1" s="1" a="1"/>
  <c r="AC1308" i="1" s="1"/>
  <c r="AB1309" i="1"/>
  <c r="AC1309" i="1" s="1" a="1"/>
  <c r="AC1309" i="1" s="1"/>
  <c r="AB1310" i="1"/>
  <c r="AC1310" i="1" s="1" a="1"/>
  <c r="AC1310" i="1" s="1"/>
  <c r="AB1311" i="1"/>
  <c r="AC1311" i="1" s="1" a="1"/>
  <c r="AC1311" i="1" s="1"/>
  <c r="AB1312" i="1"/>
  <c r="AC1312" i="1" s="1" a="1"/>
  <c r="AC1312" i="1" s="1"/>
  <c r="AB1313" i="1"/>
  <c r="AC1313" i="1" s="1" a="1"/>
  <c r="AC1313" i="1" s="1"/>
  <c r="AB1314" i="1"/>
  <c r="AC1314" i="1" s="1" a="1"/>
  <c r="AC1314" i="1" s="1"/>
  <c r="AB1315" i="1"/>
  <c r="AC1315" i="1" s="1" a="1"/>
  <c r="AC1315" i="1" s="1"/>
  <c r="AB1316" i="1"/>
  <c r="AC1316" i="1" s="1" a="1"/>
  <c r="AC1316" i="1" s="1"/>
  <c r="AB1317" i="1"/>
  <c r="AC1317" i="1" s="1" a="1"/>
  <c r="AC1317" i="1" s="1"/>
  <c r="AB1318" i="1"/>
  <c r="AC1318" i="1" s="1" a="1"/>
  <c r="AC1318" i="1" s="1"/>
  <c r="AB1319" i="1"/>
  <c r="AC1319" i="1" s="1" a="1"/>
  <c r="AC1319" i="1" s="1"/>
  <c r="AB1320" i="1"/>
  <c r="AC1320" i="1" s="1" a="1"/>
  <c r="AC1320" i="1" s="1"/>
  <c r="AB1321" i="1"/>
  <c r="AC1321" i="1" s="1" a="1"/>
  <c r="AC1321" i="1" s="1"/>
  <c r="AB1322" i="1"/>
  <c r="AC1322" i="1" s="1" a="1"/>
  <c r="AC1322" i="1" s="1"/>
  <c r="AB1323" i="1"/>
  <c r="AC1323" i="1" s="1" a="1"/>
  <c r="AC1323" i="1" s="1"/>
  <c r="AB1324" i="1"/>
  <c r="AC1324" i="1" s="1" a="1"/>
  <c r="AC1324" i="1" s="1"/>
  <c r="AB1325" i="1"/>
  <c r="AC1325" i="1" s="1" a="1"/>
  <c r="AC1325" i="1" s="1"/>
  <c r="AB1326" i="1"/>
  <c r="AC1326" i="1" s="1" a="1"/>
  <c r="AC1326" i="1" s="1"/>
  <c r="AB1327" i="1"/>
  <c r="AC1327" i="1" s="1" a="1"/>
  <c r="AC1327" i="1" s="1"/>
  <c r="AB1328" i="1"/>
  <c r="AC1328" i="1" s="1" a="1"/>
  <c r="AC1328" i="1" s="1"/>
  <c r="AB1329" i="1"/>
  <c r="AC1329" i="1" s="1" a="1"/>
  <c r="AC1329" i="1" s="1"/>
  <c r="AB1330" i="1"/>
  <c r="AC1330" i="1" s="1" a="1"/>
  <c r="AC1330" i="1" s="1"/>
  <c r="AB1331" i="1"/>
  <c r="AC1331" i="1" s="1" a="1"/>
  <c r="AC1331" i="1" s="1"/>
  <c r="AB1332" i="1"/>
  <c r="AC1332" i="1" s="1" a="1"/>
  <c r="AC1332" i="1" s="1"/>
  <c r="AB1333" i="1"/>
  <c r="AC1333" i="1" s="1" a="1"/>
  <c r="AC1333" i="1" s="1"/>
  <c r="AB1334" i="1"/>
  <c r="AC1334" i="1" s="1" a="1"/>
  <c r="AC1334" i="1" s="1"/>
  <c r="AB1335" i="1"/>
  <c r="AC1335" i="1" s="1" a="1"/>
  <c r="AC1335" i="1" s="1"/>
  <c r="AB1336" i="1"/>
  <c r="AC1336" i="1" s="1" a="1"/>
  <c r="AC1336" i="1" s="1"/>
  <c r="AB1337" i="1"/>
  <c r="AC1337" i="1" s="1" a="1"/>
  <c r="AC1337" i="1" s="1"/>
  <c r="AB1338" i="1"/>
  <c r="AC1338" i="1" s="1" a="1"/>
  <c r="AC1338" i="1" s="1"/>
  <c r="AB1339" i="1"/>
  <c r="AC1339" i="1" s="1" a="1"/>
  <c r="AC1339" i="1" s="1"/>
  <c r="AB1340" i="1"/>
  <c r="AC1340" i="1" s="1" a="1"/>
  <c r="AC1340" i="1" s="1"/>
  <c r="AB1341" i="1"/>
  <c r="AC1341" i="1" s="1" a="1"/>
  <c r="AC1341" i="1" s="1"/>
  <c r="AB1342" i="1"/>
  <c r="AC1342" i="1" s="1" a="1"/>
  <c r="AC1342" i="1" s="1"/>
  <c r="AB1343" i="1"/>
  <c r="AC1343" i="1" s="1" a="1"/>
  <c r="AC1343" i="1" s="1"/>
  <c r="AB1344" i="1"/>
  <c r="AC1344" i="1" s="1" a="1"/>
  <c r="AC1344" i="1" s="1"/>
  <c r="AB1345" i="1"/>
  <c r="AC1345" i="1" s="1" a="1"/>
  <c r="AC1345" i="1" s="1"/>
  <c r="AB1346" i="1"/>
  <c r="AC1346" i="1" s="1" a="1"/>
  <c r="AC1346" i="1" s="1"/>
  <c r="AB1347" i="1"/>
  <c r="AC1347" i="1" s="1" a="1"/>
  <c r="AC1347" i="1" s="1"/>
  <c r="AB1348" i="1"/>
  <c r="AC1348" i="1" s="1" a="1"/>
  <c r="AC1348" i="1" s="1"/>
  <c r="AB1349" i="1"/>
  <c r="AB1350" i="1"/>
  <c r="AC1350" i="1" s="1" a="1"/>
  <c r="AC1350" i="1" s="1"/>
  <c r="AB1351" i="1"/>
  <c r="AC1351" i="1" s="1" a="1"/>
  <c r="AC1351" i="1" s="1"/>
  <c r="AB1352" i="1"/>
  <c r="AC1352" i="1" s="1" a="1"/>
  <c r="AC1352" i="1" s="1"/>
  <c r="AB1353" i="1"/>
  <c r="AC1353" i="1" s="1" a="1"/>
  <c r="AC1353" i="1" s="1"/>
  <c r="AB1354" i="1"/>
  <c r="AC1354" i="1" s="1" a="1"/>
  <c r="AC1354" i="1" s="1"/>
  <c r="AB1355" i="1"/>
  <c r="AC1355" i="1" s="1" a="1"/>
  <c r="AC1355" i="1" s="1"/>
  <c r="AB1356" i="1"/>
  <c r="AC1356" i="1" s="1" a="1"/>
  <c r="AC1356" i="1" s="1"/>
  <c r="AB1357" i="1"/>
  <c r="AC1357" i="1" s="1" a="1"/>
  <c r="AC1357" i="1" s="1"/>
  <c r="AB1358" i="1"/>
  <c r="AC1358" i="1" s="1" a="1"/>
  <c r="AC1358" i="1" s="1"/>
  <c r="AB1359" i="1"/>
  <c r="AC1359" i="1" s="1" a="1"/>
  <c r="AC1359" i="1" s="1"/>
  <c r="AB1360" i="1"/>
  <c r="AC1360" i="1" s="1" a="1"/>
  <c r="AC1360" i="1" s="1"/>
  <c r="AB1361" i="1"/>
  <c r="AC1361" i="1" s="1" a="1"/>
  <c r="AC1361" i="1" s="1"/>
  <c r="AB1362" i="1"/>
  <c r="AC1362" i="1" s="1" a="1"/>
  <c r="AC1362" i="1" s="1"/>
  <c r="AB1363" i="1"/>
  <c r="AC1363" i="1" s="1" a="1"/>
  <c r="AC1363" i="1" s="1"/>
  <c r="AB1364" i="1"/>
  <c r="AC1364" i="1" s="1" a="1"/>
  <c r="AC1364" i="1" s="1"/>
  <c r="AB1365" i="1"/>
  <c r="AB1366" i="1"/>
  <c r="AB1367" i="1"/>
  <c r="AC1367" i="1" s="1" a="1"/>
  <c r="AC1367" i="1" s="1"/>
  <c r="AB1368" i="1"/>
  <c r="AC1368" i="1" s="1" a="1"/>
  <c r="AC1368" i="1" s="1"/>
  <c r="AB1369" i="1"/>
  <c r="AC1369" i="1" s="1" a="1"/>
  <c r="AC1369" i="1" s="1"/>
  <c r="AB1370" i="1"/>
  <c r="AC1370" i="1" s="1" a="1"/>
  <c r="AC1370" i="1" s="1"/>
  <c r="AB1371" i="1"/>
  <c r="AC1371" i="1" s="1" a="1"/>
  <c r="AC1371" i="1" s="1"/>
  <c r="AB1372" i="1"/>
  <c r="AC1372" i="1" s="1" a="1"/>
  <c r="AC1372" i="1" s="1"/>
  <c r="AB1373" i="1"/>
  <c r="AC1373" i="1" s="1" a="1"/>
  <c r="AC1373" i="1" s="1"/>
  <c r="AB1374" i="1"/>
  <c r="AC1374" i="1" s="1" a="1"/>
  <c r="AC1374" i="1" s="1"/>
  <c r="AB1375" i="1"/>
  <c r="AC1375" i="1" s="1" a="1"/>
  <c r="AC1375" i="1" s="1"/>
  <c r="AB1376" i="1"/>
  <c r="AB1377" i="1"/>
  <c r="AB1378" i="1"/>
  <c r="AC1378" i="1" s="1" a="1"/>
  <c r="AC1378" i="1" s="1"/>
  <c r="AB1379" i="1"/>
  <c r="AC1379" i="1" s="1" a="1"/>
  <c r="AC1379" i="1" s="1"/>
  <c r="AB1380" i="1"/>
  <c r="AC1380" i="1" s="1" a="1"/>
  <c r="AC1380" i="1" s="1"/>
  <c r="AB1381" i="1"/>
  <c r="AC1381" i="1" s="1" a="1"/>
  <c r="AC1381" i="1" s="1"/>
  <c r="AB1382" i="1"/>
  <c r="AC1382" i="1" s="1" a="1"/>
  <c r="AC1382" i="1" s="1"/>
  <c r="AB1383" i="1"/>
  <c r="AC1383" i="1" s="1" a="1"/>
  <c r="AC1383" i="1" s="1"/>
  <c r="AB1384" i="1"/>
  <c r="AC1384" i="1" s="1" a="1"/>
  <c r="AC1384" i="1" s="1"/>
  <c r="AB1385" i="1"/>
  <c r="AC1385" i="1" s="1" a="1"/>
  <c r="AC1385" i="1" s="1"/>
  <c r="AB1386" i="1"/>
  <c r="AC1386" i="1" s="1" a="1"/>
  <c r="AC1386" i="1" s="1"/>
  <c r="AB1387" i="1"/>
  <c r="AC1387" i="1" s="1" a="1"/>
  <c r="AC1387" i="1" s="1"/>
  <c r="AB1388" i="1"/>
  <c r="AC1388" i="1" s="1" a="1"/>
  <c r="AC1388" i="1" s="1"/>
  <c r="AB1389" i="1"/>
  <c r="AC1389" i="1" s="1" a="1"/>
  <c r="AC1389" i="1" s="1"/>
  <c r="AB1390" i="1"/>
  <c r="AC1390" i="1" s="1" a="1"/>
  <c r="AC1390" i="1" s="1"/>
  <c r="AB1391" i="1"/>
  <c r="AC1391" i="1" s="1" a="1"/>
  <c r="AC1391" i="1" s="1"/>
  <c r="AB1392" i="1"/>
  <c r="AC1392" i="1" s="1" a="1"/>
  <c r="AC1392" i="1" s="1"/>
  <c r="AB1393" i="1"/>
  <c r="AC1393" i="1" s="1" a="1"/>
  <c r="AC1393" i="1" s="1"/>
  <c r="AB1394" i="1"/>
  <c r="AC1394" i="1" s="1" a="1"/>
  <c r="AC1394" i="1" s="1"/>
  <c r="AB1395" i="1"/>
  <c r="AC1395" i="1" s="1" a="1"/>
  <c r="AC1395" i="1" s="1"/>
  <c r="AB1396" i="1"/>
  <c r="AC1396" i="1" s="1" a="1"/>
  <c r="AC1396" i="1" s="1"/>
  <c r="AB1397" i="1"/>
  <c r="AC1397" i="1" s="1" a="1"/>
  <c r="AC1397" i="1" s="1"/>
  <c r="AB1398" i="1"/>
  <c r="AC1398" i="1" s="1" a="1"/>
  <c r="AC1398" i="1" s="1"/>
  <c r="AB1399" i="1"/>
  <c r="AC1399" i="1" s="1" a="1"/>
  <c r="AC1399" i="1" s="1"/>
  <c r="AB1400" i="1"/>
  <c r="AC1400" i="1" s="1" a="1"/>
  <c r="AC1400" i="1" s="1"/>
  <c r="AB1401" i="1"/>
  <c r="AC1401" i="1" s="1" a="1"/>
  <c r="AC1401" i="1" s="1"/>
  <c r="AB1402" i="1"/>
  <c r="AC1402" i="1" s="1" a="1"/>
  <c r="AC1402" i="1" s="1"/>
  <c r="AB1403" i="1"/>
  <c r="AC1403" i="1" s="1" a="1"/>
  <c r="AC1403" i="1" s="1"/>
  <c r="AB1404" i="1"/>
  <c r="AC1404" i="1" s="1" a="1"/>
  <c r="AC1404" i="1" s="1"/>
  <c r="AB1405" i="1"/>
  <c r="AC1405" i="1" s="1" a="1"/>
  <c r="AC1405" i="1" s="1"/>
  <c r="AB1406" i="1"/>
  <c r="AC1406" i="1" s="1" a="1"/>
  <c r="AC1406" i="1" s="1"/>
  <c r="AB1407" i="1"/>
  <c r="AC1407" i="1" s="1" a="1"/>
  <c r="AC1407" i="1" s="1"/>
  <c r="AB1408" i="1"/>
  <c r="AC1408" i="1" s="1" a="1"/>
  <c r="AC1408" i="1" s="1"/>
  <c r="AB1409" i="1"/>
  <c r="AC1409" i="1" s="1" a="1"/>
  <c r="AC1409" i="1" s="1"/>
  <c r="AB1410" i="1"/>
  <c r="AC1410" i="1" s="1" a="1"/>
  <c r="AC1410" i="1" s="1"/>
  <c r="AB1411" i="1"/>
  <c r="AC1411" i="1" s="1" a="1"/>
  <c r="AC1411" i="1" s="1"/>
  <c r="AB1412" i="1"/>
  <c r="AC1412" i="1" s="1" a="1"/>
  <c r="AC1412" i="1" s="1"/>
  <c r="AB1413" i="1"/>
  <c r="AC1413" i="1" s="1" a="1"/>
  <c r="AB1414" i="1"/>
  <c r="AC1414" i="1" s="1" a="1"/>
  <c r="AB1415" i="1"/>
  <c r="AC1415" i="1" s="1" a="1"/>
  <c r="AC1415" i="1" s="1"/>
  <c r="AB1416" i="1"/>
  <c r="AB1417" i="1"/>
  <c r="AC1417" i="1" s="1" a="1"/>
  <c r="AC1417" i="1" s="1"/>
  <c r="AB1418" i="1"/>
  <c r="AC1418" i="1" s="1" a="1"/>
  <c r="AC1418" i="1" s="1"/>
  <c r="AB1419" i="1"/>
  <c r="AC1419" i="1" s="1" a="1"/>
  <c r="AC1419" i="1" s="1"/>
  <c r="AB1420" i="1"/>
  <c r="AC1420" i="1" s="1" a="1"/>
  <c r="AC1420" i="1" s="1"/>
  <c r="AB1421" i="1"/>
  <c r="AC1421" i="1" s="1" a="1"/>
  <c r="AC1421" i="1" s="1"/>
  <c r="AB1422" i="1"/>
  <c r="AC1422" i="1" s="1" a="1"/>
  <c r="AC1422" i="1" s="1"/>
  <c r="AB1423" i="1"/>
  <c r="AC1423" i="1" s="1" a="1"/>
  <c r="AC1423" i="1" s="1"/>
  <c r="AB1424" i="1"/>
  <c r="AC1424" i="1" s="1" a="1"/>
  <c r="AC1424" i="1" s="1"/>
  <c r="AB1425" i="1"/>
  <c r="AC1425" i="1" s="1" a="1"/>
  <c r="AC1425" i="1" s="1"/>
  <c r="AB1426" i="1"/>
  <c r="AC1426" i="1" s="1" a="1"/>
  <c r="AC1426" i="1" s="1"/>
  <c r="AB1427" i="1"/>
  <c r="AC1427" i="1" s="1" a="1"/>
  <c r="AC1427" i="1" s="1"/>
  <c r="AB1428" i="1"/>
  <c r="AC1428" i="1" s="1" a="1"/>
  <c r="AC1428" i="1" s="1"/>
  <c r="AB1429" i="1"/>
  <c r="AC1429" i="1" s="1" a="1"/>
  <c r="AC1429" i="1" s="1"/>
  <c r="AB1430" i="1"/>
  <c r="AC1430" i="1" s="1" a="1"/>
  <c r="AC1430" i="1" s="1"/>
  <c r="AB1431" i="1"/>
  <c r="AC1431" i="1" s="1" a="1"/>
  <c r="AC1431" i="1" s="1"/>
  <c r="AB1432" i="1"/>
  <c r="AC1432" i="1" s="1" a="1"/>
  <c r="AC1432" i="1" s="1"/>
  <c r="AB1433" i="1"/>
  <c r="AC1433" i="1" s="1" a="1"/>
  <c r="AC1433" i="1" s="1"/>
  <c r="AB1434" i="1"/>
  <c r="AC1434" i="1" s="1" a="1"/>
  <c r="AC1434" i="1" s="1"/>
  <c r="AB1435" i="1"/>
  <c r="AC1435" i="1" s="1" a="1"/>
  <c r="AC1435" i="1" s="1"/>
  <c r="AB1436" i="1"/>
  <c r="AC1436" i="1" s="1" a="1"/>
  <c r="AC1436" i="1" s="1"/>
  <c r="AB1437" i="1"/>
  <c r="AC1437" i="1" s="1" a="1"/>
  <c r="AC1437" i="1" s="1"/>
  <c r="AB1438" i="1"/>
  <c r="AC1438" i="1" s="1" a="1"/>
  <c r="AC1438" i="1" s="1"/>
  <c r="AB1439" i="1"/>
  <c r="AC1439" i="1" s="1" a="1"/>
  <c r="AC1439" i="1" s="1"/>
  <c r="AB1440" i="1"/>
  <c r="AC1440" i="1" s="1" a="1"/>
  <c r="AC1440" i="1" s="1"/>
  <c r="AB1441" i="1"/>
  <c r="AC1441" i="1" s="1" a="1"/>
  <c r="AC1441" i="1" s="1"/>
  <c r="AB1442" i="1"/>
  <c r="AC1442" i="1" s="1" a="1"/>
  <c r="AC1442" i="1" s="1"/>
  <c r="AB1443" i="1"/>
  <c r="AC1443" i="1" s="1" a="1"/>
  <c r="AC1443" i="1" s="1"/>
  <c r="AB1444" i="1"/>
  <c r="AC1444" i="1" s="1" a="1"/>
  <c r="AC1444" i="1" s="1"/>
  <c r="AB1445" i="1"/>
  <c r="AB1446" i="1"/>
  <c r="AC1446" i="1" s="1" a="1"/>
  <c r="AC1446" i="1" s="1"/>
  <c r="AB1447" i="1"/>
  <c r="AC1447" i="1" s="1" a="1"/>
  <c r="AC1447" i="1" s="1"/>
  <c r="AB1448" i="1"/>
  <c r="AC1448" i="1" s="1" a="1"/>
  <c r="AC1448" i="1" s="1"/>
  <c r="AB1449" i="1"/>
  <c r="AC1449" i="1" s="1" a="1"/>
  <c r="AC1449" i="1" s="1"/>
  <c r="AB1450" i="1"/>
  <c r="AC1450" i="1" s="1" a="1"/>
  <c r="AC1450" i="1" s="1"/>
  <c r="AB1451" i="1"/>
  <c r="AC1451" i="1" s="1" a="1"/>
  <c r="AC1451" i="1" s="1"/>
  <c r="AB1452" i="1"/>
  <c r="AC1452" i="1" s="1" a="1"/>
  <c r="AC1452" i="1" s="1"/>
  <c r="AB1453" i="1"/>
  <c r="AC1453" i="1" s="1" a="1"/>
  <c r="AC1453" i="1" s="1"/>
  <c r="AB1454" i="1"/>
  <c r="AC1454" i="1" s="1" a="1"/>
  <c r="AC1454" i="1" s="1"/>
  <c r="AB1455" i="1"/>
  <c r="AC1455" i="1" s="1" a="1"/>
  <c r="AC1455" i="1" s="1"/>
  <c r="AB1456" i="1"/>
  <c r="AC1456" i="1" s="1" a="1"/>
  <c r="AC1456" i="1" s="1"/>
  <c r="AB1457" i="1"/>
  <c r="AC1457" i="1" s="1" a="1"/>
  <c r="AC1457" i="1" s="1"/>
  <c r="AB1458" i="1"/>
  <c r="AC1458" i="1" s="1" a="1"/>
  <c r="AC1458" i="1" s="1"/>
  <c r="AB1459" i="1"/>
  <c r="AC1459" i="1" s="1" a="1"/>
  <c r="AC1459" i="1" s="1"/>
  <c r="AB1460" i="1"/>
  <c r="AC1460" i="1" s="1" a="1"/>
  <c r="AC1460" i="1" s="1"/>
  <c r="AB1461" i="1"/>
  <c r="AC1461" i="1" s="1" a="1"/>
  <c r="AC1461" i="1" s="1"/>
  <c r="AB1462" i="1"/>
  <c r="AC1462" i="1" s="1" a="1"/>
  <c r="AC1462" i="1" s="1"/>
  <c r="AB1463" i="1"/>
  <c r="AC1463" i="1" s="1" a="1"/>
  <c r="AC1463" i="1" s="1"/>
  <c r="AB1464" i="1"/>
  <c r="AC1464" i="1" s="1" a="1"/>
  <c r="AC1464" i="1" s="1"/>
  <c r="AB1465" i="1"/>
  <c r="AC1465" i="1" s="1" a="1"/>
  <c r="AC1465" i="1" s="1"/>
  <c r="AB1466" i="1"/>
  <c r="AC1466" i="1" s="1" a="1"/>
  <c r="AC1466" i="1" s="1"/>
  <c r="AB1467" i="1"/>
  <c r="AC1467" i="1" s="1" a="1"/>
  <c r="AC1467" i="1" s="1"/>
  <c r="AB1468" i="1"/>
  <c r="AC1468" i="1" s="1" a="1"/>
  <c r="AC1468" i="1" s="1"/>
  <c r="AB1469" i="1"/>
  <c r="AC1469" i="1" s="1" a="1"/>
  <c r="AC1469" i="1" s="1"/>
  <c r="AB1470" i="1"/>
  <c r="AC1470" i="1" s="1" a="1"/>
  <c r="AC1470" i="1" s="1"/>
  <c r="AB1471" i="1"/>
  <c r="AC1471" i="1" s="1" a="1"/>
  <c r="AC1471" i="1" s="1"/>
  <c r="AB1472" i="1"/>
  <c r="AC1472" i="1" s="1" a="1"/>
  <c r="AC1472" i="1" s="1"/>
  <c r="AB1473" i="1"/>
  <c r="AC1473" i="1" s="1" a="1"/>
  <c r="AC1473" i="1" s="1"/>
  <c r="AB1474" i="1"/>
  <c r="AC1474" i="1" s="1" a="1"/>
  <c r="AC1474" i="1" s="1"/>
  <c r="AB1475" i="1"/>
  <c r="AC1475" i="1" s="1" a="1"/>
  <c r="AC1475" i="1" s="1"/>
  <c r="AB1476" i="1"/>
  <c r="AC1476" i="1" s="1" a="1"/>
  <c r="AC1476" i="1" s="1"/>
  <c r="AB1477" i="1"/>
  <c r="AC1477" i="1" s="1" a="1"/>
  <c r="AB1478" i="1"/>
  <c r="AC1478" i="1" s="1" a="1"/>
  <c r="AC1478" i="1" s="1"/>
  <c r="AB1479" i="1"/>
  <c r="AC1479" i="1" s="1" a="1"/>
  <c r="AC1479" i="1" s="1"/>
  <c r="AB1480" i="1"/>
  <c r="AC1480" i="1" s="1" a="1"/>
  <c r="AC1480" i="1" s="1"/>
  <c r="AB1481" i="1"/>
  <c r="AC1481" i="1" s="1" a="1"/>
  <c r="AC1481" i="1" s="1"/>
  <c r="AB1482" i="1"/>
  <c r="AC1482" i="1" s="1" a="1"/>
  <c r="AC1482" i="1" s="1"/>
  <c r="AB1483" i="1"/>
  <c r="AC1483" i="1" s="1" a="1"/>
  <c r="AC1483" i="1" s="1"/>
  <c r="AB1484" i="1"/>
  <c r="AC1484" i="1" s="1" a="1"/>
  <c r="AC1484" i="1" s="1"/>
  <c r="AB1485" i="1"/>
  <c r="AC1485" i="1" s="1" a="1"/>
  <c r="AC1485" i="1" s="1"/>
  <c r="AB1486" i="1"/>
  <c r="AC1486" i="1" s="1" a="1"/>
  <c r="AC1486" i="1" s="1"/>
  <c r="AB1487" i="1"/>
  <c r="AC1487" i="1" s="1" a="1"/>
  <c r="AC1487" i="1" s="1"/>
  <c r="AB1488" i="1"/>
  <c r="AC1488" i="1" s="1" a="1"/>
  <c r="AC1488" i="1" s="1"/>
  <c r="AB1489" i="1"/>
  <c r="AC1489" i="1" s="1" a="1"/>
  <c r="AC1489" i="1" s="1"/>
  <c r="AB1490" i="1"/>
  <c r="AC1490" i="1" s="1" a="1"/>
  <c r="AC1490" i="1" s="1"/>
  <c r="AB1491" i="1"/>
  <c r="AC1491" i="1" s="1" a="1"/>
  <c r="AC1491" i="1" s="1"/>
  <c r="AB1492" i="1"/>
  <c r="AC1492" i="1" s="1" a="1"/>
  <c r="AC1492" i="1" s="1"/>
  <c r="AB1493" i="1"/>
  <c r="AB1494" i="1"/>
  <c r="AB1495" i="1"/>
  <c r="AC1495" i="1" s="1" a="1"/>
  <c r="AC1495" i="1" s="1"/>
  <c r="AB1496" i="1"/>
  <c r="AC1496" i="1" s="1" a="1"/>
  <c r="AC1496" i="1" s="1"/>
  <c r="AB1497" i="1"/>
  <c r="AC1497" i="1" s="1" a="1"/>
  <c r="AC1497" i="1" s="1"/>
  <c r="AB1498" i="1"/>
  <c r="AC1498" i="1" s="1" a="1"/>
  <c r="AC1498" i="1" s="1"/>
  <c r="AB1499" i="1"/>
  <c r="AB1500" i="1"/>
  <c r="AC1500" i="1" s="1" a="1"/>
  <c r="AC1500" i="1" s="1"/>
  <c r="AB1501" i="1"/>
  <c r="AC1501" i="1" s="1" a="1"/>
  <c r="AC1501" i="1" s="1"/>
  <c r="AB1502" i="1"/>
  <c r="AC1502" i="1" s="1" a="1"/>
  <c r="AC1502" i="1" s="1"/>
  <c r="AB1503" i="1"/>
  <c r="AC1503" i="1" s="1" a="1"/>
  <c r="AC1503" i="1" s="1"/>
  <c r="AB1504" i="1"/>
  <c r="AC1504" i="1" s="1" a="1"/>
  <c r="AC1504" i="1" s="1"/>
  <c r="AB1505" i="1"/>
  <c r="AC1505" i="1" s="1" a="1"/>
  <c r="AC1505" i="1" s="1"/>
  <c r="AB1506" i="1"/>
  <c r="AC1506" i="1" s="1" a="1"/>
  <c r="AC1506" i="1" s="1"/>
  <c r="AB1507" i="1"/>
  <c r="AC1507" i="1" s="1" a="1"/>
  <c r="AC1507" i="1" s="1"/>
  <c r="AB1508" i="1"/>
  <c r="AC1508" i="1" s="1" a="1"/>
  <c r="AC1508" i="1" s="1"/>
  <c r="AB1509" i="1"/>
  <c r="AC1509" i="1" s="1" a="1"/>
  <c r="AC1509" i="1" s="1"/>
  <c r="AB1510" i="1"/>
  <c r="AC1510" i="1" s="1" a="1"/>
  <c r="AB1511" i="1"/>
  <c r="AC1511" i="1" s="1" a="1"/>
  <c r="AC1511" i="1" s="1"/>
  <c r="AB1512" i="1"/>
  <c r="AB1513" i="1"/>
  <c r="AC1513" i="1" s="1" a="1"/>
  <c r="AC1513" i="1" s="1"/>
  <c r="AB1514" i="1"/>
  <c r="AC1514" i="1" s="1" a="1"/>
  <c r="AC1514" i="1" s="1"/>
  <c r="AB1515" i="1"/>
  <c r="AC1515" i="1" s="1" a="1"/>
  <c r="AC1515" i="1" s="1"/>
  <c r="AB1516" i="1"/>
  <c r="AC1516" i="1" s="1" a="1"/>
  <c r="AC1516" i="1" s="1"/>
  <c r="AB1517" i="1"/>
  <c r="AC1517" i="1" s="1" a="1"/>
  <c r="AC1517" i="1" s="1"/>
  <c r="AB1518" i="1"/>
  <c r="AC1518" i="1" s="1" a="1"/>
  <c r="AC1518" i="1" s="1"/>
  <c r="AB1519" i="1"/>
  <c r="AC1519" i="1" s="1" a="1"/>
  <c r="AC1519" i="1" s="1"/>
  <c r="AB1520" i="1"/>
  <c r="AC1520" i="1" s="1" a="1"/>
  <c r="AC1520" i="1" s="1"/>
  <c r="AB1521" i="1"/>
  <c r="AC1521" i="1" s="1" a="1"/>
  <c r="AB1522" i="1"/>
  <c r="AC1522" i="1" s="1" a="1"/>
  <c r="AC1522" i="1" s="1"/>
  <c r="AB1523" i="1"/>
  <c r="AC1523" i="1" s="1" a="1"/>
  <c r="AC1523" i="1" s="1"/>
  <c r="AB1524" i="1"/>
  <c r="AC1524" i="1" s="1" a="1"/>
  <c r="AC1524" i="1" s="1"/>
  <c r="AB1525" i="1"/>
  <c r="AB1526" i="1"/>
  <c r="AC1526" i="1" s="1" a="1"/>
  <c r="AC1526" i="1" s="1"/>
  <c r="AB1527" i="1"/>
  <c r="AC1527" i="1" s="1" a="1"/>
  <c r="AC1527" i="1" s="1"/>
  <c r="AB1528" i="1"/>
  <c r="AB1529" i="1"/>
  <c r="AC1529" i="1" s="1" a="1"/>
  <c r="AC1529" i="1" s="1"/>
  <c r="AB1530" i="1"/>
  <c r="AC1530" i="1" s="1" a="1"/>
  <c r="AC1530" i="1" s="1"/>
  <c r="AB1531" i="1"/>
  <c r="AC1531" i="1" s="1" a="1"/>
  <c r="AC1531" i="1" s="1"/>
  <c r="AB1532" i="1"/>
  <c r="AC1532" i="1" s="1" a="1"/>
  <c r="AC1532" i="1" s="1"/>
  <c r="AB1533" i="1"/>
  <c r="AC1533" i="1" s="1" a="1"/>
  <c r="AC1533" i="1" s="1"/>
  <c r="AB1534" i="1"/>
  <c r="AC1534" i="1" s="1" a="1"/>
  <c r="AC1534" i="1" s="1"/>
  <c r="AB1535" i="1"/>
  <c r="AC1535" i="1" s="1" a="1"/>
  <c r="AC1535" i="1" s="1"/>
  <c r="AB1536" i="1"/>
  <c r="AC1536" i="1" s="1" a="1"/>
  <c r="AC1536" i="1" s="1"/>
  <c r="AB1537" i="1"/>
  <c r="AC1537" i="1" s="1" a="1"/>
  <c r="AC1537" i="1" s="1"/>
  <c r="AB1538" i="1"/>
  <c r="AC1538" i="1" s="1" a="1"/>
  <c r="AC1538" i="1" s="1"/>
  <c r="AB1539" i="1"/>
  <c r="AC1539" i="1" s="1" a="1"/>
  <c r="AC1539" i="1" s="1"/>
  <c r="AB1540" i="1"/>
  <c r="AC1540" i="1" s="1" a="1"/>
  <c r="AC1540" i="1" s="1"/>
  <c r="AB1541" i="1"/>
  <c r="AC1541" i="1" s="1" a="1"/>
  <c r="AC1541" i="1" s="1"/>
  <c r="AB1542" i="1"/>
  <c r="AC1542" i="1" s="1" a="1"/>
  <c r="AC1542" i="1" s="1"/>
  <c r="AB1543" i="1"/>
  <c r="AC1543" i="1" s="1" a="1"/>
  <c r="AC1543" i="1" s="1"/>
  <c r="AB1544" i="1"/>
  <c r="AB1545" i="1"/>
  <c r="AC1545" i="1" s="1" a="1"/>
  <c r="AC1545" i="1" s="1"/>
  <c r="AB1546" i="1"/>
  <c r="AC1546" i="1" s="1" a="1"/>
  <c r="AC1546" i="1" s="1"/>
  <c r="AB1547" i="1"/>
  <c r="AC1547" i="1" s="1" a="1"/>
  <c r="AC1547" i="1" s="1"/>
  <c r="AB1548" i="1"/>
  <c r="AC1548" i="1" s="1" a="1"/>
  <c r="AC1548" i="1" s="1"/>
  <c r="AB1549" i="1"/>
  <c r="AC1549" i="1" s="1" a="1"/>
  <c r="AC1549" i="1" s="1"/>
  <c r="AB1550" i="1"/>
  <c r="AC1550" i="1" s="1" a="1"/>
  <c r="AC1550" i="1" s="1"/>
  <c r="AB1551" i="1"/>
  <c r="AC1551" i="1" s="1" a="1"/>
  <c r="AC1551" i="1" s="1"/>
  <c r="AB1552" i="1"/>
  <c r="AC1552" i="1" s="1" a="1"/>
  <c r="AC1552" i="1" s="1"/>
  <c r="AB1553" i="1"/>
  <c r="AC1553" i="1" s="1" a="1"/>
  <c r="AC1553" i="1" s="1"/>
  <c r="AB1554" i="1"/>
  <c r="AC1554" i="1" s="1" a="1"/>
  <c r="AC1554" i="1" s="1"/>
  <c r="AB1555" i="1"/>
  <c r="AC1555" i="1" s="1" a="1"/>
  <c r="AC1555" i="1" s="1"/>
  <c r="AB1556" i="1"/>
  <c r="AC1556" i="1" s="1" a="1"/>
  <c r="AC1556" i="1" s="1"/>
  <c r="AB1557" i="1"/>
  <c r="AC1557" i="1" s="1" a="1"/>
  <c r="AC1557" i="1" s="1"/>
  <c r="AB1558" i="1"/>
  <c r="AC1558" i="1" s="1" a="1"/>
  <c r="AC1558" i="1" s="1"/>
  <c r="AB1559" i="1"/>
  <c r="AC1559" i="1" s="1" a="1"/>
  <c r="AC1559" i="1" s="1"/>
  <c r="AB1560" i="1"/>
  <c r="AC1560" i="1" s="1" a="1"/>
  <c r="AC1560" i="1" s="1"/>
  <c r="AB1561" i="1"/>
  <c r="AC1561" i="1" s="1" a="1"/>
  <c r="AC1561" i="1" s="1"/>
  <c r="AB1562" i="1"/>
  <c r="AC1562" i="1" s="1" a="1"/>
  <c r="AC1562" i="1" s="1"/>
  <c r="AB1563" i="1"/>
  <c r="AC1563" i="1" s="1" a="1"/>
  <c r="AC1563" i="1" s="1"/>
  <c r="AB1564" i="1"/>
  <c r="AC1564" i="1" s="1" a="1"/>
  <c r="AC1564" i="1" s="1"/>
  <c r="AB1565" i="1"/>
  <c r="AC1565" i="1" s="1" a="1"/>
  <c r="AC1565" i="1" s="1"/>
  <c r="AB1566" i="1"/>
  <c r="AC1566" i="1" s="1" a="1"/>
  <c r="AC1566" i="1" s="1"/>
  <c r="AB1567" i="1"/>
  <c r="AC1567" i="1" s="1" a="1"/>
  <c r="AC1567" i="1" s="1"/>
  <c r="AB1568" i="1"/>
  <c r="AC1568" i="1" s="1" a="1"/>
  <c r="AC1568" i="1" s="1"/>
  <c r="AB1569" i="1"/>
  <c r="AC1569" i="1" s="1" a="1"/>
  <c r="AC1569" i="1" s="1"/>
  <c r="AB1570" i="1"/>
  <c r="AC1570" i="1" s="1" a="1"/>
  <c r="AC1570" i="1" s="1"/>
  <c r="AB1571" i="1"/>
  <c r="AC1571" i="1" s="1" a="1"/>
  <c r="AC1571" i="1" s="1"/>
  <c r="AB1572" i="1"/>
  <c r="AC1572" i="1" s="1" a="1"/>
  <c r="AC1572" i="1" s="1"/>
  <c r="AB1573" i="1"/>
  <c r="AC1573" i="1" s="1" a="1"/>
  <c r="AC1573" i="1" s="1"/>
  <c r="AB1574" i="1"/>
  <c r="AC1574" i="1" s="1" a="1"/>
  <c r="AC1574" i="1" s="1"/>
  <c r="AB1575" i="1"/>
  <c r="AC1575" i="1" s="1" a="1"/>
  <c r="AC1575" i="1" s="1"/>
  <c r="AB1576" i="1"/>
  <c r="AC1576" i="1" s="1" a="1"/>
  <c r="AC1576" i="1" s="1"/>
  <c r="AB1577" i="1"/>
  <c r="AC1577" i="1" s="1" a="1"/>
  <c r="AC1577" i="1" s="1"/>
  <c r="AB1578" i="1"/>
  <c r="AC1578" i="1" s="1" a="1"/>
  <c r="AC1578" i="1" s="1"/>
  <c r="AB1579" i="1"/>
  <c r="AC1579" i="1" s="1" a="1"/>
  <c r="AC1579" i="1" s="1"/>
  <c r="AB1580" i="1"/>
  <c r="AC1580" i="1" s="1" a="1"/>
  <c r="AC1580" i="1" s="1"/>
  <c r="AB1581" i="1"/>
  <c r="AC1581" i="1" s="1" a="1"/>
  <c r="AC1581" i="1" s="1"/>
  <c r="AB1582" i="1"/>
  <c r="AC1582" i="1" s="1" a="1"/>
  <c r="AC1582" i="1" s="1"/>
  <c r="AB1583" i="1"/>
  <c r="AC1583" i="1" s="1" a="1"/>
  <c r="AC1583" i="1" s="1"/>
  <c r="AB1584" i="1"/>
  <c r="AC1584" i="1" s="1" a="1"/>
  <c r="AC1584" i="1" s="1"/>
  <c r="AB1585" i="1"/>
  <c r="AC1585" i="1" s="1" a="1"/>
  <c r="AC1585" i="1" s="1"/>
  <c r="AB1586" i="1"/>
  <c r="AC1586" i="1" s="1" a="1"/>
  <c r="AB1587" i="1"/>
  <c r="AC1587" i="1" s="1" a="1"/>
  <c r="AC1587" i="1" s="1"/>
  <c r="AB1588" i="1"/>
  <c r="AC1588" i="1" s="1" a="1"/>
  <c r="AC1588" i="1" s="1"/>
  <c r="AB1589" i="1"/>
  <c r="AB1590" i="1"/>
  <c r="AC1590" i="1" s="1" a="1"/>
  <c r="AC1590" i="1" s="1"/>
  <c r="AB1591" i="1"/>
  <c r="AC1591" i="1" s="1" a="1"/>
  <c r="AC1591" i="1" s="1"/>
  <c r="AB1592" i="1"/>
  <c r="AC1592" i="1" s="1" a="1"/>
  <c r="AC1592" i="1" s="1"/>
  <c r="AB1593" i="1"/>
  <c r="AC1593" i="1" s="1" a="1"/>
  <c r="AC1593" i="1" s="1"/>
  <c r="AB1594" i="1"/>
  <c r="AC1594" i="1" s="1" a="1"/>
  <c r="AC1594" i="1" s="1"/>
  <c r="AB1595" i="1"/>
  <c r="AC1595" i="1" s="1" a="1"/>
  <c r="AC1595" i="1" s="1"/>
  <c r="AB1596" i="1"/>
  <c r="AC1596" i="1" s="1" a="1"/>
  <c r="AC1596" i="1" s="1"/>
  <c r="AB1597" i="1"/>
  <c r="AC1597" i="1" s="1" a="1"/>
  <c r="AC1597" i="1" s="1"/>
  <c r="AB1598" i="1"/>
  <c r="AC1598" i="1" s="1" a="1"/>
  <c r="AC1598" i="1" s="1"/>
  <c r="AB1599" i="1"/>
  <c r="AC1599" i="1" s="1" a="1"/>
  <c r="AC1599" i="1" s="1"/>
  <c r="AB1600" i="1"/>
  <c r="AC1600" i="1" s="1" a="1"/>
  <c r="AC1600" i="1" s="1"/>
  <c r="AB1601" i="1"/>
  <c r="AC1601" i="1" s="1" a="1"/>
  <c r="AC1601" i="1" s="1"/>
  <c r="AB1602" i="1"/>
  <c r="AC1602" i="1" s="1" a="1"/>
  <c r="AC1602" i="1" s="1"/>
  <c r="AB1603" i="1"/>
  <c r="AC1603" i="1" s="1" a="1"/>
  <c r="AC1603" i="1" s="1"/>
  <c r="AB1604" i="1"/>
  <c r="AC1604" i="1" s="1" a="1"/>
  <c r="AC1604" i="1" s="1"/>
  <c r="AB1605" i="1"/>
  <c r="AC1605" i="1" s="1" a="1"/>
  <c r="AC1605" i="1" s="1"/>
  <c r="AB1606" i="1"/>
  <c r="AC1606" i="1" s="1" a="1"/>
  <c r="AC1606" i="1" s="1"/>
  <c r="AB1607" i="1"/>
  <c r="AC1607" i="1" s="1" a="1"/>
  <c r="AC1607" i="1" s="1"/>
  <c r="AB1608" i="1"/>
  <c r="AC1608" i="1" s="1" a="1"/>
  <c r="AC1608" i="1" s="1"/>
  <c r="AB1609" i="1"/>
  <c r="AC1609" i="1" s="1" a="1"/>
  <c r="AC1609" i="1" s="1"/>
  <c r="AB1610" i="1"/>
  <c r="AC1610" i="1" s="1" a="1"/>
  <c r="AC1610" i="1" s="1"/>
  <c r="AB1611" i="1"/>
  <c r="AC1611" i="1" s="1" a="1"/>
  <c r="AC1611" i="1" s="1"/>
  <c r="AB1612" i="1"/>
  <c r="AC1612" i="1" s="1" a="1"/>
  <c r="AC1612" i="1" s="1"/>
  <c r="AB1613" i="1"/>
  <c r="AC1613" i="1" s="1" a="1"/>
  <c r="AC1613" i="1" s="1"/>
  <c r="AB1614" i="1"/>
  <c r="AC1614" i="1" s="1" a="1"/>
  <c r="AC1614" i="1" s="1"/>
  <c r="AB1615" i="1"/>
  <c r="AC1615" i="1" s="1" a="1"/>
  <c r="AC1615" i="1" s="1"/>
  <c r="AB1616" i="1"/>
  <c r="AC1616" i="1" s="1" a="1"/>
  <c r="AC1616" i="1" s="1"/>
  <c r="AB1617" i="1"/>
  <c r="AC1617" i="1" s="1" a="1"/>
  <c r="AC1617" i="1" s="1"/>
  <c r="AB1618" i="1"/>
  <c r="AC1618" i="1" s="1" a="1"/>
  <c r="AC1618" i="1" s="1"/>
  <c r="AB1619" i="1"/>
  <c r="AC1619" i="1" s="1" a="1"/>
  <c r="AC1619" i="1" s="1"/>
  <c r="AB1620" i="1"/>
  <c r="AB1621" i="1"/>
  <c r="AB1622" i="1"/>
  <c r="AC1622" i="1" s="1" a="1"/>
  <c r="AC1622" i="1" s="1"/>
  <c r="AB1623" i="1"/>
  <c r="AC1623" i="1" s="1" a="1"/>
  <c r="AC1623" i="1" s="1"/>
  <c r="AB1624" i="1"/>
  <c r="AB1625" i="1"/>
  <c r="AC1625" i="1" s="1" a="1"/>
  <c r="AC1625" i="1" s="1"/>
  <c r="AB1626" i="1"/>
  <c r="AC1626" i="1" s="1" a="1"/>
  <c r="AC1626" i="1" s="1"/>
  <c r="AB1627" i="1"/>
  <c r="AC1627" i="1" s="1" a="1"/>
  <c r="AC1627" i="1" s="1"/>
  <c r="AB1628" i="1"/>
  <c r="AC1628" i="1" s="1" a="1"/>
  <c r="AC1628" i="1" s="1"/>
  <c r="AB1629" i="1"/>
  <c r="AC1629" i="1" s="1" a="1"/>
  <c r="AC1629" i="1" s="1"/>
  <c r="AB1630" i="1"/>
  <c r="AC1630" i="1" s="1" a="1"/>
  <c r="AC1630" i="1" s="1"/>
  <c r="AB1631" i="1"/>
  <c r="AC1631" i="1" s="1" a="1"/>
  <c r="AC1631" i="1" s="1"/>
  <c r="AB1632" i="1"/>
  <c r="AC1632" i="1" s="1" a="1"/>
  <c r="AC1632" i="1" s="1"/>
  <c r="AB1633" i="1"/>
  <c r="AC1633" i="1" s="1" a="1"/>
  <c r="AC1633" i="1" s="1"/>
  <c r="AB1634" i="1"/>
  <c r="AC1634" i="1" s="1" a="1"/>
  <c r="AC1634" i="1" s="1"/>
  <c r="AB1635" i="1"/>
  <c r="AB1636" i="1"/>
  <c r="AC1636" i="1" s="1" a="1"/>
  <c r="AC1636" i="1" s="1"/>
  <c r="AB1637" i="1"/>
  <c r="AC1637" i="1" s="1" a="1"/>
  <c r="AC1637" i="1" s="1"/>
  <c r="AB1638" i="1"/>
  <c r="AC1638" i="1" s="1" a="1"/>
  <c r="AC1638" i="1" s="1"/>
  <c r="AB1639" i="1"/>
  <c r="AC1639" i="1" s="1" a="1"/>
  <c r="AC1639" i="1" s="1"/>
  <c r="AB1640" i="1"/>
  <c r="AC1640" i="1" s="1" a="1"/>
  <c r="AC1640" i="1" s="1"/>
  <c r="AB1641" i="1"/>
  <c r="AC1641" i="1" s="1" a="1"/>
  <c r="AC1641" i="1" s="1"/>
  <c r="AB1642" i="1"/>
  <c r="AC1642" i="1" s="1" a="1"/>
  <c r="AC1642" i="1" s="1"/>
  <c r="AB1643" i="1"/>
  <c r="AC1643" i="1" s="1" a="1"/>
  <c r="AC1643" i="1" s="1"/>
  <c r="AB1644" i="1"/>
  <c r="AC1644" i="1" s="1" a="1"/>
  <c r="AC1644" i="1" s="1"/>
  <c r="AB1645" i="1"/>
  <c r="AC1645" i="1" s="1" a="1"/>
  <c r="AC1645" i="1" s="1"/>
  <c r="AB1646" i="1"/>
  <c r="AC1646" i="1" s="1" a="1"/>
  <c r="AC1646" i="1" s="1"/>
  <c r="AB1647" i="1"/>
  <c r="AC1647" i="1" s="1" a="1"/>
  <c r="AC1647" i="1" s="1"/>
  <c r="AB1648" i="1"/>
  <c r="AC1648" i="1" s="1" a="1"/>
  <c r="AC1648" i="1" s="1"/>
  <c r="AB1649" i="1"/>
  <c r="AC1649" i="1" s="1" a="1"/>
  <c r="AC1649" i="1" s="1"/>
  <c r="AB1650" i="1"/>
  <c r="AC1650" i="1" s="1" a="1"/>
  <c r="AC1650" i="1" s="1"/>
  <c r="AB1651" i="1"/>
  <c r="AC1651" i="1" s="1" a="1"/>
  <c r="AC1651" i="1" s="1"/>
  <c r="AB1652" i="1"/>
  <c r="AC1652" i="1" s="1" a="1"/>
  <c r="AC1652" i="1" s="1"/>
  <c r="AB1653" i="1"/>
  <c r="AC1653" i="1" s="1" a="1"/>
  <c r="AC1653" i="1" s="1"/>
  <c r="AB1654" i="1"/>
  <c r="AC1654" i="1" s="1" a="1"/>
  <c r="AC1654" i="1" s="1"/>
  <c r="AB1655" i="1"/>
  <c r="AC1655" i="1" s="1" a="1"/>
  <c r="AC1655" i="1" s="1"/>
  <c r="AB1656" i="1"/>
  <c r="AC1656" i="1" s="1" a="1"/>
  <c r="AC1656" i="1" s="1"/>
  <c r="AB1657" i="1"/>
  <c r="AC1657" i="1" s="1" a="1"/>
  <c r="AC1657" i="1" s="1"/>
  <c r="AB1658" i="1"/>
  <c r="AC1658" i="1" s="1" a="1"/>
  <c r="AC1658" i="1" s="1"/>
  <c r="AB1659" i="1"/>
  <c r="AC1659" i="1" s="1" a="1"/>
  <c r="AC1659" i="1" s="1"/>
  <c r="AB1660" i="1"/>
  <c r="AC1660" i="1" s="1" a="1"/>
  <c r="AC1660" i="1" s="1"/>
  <c r="AB1661" i="1"/>
  <c r="AC1661" i="1" s="1" a="1"/>
  <c r="AC1661" i="1" s="1"/>
  <c r="AB1662" i="1"/>
  <c r="AC1662" i="1" s="1" a="1"/>
  <c r="AC1662" i="1" s="1"/>
  <c r="AB1663" i="1"/>
  <c r="AC1663" i="1" s="1" a="1"/>
  <c r="AC1663" i="1" s="1"/>
  <c r="AB1664" i="1"/>
  <c r="AC1664" i="1" s="1" a="1"/>
  <c r="AC1664" i="1" s="1"/>
  <c r="AB1665" i="1"/>
  <c r="AC1665" i="1" s="1" a="1"/>
  <c r="AC1665" i="1" s="1"/>
  <c r="AB1666" i="1"/>
  <c r="AC1666" i="1" s="1" a="1"/>
  <c r="AC1666" i="1" s="1"/>
  <c r="AB1667" i="1"/>
  <c r="AC1667" i="1" s="1" a="1"/>
  <c r="AC1667" i="1" s="1"/>
  <c r="AB1668" i="1"/>
  <c r="AC1668" i="1" s="1" a="1"/>
  <c r="AC1668" i="1" s="1"/>
  <c r="AB1669" i="1"/>
  <c r="AC1669" i="1" s="1" a="1"/>
  <c r="AC1669" i="1" s="1"/>
  <c r="AB1670" i="1"/>
  <c r="AC1670" i="1" s="1" a="1"/>
  <c r="AC1670" i="1" s="1"/>
  <c r="AB1671" i="1"/>
  <c r="AC1671" i="1" s="1" a="1"/>
  <c r="AC1671" i="1" s="1"/>
  <c r="AB1672" i="1"/>
  <c r="AC1672" i="1" s="1" a="1"/>
  <c r="AC1672" i="1" s="1"/>
  <c r="AB1673" i="1"/>
  <c r="AC1673" i="1" s="1" a="1"/>
  <c r="AC1673" i="1" s="1"/>
  <c r="AB1674" i="1"/>
  <c r="AC1674" i="1" s="1" a="1"/>
  <c r="AC1674" i="1" s="1"/>
  <c r="AB1675" i="1"/>
  <c r="AC1675" i="1" s="1" a="1"/>
  <c r="AC1675" i="1" s="1"/>
  <c r="AB1676" i="1"/>
  <c r="AC1676" i="1" s="1" a="1"/>
  <c r="AC1676" i="1" s="1"/>
  <c r="AB1677" i="1"/>
  <c r="AC1677" i="1" s="1" a="1"/>
  <c r="AC1677" i="1" s="1"/>
  <c r="AB1678" i="1"/>
  <c r="AC1678" i="1" s="1" a="1"/>
  <c r="AC1678" i="1" s="1"/>
  <c r="AB1679" i="1"/>
  <c r="AC1679" i="1" s="1" a="1"/>
  <c r="AC1679" i="1" s="1"/>
  <c r="AB1680" i="1"/>
  <c r="AC1680" i="1" s="1" a="1"/>
  <c r="AC1680" i="1" s="1"/>
  <c r="AB1681" i="1"/>
  <c r="AC1681" i="1" s="1" a="1"/>
  <c r="AC1681" i="1" s="1"/>
  <c r="AB1682" i="1"/>
  <c r="AC1682" i="1" s="1" a="1"/>
  <c r="AC1682" i="1" s="1"/>
  <c r="AB1683" i="1"/>
  <c r="AC1683" i="1" s="1" a="1"/>
  <c r="AC1683" i="1" s="1"/>
  <c r="AB1684" i="1"/>
  <c r="AC1684" i="1" s="1" a="1"/>
  <c r="AC1684" i="1" s="1"/>
  <c r="AB1685" i="1"/>
  <c r="AC1685" i="1" s="1" a="1"/>
  <c r="AC1685" i="1" s="1"/>
  <c r="AB1686" i="1"/>
  <c r="AC1686" i="1" s="1" a="1"/>
  <c r="AC1686" i="1" s="1"/>
  <c r="AB1687" i="1"/>
  <c r="AC1687" i="1" s="1" a="1"/>
  <c r="AC1687" i="1" s="1"/>
  <c r="AB1688" i="1"/>
  <c r="AC1688" i="1" s="1" a="1"/>
  <c r="AC1688" i="1" s="1"/>
  <c r="AB1689" i="1"/>
  <c r="AC1689" i="1" s="1" a="1"/>
  <c r="AC1689" i="1" s="1"/>
  <c r="AB1690" i="1"/>
  <c r="AC1690" i="1" s="1" a="1"/>
  <c r="AC1690" i="1" s="1"/>
  <c r="AB1691" i="1"/>
  <c r="AC1691" i="1" s="1" a="1"/>
  <c r="AC1691" i="1" s="1"/>
  <c r="AB1692" i="1"/>
  <c r="AC1692" i="1" s="1" a="1"/>
  <c r="AC1692" i="1" s="1"/>
  <c r="AB1693" i="1"/>
  <c r="AC1693" i="1" s="1" a="1"/>
  <c r="AC1693" i="1" s="1"/>
  <c r="AB1694" i="1"/>
  <c r="AC1694" i="1" s="1" a="1"/>
  <c r="AC1694" i="1" s="1"/>
  <c r="AB1695" i="1"/>
  <c r="AC1695" i="1" s="1" a="1"/>
  <c r="AC1695" i="1" s="1"/>
  <c r="AB1696" i="1"/>
  <c r="AC1696" i="1" s="1" a="1"/>
  <c r="AC1696" i="1" s="1"/>
  <c r="AB1697" i="1"/>
  <c r="AC1697" i="1" s="1" a="1"/>
  <c r="AC1697" i="1" s="1"/>
  <c r="AB1698" i="1"/>
  <c r="AC1698" i="1" s="1" a="1"/>
  <c r="AC1698" i="1" s="1"/>
  <c r="AB1699" i="1"/>
  <c r="AC1699" i="1" s="1" a="1"/>
  <c r="AC1699" i="1" s="1"/>
  <c r="AB1700" i="1"/>
  <c r="AC1700" i="1" s="1" a="1"/>
  <c r="AC1700" i="1" s="1"/>
  <c r="AB1701" i="1"/>
  <c r="AC1701" i="1" s="1" a="1"/>
  <c r="AC1701" i="1" s="1"/>
  <c r="AB1702" i="1"/>
  <c r="AC1702" i="1" s="1" a="1"/>
  <c r="AC1702" i="1" s="1"/>
  <c r="AB1703" i="1"/>
  <c r="AC1703" i="1" s="1" a="1"/>
  <c r="AC1703" i="1" s="1"/>
  <c r="AB1704" i="1"/>
  <c r="AC1704" i="1" s="1" a="1"/>
  <c r="AC1704" i="1" s="1"/>
  <c r="AB1705" i="1"/>
  <c r="AC1705" i="1" s="1" a="1"/>
  <c r="AC1705" i="1" s="1"/>
  <c r="AB1706" i="1"/>
  <c r="AC1706" i="1" s="1" a="1"/>
  <c r="AC1706" i="1" s="1"/>
  <c r="AB1707" i="1"/>
  <c r="AC1707" i="1" s="1" a="1"/>
  <c r="AC1707" i="1" s="1"/>
  <c r="AB1708" i="1"/>
  <c r="AC1708" i="1" s="1" a="1"/>
  <c r="AC1708" i="1" s="1"/>
  <c r="AB1709" i="1"/>
  <c r="AC1709" i="1" s="1" a="1"/>
  <c r="AC1709" i="1" s="1"/>
  <c r="AB1710" i="1"/>
  <c r="AC1710" i="1" s="1" a="1"/>
  <c r="AC1710" i="1" s="1"/>
  <c r="AB1711" i="1"/>
  <c r="AC1711" i="1" s="1" a="1"/>
  <c r="AC1711" i="1" s="1"/>
  <c r="AB1712" i="1"/>
  <c r="AC1712" i="1" s="1" a="1"/>
  <c r="AC1712" i="1" s="1"/>
  <c r="AB1713" i="1"/>
  <c r="AC1713" i="1" s="1" a="1"/>
  <c r="AC1713" i="1" s="1"/>
  <c r="AB1714" i="1"/>
  <c r="AC1714" i="1" s="1" a="1"/>
  <c r="AC1714" i="1" s="1"/>
  <c r="AB1715" i="1"/>
  <c r="AC1715" i="1" s="1" a="1"/>
  <c r="AC1715" i="1" s="1"/>
  <c r="AB1716" i="1"/>
  <c r="AC1716" i="1" s="1" a="1"/>
  <c r="AC1716" i="1" s="1"/>
  <c r="AB1717" i="1"/>
  <c r="AC1717" i="1" s="1" a="1"/>
  <c r="AC1717" i="1" s="1"/>
  <c r="AB1718" i="1"/>
  <c r="AC1718" i="1" s="1" a="1"/>
  <c r="AC1718" i="1" s="1"/>
  <c r="AB1719" i="1"/>
  <c r="AC1719" i="1" s="1" a="1"/>
  <c r="AC1719" i="1" s="1"/>
  <c r="AB1720" i="1"/>
  <c r="AC1720" i="1" s="1" a="1"/>
  <c r="AC1720" i="1" s="1"/>
  <c r="AB1721" i="1"/>
  <c r="AC1721" i="1" s="1" a="1"/>
  <c r="AC1721" i="1" s="1"/>
  <c r="AB1722" i="1"/>
  <c r="AC1722" i="1" s="1" a="1"/>
  <c r="AC1722" i="1" s="1"/>
  <c r="AB1723" i="1"/>
  <c r="AC1723" i="1" s="1" a="1"/>
  <c r="AC1723" i="1" s="1"/>
  <c r="AB1724" i="1"/>
  <c r="AC1724" i="1" s="1" a="1"/>
  <c r="AC1724" i="1" s="1"/>
  <c r="AB1725" i="1"/>
  <c r="AC1725" i="1" s="1" a="1"/>
  <c r="AC1725" i="1" s="1"/>
  <c r="AB1726" i="1"/>
  <c r="AC1726" i="1" s="1" a="1"/>
  <c r="AC1726" i="1" s="1"/>
  <c r="AB1727" i="1"/>
  <c r="AC1727" i="1" s="1" a="1"/>
  <c r="AC1727" i="1" s="1"/>
  <c r="AB1728" i="1"/>
  <c r="AC1728" i="1" s="1" a="1"/>
  <c r="AC1728" i="1" s="1"/>
  <c r="AB1729" i="1"/>
  <c r="AC1729" i="1" s="1" a="1"/>
  <c r="AC1729" i="1" s="1"/>
  <c r="AB1730" i="1"/>
  <c r="AC1730" i="1" s="1" a="1"/>
  <c r="AC1730" i="1" s="1"/>
  <c r="AB1731" i="1"/>
  <c r="AC1731" i="1" s="1" a="1"/>
  <c r="AC1731" i="1" s="1"/>
  <c r="AB1732" i="1"/>
  <c r="AC1732" i="1" s="1" a="1"/>
  <c r="AC1732" i="1" s="1"/>
  <c r="AB1733" i="1"/>
  <c r="AC1733" i="1" s="1" a="1"/>
  <c r="AC1733" i="1" s="1"/>
  <c r="AB1734" i="1"/>
  <c r="AC1734" i="1" s="1" a="1"/>
  <c r="AC1734" i="1" s="1"/>
  <c r="AB1735" i="1"/>
  <c r="AC1735" i="1" s="1" a="1"/>
  <c r="AC1735" i="1" s="1"/>
  <c r="AB1736" i="1"/>
  <c r="AC1736" i="1" s="1" a="1"/>
  <c r="AB1737" i="1"/>
  <c r="AC1737" i="1" s="1" a="1"/>
  <c r="AC1737" i="1" s="1"/>
  <c r="AB1738" i="1"/>
  <c r="AC1738" i="1" s="1" a="1"/>
  <c r="AC1738" i="1" s="1"/>
  <c r="AB1739" i="1"/>
  <c r="AC1739" i="1" s="1" a="1"/>
  <c r="AC1739" i="1" s="1"/>
  <c r="AB1740" i="1"/>
  <c r="AC1740" i="1" s="1" a="1"/>
  <c r="AC1740" i="1" s="1"/>
  <c r="AB1741" i="1"/>
  <c r="AC1741" i="1" s="1" a="1"/>
  <c r="AC1741" i="1" s="1"/>
  <c r="AB1742" i="1"/>
  <c r="AC1742" i="1" s="1" a="1"/>
  <c r="AC1742" i="1" s="1"/>
  <c r="AB1743" i="1"/>
  <c r="AC1743" i="1" s="1" a="1"/>
  <c r="AC1743" i="1" s="1"/>
  <c r="AB1744" i="1"/>
  <c r="AC1744" i="1" s="1" a="1"/>
  <c r="AC1744" i="1" s="1"/>
  <c r="AB1745" i="1"/>
  <c r="AC1745" i="1" s="1" a="1"/>
  <c r="AC1745" i="1" s="1"/>
  <c r="AB1746" i="1"/>
  <c r="AC1746" i="1" s="1" a="1"/>
  <c r="AC1746" i="1" s="1"/>
  <c r="AB1747" i="1"/>
  <c r="AC1747" i="1" s="1" a="1"/>
  <c r="AC1747" i="1" s="1"/>
  <c r="AB1748" i="1"/>
  <c r="AC1748" i="1" s="1" a="1"/>
  <c r="AC1748" i="1" s="1"/>
  <c r="AB1749" i="1"/>
  <c r="AB1750" i="1"/>
  <c r="AC1750" i="1" s="1" a="1"/>
  <c r="AC1750" i="1" s="1"/>
  <c r="AB1751" i="1"/>
  <c r="AC1751" i="1" s="1" a="1"/>
  <c r="AC1751" i="1" s="1"/>
  <c r="AB1752" i="1"/>
  <c r="AC1752" i="1" s="1" a="1"/>
  <c r="AC1752" i="1" s="1"/>
  <c r="AB1753" i="1"/>
  <c r="AC1753" i="1" s="1" a="1"/>
  <c r="AC1753" i="1" s="1"/>
  <c r="AB1754" i="1"/>
  <c r="AB1755" i="1"/>
  <c r="AB1756" i="1"/>
  <c r="AC1756" i="1" s="1" a="1"/>
  <c r="AC1756" i="1" s="1"/>
  <c r="AB1757" i="1"/>
  <c r="AC1757" i="1" s="1" a="1"/>
  <c r="AC1757" i="1" s="1"/>
  <c r="AB1758" i="1"/>
  <c r="AC1758" i="1" s="1" a="1"/>
  <c r="AC1758" i="1" s="1"/>
  <c r="AB1759" i="1"/>
  <c r="AC1759" i="1" s="1" a="1"/>
  <c r="AC1759" i="1" s="1"/>
  <c r="AB1760" i="1"/>
  <c r="AC1760" i="1" s="1" a="1"/>
  <c r="AC1760" i="1" s="1"/>
  <c r="AB1761" i="1"/>
  <c r="AC1761" i="1" s="1" a="1"/>
  <c r="AC1761" i="1" s="1"/>
  <c r="AB1762" i="1"/>
  <c r="AC1762" i="1" s="1" a="1"/>
  <c r="AC1762" i="1" s="1"/>
  <c r="AB1763" i="1"/>
  <c r="AC1763" i="1" s="1" a="1"/>
  <c r="AC1763" i="1" s="1"/>
  <c r="AB1764" i="1"/>
  <c r="AC1764" i="1" s="1" a="1"/>
  <c r="AC1764" i="1" s="1"/>
  <c r="AB1765" i="1"/>
  <c r="AC1765" i="1" s="1" a="1"/>
  <c r="AC1765" i="1" s="1"/>
  <c r="AB1766" i="1"/>
  <c r="AC1766" i="1" s="1" a="1"/>
  <c r="AC1766" i="1" s="1"/>
  <c r="AB1767" i="1"/>
  <c r="AC1767" i="1" s="1" a="1"/>
  <c r="AC1767" i="1" s="1"/>
  <c r="AB1768" i="1"/>
  <c r="AC1768" i="1" s="1" a="1"/>
  <c r="AC1768" i="1" s="1"/>
  <c r="AB1769" i="1"/>
  <c r="AC1769" i="1" s="1" a="1"/>
  <c r="AC1769" i="1" s="1"/>
  <c r="AB1770" i="1"/>
  <c r="AC1770" i="1" s="1" a="1"/>
  <c r="AC1770" i="1" s="1"/>
  <c r="AB1771" i="1"/>
  <c r="AC1771" i="1" s="1" a="1"/>
  <c r="AC1771" i="1" s="1"/>
  <c r="AB1772" i="1"/>
  <c r="AC1772" i="1" s="1" a="1"/>
  <c r="AC1772" i="1" s="1"/>
  <c r="AB1773" i="1"/>
  <c r="AC1773" i="1" s="1" a="1"/>
  <c r="AC1773" i="1" s="1"/>
  <c r="AB1774" i="1"/>
  <c r="AC1774" i="1" s="1" a="1"/>
  <c r="AC1774" i="1" s="1"/>
  <c r="AB1775" i="1"/>
  <c r="AC1775" i="1" s="1" a="1"/>
  <c r="AC1775" i="1" s="1"/>
  <c r="AB1776" i="1"/>
  <c r="AC1776" i="1" s="1" a="1"/>
  <c r="AC1776" i="1" s="1"/>
  <c r="AB1777" i="1"/>
  <c r="AC1777" i="1" s="1" a="1"/>
  <c r="AB1778" i="1"/>
  <c r="AB1779" i="1"/>
  <c r="AC1779" i="1" s="1" a="1"/>
  <c r="AC1779" i="1" s="1"/>
  <c r="AB1780" i="1"/>
  <c r="AC1780" i="1" s="1" a="1"/>
  <c r="AC1780" i="1" s="1"/>
  <c r="AB1781" i="1"/>
  <c r="AB1782" i="1"/>
  <c r="AC1782" i="1" s="1" a="1"/>
  <c r="AC1782" i="1" s="1"/>
  <c r="AB1783" i="1"/>
  <c r="AC1783" i="1" s="1" a="1"/>
  <c r="AC1783" i="1" s="1"/>
  <c r="AB1784" i="1"/>
  <c r="AC1784" i="1" s="1" a="1"/>
  <c r="AC1784" i="1" s="1"/>
  <c r="AB1785" i="1"/>
  <c r="AC1785" i="1" s="1" a="1"/>
  <c r="AC1785" i="1" s="1"/>
  <c r="AB1786" i="1"/>
  <c r="AC1786" i="1" s="1" a="1"/>
  <c r="AC1786" i="1" s="1"/>
  <c r="AB1787" i="1"/>
  <c r="AC1787" i="1" s="1" a="1"/>
  <c r="AC1787" i="1" s="1"/>
  <c r="AB1788" i="1"/>
  <c r="AC1788" i="1" s="1" a="1"/>
  <c r="AC1788" i="1" s="1"/>
  <c r="AB1789" i="1"/>
  <c r="AC1789" i="1" s="1" a="1"/>
  <c r="AC1789" i="1" s="1"/>
  <c r="AB1790" i="1"/>
  <c r="AC1790" i="1" s="1" a="1"/>
  <c r="AC1790" i="1" s="1"/>
  <c r="AB1791" i="1"/>
  <c r="AC1791" i="1" s="1" a="1"/>
  <c r="AC1791" i="1" s="1"/>
  <c r="AB1792" i="1"/>
  <c r="AC1792" i="1" s="1" a="1"/>
  <c r="AC1792" i="1" s="1"/>
  <c r="AB1793" i="1"/>
  <c r="AC1793" i="1" s="1" a="1"/>
  <c r="AC1793" i="1" s="1"/>
  <c r="AB1794" i="1"/>
  <c r="AC1794" i="1" s="1" a="1"/>
  <c r="AC1794" i="1" s="1"/>
  <c r="AB1795" i="1"/>
  <c r="AC1795" i="1" s="1" a="1"/>
  <c r="AC1795" i="1" s="1"/>
  <c r="AB1796" i="1"/>
  <c r="AC1796" i="1" s="1" a="1"/>
  <c r="AC1796" i="1" s="1"/>
  <c r="AB1797" i="1"/>
  <c r="AB1798" i="1"/>
  <c r="AC1798" i="1" s="1" a="1"/>
  <c r="AB1799" i="1"/>
  <c r="AC1799" i="1" s="1" a="1"/>
  <c r="AC1799" i="1" s="1"/>
  <c r="AB1800" i="1"/>
  <c r="AC1800" i="1" s="1" a="1"/>
  <c r="AC1800" i="1" s="1"/>
  <c r="AB1801" i="1"/>
  <c r="AC1801" i="1" s="1" a="1"/>
  <c r="AC1801" i="1" s="1"/>
  <c r="AB1802" i="1"/>
  <c r="AC1802" i="1" s="1" a="1"/>
  <c r="AC1802" i="1" s="1"/>
  <c r="AB1803" i="1"/>
  <c r="AC1803" i="1" s="1" a="1"/>
  <c r="AC1803" i="1" s="1"/>
  <c r="AB1804" i="1"/>
  <c r="AC1804" i="1" s="1" a="1"/>
  <c r="AC1804" i="1" s="1"/>
  <c r="AB1805" i="1"/>
  <c r="AC1805" i="1" s="1" a="1"/>
  <c r="AC1805" i="1" s="1"/>
  <c r="AB1806" i="1"/>
  <c r="AC1806" i="1" s="1" a="1"/>
  <c r="AC1806" i="1" s="1"/>
  <c r="AB1807" i="1"/>
  <c r="AC1807" i="1" s="1" a="1"/>
  <c r="AC1807" i="1" s="1"/>
  <c r="AB1808" i="1"/>
  <c r="AC1808" i="1" s="1" a="1"/>
  <c r="AC1808" i="1" s="1"/>
  <c r="AB1809" i="1"/>
  <c r="AC1809" i="1" s="1" a="1"/>
  <c r="AC1809" i="1" s="1"/>
  <c r="AB1810" i="1"/>
  <c r="AC1810" i="1" s="1" a="1"/>
  <c r="AC1810" i="1" s="1"/>
  <c r="AB1811" i="1"/>
  <c r="AC1811" i="1" s="1" a="1"/>
  <c r="AC1811" i="1" s="1"/>
  <c r="AB1812" i="1"/>
  <c r="AC1812" i="1" s="1" a="1"/>
  <c r="AC1812" i="1" s="1"/>
  <c r="AB1813" i="1"/>
  <c r="AC1813" i="1" s="1" a="1"/>
  <c r="AC1813" i="1" s="1"/>
  <c r="AB1814" i="1"/>
  <c r="AC1814" i="1" s="1" a="1"/>
  <c r="AC1814" i="1" s="1"/>
  <c r="AB1815" i="1"/>
  <c r="AC1815" i="1" s="1" a="1"/>
  <c r="AC1815" i="1" s="1"/>
  <c r="AB1816" i="1"/>
  <c r="AC1816" i="1" s="1" a="1"/>
  <c r="AC1816" i="1" s="1"/>
  <c r="AB1817" i="1"/>
  <c r="AC1817" i="1" s="1" a="1"/>
  <c r="AC1817" i="1" s="1"/>
  <c r="AB1818" i="1"/>
  <c r="AC1818" i="1" s="1" a="1"/>
  <c r="AC1818" i="1" s="1"/>
  <c r="AB1819" i="1"/>
  <c r="AC1819" i="1" s="1" a="1"/>
  <c r="AC1819" i="1" s="1"/>
  <c r="AB1820" i="1"/>
  <c r="AC1820" i="1" s="1" a="1"/>
  <c r="AC1820" i="1" s="1"/>
  <c r="AB1821" i="1"/>
  <c r="AC1821" i="1" s="1" a="1"/>
  <c r="AC1821" i="1" s="1"/>
  <c r="AB1822" i="1"/>
  <c r="AC1822" i="1" s="1" a="1"/>
  <c r="AC1822" i="1" s="1"/>
  <c r="AB1823" i="1"/>
  <c r="AC1823" i="1" s="1" a="1"/>
  <c r="AC1823" i="1" s="1"/>
  <c r="AB1824" i="1"/>
  <c r="AC1824" i="1" s="1" a="1"/>
  <c r="AC1824" i="1" s="1"/>
  <c r="AB1825" i="1"/>
  <c r="AC1825" i="1" s="1" a="1"/>
  <c r="AC1825" i="1" s="1"/>
  <c r="AB1826" i="1"/>
  <c r="AC1826" i="1" s="1" a="1"/>
  <c r="AC1826" i="1" s="1"/>
  <c r="AB1827" i="1"/>
  <c r="AC1827" i="1" s="1" a="1"/>
  <c r="AC1827" i="1" s="1"/>
  <c r="AB1828" i="1"/>
  <c r="AC1828" i="1" s="1" a="1"/>
  <c r="AC1828" i="1" s="1"/>
  <c r="AB1829" i="1"/>
  <c r="AC1829" i="1" s="1" a="1"/>
  <c r="AC1829" i="1" s="1"/>
  <c r="AB1830" i="1"/>
  <c r="AC1830" i="1" s="1" a="1"/>
  <c r="AC1830" i="1" s="1"/>
  <c r="AB1831" i="1"/>
  <c r="AC1831" i="1" s="1" a="1"/>
  <c r="AC1831" i="1" s="1"/>
  <c r="AB1832" i="1"/>
  <c r="AC1832" i="1" s="1" a="1"/>
  <c r="AC1832" i="1" s="1"/>
  <c r="AB1833" i="1"/>
  <c r="AB1834" i="1"/>
  <c r="AB1835" i="1"/>
  <c r="AB1836" i="1"/>
  <c r="AC1836" i="1" s="1" a="1"/>
  <c r="AC1836" i="1" s="1"/>
  <c r="AB1837" i="1"/>
  <c r="AC1837" i="1" s="1" a="1"/>
  <c r="AC1837" i="1" s="1"/>
  <c r="AB1838" i="1"/>
  <c r="AC1838" i="1" s="1" a="1"/>
  <c r="AC1838" i="1" s="1"/>
  <c r="AB1839" i="1"/>
  <c r="AC1839" i="1" s="1" a="1"/>
  <c r="AC1839" i="1" s="1"/>
  <c r="AB1840" i="1"/>
  <c r="AC1840" i="1" s="1" a="1"/>
  <c r="AC1840" i="1" s="1"/>
  <c r="AB1841" i="1"/>
  <c r="AC1841" i="1" s="1" a="1"/>
  <c r="AC1841" i="1" s="1"/>
  <c r="AB1842" i="1"/>
  <c r="AC1842" i="1" s="1" a="1"/>
  <c r="AC1842" i="1" s="1"/>
  <c r="AB1843" i="1"/>
  <c r="AC1843" i="1" s="1" a="1"/>
  <c r="AC1843" i="1" s="1"/>
  <c r="AB1844" i="1"/>
  <c r="AC1844" i="1" s="1" a="1"/>
  <c r="AC1844" i="1" s="1"/>
  <c r="AB1845" i="1"/>
  <c r="AC1845" i="1" s="1" a="1"/>
  <c r="AC1845" i="1" s="1"/>
  <c r="AB1846" i="1"/>
  <c r="AC1846" i="1" s="1" a="1"/>
  <c r="AC1846" i="1" s="1"/>
  <c r="AB1847" i="1"/>
  <c r="AC1847" i="1" s="1" a="1"/>
  <c r="AC1847" i="1" s="1"/>
  <c r="AB1848" i="1"/>
  <c r="AC1848" i="1" s="1" a="1"/>
  <c r="AC1848" i="1" s="1"/>
  <c r="AB1849" i="1"/>
  <c r="AC1849" i="1" s="1" a="1"/>
  <c r="AC1849" i="1" s="1"/>
  <c r="AB1850" i="1"/>
  <c r="AC1850" i="1" s="1" a="1"/>
  <c r="AC1850" i="1" s="1"/>
  <c r="AB1851" i="1"/>
  <c r="AC1851" i="1" s="1" a="1"/>
  <c r="AC1851" i="1" s="1"/>
  <c r="AB1852" i="1"/>
  <c r="AC1852" i="1" s="1" a="1"/>
  <c r="AC1852" i="1" s="1"/>
  <c r="AB1853" i="1"/>
  <c r="AC1853" i="1" s="1" a="1"/>
  <c r="AC1853" i="1" s="1"/>
  <c r="AB1854" i="1"/>
  <c r="AC1854" i="1" s="1" a="1"/>
  <c r="AC1854" i="1" s="1"/>
  <c r="AB1855" i="1"/>
  <c r="AC1855" i="1" s="1" a="1"/>
  <c r="AC1855" i="1" s="1"/>
  <c r="AB1856" i="1"/>
  <c r="AC1856" i="1" s="1" a="1"/>
  <c r="AC1856" i="1" s="1"/>
  <c r="AB1857" i="1"/>
  <c r="AC1857" i="1" s="1" a="1"/>
  <c r="AC1857" i="1" s="1"/>
  <c r="AB1858" i="1"/>
  <c r="AC1858" i="1" s="1" a="1"/>
  <c r="AC1858" i="1" s="1"/>
  <c r="AB1859" i="1"/>
  <c r="AC1859" i="1" s="1" a="1"/>
  <c r="AC1859" i="1" s="1"/>
  <c r="AB1860" i="1"/>
  <c r="AC1860" i="1" s="1" a="1"/>
  <c r="AC1860" i="1" s="1"/>
  <c r="AB1861" i="1"/>
  <c r="AB1862" i="1"/>
  <c r="AB1863" i="1"/>
  <c r="AC1863" i="1" s="1" a="1"/>
  <c r="AC1863" i="1" s="1"/>
  <c r="AB1864" i="1"/>
  <c r="AC1864" i="1" s="1" a="1"/>
  <c r="AC1864" i="1" s="1"/>
  <c r="AB1865" i="1"/>
  <c r="AB1866" i="1"/>
  <c r="AC1866" i="1" s="1" a="1"/>
  <c r="AC1866" i="1" s="1"/>
  <c r="AB1867" i="1"/>
  <c r="AC1867" i="1" s="1" a="1"/>
  <c r="AC1867" i="1" s="1"/>
  <c r="AB1868" i="1"/>
  <c r="AC1868" i="1" s="1" a="1"/>
  <c r="AC1868" i="1" s="1"/>
  <c r="AB1869" i="1"/>
  <c r="AC1869" i="1" s="1" a="1"/>
  <c r="AC1869" i="1" s="1"/>
  <c r="AB1870" i="1"/>
  <c r="AC1870" i="1" s="1" a="1"/>
  <c r="AC1870" i="1" s="1"/>
  <c r="AB1871" i="1"/>
  <c r="AC1871" i="1" s="1" a="1"/>
  <c r="AC1871" i="1" s="1"/>
  <c r="AB1872" i="1"/>
  <c r="AC1872" i="1" s="1" a="1"/>
  <c r="AC1872" i="1" s="1"/>
  <c r="AB1873" i="1"/>
  <c r="AC1873" i="1" s="1" a="1"/>
  <c r="AC1873" i="1" s="1"/>
  <c r="AB1874" i="1"/>
  <c r="AC1874" i="1" s="1" a="1"/>
  <c r="AC1874" i="1" s="1"/>
  <c r="AB1875" i="1"/>
  <c r="AC1875" i="1" s="1" a="1"/>
  <c r="AC1875" i="1" s="1"/>
  <c r="AB1876" i="1"/>
  <c r="AC1876" i="1" s="1" a="1"/>
  <c r="AC1876" i="1" s="1"/>
  <c r="AB1877" i="1"/>
  <c r="AB1878" i="1"/>
  <c r="AB1879" i="1"/>
  <c r="AB1880" i="1"/>
  <c r="AC1880" i="1" s="1" a="1"/>
  <c r="AC1880" i="1" s="1"/>
  <c r="AB1881" i="1"/>
  <c r="AC1881" i="1" s="1" a="1"/>
  <c r="AC1881" i="1" s="1"/>
  <c r="AB1882" i="1"/>
  <c r="AC1882" i="1" s="1" a="1"/>
  <c r="AC1882" i="1" s="1"/>
  <c r="AB1883" i="1"/>
  <c r="AC1883" i="1" s="1" a="1"/>
  <c r="AC1883" i="1" s="1"/>
  <c r="AB1884" i="1"/>
  <c r="AC1884" i="1" s="1" a="1"/>
  <c r="AC1884" i="1" s="1"/>
  <c r="AB1885" i="1"/>
  <c r="AC1885" i="1" s="1" a="1"/>
  <c r="AC1885" i="1" s="1"/>
  <c r="AB1886" i="1"/>
  <c r="AC1886" i="1" s="1" a="1"/>
  <c r="AC1886" i="1" s="1"/>
  <c r="AB1887" i="1"/>
  <c r="AC1887" i="1" s="1" a="1"/>
  <c r="AC1887" i="1" s="1"/>
  <c r="AB1888" i="1"/>
  <c r="AC1888" i="1" s="1" a="1"/>
  <c r="AC1888" i="1" s="1"/>
  <c r="AB1889" i="1"/>
  <c r="AC1889" i="1" s="1" a="1"/>
  <c r="AC1889" i="1" s="1"/>
  <c r="AB1890" i="1"/>
  <c r="AC1890" i="1" s="1" a="1"/>
  <c r="AC1890" i="1" s="1"/>
  <c r="AB1891" i="1"/>
  <c r="AC1891" i="1" s="1" a="1"/>
  <c r="AC1891" i="1" s="1"/>
  <c r="AB1892" i="1"/>
  <c r="AC1892" i="1" s="1" a="1"/>
  <c r="AC1892" i="1" s="1"/>
  <c r="AB1893" i="1"/>
  <c r="AC1893" i="1" s="1" a="1"/>
  <c r="AC1893" i="1" s="1"/>
  <c r="AB1894" i="1"/>
  <c r="AC1894" i="1" s="1" a="1"/>
  <c r="AC1894" i="1" s="1"/>
  <c r="AB1895" i="1"/>
  <c r="AC1895" i="1" s="1" a="1"/>
  <c r="AC1895" i="1" s="1"/>
  <c r="AB1896" i="1"/>
  <c r="AC1896" i="1" s="1" a="1"/>
  <c r="AC1896" i="1" s="1"/>
  <c r="AB1897" i="1"/>
  <c r="AC1897" i="1" s="1" a="1"/>
  <c r="AC1897" i="1" s="1"/>
  <c r="AB1898" i="1"/>
  <c r="AC1898" i="1" s="1" a="1"/>
  <c r="AC1898" i="1" s="1"/>
  <c r="AB1899" i="1"/>
  <c r="AC1899" i="1" s="1" a="1"/>
  <c r="AC1899" i="1" s="1"/>
  <c r="AB1900" i="1"/>
  <c r="AC1900" i="1" s="1" a="1"/>
  <c r="AC1900" i="1" s="1"/>
  <c r="AB1901" i="1"/>
  <c r="AC1901" i="1" s="1" a="1"/>
  <c r="AC1901" i="1" s="1"/>
  <c r="AB1902" i="1"/>
  <c r="AC1902" i="1" s="1" a="1"/>
  <c r="AC1902" i="1" s="1"/>
  <c r="AB1903" i="1"/>
  <c r="AC1903" i="1" s="1" a="1"/>
  <c r="AC1903" i="1" s="1"/>
  <c r="AB1904" i="1"/>
  <c r="AC1904" i="1" s="1" a="1"/>
  <c r="AC1904" i="1" s="1"/>
  <c r="AB1905" i="1"/>
  <c r="AC1905" i="1" s="1" a="1"/>
  <c r="AC1905" i="1" s="1"/>
  <c r="AB1906" i="1"/>
  <c r="AC1906" i="1" s="1" a="1"/>
  <c r="AC1906" i="1" s="1"/>
  <c r="AB1907" i="1"/>
  <c r="AC1907" i="1" s="1" a="1"/>
  <c r="AC1907" i="1" s="1"/>
  <c r="AB1908" i="1"/>
  <c r="AC1908" i="1" s="1" a="1"/>
  <c r="AC1908" i="1" s="1"/>
  <c r="AB1909" i="1"/>
  <c r="AC1909" i="1" s="1" a="1"/>
  <c r="AC1909" i="1" s="1"/>
  <c r="AB1910" i="1"/>
  <c r="AC1910" i="1" s="1" a="1"/>
  <c r="AC1910" i="1" s="1"/>
  <c r="AB1911" i="1"/>
  <c r="AC1911" i="1" s="1" a="1"/>
  <c r="AC1911" i="1" s="1"/>
  <c r="AB1912" i="1"/>
  <c r="AC1912" i="1" s="1" a="1"/>
  <c r="AC1912" i="1" s="1"/>
  <c r="AB1913" i="1"/>
  <c r="AB1914" i="1"/>
  <c r="AB1915" i="1"/>
  <c r="AC1915" i="1" s="1" a="1"/>
  <c r="AC1915" i="1" s="1"/>
  <c r="AB1916" i="1"/>
  <c r="AC1916" i="1" s="1" a="1"/>
  <c r="AC1916" i="1" s="1"/>
  <c r="AB1917" i="1"/>
  <c r="AC1917" i="1" s="1" a="1"/>
  <c r="AC1917" i="1" s="1"/>
  <c r="AB1918" i="1"/>
  <c r="AC1918" i="1" s="1" a="1"/>
  <c r="AC1918" i="1" s="1"/>
  <c r="AB1919" i="1"/>
  <c r="AC1919" i="1" s="1" a="1"/>
  <c r="AC1919" i="1" s="1"/>
  <c r="AB1920" i="1"/>
  <c r="AC1920" i="1" s="1" a="1"/>
  <c r="AC1920" i="1" s="1"/>
  <c r="AB1921" i="1"/>
  <c r="AC1921" i="1" s="1" a="1"/>
  <c r="AC1921" i="1" s="1"/>
  <c r="AB1922" i="1"/>
  <c r="AC1922" i="1" s="1" a="1"/>
  <c r="AC1922" i="1" s="1"/>
  <c r="AB1923" i="1"/>
  <c r="AC1923" i="1" s="1" a="1"/>
  <c r="AC1923" i="1" s="1"/>
  <c r="AB1924" i="1"/>
  <c r="AC1924" i="1" s="1" a="1"/>
  <c r="AC1924" i="1" s="1"/>
  <c r="AB1925" i="1"/>
  <c r="AC1925" i="1" s="1" a="1"/>
  <c r="AC1925" i="1" s="1"/>
  <c r="AB1926" i="1"/>
  <c r="AB1927" i="1"/>
  <c r="AC1927" i="1" s="1" a="1"/>
  <c r="AC1927" i="1" s="1"/>
  <c r="AB1928" i="1"/>
  <c r="AC1928" i="1" s="1" a="1"/>
  <c r="AC1928" i="1" s="1"/>
  <c r="AB1929" i="1"/>
  <c r="AC1929" i="1" s="1" a="1"/>
  <c r="AC1929" i="1" s="1"/>
  <c r="AB1930" i="1"/>
  <c r="AC1930" i="1" s="1" a="1"/>
  <c r="AC1930" i="1" s="1"/>
  <c r="AB1931" i="1"/>
  <c r="AC1931" i="1" s="1" a="1"/>
  <c r="AC1931" i="1" s="1"/>
  <c r="AB1932" i="1"/>
  <c r="AC1932" i="1" s="1" a="1"/>
  <c r="AC1932" i="1" s="1"/>
  <c r="AB1933" i="1"/>
  <c r="AC1933" i="1" s="1" a="1"/>
  <c r="AC1933" i="1" s="1"/>
  <c r="AB1934" i="1"/>
  <c r="AC1934" i="1" s="1" a="1"/>
  <c r="AC1934" i="1" s="1"/>
  <c r="AB1935" i="1"/>
  <c r="AC1935" i="1" s="1" a="1"/>
  <c r="AC1935" i="1" s="1"/>
  <c r="AB1936" i="1"/>
  <c r="AC1936" i="1" s="1" a="1"/>
  <c r="AC1936" i="1" s="1"/>
  <c r="AB1937" i="1"/>
  <c r="AC1937" i="1" s="1" a="1"/>
  <c r="AC1937" i="1" s="1"/>
  <c r="AB1938" i="1"/>
  <c r="AC1938" i="1" s="1" a="1"/>
  <c r="AC1938" i="1" s="1"/>
  <c r="AB1939" i="1"/>
  <c r="AC1939" i="1" s="1" a="1"/>
  <c r="AC1939" i="1" s="1"/>
  <c r="AB1940" i="1"/>
  <c r="AB1941" i="1"/>
  <c r="AB1942" i="1"/>
  <c r="AC1942" i="1" s="1" a="1"/>
  <c r="AC1942" i="1" s="1"/>
  <c r="AB1943" i="1"/>
  <c r="AC1943" i="1" s="1" a="1"/>
  <c r="AB1944" i="1"/>
  <c r="AC1944" i="1" s="1" a="1"/>
  <c r="AC1944" i="1" s="1"/>
  <c r="AB1945" i="1"/>
  <c r="AC1945" i="1" s="1" a="1"/>
  <c r="AB1946" i="1"/>
  <c r="AC1946" i="1" s="1" a="1"/>
  <c r="AC1946" i="1" s="1"/>
  <c r="AB1947" i="1"/>
  <c r="AC1947" i="1" s="1" a="1"/>
  <c r="AC1947" i="1" s="1"/>
  <c r="AB1948" i="1"/>
  <c r="AC1948" i="1" s="1" a="1"/>
  <c r="AC1948" i="1" s="1"/>
  <c r="AB1949" i="1"/>
  <c r="AC1949" i="1" s="1" a="1"/>
  <c r="AC1949" i="1" s="1"/>
  <c r="AB1950" i="1"/>
  <c r="AC1950" i="1" s="1" a="1"/>
  <c r="AC1950" i="1" s="1"/>
  <c r="AB1951" i="1"/>
  <c r="AC1951" i="1" s="1" a="1"/>
  <c r="AC1951" i="1" s="1"/>
  <c r="AB1952" i="1"/>
  <c r="AC1952" i="1" s="1" a="1"/>
  <c r="AC1952" i="1" s="1"/>
  <c r="AB1953" i="1"/>
  <c r="AC1953" i="1" s="1" a="1"/>
  <c r="AC1953" i="1" s="1"/>
  <c r="AB1954" i="1"/>
  <c r="AC1954" i="1" s="1" a="1"/>
  <c r="AC1954" i="1" s="1"/>
  <c r="AB1955" i="1"/>
  <c r="AC1955" i="1" s="1" a="1"/>
  <c r="AC1955" i="1" s="1"/>
  <c r="AB1956" i="1"/>
  <c r="AC1956" i="1" s="1" a="1"/>
  <c r="AC1956" i="1" s="1"/>
  <c r="AB1957" i="1"/>
  <c r="AC1957" i="1" s="1" a="1"/>
  <c r="AC1957" i="1" s="1"/>
  <c r="AB1958" i="1"/>
  <c r="AC1958" i="1" s="1" a="1"/>
  <c r="AC1958" i="1" s="1"/>
  <c r="AB1959" i="1"/>
  <c r="AC1959" i="1" s="1" a="1"/>
  <c r="AC1959" i="1" s="1"/>
  <c r="AB1960" i="1"/>
  <c r="AC1960" i="1" s="1" a="1"/>
  <c r="AC1960" i="1" s="1"/>
  <c r="AB1961" i="1"/>
  <c r="AC1961" i="1" s="1" a="1"/>
  <c r="AC1961" i="1" s="1"/>
  <c r="AB1962" i="1"/>
  <c r="AC1962" i="1" s="1" a="1"/>
  <c r="AC1962" i="1" s="1"/>
  <c r="AB1963" i="1"/>
  <c r="AC1963" i="1" s="1" a="1"/>
  <c r="AC1963" i="1" s="1"/>
  <c r="AB1964" i="1"/>
  <c r="AC1964" i="1" s="1" a="1"/>
  <c r="AC1964" i="1" s="1"/>
  <c r="AB1965" i="1"/>
  <c r="AC1965" i="1" s="1" a="1"/>
  <c r="AC1965" i="1" s="1"/>
  <c r="AB1966" i="1"/>
  <c r="AC1966" i="1" s="1" a="1"/>
  <c r="AC1966" i="1" s="1"/>
  <c r="AB1967" i="1"/>
  <c r="AC1967" i="1" s="1" a="1"/>
  <c r="AC1967" i="1" s="1"/>
  <c r="AB1968" i="1"/>
  <c r="AC1968" i="1" s="1" a="1"/>
  <c r="AC1968" i="1" s="1"/>
  <c r="AB1969" i="1"/>
  <c r="AC1969" i="1" s="1" a="1"/>
  <c r="AC1969" i="1" s="1"/>
  <c r="AB1970" i="1"/>
  <c r="AC1970" i="1" s="1" a="1"/>
  <c r="AC1970" i="1" s="1"/>
  <c r="AB1971" i="1"/>
  <c r="AC1971" i="1" s="1" a="1"/>
  <c r="AC1971" i="1" s="1"/>
  <c r="AB1972" i="1"/>
  <c r="AC1972" i="1" s="1" a="1"/>
  <c r="AC1972" i="1" s="1"/>
  <c r="AB1973" i="1"/>
  <c r="AC1973" i="1" s="1" a="1"/>
  <c r="AC1973" i="1" s="1"/>
  <c r="AB1974" i="1"/>
  <c r="AC1974" i="1" s="1" a="1"/>
  <c r="AC1974" i="1" s="1"/>
  <c r="AB1975" i="1"/>
  <c r="AC1975" i="1" s="1" a="1"/>
  <c r="AC1975" i="1" s="1"/>
  <c r="AB1976" i="1"/>
  <c r="AC1976" i="1" s="1" a="1"/>
  <c r="AC1976" i="1" s="1"/>
  <c r="AB1977" i="1"/>
  <c r="AC1977" i="1" s="1" a="1"/>
  <c r="AC1977" i="1" s="1"/>
  <c r="AB1978" i="1"/>
  <c r="AC1978" i="1" s="1" a="1"/>
  <c r="AC1978" i="1" s="1"/>
  <c r="AB1979" i="1"/>
  <c r="AC1979" i="1" s="1" a="1"/>
  <c r="AC1979" i="1" s="1"/>
  <c r="AB1980" i="1"/>
  <c r="AC1980" i="1" s="1" a="1"/>
  <c r="AC1980" i="1" s="1"/>
  <c r="AB1981" i="1"/>
  <c r="AC1981" i="1" s="1" a="1"/>
  <c r="AC1981" i="1" s="1"/>
  <c r="AB1982" i="1"/>
  <c r="AC1982" i="1" s="1" a="1"/>
  <c r="AC1982" i="1" s="1"/>
  <c r="AB1983" i="1"/>
  <c r="AC1983" i="1" s="1" a="1"/>
  <c r="AC1983" i="1" s="1"/>
  <c r="AB1984" i="1"/>
  <c r="AC1984" i="1" s="1" a="1"/>
  <c r="AC1984" i="1" s="1"/>
  <c r="AB1985" i="1"/>
  <c r="AC1985" i="1" s="1" a="1"/>
  <c r="AC1985" i="1" s="1"/>
  <c r="AB1986" i="1"/>
  <c r="AC1986" i="1" s="1" a="1"/>
  <c r="AC1986" i="1" s="1"/>
  <c r="AB1987" i="1"/>
  <c r="AC1987" i="1" s="1" a="1"/>
  <c r="AC1987" i="1" s="1"/>
  <c r="AB1988" i="1"/>
  <c r="AC1988" i="1" s="1" a="1"/>
  <c r="AC1988" i="1" s="1"/>
  <c r="AB1989" i="1"/>
  <c r="AC1989" i="1" s="1" a="1"/>
  <c r="AB1990" i="1"/>
  <c r="AB1991" i="1"/>
  <c r="AC1991" i="1" s="1" a="1"/>
  <c r="AC1991" i="1" s="1"/>
  <c r="AB1992" i="1"/>
  <c r="AC1992" i="1" s="1" a="1"/>
  <c r="AC1992" i="1" s="1"/>
  <c r="AB1993" i="1"/>
  <c r="AC1993" i="1" s="1" a="1"/>
  <c r="AC1993" i="1" s="1"/>
  <c r="AB1994" i="1"/>
  <c r="AC1994" i="1" s="1" a="1"/>
  <c r="AC1994" i="1" s="1"/>
  <c r="AB1995" i="1"/>
  <c r="AB1996" i="1"/>
  <c r="AC1996" i="1" s="1" a="1"/>
  <c r="AC1996" i="1" s="1"/>
  <c r="AB1997" i="1"/>
  <c r="AC1997" i="1" s="1" a="1"/>
  <c r="AC1997" i="1" s="1"/>
  <c r="AB1998" i="1"/>
  <c r="AC1998" i="1" s="1" a="1"/>
  <c r="AC1998" i="1" s="1"/>
  <c r="AB1999" i="1"/>
  <c r="AC1999" i="1" s="1" a="1"/>
  <c r="AC1999" i="1" s="1"/>
  <c r="AB2000" i="1"/>
  <c r="AC2000" i="1" s="1" a="1"/>
  <c r="AC2000" i="1" s="1"/>
  <c r="AB2001" i="1"/>
  <c r="AC2001" i="1" s="1" a="1"/>
  <c r="AC2001" i="1" s="1"/>
  <c r="AA2" i="1" a="1"/>
  <c r="AA2" i="1" s="1"/>
  <c r="AA3" i="1" a="1"/>
  <c r="AA3" i="1" s="1"/>
  <c r="AA4" i="1" a="1"/>
  <c r="AA4" i="1" s="1"/>
  <c r="AA5" i="1" a="1"/>
  <c r="AA5" i="1" s="1"/>
  <c r="AA6" i="1" a="1"/>
  <c r="AA6" i="1" s="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s="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c r="AA76" i="1" a="1"/>
  <c r="AA76" i="1" s="1"/>
  <c r="AA77" i="1" a="1"/>
  <c r="AA77" i="1" s="1"/>
  <c r="AA78" i="1" a="1"/>
  <c r="AA78" i="1" s="1"/>
  <c r="AA79" i="1" a="1"/>
  <c r="AA79" i="1" s="1"/>
  <c r="AA80" i="1" a="1"/>
  <c r="AA80" i="1" s="1"/>
  <c r="AA81" i="1" a="1"/>
  <c r="AA81" i="1" s="1"/>
  <c r="AA82" i="1" a="1"/>
  <c r="AA82" i="1" s="1"/>
  <c r="AA83" i="1" a="1"/>
  <c r="AA83" i="1" s="1"/>
  <c r="AA84" i="1" a="1"/>
  <c r="AA84" i="1" s="1"/>
  <c r="AA85" i="1" a="1"/>
  <c r="AA85" i="1" s="1"/>
  <c r="AA86" i="1" a="1"/>
  <c r="AA86" i="1" s="1"/>
  <c r="AA87" i="1" a="1"/>
  <c r="AA87" i="1" s="1"/>
  <c r="AA88" i="1" a="1"/>
  <c r="AA88" i="1" s="1"/>
  <c r="AA89" i="1" a="1"/>
  <c r="AA89" i="1" s="1"/>
  <c r="AA90" i="1" a="1"/>
  <c r="AA90" i="1" s="1"/>
  <c r="AA91" i="1" a="1"/>
  <c r="AA91" i="1" s="1"/>
  <c r="AA92" i="1" a="1"/>
  <c r="AA92" i="1" s="1"/>
  <c r="AA93" i="1" a="1"/>
  <c r="AA93" i="1" s="1"/>
  <c r="AA94" i="1" a="1"/>
  <c r="AA94" i="1" s="1"/>
  <c r="AA95" i="1" a="1"/>
  <c r="AA95" i="1" s="1"/>
  <c r="AA96" i="1" a="1"/>
  <c r="AA96" i="1" s="1"/>
  <c r="AA97" i="1" a="1"/>
  <c r="AA97" i="1" s="1"/>
  <c r="AA98" i="1" a="1"/>
  <c r="AA98" i="1" s="1"/>
  <c r="AA99" i="1" a="1"/>
  <c r="AA99" i="1" s="1"/>
  <c r="AA100" i="1" a="1"/>
  <c r="AA100" i="1" s="1"/>
  <c r="AA101" i="1" a="1"/>
  <c r="AA101" i="1" s="1"/>
  <c r="AA102" i="1" a="1"/>
  <c r="AA102" i="1" s="1"/>
  <c r="AA103" i="1" a="1"/>
  <c r="AA103" i="1" s="1"/>
  <c r="AA104" i="1" a="1"/>
  <c r="AA104" i="1" s="1"/>
  <c r="AA105" i="1" a="1"/>
  <c r="AA105" i="1" s="1"/>
  <c r="AA106" i="1" a="1"/>
  <c r="AA106" i="1" s="1"/>
  <c r="AA107" i="1" a="1"/>
  <c r="AA107" i="1" s="1"/>
  <c r="AA108" i="1" a="1"/>
  <c r="AA108" i="1" s="1"/>
  <c r="AA109" i="1" a="1"/>
  <c r="AA109" i="1" s="1"/>
  <c r="AA110" i="1" a="1"/>
  <c r="AA110" i="1" s="1"/>
  <c r="AA111" i="1" a="1"/>
  <c r="AA111" i="1" s="1"/>
  <c r="AA112" i="1" a="1"/>
  <c r="AA112" i="1" s="1"/>
  <c r="AA113" i="1" a="1"/>
  <c r="AA113" i="1" s="1"/>
  <c r="AA114" i="1" a="1"/>
  <c r="AA114" i="1" s="1"/>
  <c r="AA115" i="1" a="1"/>
  <c r="AA115" i="1" s="1"/>
  <c r="AA116" i="1" a="1"/>
  <c r="AA116" i="1" s="1"/>
  <c r="AA117" i="1" a="1"/>
  <c r="AA117" i="1" s="1"/>
  <c r="AA118" i="1" a="1"/>
  <c r="AA118" i="1" s="1"/>
  <c r="AA119" i="1" a="1"/>
  <c r="AA119" i="1" s="1"/>
  <c r="AA120" i="1" a="1"/>
  <c r="AA120" i="1" s="1"/>
  <c r="AA121" i="1" a="1"/>
  <c r="AA121" i="1" s="1"/>
  <c r="AA122" i="1" a="1"/>
  <c r="AA122" i="1" s="1"/>
  <c r="AA123" i="1" a="1"/>
  <c r="AA123" i="1" s="1"/>
  <c r="AA124" i="1" a="1"/>
  <c r="AA124" i="1" s="1"/>
  <c r="AA125" i="1" a="1"/>
  <c r="AA125" i="1" s="1"/>
  <c r="AA126" i="1" a="1"/>
  <c r="AA126" i="1" s="1"/>
  <c r="AA127" i="1" a="1"/>
  <c r="AA127" i="1"/>
  <c r="AA128" i="1" a="1"/>
  <c r="AA128" i="1" s="1"/>
  <c r="AA129" i="1" a="1"/>
  <c r="AA129" i="1" s="1"/>
  <c r="AA130" i="1" a="1"/>
  <c r="AA130" i="1" s="1"/>
  <c r="AA131" i="1" a="1"/>
  <c r="AA131" i="1" s="1"/>
  <c r="AA132" i="1" a="1"/>
  <c r="AA132" i="1" s="1"/>
  <c r="AA133" i="1" a="1"/>
  <c r="AA133" i="1" s="1"/>
  <c r="AA134" i="1" a="1"/>
  <c r="AA134" i="1" s="1"/>
  <c r="AA135" i="1" a="1"/>
  <c r="AA135" i="1" s="1"/>
  <c r="AA136" i="1" a="1"/>
  <c r="AA136" i="1" s="1"/>
  <c r="AA137" i="1" a="1"/>
  <c r="AA137" i="1" s="1"/>
  <c r="AA138" i="1" a="1"/>
  <c r="AA138" i="1" s="1"/>
  <c r="AA139" i="1" a="1"/>
  <c r="AA139" i="1" s="1"/>
  <c r="AA140" i="1" a="1"/>
  <c r="AA140" i="1" s="1"/>
  <c r="AA141" i="1" a="1"/>
  <c r="AA141" i="1" s="1"/>
  <c r="AA142" i="1" a="1"/>
  <c r="AA142" i="1" s="1"/>
  <c r="AA143" i="1" a="1"/>
  <c r="AA143" i="1" s="1"/>
  <c r="AA144" i="1" a="1"/>
  <c r="AA144" i="1" s="1"/>
  <c r="AA145" i="1" a="1"/>
  <c r="AA145" i="1" s="1"/>
  <c r="AA146" i="1" a="1"/>
  <c r="AA146" i="1" s="1"/>
  <c r="AA147" i="1" a="1"/>
  <c r="AA147" i="1" s="1"/>
  <c r="AA148" i="1" a="1"/>
  <c r="AA148" i="1" s="1"/>
  <c r="AA149" i="1" a="1"/>
  <c r="AA149" i="1" s="1"/>
  <c r="AA150" i="1" a="1"/>
  <c r="AA150" i="1" s="1"/>
  <c r="AA151" i="1" a="1"/>
  <c r="AA151" i="1" s="1"/>
  <c r="AA152" i="1" a="1"/>
  <c r="AA152" i="1" s="1"/>
  <c r="AA153" i="1" a="1"/>
  <c r="AA153" i="1" s="1"/>
  <c r="AA154" i="1" a="1"/>
  <c r="AA154" i="1" s="1"/>
  <c r="AA155" i="1" a="1"/>
  <c r="AA155" i="1" s="1"/>
  <c r="AA156" i="1" a="1"/>
  <c r="AA156" i="1" s="1"/>
  <c r="AA157" i="1" a="1"/>
  <c r="AA157" i="1" s="1"/>
  <c r="AA158" i="1" a="1"/>
  <c r="AA158" i="1" s="1"/>
  <c r="AA159" i="1" a="1"/>
  <c r="AA159" i="1" s="1"/>
  <c r="AA160" i="1" a="1"/>
  <c r="AA160" i="1" s="1"/>
  <c r="AA161" i="1" a="1"/>
  <c r="AA161" i="1" s="1"/>
  <c r="AA162" i="1" a="1"/>
  <c r="AA162" i="1" s="1"/>
  <c r="AA163" i="1" a="1"/>
  <c r="AA163" i="1" s="1"/>
  <c r="AA164" i="1" a="1"/>
  <c r="AA164" i="1" s="1"/>
  <c r="AA165" i="1" a="1"/>
  <c r="AA165" i="1" s="1"/>
  <c r="AA166" i="1" a="1"/>
  <c r="AA166" i="1" s="1"/>
  <c r="AA167" i="1" a="1"/>
  <c r="AA167" i="1" s="1"/>
  <c r="AA168" i="1" a="1"/>
  <c r="AA168" i="1" s="1"/>
  <c r="AA169" i="1" a="1"/>
  <c r="AA169" i="1" s="1"/>
  <c r="AA170" i="1" a="1"/>
  <c r="AA170" i="1" s="1"/>
  <c r="AA171" i="1" a="1"/>
  <c r="AA171" i="1" s="1"/>
  <c r="AA172" i="1" a="1"/>
  <c r="AA172" i="1" s="1"/>
  <c r="AA173" i="1" a="1"/>
  <c r="AA173" i="1" s="1"/>
  <c r="AA174" i="1" a="1"/>
  <c r="AA174" i="1" s="1"/>
  <c r="AA175" i="1" a="1"/>
  <c r="AA175" i="1" s="1"/>
  <c r="AA176" i="1" a="1"/>
  <c r="AA176" i="1" s="1"/>
  <c r="AA177" i="1" a="1"/>
  <c r="AA177" i="1" s="1"/>
  <c r="AA178" i="1" a="1"/>
  <c r="AA178" i="1" s="1"/>
  <c r="AA179" i="1" a="1"/>
  <c r="AA179" i="1" s="1"/>
  <c r="AA180" i="1" a="1"/>
  <c r="AA180" i="1" s="1"/>
  <c r="AA181" i="1" a="1"/>
  <c r="AA181" i="1" s="1"/>
  <c r="AA182" i="1" a="1"/>
  <c r="AA182" i="1" s="1"/>
  <c r="AA183" i="1" a="1"/>
  <c r="AA183" i="1" s="1"/>
  <c r="AA184" i="1" a="1"/>
  <c r="AA184" i="1" s="1"/>
  <c r="AA185" i="1" a="1"/>
  <c r="AA185" i="1"/>
  <c r="AA186" i="1" a="1"/>
  <c r="AA186" i="1" s="1"/>
  <c r="AA187" i="1" a="1"/>
  <c r="AA187" i="1" s="1"/>
  <c r="AA188" i="1" a="1"/>
  <c r="AA188" i="1" s="1"/>
  <c r="AA189" i="1" a="1"/>
  <c r="AA189" i="1" s="1"/>
  <c r="AA190" i="1" a="1"/>
  <c r="AA190" i="1" s="1"/>
  <c r="AA191" i="1" a="1"/>
  <c r="AA191" i="1" s="1"/>
  <c r="AA192" i="1" a="1"/>
  <c r="AA192" i="1" s="1"/>
  <c r="AA193" i="1" a="1"/>
  <c r="AA193" i="1" s="1"/>
  <c r="AA194" i="1" a="1"/>
  <c r="AA194" i="1" s="1"/>
  <c r="AA195" i="1" a="1"/>
  <c r="AA195" i="1" s="1"/>
  <c r="AA196" i="1" a="1"/>
  <c r="AA196" i="1" s="1"/>
  <c r="AA197" i="1" a="1"/>
  <c r="AA197" i="1" s="1"/>
  <c r="AA198" i="1" a="1"/>
  <c r="AA198" i="1" s="1"/>
  <c r="AA199" i="1" a="1"/>
  <c r="AA199" i="1"/>
  <c r="AA200" i="1" a="1"/>
  <c r="AA200" i="1" s="1"/>
  <c r="AA201" i="1" a="1"/>
  <c r="AA201" i="1" s="1"/>
  <c r="AA202" i="1" a="1"/>
  <c r="AA202" i="1" s="1"/>
  <c r="AA203" i="1" a="1"/>
  <c r="AA203" i="1" s="1"/>
  <c r="AA204" i="1" a="1"/>
  <c r="AA204" i="1" s="1"/>
  <c r="AA205" i="1" a="1"/>
  <c r="AA205" i="1" s="1"/>
  <c r="AA206" i="1" a="1"/>
  <c r="AA206" i="1" s="1"/>
  <c r="AA207" i="1" a="1"/>
  <c r="AA207" i="1" s="1"/>
  <c r="AA208" i="1" a="1"/>
  <c r="AA208" i="1" s="1"/>
  <c r="AA209" i="1" a="1"/>
  <c r="AA209" i="1" s="1"/>
  <c r="AA210" i="1" a="1"/>
  <c r="AA210" i="1" s="1"/>
  <c r="AA211" i="1" a="1"/>
  <c r="AA211" i="1" s="1"/>
  <c r="AA212" i="1" a="1"/>
  <c r="AA212" i="1" s="1"/>
  <c r="AA213" i="1" a="1"/>
  <c r="AA213" i="1" s="1"/>
  <c r="AA214" i="1" a="1"/>
  <c r="AA214" i="1" s="1"/>
  <c r="AA215" i="1" a="1"/>
  <c r="AA215" i="1"/>
  <c r="AA216" i="1" a="1"/>
  <c r="AA216" i="1" s="1"/>
  <c r="AA217" i="1" a="1"/>
  <c r="AA217" i="1" s="1"/>
  <c r="AA218" i="1" a="1"/>
  <c r="AA218" i="1" s="1"/>
  <c r="AA219" i="1" a="1"/>
  <c r="AA219" i="1" s="1"/>
  <c r="AA220" i="1" a="1"/>
  <c r="AA220" i="1" s="1"/>
  <c r="AA221" i="1" a="1"/>
  <c r="AA221" i="1" s="1"/>
  <c r="AA222" i="1" a="1"/>
  <c r="AA222" i="1" s="1"/>
  <c r="AA223" i="1" a="1"/>
  <c r="AA223" i="1" s="1"/>
  <c r="AA224" i="1" a="1"/>
  <c r="AA224" i="1" s="1"/>
  <c r="AA225" i="1" a="1"/>
  <c r="AA225" i="1" s="1"/>
  <c r="AA226" i="1" a="1"/>
  <c r="AA226" i="1" s="1"/>
  <c r="AA227" i="1" a="1"/>
  <c r="AA227" i="1" s="1"/>
  <c r="AA228" i="1" a="1"/>
  <c r="AA228" i="1" s="1"/>
  <c r="AA229" i="1" a="1"/>
  <c r="AA229" i="1" s="1"/>
  <c r="AA230" i="1" a="1"/>
  <c r="AA230" i="1" s="1"/>
  <c r="AA231" i="1" a="1"/>
  <c r="AA231" i="1" s="1"/>
  <c r="AA232" i="1" a="1"/>
  <c r="AA232" i="1" s="1"/>
  <c r="AA233" i="1" a="1"/>
  <c r="AA233" i="1" s="1"/>
  <c r="AA234" i="1" a="1"/>
  <c r="AA234" i="1" s="1"/>
  <c r="AA235" i="1" a="1"/>
  <c r="AA235" i="1" s="1"/>
  <c r="AA236" i="1" a="1"/>
  <c r="AA236" i="1" s="1"/>
  <c r="AA237" i="1" a="1"/>
  <c r="AA237" i="1" s="1"/>
  <c r="AA238" i="1" a="1"/>
  <c r="AA238" i="1" s="1"/>
  <c r="AA239" i="1" a="1"/>
  <c r="AA239" i="1" s="1"/>
  <c r="AA240" i="1" a="1"/>
  <c r="AA240" i="1" s="1"/>
  <c r="AA241" i="1" a="1"/>
  <c r="AA241" i="1" s="1"/>
  <c r="AA242" i="1" a="1"/>
  <c r="AA242" i="1" s="1"/>
  <c r="AA243" i="1" a="1"/>
  <c r="AA243" i="1" s="1"/>
  <c r="AA244" i="1" a="1"/>
  <c r="AA244" i="1" s="1"/>
  <c r="AA245" i="1" a="1"/>
  <c r="AA245" i="1" s="1"/>
  <c r="AA246" i="1" a="1"/>
  <c r="AA246" i="1" s="1"/>
  <c r="AA247" i="1" a="1"/>
  <c r="AA247" i="1" s="1"/>
  <c r="AA248" i="1" a="1"/>
  <c r="AA248" i="1" s="1"/>
  <c r="AA249" i="1" a="1"/>
  <c r="AA249" i="1" s="1"/>
  <c r="AA250" i="1" a="1"/>
  <c r="AA250" i="1" s="1"/>
  <c r="AA251" i="1" a="1"/>
  <c r="AA251" i="1" s="1"/>
  <c r="AA252" i="1" a="1"/>
  <c r="AA252" i="1" s="1"/>
  <c r="AA253" i="1" a="1"/>
  <c r="AA253" i="1" s="1"/>
  <c r="AA254" i="1" a="1"/>
  <c r="AA254" i="1" s="1"/>
  <c r="AA255" i="1" a="1"/>
  <c r="AA255" i="1" s="1"/>
  <c r="AA256" i="1" a="1"/>
  <c r="AA256" i="1" s="1"/>
  <c r="AA257" i="1" a="1"/>
  <c r="AA257" i="1"/>
  <c r="AA258" i="1" a="1"/>
  <c r="AA258" i="1" s="1"/>
  <c r="AA259" i="1" a="1"/>
  <c r="AA259" i="1" s="1"/>
  <c r="AA260" i="1" a="1"/>
  <c r="AA260" i="1" s="1"/>
  <c r="AA261" i="1" a="1"/>
  <c r="AA261" i="1" s="1"/>
  <c r="AA262" i="1" a="1"/>
  <c r="AA262" i="1" s="1"/>
  <c r="AA263" i="1" a="1"/>
  <c r="AA263" i="1" s="1"/>
  <c r="AA264" i="1" a="1"/>
  <c r="AA264" i="1" s="1"/>
  <c r="AA265" i="1" a="1"/>
  <c r="AA265" i="1" s="1"/>
  <c r="AA266" i="1" a="1"/>
  <c r="AA266" i="1" s="1"/>
  <c r="AA267" i="1" a="1"/>
  <c r="AA267" i="1" s="1"/>
  <c r="AA268" i="1" a="1"/>
  <c r="AA268" i="1" s="1"/>
  <c r="AA269" i="1" a="1"/>
  <c r="AA269" i="1" s="1"/>
  <c r="AA270" i="1" a="1"/>
  <c r="AA270" i="1" s="1"/>
  <c r="AA271" i="1" a="1"/>
  <c r="AA271" i="1" s="1"/>
  <c r="AA272" i="1" a="1"/>
  <c r="AA272" i="1" s="1"/>
  <c r="AA273" i="1" a="1"/>
  <c r="AA273" i="1" s="1"/>
  <c r="AA274" i="1" a="1"/>
  <c r="AA274" i="1" s="1"/>
  <c r="AA275" i="1" a="1"/>
  <c r="AA275" i="1"/>
  <c r="AA276" i="1" a="1"/>
  <c r="AA276" i="1" s="1"/>
  <c r="AA277" i="1" a="1"/>
  <c r="AA277" i="1" s="1"/>
  <c r="AA278" i="1" a="1"/>
  <c r="AA278" i="1" s="1"/>
  <c r="AA279" i="1" a="1"/>
  <c r="AA279" i="1" s="1"/>
  <c r="AA280" i="1" a="1"/>
  <c r="AA280" i="1" s="1"/>
  <c r="AA281" i="1" a="1"/>
  <c r="AA281" i="1" s="1"/>
  <c r="AA282" i="1" a="1"/>
  <c r="AA282" i="1" s="1"/>
  <c r="AA283" i="1" a="1"/>
  <c r="AA283" i="1" s="1"/>
  <c r="AA284" i="1" a="1"/>
  <c r="AA284" i="1" s="1"/>
  <c r="AA285" i="1" a="1"/>
  <c r="AA285" i="1" s="1"/>
  <c r="AA286" i="1" a="1"/>
  <c r="AA286" i="1" s="1"/>
  <c r="AA287" i="1" a="1"/>
  <c r="AA287" i="1" s="1"/>
  <c r="AA288" i="1" a="1"/>
  <c r="AA288" i="1" s="1"/>
  <c r="AA289" i="1" a="1"/>
  <c r="AA289" i="1" s="1"/>
  <c r="AA290" i="1" a="1"/>
  <c r="AA290" i="1" s="1"/>
  <c r="AA291" i="1" a="1"/>
  <c r="AA291" i="1" s="1"/>
  <c r="AA292" i="1" a="1"/>
  <c r="AA292" i="1" s="1"/>
  <c r="AA293" i="1" a="1"/>
  <c r="AA293" i="1" s="1"/>
  <c r="AA294" i="1" a="1"/>
  <c r="AA294" i="1" s="1"/>
  <c r="AA295" i="1" a="1"/>
  <c r="AA295" i="1" s="1"/>
  <c r="AA296" i="1" a="1"/>
  <c r="AA296" i="1" s="1"/>
  <c r="AA297" i="1" a="1"/>
  <c r="AA297" i="1" s="1"/>
  <c r="AA298" i="1" a="1"/>
  <c r="AA298" i="1" s="1"/>
  <c r="AA299" i="1" a="1"/>
  <c r="AA299" i="1" s="1"/>
  <c r="AA300" i="1" a="1"/>
  <c r="AA300" i="1" s="1"/>
  <c r="AA301" i="1" a="1"/>
  <c r="AA301" i="1" s="1"/>
  <c r="AA302" i="1" a="1"/>
  <c r="AA302" i="1" s="1"/>
  <c r="AA303" i="1" a="1"/>
  <c r="AA303" i="1" s="1"/>
  <c r="AA304" i="1" a="1"/>
  <c r="AA304" i="1" s="1"/>
  <c r="AA305" i="1" a="1"/>
  <c r="AA305" i="1"/>
  <c r="AA306" i="1" a="1"/>
  <c r="AA306" i="1" s="1"/>
  <c r="AA307" i="1" a="1"/>
  <c r="AA307" i="1" s="1"/>
  <c r="AA308" i="1" a="1"/>
  <c r="AA308" i="1" s="1"/>
  <c r="AA309" i="1" a="1"/>
  <c r="AA309" i="1" s="1"/>
  <c r="AA310" i="1" a="1"/>
  <c r="AA310" i="1" s="1"/>
  <c r="AA311" i="1" a="1"/>
  <c r="AA311" i="1" s="1"/>
  <c r="AA312" i="1" a="1"/>
  <c r="AA312" i="1" s="1"/>
  <c r="AA313" i="1" a="1"/>
  <c r="AA313" i="1" s="1"/>
  <c r="AA314" i="1" a="1"/>
  <c r="AA314" i="1" s="1"/>
  <c r="AA315" i="1" a="1"/>
  <c r="AA315" i="1" s="1"/>
  <c r="AA316" i="1" a="1"/>
  <c r="AA316" i="1" s="1"/>
  <c r="AA317" i="1" a="1"/>
  <c r="AA317" i="1" s="1"/>
  <c r="AA318" i="1" a="1"/>
  <c r="AA318" i="1" s="1"/>
  <c r="AA319" i="1" a="1"/>
  <c r="AA319" i="1"/>
  <c r="AA320" i="1" a="1"/>
  <c r="AA320" i="1" s="1"/>
  <c r="AA321" i="1" a="1"/>
  <c r="AA321" i="1"/>
  <c r="AA322" i="1" a="1"/>
  <c r="AA322" i="1" s="1"/>
  <c r="AA323" i="1" a="1"/>
  <c r="AA323" i="1" s="1"/>
  <c r="AA324" i="1" a="1"/>
  <c r="AA324" i="1" s="1"/>
  <c r="AA325" i="1" a="1"/>
  <c r="AA325" i="1" s="1"/>
  <c r="AA326" i="1" a="1"/>
  <c r="AA326" i="1" s="1"/>
  <c r="AA327" i="1" a="1"/>
  <c r="AA327" i="1" s="1"/>
  <c r="AA328" i="1" a="1"/>
  <c r="AA328" i="1" s="1"/>
  <c r="AA329" i="1" a="1"/>
  <c r="AA329" i="1" s="1"/>
  <c r="AA330" i="1" a="1"/>
  <c r="AA330" i="1" s="1"/>
  <c r="AA331" i="1" a="1"/>
  <c r="AA331" i="1"/>
  <c r="AA332" i="1" a="1"/>
  <c r="AA332" i="1" s="1"/>
  <c r="AA333" i="1" a="1"/>
  <c r="AA333" i="1" s="1"/>
  <c r="AA334" i="1" a="1"/>
  <c r="AA334" i="1" s="1"/>
  <c r="AA335" i="1" a="1"/>
  <c r="AA335" i="1" s="1"/>
  <c r="AA336" i="1" a="1"/>
  <c r="AA336" i="1" s="1"/>
  <c r="AA337" i="1" a="1"/>
  <c r="AA337" i="1" s="1"/>
  <c r="AA338" i="1" a="1"/>
  <c r="AA338" i="1" s="1"/>
  <c r="AA339" i="1" a="1"/>
  <c r="AA339" i="1" s="1"/>
  <c r="AA340" i="1" a="1"/>
  <c r="AA340" i="1" s="1"/>
  <c r="AA341" i="1" a="1"/>
  <c r="AA341" i="1" s="1"/>
  <c r="AA342" i="1" a="1"/>
  <c r="AA342" i="1" s="1"/>
  <c r="AA343" i="1" a="1"/>
  <c r="AA343" i="1"/>
  <c r="AA344" i="1" a="1"/>
  <c r="AA344" i="1" s="1"/>
  <c r="AA345" i="1" a="1"/>
  <c r="AA345" i="1"/>
  <c r="AA346" i="1" a="1"/>
  <c r="AA346" i="1" s="1"/>
  <c r="AA347" i="1" a="1"/>
  <c r="AA347" i="1" s="1"/>
  <c r="AA348" i="1" a="1"/>
  <c r="AA348" i="1" s="1"/>
  <c r="AA349" i="1" a="1"/>
  <c r="AA349" i="1" s="1"/>
  <c r="AA350" i="1" a="1"/>
  <c r="AA350" i="1" s="1"/>
  <c r="AA351" i="1" a="1"/>
  <c r="AA351" i="1" s="1"/>
  <c r="AA352" i="1" a="1"/>
  <c r="AA352" i="1" s="1"/>
  <c r="AA353" i="1" a="1"/>
  <c r="AA353" i="1" s="1"/>
  <c r="AA354" i="1" a="1"/>
  <c r="AA354" i="1" s="1"/>
  <c r="AA355" i="1" a="1"/>
  <c r="AA355" i="1" s="1"/>
  <c r="AA356" i="1" a="1"/>
  <c r="AA356" i="1" s="1"/>
  <c r="AA357" i="1" a="1"/>
  <c r="AA357" i="1" s="1"/>
  <c r="AA358" i="1" a="1"/>
  <c r="AA358" i="1" s="1"/>
  <c r="AA359" i="1" a="1"/>
  <c r="AA359" i="1" s="1"/>
  <c r="AA360" i="1" a="1"/>
  <c r="AA360" i="1" s="1"/>
  <c r="AA361" i="1" a="1"/>
  <c r="AA361" i="1" s="1"/>
  <c r="AA362" i="1" a="1"/>
  <c r="AA362" i="1" s="1"/>
  <c r="AA363" i="1" a="1"/>
  <c r="AA363" i="1" s="1"/>
  <c r="AA364" i="1" a="1"/>
  <c r="AA364" i="1" s="1"/>
  <c r="AA365" i="1" a="1"/>
  <c r="AA365" i="1" s="1"/>
  <c r="AA366" i="1" a="1"/>
  <c r="AA366" i="1" s="1"/>
  <c r="AA367" i="1" a="1"/>
  <c r="AA367" i="1" s="1"/>
  <c r="AA368" i="1" a="1"/>
  <c r="AA368" i="1" s="1"/>
  <c r="AA369" i="1" a="1"/>
  <c r="AA369" i="1" s="1"/>
  <c r="AA370" i="1" a="1"/>
  <c r="AA370" i="1" s="1"/>
  <c r="AA371" i="1" a="1"/>
  <c r="AA371" i="1" s="1"/>
  <c r="AA372" i="1" a="1"/>
  <c r="AA372" i="1" s="1"/>
  <c r="AA373" i="1" a="1"/>
  <c r="AA373" i="1" s="1"/>
  <c r="AA374" i="1" a="1"/>
  <c r="AA374" i="1" s="1"/>
  <c r="AA375" i="1" a="1"/>
  <c r="AA375" i="1" s="1"/>
  <c r="AA376" i="1" a="1"/>
  <c r="AA376" i="1" s="1"/>
  <c r="AA377" i="1" a="1"/>
  <c r="AA377" i="1" s="1"/>
  <c r="AA378" i="1" a="1"/>
  <c r="AA378" i="1" s="1"/>
  <c r="AA379" i="1" a="1"/>
  <c r="AA379" i="1" s="1"/>
  <c r="AA380" i="1" a="1"/>
  <c r="AA380" i="1" s="1"/>
  <c r="AA381" i="1" a="1"/>
  <c r="AA381" i="1" s="1"/>
  <c r="AA382" i="1" a="1"/>
  <c r="AA382" i="1" s="1"/>
  <c r="AA383" i="1" a="1"/>
  <c r="AA383" i="1" s="1"/>
  <c r="AA384" i="1" a="1"/>
  <c r="AA384" i="1" s="1"/>
  <c r="AA385" i="1" a="1"/>
  <c r="AA385" i="1" s="1"/>
  <c r="AA386" i="1" a="1"/>
  <c r="AA386" i="1" s="1"/>
  <c r="AA387" i="1" a="1"/>
  <c r="AA387" i="1" s="1"/>
  <c r="AA388" i="1" a="1"/>
  <c r="AA388" i="1" s="1"/>
  <c r="AA389" i="1" a="1"/>
  <c r="AA389" i="1" s="1"/>
  <c r="AA390" i="1" a="1"/>
  <c r="AA390" i="1" s="1"/>
  <c r="AA391" i="1" a="1"/>
  <c r="AA391" i="1" s="1"/>
  <c r="AA392" i="1" a="1"/>
  <c r="AA392" i="1" s="1"/>
  <c r="AA393" i="1" a="1"/>
  <c r="AA393" i="1"/>
  <c r="AA394" i="1" a="1"/>
  <c r="AA394" i="1" s="1"/>
  <c r="AA395" i="1" a="1"/>
  <c r="AA395" i="1" s="1"/>
  <c r="AA396" i="1" a="1"/>
  <c r="AA396" i="1" s="1"/>
  <c r="AA397" i="1" a="1"/>
  <c r="AA397" i="1" s="1"/>
  <c r="AA398" i="1" a="1"/>
  <c r="AA398" i="1" s="1"/>
  <c r="AA399" i="1" a="1"/>
  <c r="AA399" i="1" s="1"/>
  <c r="AA400" i="1" a="1"/>
  <c r="AA400" i="1" s="1"/>
  <c r="AA401" i="1" a="1"/>
  <c r="AA401" i="1" s="1"/>
  <c r="AA402" i="1" a="1"/>
  <c r="AA402" i="1" s="1"/>
  <c r="AA403" i="1" a="1"/>
  <c r="AA403" i="1" s="1"/>
  <c r="AA404" i="1" a="1"/>
  <c r="AA404" i="1" s="1"/>
  <c r="AA405" i="1" a="1"/>
  <c r="AA405" i="1" s="1"/>
  <c r="AA406" i="1" a="1"/>
  <c r="AA406" i="1" s="1"/>
  <c r="AA407" i="1" a="1"/>
  <c r="AA407" i="1" s="1"/>
  <c r="AA408" i="1" a="1"/>
  <c r="AA408" i="1" s="1"/>
  <c r="AA409" i="1" a="1"/>
  <c r="AA409" i="1" s="1"/>
  <c r="AA410" i="1" a="1"/>
  <c r="AA410" i="1" s="1"/>
  <c r="AA411" i="1" a="1"/>
  <c r="AA411" i="1" s="1"/>
  <c r="AA412" i="1" a="1"/>
  <c r="AA412" i="1" s="1"/>
  <c r="AA413" i="1" a="1"/>
  <c r="AA413" i="1" s="1"/>
  <c r="AA414" i="1" a="1"/>
  <c r="AA414" i="1" s="1"/>
  <c r="AA415" i="1" a="1"/>
  <c r="AA415" i="1" s="1"/>
  <c r="AA416" i="1" a="1"/>
  <c r="AA416" i="1" s="1"/>
  <c r="AA417" i="1" a="1"/>
  <c r="AA417" i="1" s="1"/>
  <c r="AA418" i="1" a="1"/>
  <c r="AA418" i="1" s="1"/>
  <c r="AA419" i="1" a="1"/>
  <c r="AA419" i="1" s="1"/>
  <c r="AA420" i="1" a="1"/>
  <c r="AA420" i="1" s="1"/>
  <c r="AA421" i="1" a="1"/>
  <c r="AA421" i="1" s="1"/>
  <c r="AA422" i="1" a="1"/>
  <c r="AA422" i="1" s="1"/>
  <c r="AA423" i="1" a="1"/>
  <c r="AA423" i="1" s="1"/>
  <c r="AA424" i="1" a="1"/>
  <c r="AA424" i="1" s="1"/>
  <c r="AA425" i="1" a="1"/>
  <c r="AA425" i="1" s="1"/>
  <c r="AA426" i="1" a="1"/>
  <c r="AA426" i="1" s="1"/>
  <c r="AA427" i="1" a="1"/>
  <c r="AA427" i="1" s="1"/>
  <c r="AA428" i="1" a="1"/>
  <c r="AA428" i="1" s="1"/>
  <c r="AA429" i="1" a="1"/>
  <c r="AA429" i="1" s="1"/>
  <c r="AA430" i="1" a="1"/>
  <c r="AA430" i="1" s="1"/>
  <c r="AA431" i="1" a="1"/>
  <c r="AA431" i="1" s="1"/>
  <c r="AA432" i="1" a="1"/>
  <c r="AA432" i="1" s="1"/>
  <c r="AA433" i="1" a="1"/>
  <c r="AA433" i="1" s="1"/>
  <c r="AA434" i="1" a="1"/>
  <c r="AA434" i="1" s="1"/>
  <c r="AA435" i="1" a="1"/>
  <c r="AA435" i="1" s="1"/>
  <c r="AA436" i="1" a="1"/>
  <c r="AA436" i="1" s="1"/>
  <c r="AA437" i="1" a="1"/>
  <c r="AA437" i="1" s="1"/>
  <c r="AA438" i="1" a="1"/>
  <c r="AA438" i="1" s="1"/>
  <c r="AA439" i="1" a="1"/>
  <c r="AA439" i="1" s="1"/>
  <c r="AA440" i="1" a="1"/>
  <c r="AA440" i="1" s="1"/>
  <c r="AA441" i="1" a="1"/>
  <c r="AA441" i="1" s="1"/>
  <c r="AA442" i="1" a="1"/>
  <c r="AA442" i="1" s="1"/>
  <c r="AA443" i="1" a="1"/>
  <c r="AA443" i="1" s="1"/>
  <c r="AA444" i="1" a="1"/>
  <c r="AA444" i="1" s="1"/>
  <c r="AA445" i="1" a="1"/>
  <c r="AA445" i="1" s="1"/>
  <c r="AA446" i="1" a="1"/>
  <c r="AA446" i="1" s="1"/>
  <c r="AA447" i="1" a="1"/>
  <c r="AA447" i="1" s="1"/>
  <c r="AA448" i="1" a="1"/>
  <c r="AA448" i="1" s="1"/>
  <c r="AA449" i="1" a="1"/>
  <c r="AA449" i="1" s="1"/>
  <c r="AA450" i="1" a="1"/>
  <c r="AA450" i="1" s="1"/>
  <c r="AA451" i="1" a="1"/>
  <c r="AA451" i="1" s="1"/>
  <c r="AA452" i="1" a="1"/>
  <c r="AA452" i="1" s="1"/>
  <c r="AA453" i="1" a="1"/>
  <c r="AA453" i="1" s="1"/>
  <c r="AA454" i="1" a="1"/>
  <c r="AA454" i="1" s="1"/>
  <c r="AA455" i="1" a="1"/>
  <c r="AA455" i="1" s="1"/>
  <c r="AA456" i="1" a="1"/>
  <c r="AA456" i="1" s="1"/>
  <c r="AA457" i="1" a="1"/>
  <c r="AA457" i="1" s="1"/>
  <c r="AA458" i="1" a="1"/>
  <c r="AA458" i="1" s="1"/>
  <c r="AA459" i="1" a="1"/>
  <c r="AA459" i="1" s="1"/>
  <c r="AA460" i="1" a="1"/>
  <c r="AA460" i="1" s="1"/>
  <c r="AA461" i="1" a="1"/>
  <c r="AA461" i="1" s="1"/>
  <c r="AA462" i="1" a="1"/>
  <c r="AA462" i="1" s="1"/>
  <c r="AA463" i="1" a="1"/>
  <c r="AA463" i="1" s="1"/>
  <c r="AA464" i="1" a="1"/>
  <c r="AA464" i="1" s="1"/>
  <c r="AA465" i="1" a="1"/>
  <c r="AA465" i="1"/>
  <c r="AA466" i="1" a="1"/>
  <c r="AA466" i="1" s="1"/>
  <c r="AA467" i="1" a="1"/>
  <c r="AA467" i="1" s="1"/>
  <c r="AA468" i="1" a="1"/>
  <c r="AA468" i="1" s="1"/>
  <c r="AA469" i="1" a="1"/>
  <c r="AA469" i="1" s="1"/>
  <c r="AA470" i="1" a="1"/>
  <c r="AA470" i="1" s="1"/>
  <c r="AA471" i="1" a="1"/>
  <c r="AA471" i="1" s="1"/>
  <c r="AA472" i="1" a="1"/>
  <c r="AA472" i="1" s="1"/>
  <c r="AA473" i="1" a="1"/>
  <c r="AA473" i="1" s="1"/>
  <c r="AA474" i="1" a="1"/>
  <c r="AA474" i="1" s="1"/>
  <c r="AA475" i="1" a="1"/>
  <c r="AA475" i="1" s="1"/>
  <c r="AA476" i="1" a="1"/>
  <c r="AA476" i="1" s="1"/>
  <c r="AA477" i="1" a="1"/>
  <c r="AA477" i="1" s="1"/>
  <c r="AA478" i="1" a="1"/>
  <c r="AA478" i="1" s="1"/>
  <c r="AA479" i="1" a="1"/>
  <c r="AA479" i="1" s="1"/>
  <c r="AA480" i="1" a="1"/>
  <c r="AA480" i="1" s="1"/>
  <c r="AA481" i="1" a="1"/>
  <c r="AA481" i="1"/>
  <c r="AA482" i="1" a="1"/>
  <c r="AA482" i="1" s="1"/>
  <c r="AA483" i="1" a="1"/>
  <c r="AA483" i="1" s="1"/>
  <c r="AA484" i="1" a="1"/>
  <c r="AA484" i="1" s="1"/>
  <c r="AA485" i="1" a="1"/>
  <c r="AA485" i="1" s="1"/>
  <c r="AA486" i="1" a="1"/>
  <c r="AA486" i="1" s="1"/>
  <c r="AA487" i="1" a="1"/>
  <c r="AA487" i="1" s="1"/>
  <c r="AA488" i="1" a="1"/>
  <c r="AA488" i="1" s="1"/>
  <c r="AA489" i="1" a="1"/>
  <c r="AA489" i="1" s="1"/>
  <c r="AA490" i="1" a="1"/>
  <c r="AA490" i="1" s="1"/>
  <c r="AA491" i="1" a="1"/>
  <c r="AA491" i="1" s="1"/>
  <c r="AA492" i="1" a="1"/>
  <c r="AA492" i="1" s="1"/>
  <c r="AA493" i="1" a="1"/>
  <c r="AA493" i="1" s="1"/>
  <c r="AA494" i="1" a="1"/>
  <c r="AA494" i="1" s="1"/>
  <c r="AA495" i="1" a="1"/>
  <c r="AA495" i="1" s="1"/>
  <c r="AA496" i="1" a="1"/>
  <c r="AA496" i="1" s="1"/>
  <c r="AA497" i="1" a="1"/>
  <c r="AA497" i="1" s="1"/>
  <c r="AA498" i="1" a="1"/>
  <c r="AA498" i="1" s="1"/>
  <c r="AA499" i="1" a="1"/>
  <c r="AA499" i="1" s="1"/>
  <c r="AA500" i="1" a="1"/>
  <c r="AA500" i="1" s="1"/>
  <c r="AA501" i="1" a="1"/>
  <c r="AA501" i="1" s="1"/>
  <c r="AA502" i="1" a="1"/>
  <c r="AA502" i="1" s="1"/>
  <c r="AA503" i="1" a="1"/>
  <c r="AA503" i="1" s="1"/>
  <c r="AA504" i="1" a="1"/>
  <c r="AA504" i="1" s="1"/>
  <c r="AA505" i="1" a="1"/>
  <c r="AA505" i="1" s="1"/>
  <c r="AA506" i="1" a="1"/>
  <c r="AA506" i="1" s="1"/>
  <c r="AA507" i="1" a="1"/>
  <c r="AA507" i="1" s="1"/>
  <c r="AA508" i="1" a="1"/>
  <c r="AA508" i="1" s="1"/>
  <c r="AA509" i="1" a="1"/>
  <c r="AA509" i="1" s="1"/>
  <c r="AA510" i="1" a="1"/>
  <c r="AA510" i="1" s="1"/>
  <c r="AA511" i="1" a="1"/>
  <c r="AA511" i="1" s="1"/>
  <c r="AA512" i="1" a="1"/>
  <c r="AA512" i="1" s="1"/>
  <c r="AA513" i="1" a="1"/>
  <c r="AA513" i="1" s="1"/>
  <c r="AA514" i="1" a="1"/>
  <c r="AA514" i="1" s="1"/>
  <c r="AA515" i="1" a="1"/>
  <c r="AA515" i="1" s="1"/>
  <c r="AA516" i="1" a="1"/>
  <c r="AA516" i="1" s="1"/>
  <c r="AA517" i="1" a="1"/>
  <c r="AA517" i="1" s="1"/>
  <c r="AA518" i="1" a="1"/>
  <c r="AA518" i="1" s="1"/>
  <c r="AA519" i="1" a="1"/>
  <c r="AA519" i="1" s="1"/>
  <c r="AA520" i="1" a="1"/>
  <c r="AA520" i="1" s="1"/>
  <c r="AA521" i="1" a="1"/>
  <c r="AA521" i="1" s="1"/>
  <c r="AA522" i="1" a="1"/>
  <c r="AA522" i="1" s="1"/>
  <c r="AA523" i="1" a="1"/>
  <c r="AA523" i="1" s="1"/>
  <c r="AA524" i="1" a="1"/>
  <c r="AA524" i="1" s="1"/>
  <c r="AA525" i="1" a="1"/>
  <c r="AA525" i="1" s="1"/>
  <c r="AA526" i="1" a="1"/>
  <c r="AA526" i="1" s="1"/>
  <c r="AA527" i="1" a="1"/>
  <c r="AA527" i="1" s="1"/>
  <c r="AA528" i="1" a="1"/>
  <c r="AA528" i="1" s="1"/>
  <c r="AA529" i="1" a="1"/>
  <c r="AA529" i="1" s="1"/>
  <c r="AA530" i="1" a="1"/>
  <c r="AA530" i="1" s="1"/>
  <c r="AA531" i="1" a="1"/>
  <c r="AA531" i="1" s="1"/>
  <c r="AA532" i="1" a="1"/>
  <c r="AA532" i="1" s="1"/>
  <c r="AA533" i="1" a="1"/>
  <c r="AA533" i="1" s="1"/>
  <c r="AA534" i="1" a="1"/>
  <c r="AA534" i="1" s="1"/>
  <c r="AA535" i="1" a="1"/>
  <c r="AA535" i="1" s="1"/>
  <c r="AA536" i="1" a="1"/>
  <c r="AA536" i="1" s="1"/>
  <c r="AA537" i="1" a="1"/>
  <c r="AA537" i="1" s="1"/>
  <c r="AA538" i="1" a="1"/>
  <c r="AA538" i="1" s="1"/>
  <c r="AA539" i="1" a="1"/>
  <c r="AA539" i="1" s="1"/>
  <c r="AA540" i="1" a="1"/>
  <c r="AA540" i="1" s="1"/>
  <c r="AA541" i="1" a="1"/>
  <c r="AA541" i="1"/>
  <c r="AA542" i="1" a="1"/>
  <c r="AA542" i="1" s="1"/>
  <c r="AA543" i="1" a="1"/>
  <c r="AA543" i="1" s="1"/>
  <c r="AA544" i="1" a="1"/>
  <c r="AA544" i="1" s="1"/>
  <c r="AA545" i="1" a="1"/>
  <c r="AA545" i="1" s="1"/>
  <c r="AA546" i="1" a="1"/>
  <c r="AA546" i="1" s="1"/>
  <c r="AA547" i="1" a="1"/>
  <c r="AA547" i="1" s="1"/>
  <c r="AA548" i="1" a="1"/>
  <c r="AA548" i="1" s="1"/>
  <c r="AA549" i="1" a="1"/>
  <c r="AA549" i="1" s="1"/>
  <c r="AA550" i="1" a="1"/>
  <c r="AA550" i="1" s="1"/>
  <c r="AA551" i="1" a="1"/>
  <c r="AA551" i="1" s="1"/>
  <c r="AA552" i="1" a="1"/>
  <c r="AA552" i="1" s="1"/>
  <c r="AA553" i="1" a="1"/>
  <c r="AA553" i="1" s="1"/>
  <c r="AA554" i="1" a="1"/>
  <c r="AA554" i="1" s="1"/>
  <c r="AA555" i="1" a="1"/>
  <c r="AA555" i="1" s="1"/>
  <c r="AA556" i="1" a="1"/>
  <c r="AA556" i="1" s="1"/>
  <c r="AA557" i="1" a="1"/>
  <c r="AA557" i="1" s="1"/>
  <c r="AA558" i="1" a="1"/>
  <c r="AA558" i="1" s="1"/>
  <c r="AA559" i="1" a="1"/>
  <c r="AA559" i="1" s="1"/>
  <c r="AA560" i="1" a="1"/>
  <c r="AA560" i="1" s="1"/>
  <c r="AA561" i="1" a="1"/>
  <c r="AA561" i="1" s="1"/>
  <c r="AA562" i="1" a="1"/>
  <c r="AA562" i="1" s="1"/>
  <c r="AA563" i="1" a="1"/>
  <c r="AA563" i="1" s="1"/>
  <c r="AA564" i="1" a="1"/>
  <c r="AA564" i="1" s="1"/>
  <c r="AA565" i="1" a="1"/>
  <c r="AA565" i="1"/>
  <c r="AA566" i="1" a="1"/>
  <c r="AA566" i="1" s="1"/>
  <c r="AA567" i="1" a="1"/>
  <c r="AA567" i="1" s="1"/>
  <c r="AA568" i="1" a="1"/>
  <c r="AA568" i="1" s="1"/>
  <c r="AA569" i="1" a="1"/>
  <c r="AA569" i="1" s="1"/>
  <c r="AA570" i="1" a="1"/>
  <c r="AA570" i="1" s="1"/>
  <c r="AA571" i="1" a="1"/>
  <c r="AA571" i="1" s="1"/>
  <c r="AA572" i="1" a="1"/>
  <c r="AA572" i="1" s="1"/>
  <c r="AA573" i="1" a="1"/>
  <c r="AA573" i="1" s="1"/>
  <c r="AA574" i="1" a="1"/>
  <c r="AA574" i="1" s="1"/>
  <c r="AA575" i="1" a="1"/>
  <c r="AA575" i="1" s="1"/>
  <c r="AA576" i="1" a="1"/>
  <c r="AA576" i="1" s="1"/>
  <c r="AA577" i="1" a="1"/>
  <c r="AA577" i="1" s="1"/>
  <c r="AA578" i="1" a="1"/>
  <c r="AA578" i="1" s="1"/>
  <c r="AA579" i="1" a="1"/>
  <c r="AA579" i="1" s="1"/>
  <c r="AA580" i="1" a="1"/>
  <c r="AA580" i="1" s="1"/>
  <c r="AA581" i="1" a="1"/>
  <c r="AA581" i="1" s="1"/>
  <c r="AA582" i="1" a="1"/>
  <c r="AA582" i="1" s="1"/>
  <c r="AA583" i="1" a="1"/>
  <c r="AA583" i="1" s="1"/>
  <c r="AA584" i="1" a="1"/>
  <c r="AA584" i="1" s="1"/>
  <c r="AA585" i="1" a="1"/>
  <c r="AA585" i="1" s="1"/>
  <c r="AA586" i="1" a="1"/>
  <c r="AA586" i="1" s="1"/>
  <c r="AA587" i="1" a="1"/>
  <c r="AA587" i="1"/>
  <c r="AA588" i="1" a="1"/>
  <c r="AA588" i="1" s="1"/>
  <c r="AA589" i="1" a="1"/>
  <c r="AA589" i="1" s="1"/>
  <c r="AA590" i="1" a="1"/>
  <c r="AA590" i="1" s="1"/>
  <c r="AA591" i="1" a="1"/>
  <c r="AA591" i="1" s="1"/>
  <c r="AA592" i="1" a="1"/>
  <c r="AA592" i="1" s="1"/>
  <c r="AA593" i="1" a="1"/>
  <c r="AA593" i="1" s="1"/>
  <c r="AA594" i="1" a="1"/>
  <c r="AA594" i="1" s="1"/>
  <c r="AA595" i="1" a="1"/>
  <c r="AA595" i="1" s="1"/>
  <c r="AA596" i="1" a="1"/>
  <c r="AA596" i="1" s="1"/>
  <c r="AA597" i="1" a="1"/>
  <c r="AA597" i="1" s="1"/>
  <c r="AA598" i="1" a="1"/>
  <c r="AA598" i="1" s="1"/>
  <c r="AA599" i="1" a="1"/>
  <c r="AA599" i="1" s="1"/>
  <c r="AA600" i="1" a="1"/>
  <c r="AA600" i="1" s="1"/>
  <c r="AA601" i="1" a="1"/>
  <c r="AA601" i="1" s="1"/>
  <c r="AA602" i="1" a="1"/>
  <c r="AA602" i="1" s="1"/>
  <c r="AA603" i="1" a="1"/>
  <c r="AA603" i="1" s="1"/>
  <c r="AA604" i="1" a="1"/>
  <c r="AA604" i="1" s="1"/>
  <c r="AA605" i="1" a="1"/>
  <c r="AA605" i="1"/>
  <c r="AA606" i="1" a="1"/>
  <c r="AA606" i="1" s="1"/>
  <c r="AA607" i="1" a="1"/>
  <c r="AA607" i="1" s="1"/>
  <c r="AA608" i="1" a="1"/>
  <c r="AA608" i="1" s="1"/>
  <c r="AA609" i="1" a="1"/>
  <c r="AA609" i="1" s="1"/>
  <c r="AA610" i="1" a="1"/>
  <c r="AA610" i="1" s="1"/>
  <c r="AA611" i="1" a="1"/>
  <c r="AA611" i="1" s="1"/>
  <c r="AA612" i="1" a="1"/>
  <c r="AA612" i="1" s="1"/>
  <c r="AA613" i="1" a="1"/>
  <c r="AA613" i="1" s="1"/>
  <c r="AA614" i="1" a="1"/>
  <c r="AA614" i="1" s="1"/>
  <c r="AA615" i="1" a="1"/>
  <c r="AA615" i="1" s="1"/>
  <c r="AA616" i="1" a="1"/>
  <c r="AA616" i="1" s="1"/>
  <c r="AA617" i="1" a="1"/>
  <c r="AA617" i="1" s="1"/>
  <c r="AA618" i="1" a="1"/>
  <c r="AA618" i="1" s="1"/>
  <c r="AA619" i="1" a="1"/>
  <c r="AA619" i="1" s="1"/>
  <c r="AA620" i="1" a="1"/>
  <c r="AA620" i="1" s="1"/>
  <c r="AA621" i="1" a="1"/>
  <c r="AA621" i="1" s="1"/>
  <c r="AA622" i="1" a="1"/>
  <c r="AA622" i="1" s="1"/>
  <c r="AA623" i="1" a="1"/>
  <c r="AA623" i="1" s="1"/>
  <c r="AA624" i="1" a="1"/>
  <c r="AA624" i="1" s="1"/>
  <c r="AA625" i="1" a="1"/>
  <c r="AA625" i="1" s="1"/>
  <c r="AA626" i="1" a="1"/>
  <c r="AA626" i="1" s="1"/>
  <c r="AA627" i="1" a="1"/>
  <c r="AA627" i="1" s="1"/>
  <c r="AA628" i="1" a="1"/>
  <c r="AA628" i="1" s="1"/>
  <c r="AA629" i="1" a="1"/>
  <c r="AA629" i="1" s="1"/>
  <c r="AA630" i="1" a="1"/>
  <c r="AA630" i="1" s="1"/>
  <c r="AA631" i="1" a="1"/>
  <c r="AA631" i="1" s="1"/>
  <c r="AA632" i="1" a="1"/>
  <c r="AA632" i="1" s="1"/>
  <c r="AA633" i="1" a="1"/>
  <c r="AA633" i="1" s="1"/>
  <c r="AA634" i="1" a="1"/>
  <c r="AA634" i="1" s="1"/>
  <c r="AA635" i="1" a="1"/>
  <c r="AA635" i="1" s="1"/>
  <c r="AA636" i="1" a="1"/>
  <c r="AA636" i="1" s="1"/>
  <c r="AA637" i="1" a="1"/>
  <c r="AA637" i="1" s="1"/>
  <c r="AA638" i="1" a="1"/>
  <c r="AA638" i="1" s="1"/>
  <c r="AA639" i="1" a="1"/>
  <c r="AA639" i="1" s="1"/>
  <c r="AA640" i="1" a="1"/>
  <c r="AA640" i="1" s="1"/>
  <c r="AA641" i="1" a="1"/>
  <c r="AA641" i="1" s="1"/>
  <c r="AA642" i="1" a="1"/>
  <c r="AA642" i="1" s="1"/>
  <c r="AA643" i="1" a="1"/>
  <c r="AA643" i="1" s="1"/>
  <c r="AA644" i="1" a="1"/>
  <c r="AA644" i="1" s="1"/>
  <c r="AA645" i="1" a="1"/>
  <c r="AA645" i="1" s="1"/>
  <c r="AA646" i="1" a="1"/>
  <c r="AA646" i="1" s="1"/>
  <c r="AA647" i="1" a="1"/>
  <c r="AA647" i="1" s="1"/>
  <c r="AA648" i="1" a="1"/>
  <c r="AA648" i="1" s="1"/>
  <c r="AA649" i="1" a="1"/>
  <c r="AA649" i="1"/>
  <c r="AA650" i="1" a="1"/>
  <c r="AA650" i="1" s="1"/>
  <c r="AA651" i="1" a="1"/>
  <c r="AA651" i="1" s="1"/>
  <c r="AA652" i="1" a="1"/>
  <c r="AA652" i="1" s="1"/>
  <c r="AA653" i="1" a="1"/>
  <c r="AA653" i="1" s="1"/>
  <c r="AA654" i="1" a="1"/>
  <c r="AA654" i="1" s="1"/>
  <c r="AA655" i="1" a="1"/>
  <c r="AA655" i="1" s="1"/>
  <c r="AA656" i="1" a="1"/>
  <c r="AA656" i="1" s="1"/>
  <c r="AA657" i="1" a="1"/>
  <c r="AA657" i="1" s="1"/>
  <c r="AA658" i="1" a="1"/>
  <c r="AA658" i="1" s="1"/>
  <c r="AA659" i="1" a="1"/>
  <c r="AA659" i="1" s="1"/>
  <c r="AA660" i="1" a="1"/>
  <c r="AA660" i="1" s="1"/>
  <c r="AA661" i="1" a="1"/>
  <c r="AA661" i="1" s="1"/>
  <c r="AA662" i="1" a="1"/>
  <c r="AA662" i="1" s="1"/>
  <c r="AA663" i="1" a="1"/>
  <c r="AA663" i="1"/>
  <c r="AA664" i="1" a="1"/>
  <c r="AA664" i="1" s="1"/>
  <c r="AA665" i="1" a="1"/>
  <c r="AA665" i="1" s="1"/>
  <c r="AA666" i="1" a="1"/>
  <c r="AA666" i="1" s="1"/>
  <c r="AA667" i="1" a="1"/>
  <c r="AA667" i="1" s="1"/>
  <c r="AA668" i="1" a="1"/>
  <c r="AA668" i="1" s="1"/>
  <c r="AA669" i="1" a="1"/>
  <c r="AA669" i="1" s="1"/>
  <c r="AA670" i="1" a="1"/>
  <c r="AA670" i="1" s="1"/>
  <c r="AA671" i="1" a="1"/>
  <c r="AA671" i="1" s="1"/>
  <c r="AA672" i="1" a="1"/>
  <c r="AA672" i="1" s="1"/>
  <c r="AA673" i="1" a="1"/>
  <c r="AA673" i="1" s="1"/>
  <c r="AA674" i="1" a="1"/>
  <c r="AA674" i="1"/>
  <c r="AA675" i="1" a="1"/>
  <c r="AA675" i="1" s="1"/>
  <c r="AA676" i="1" a="1"/>
  <c r="AA676" i="1" s="1"/>
  <c r="AA677" i="1" a="1"/>
  <c r="AA677" i="1" s="1"/>
  <c r="AA678" i="1" a="1"/>
  <c r="AA678" i="1" s="1"/>
  <c r="AA679" i="1" a="1"/>
  <c r="AA679" i="1" s="1"/>
  <c r="AA680" i="1" a="1"/>
  <c r="AA680" i="1" s="1"/>
  <c r="AA681" i="1" a="1"/>
  <c r="AA681" i="1" s="1"/>
  <c r="AA682" i="1" a="1"/>
  <c r="AA682" i="1" s="1"/>
  <c r="AA683" i="1" a="1"/>
  <c r="AA683" i="1" s="1"/>
  <c r="AA684" i="1" a="1"/>
  <c r="AA684" i="1"/>
  <c r="AA685" i="1" a="1"/>
  <c r="AA685" i="1" s="1"/>
  <c r="AA686" i="1" a="1"/>
  <c r="AA686" i="1" s="1"/>
  <c r="AA687" i="1" a="1"/>
  <c r="AA687" i="1" s="1"/>
  <c r="AA688" i="1" a="1"/>
  <c r="AA688" i="1" s="1"/>
  <c r="AA689" i="1" a="1"/>
  <c r="AA689" i="1" s="1"/>
  <c r="AA690" i="1" a="1"/>
  <c r="AA690" i="1" s="1"/>
  <c r="AA691" i="1" a="1"/>
  <c r="AA691" i="1"/>
  <c r="AA692" i="1" a="1"/>
  <c r="AA692" i="1" s="1"/>
  <c r="AA693" i="1" a="1"/>
  <c r="AA693" i="1" s="1"/>
  <c r="AA694" i="1" a="1"/>
  <c r="AA694" i="1" s="1"/>
  <c r="AA695" i="1" a="1"/>
  <c r="AA695" i="1" s="1"/>
  <c r="AA696" i="1" a="1"/>
  <c r="AA696" i="1" s="1"/>
  <c r="AA697" i="1" a="1"/>
  <c r="AA697" i="1"/>
  <c r="AA698" i="1" a="1"/>
  <c r="AA698" i="1" s="1"/>
  <c r="AA699" i="1" a="1"/>
  <c r="AA699" i="1" s="1"/>
  <c r="AA700" i="1" a="1"/>
  <c r="AA700" i="1" s="1"/>
  <c r="AA701" i="1" a="1"/>
  <c r="AA701" i="1"/>
  <c r="AA702" i="1" a="1"/>
  <c r="AA702" i="1" s="1"/>
  <c r="AA703" i="1" a="1"/>
  <c r="AA703" i="1" s="1"/>
  <c r="AA704" i="1" a="1"/>
  <c r="AA704" i="1" s="1"/>
  <c r="AA705" i="1" a="1"/>
  <c r="AA705" i="1" s="1"/>
  <c r="AA706" i="1" a="1"/>
  <c r="AA706" i="1" s="1"/>
  <c r="AA707" i="1" a="1"/>
  <c r="AA707" i="1" s="1"/>
  <c r="AA708" i="1" a="1"/>
  <c r="AA708" i="1"/>
  <c r="AA709" i="1" a="1"/>
  <c r="AA709" i="1" s="1"/>
  <c r="AA710" i="1" a="1"/>
  <c r="AA710" i="1"/>
  <c r="AA711" i="1" a="1"/>
  <c r="AA711" i="1" s="1"/>
  <c r="AA712" i="1" a="1"/>
  <c r="AA712" i="1" s="1"/>
  <c r="AA713" i="1" a="1"/>
  <c r="AA713" i="1"/>
  <c r="AA714" i="1" a="1"/>
  <c r="AA714" i="1" s="1"/>
  <c r="AA715" i="1" a="1"/>
  <c r="AA715" i="1" s="1"/>
  <c r="AA716" i="1" a="1"/>
  <c r="AA716" i="1" s="1"/>
  <c r="AA717" i="1" a="1"/>
  <c r="AA717" i="1" s="1"/>
  <c r="AA718" i="1" a="1"/>
  <c r="AA718" i="1" s="1"/>
  <c r="AA719" i="1" a="1"/>
  <c r="AA719" i="1" s="1"/>
  <c r="AA720" i="1" a="1"/>
  <c r="AA720" i="1" s="1"/>
  <c r="AA721" i="1" a="1"/>
  <c r="AA721" i="1" s="1"/>
  <c r="AA722" i="1" a="1"/>
  <c r="AA722" i="1" s="1"/>
  <c r="AA723" i="1" a="1"/>
  <c r="AA723" i="1" s="1"/>
  <c r="AA724" i="1" a="1"/>
  <c r="AA724" i="1" s="1"/>
  <c r="AA725" i="1" a="1"/>
  <c r="AA725" i="1" s="1"/>
  <c r="AA726" i="1" a="1"/>
  <c r="AA726" i="1"/>
  <c r="AA727" i="1" a="1"/>
  <c r="AA727" i="1" s="1"/>
  <c r="AA728" i="1" a="1"/>
  <c r="AA728" i="1" s="1"/>
  <c r="AA729" i="1" a="1"/>
  <c r="AA729" i="1" s="1"/>
  <c r="AA730" i="1" a="1"/>
  <c r="AA730" i="1" s="1"/>
  <c r="AA731" i="1" a="1"/>
  <c r="AA731" i="1" s="1"/>
  <c r="AA732" i="1" a="1"/>
  <c r="AA732" i="1" s="1"/>
  <c r="AA733" i="1" a="1"/>
  <c r="AA733" i="1" s="1"/>
  <c r="AA734" i="1" a="1"/>
  <c r="AA734" i="1" s="1"/>
  <c r="AA735" i="1" a="1"/>
  <c r="AA735" i="1"/>
  <c r="AA736" i="1" a="1"/>
  <c r="AA736" i="1" s="1"/>
  <c r="AA737" i="1" a="1"/>
  <c r="AA737" i="1" s="1"/>
  <c r="AA738" i="1" a="1"/>
  <c r="AA738" i="1" s="1"/>
  <c r="AA739" i="1" a="1"/>
  <c r="AA739" i="1" s="1"/>
  <c r="AA740" i="1" a="1"/>
  <c r="AA740" i="1" s="1"/>
  <c r="AA741" i="1" a="1"/>
  <c r="AA741" i="1" s="1"/>
  <c r="AA742" i="1" a="1"/>
  <c r="AA742" i="1" s="1"/>
  <c r="AA743" i="1" a="1"/>
  <c r="AA743" i="1" s="1"/>
  <c r="AA744" i="1" a="1"/>
  <c r="AA744" i="1" s="1"/>
  <c r="AA745" i="1" a="1"/>
  <c r="AA745" i="1" s="1"/>
  <c r="AA746" i="1" a="1"/>
  <c r="AA746" i="1" s="1"/>
  <c r="AA747" i="1" a="1"/>
  <c r="AA747" i="1" s="1"/>
  <c r="AA748" i="1" a="1"/>
  <c r="AA748" i="1" s="1"/>
  <c r="AA749" i="1" a="1"/>
  <c r="AA749" i="1" s="1"/>
  <c r="AA750" i="1" a="1"/>
  <c r="AA750" i="1" s="1"/>
  <c r="AA751" i="1" a="1"/>
  <c r="AA751" i="1" s="1"/>
  <c r="AA752" i="1" a="1"/>
  <c r="AA752" i="1" s="1"/>
  <c r="AA753" i="1" a="1"/>
  <c r="AA753" i="1" s="1"/>
  <c r="AA754" i="1" a="1"/>
  <c r="AA754" i="1" s="1"/>
  <c r="AA755" i="1" a="1"/>
  <c r="AA755" i="1" s="1"/>
  <c r="AA756" i="1" a="1"/>
  <c r="AA756" i="1" s="1"/>
  <c r="AA757" i="1" a="1"/>
  <c r="AA757" i="1" s="1"/>
  <c r="AA758" i="1" a="1"/>
  <c r="AA758" i="1" s="1"/>
  <c r="AA759" i="1" a="1"/>
  <c r="AA759" i="1" s="1"/>
  <c r="AA760" i="1" a="1"/>
  <c r="AA760" i="1" s="1"/>
  <c r="AA761" i="1" a="1"/>
  <c r="AA761" i="1" s="1"/>
  <c r="AA762" i="1" a="1"/>
  <c r="AA762" i="1" s="1"/>
  <c r="AA763" i="1" a="1"/>
  <c r="AA763" i="1" s="1"/>
  <c r="AA764" i="1" a="1"/>
  <c r="AA764" i="1" s="1"/>
  <c r="AA765" i="1" a="1"/>
  <c r="AA765" i="1" s="1"/>
  <c r="AA766" i="1" a="1"/>
  <c r="AA766" i="1" s="1"/>
  <c r="AA767" i="1" a="1"/>
  <c r="AA767" i="1" s="1"/>
  <c r="AA768" i="1" a="1"/>
  <c r="AA768" i="1" s="1"/>
  <c r="AA769" i="1" a="1"/>
  <c r="AA769" i="1" s="1"/>
  <c r="AA770" i="1" a="1"/>
  <c r="AA770" i="1" s="1"/>
  <c r="AA771" i="1" a="1"/>
  <c r="AA771" i="1" s="1"/>
  <c r="AA772" i="1" a="1"/>
  <c r="AA772" i="1" s="1"/>
  <c r="AA773" i="1" a="1"/>
  <c r="AA773" i="1" s="1"/>
  <c r="AA774" i="1" a="1"/>
  <c r="AA774" i="1" s="1"/>
  <c r="AA775" i="1" a="1"/>
  <c r="AA775" i="1" s="1"/>
  <c r="AA776" i="1" a="1"/>
  <c r="AA776" i="1" s="1"/>
  <c r="AA777" i="1" a="1"/>
  <c r="AA777" i="1" s="1"/>
  <c r="AA778" i="1" a="1"/>
  <c r="AA778" i="1" s="1"/>
  <c r="AA779" i="1" a="1"/>
  <c r="AA779" i="1"/>
  <c r="AA780" i="1" a="1"/>
  <c r="AA780" i="1" s="1"/>
  <c r="AA781" i="1" a="1"/>
  <c r="AA781" i="1" s="1"/>
  <c r="AA782" i="1" a="1"/>
  <c r="AA782" i="1" s="1"/>
  <c r="AA783" i="1" a="1"/>
  <c r="AA783" i="1" s="1"/>
  <c r="AA784" i="1" a="1"/>
  <c r="AA784" i="1" s="1"/>
  <c r="AA785" i="1" a="1"/>
  <c r="AA785" i="1" s="1"/>
  <c r="AA786" i="1" a="1"/>
  <c r="AA786" i="1" s="1"/>
  <c r="AA787" i="1" a="1"/>
  <c r="AA787" i="1" s="1"/>
  <c r="AA788" i="1" a="1"/>
  <c r="AA788" i="1" s="1"/>
  <c r="AA789" i="1" a="1"/>
  <c r="AA789" i="1" s="1"/>
  <c r="AA790" i="1" a="1"/>
  <c r="AA790" i="1" s="1"/>
  <c r="AA791" i="1" a="1"/>
  <c r="AA791" i="1"/>
  <c r="AA792" i="1" a="1"/>
  <c r="AA792" i="1" s="1"/>
  <c r="AA793" i="1" a="1"/>
  <c r="AA793" i="1" s="1"/>
  <c r="AA794" i="1" a="1"/>
  <c r="AA794" i="1" s="1"/>
  <c r="AA795" i="1" a="1"/>
  <c r="AA795" i="1" s="1"/>
  <c r="AA796" i="1" a="1"/>
  <c r="AA796" i="1"/>
  <c r="AA797" i="1" a="1"/>
  <c r="AA797" i="1" s="1"/>
  <c r="AA798" i="1" a="1"/>
  <c r="AA798" i="1" s="1"/>
  <c r="AA799" i="1" a="1"/>
  <c r="AA799" i="1" s="1"/>
  <c r="AA800" i="1" a="1"/>
  <c r="AA800" i="1" s="1"/>
  <c r="AA801" i="1" a="1"/>
  <c r="AA801" i="1" s="1"/>
  <c r="AA802" i="1" a="1"/>
  <c r="AA802" i="1" s="1"/>
  <c r="AA803" i="1" a="1"/>
  <c r="AA803" i="1" s="1"/>
  <c r="AA804" i="1" a="1"/>
  <c r="AA804" i="1" s="1"/>
  <c r="AA805" i="1" a="1"/>
  <c r="AA805" i="1" s="1"/>
  <c r="AA806" i="1" a="1"/>
  <c r="AA806" i="1" s="1"/>
  <c r="AA807" i="1" a="1"/>
  <c r="AA807" i="1" s="1"/>
  <c r="AA808" i="1" a="1"/>
  <c r="AA808" i="1" s="1"/>
  <c r="AA809" i="1" a="1"/>
  <c r="AA809" i="1" s="1"/>
  <c r="AA810" i="1" a="1"/>
  <c r="AA810" i="1" s="1"/>
  <c r="AA811" i="1" a="1"/>
  <c r="AA811" i="1" s="1"/>
  <c r="AA812" i="1" a="1"/>
  <c r="AA812" i="1" s="1"/>
  <c r="AA813" i="1" a="1"/>
  <c r="AA813" i="1" s="1"/>
  <c r="AA814" i="1" a="1"/>
  <c r="AA814" i="1" s="1"/>
  <c r="AA815" i="1" a="1"/>
  <c r="AA815" i="1" s="1"/>
  <c r="AA816" i="1" a="1"/>
  <c r="AA816" i="1" s="1"/>
  <c r="AA817" i="1" a="1"/>
  <c r="AA817" i="1" s="1"/>
  <c r="AA818" i="1" a="1"/>
  <c r="AA818" i="1" s="1"/>
  <c r="AA819" i="1" a="1"/>
  <c r="AA819" i="1"/>
  <c r="AA820" i="1" a="1"/>
  <c r="AA820" i="1" s="1"/>
  <c r="AA821" i="1" a="1"/>
  <c r="AA821" i="1" s="1"/>
  <c r="AA822" i="1" a="1"/>
  <c r="AA822" i="1" s="1"/>
  <c r="AA823" i="1" a="1"/>
  <c r="AA823" i="1" s="1"/>
  <c r="AA824" i="1" a="1"/>
  <c r="AA824" i="1" s="1"/>
  <c r="AA825" i="1" a="1"/>
  <c r="AA825" i="1" s="1"/>
  <c r="AA826" i="1" a="1"/>
  <c r="AA826" i="1" s="1"/>
  <c r="AA827" i="1" a="1"/>
  <c r="AA827" i="1" s="1"/>
  <c r="AA828" i="1" a="1"/>
  <c r="AA828" i="1" s="1"/>
  <c r="AA829" i="1" a="1"/>
  <c r="AA829" i="1" s="1"/>
  <c r="AA830" i="1" a="1"/>
  <c r="AA830" i="1" s="1"/>
  <c r="AA831" i="1" a="1"/>
  <c r="AA831" i="1" s="1"/>
  <c r="AA832" i="1" a="1"/>
  <c r="AA832" i="1" s="1"/>
  <c r="AA833" i="1" a="1"/>
  <c r="AA833" i="1" s="1"/>
  <c r="AA834" i="1" a="1"/>
  <c r="AA834" i="1" s="1"/>
  <c r="AA835" i="1" a="1"/>
  <c r="AA835" i="1" s="1"/>
  <c r="AA836" i="1" a="1"/>
  <c r="AA836" i="1" s="1"/>
  <c r="AA837" i="1" a="1"/>
  <c r="AA837" i="1" s="1"/>
  <c r="AA838" i="1" a="1"/>
  <c r="AA838" i="1" s="1"/>
  <c r="AA839" i="1" a="1"/>
  <c r="AA839" i="1" s="1"/>
  <c r="AA840" i="1" a="1"/>
  <c r="AA840" i="1" s="1"/>
  <c r="AA841" i="1" a="1"/>
  <c r="AA841" i="1" s="1"/>
  <c r="AA842" i="1" a="1"/>
  <c r="AA842" i="1" s="1"/>
  <c r="AA843" i="1" a="1"/>
  <c r="AA843" i="1"/>
  <c r="AA844" i="1" a="1"/>
  <c r="AA844" i="1" s="1"/>
  <c r="AA845" i="1" a="1"/>
  <c r="AA845" i="1" s="1"/>
  <c r="AA846" i="1" a="1"/>
  <c r="AA846" i="1" s="1"/>
  <c r="AA847" i="1" a="1"/>
  <c r="AA847" i="1" s="1"/>
  <c r="AA848" i="1" a="1"/>
  <c r="AA848" i="1" s="1"/>
  <c r="AA849" i="1" a="1"/>
  <c r="AA849" i="1" s="1"/>
  <c r="AA850" i="1" a="1"/>
  <c r="AA850" i="1" s="1"/>
  <c r="AA851" i="1" a="1"/>
  <c r="AA851" i="1" s="1"/>
  <c r="AA852" i="1" a="1"/>
  <c r="AA852" i="1" s="1"/>
  <c r="AA853" i="1" a="1"/>
  <c r="AA853" i="1" s="1"/>
  <c r="AA854" i="1" a="1"/>
  <c r="AA854" i="1" s="1"/>
  <c r="AA855" i="1" a="1"/>
  <c r="AA855" i="1" s="1"/>
  <c r="AA856" i="1" a="1"/>
  <c r="AA856" i="1" s="1"/>
  <c r="AA857" i="1" a="1"/>
  <c r="AA857" i="1" s="1"/>
  <c r="AA858" i="1" a="1"/>
  <c r="AA858" i="1" s="1"/>
  <c r="AA859" i="1" a="1"/>
  <c r="AA859" i="1" s="1"/>
  <c r="AA860" i="1" a="1"/>
  <c r="AA860" i="1" s="1"/>
  <c r="AA861" i="1" a="1"/>
  <c r="AA861" i="1" s="1"/>
  <c r="AA862" i="1" a="1"/>
  <c r="AA862" i="1" s="1"/>
  <c r="AA863" i="1" a="1"/>
  <c r="AA863" i="1" s="1"/>
  <c r="AA864" i="1" a="1"/>
  <c r="AA864" i="1" s="1"/>
  <c r="AA865" i="1" a="1"/>
  <c r="AA865" i="1" s="1"/>
  <c r="AA866" i="1" a="1"/>
  <c r="AA866" i="1" s="1"/>
  <c r="AA867" i="1" a="1"/>
  <c r="AA867" i="1" s="1"/>
  <c r="AA868" i="1" a="1"/>
  <c r="AA868" i="1" s="1"/>
  <c r="AA869" i="1" a="1"/>
  <c r="AA869" i="1" s="1"/>
  <c r="AA870" i="1" a="1"/>
  <c r="AA870" i="1" s="1"/>
  <c r="AA871" i="1" a="1"/>
  <c r="AA871" i="1" s="1"/>
  <c r="AA872" i="1" a="1"/>
  <c r="AA872" i="1" s="1"/>
  <c r="AA873" i="1" a="1"/>
  <c r="AA873" i="1" s="1"/>
  <c r="AA874" i="1" a="1"/>
  <c r="AA874" i="1" s="1"/>
  <c r="AA875" i="1" a="1"/>
  <c r="AA875" i="1" s="1"/>
  <c r="AA876" i="1" a="1"/>
  <c r="AA876" i="1" s="1"/>
  <c r="AA877" i="1" a="1"/>
  <c r="AA877" i="1" s="1"/>
  <c r="AA878" i="1" a="1"/>
  <c r="AA878" i="1" s="1"/>
  <c r="AA879" i="1" a="1"/>
  <c r="AA879" i="1" s="1"/>
  <c r="AA880" i="1" a="1"/>
  <c r="AA880" i="1" s="1"/>
  <c r="AA881" i="1" a="1"/>
  <c r="AA881" i="1" s="1"/>
  <c r="AA882" i="1" a="1"/>
  <c r="AA882" i="1" s="1"/>
  <c r="AA883" i="1" a="1"/>
  <c r="AA883" i="1" s="1"/>
  <c r="AA884" i="1" a="1"/>
  <c r="AA884" i="1" s="1"/>
  <c r="AA885" i="1" a="1"/>
  <c r="AA885" i="1" s="1"/>
  <c r="AA886" i="1" a="1"/>
  <c r="AA886" i="1"/>
  <c r="AA887" i="1" a="1"/>
  <c r="AA887" i="1" s="1"/>
  <c r="AA888" i="1" a="1"/>
  <c r="AA888" i="1" s="1"/>
  <c r="AA889" i="1" a="1"/>
  <c r="AA889" i="1" s="1"/>
  <c r="AA890" i="1" a="1"/>
  <c r="AA890" i="1" s="1"/>
  <c r="AA891" i="1" a="1"/>
  <c r="AA891" i="1" s="1"/>
  <c r="AA892" i="1" a="1"/>
  <c r="AA892" i="1" s="1"/>
  <c r="AA893" i="1" a="1"/>
  <c r="AA893" i="1" s="1"/>
  <c r="AA894" i="1" a="1"/>
  <c r="AA894" i="1" s="1"/>
  <c r="AA895" i="1" a="1"/>
  <c r="AA895" i="1" s="1"/>
  <c r="AA896" i="1" a="1"/>
  <c r="AA896" i="1" s="1"/>
  <c r="AA897" i="1" a="1"/>
  <c r="AA897" i="1" s="1"/>
  <c r="AA898" i="1" a="1"/>
  <c r="AA898" i="1" s="1"/>
  <c r="AA899" i="1" a="1"/>
  <c r="AA899" i="1" s="1"/>
  <c r="AA900" i="1" a="1"/>
  <c r="AA900" i="1" s="1"/>
  <c r="AA901" i="1" a="1"/>
  <c r="AA901" i="1"/>
  <c r="AA902" i="1" a="1"/>
  <c r="AA902" i="1" s="1"/>
  <c r="AA903" i="1" a="1"/>
  <c r="AA903" i="1" s="1"/>
  <c r="AA904" i="1" a="1"/>
  <c r="AA904" i="1" s="1"/>
  <c r="AA905" i="1" a="1"/>
  <c r="AA905" i="1" s="1"/>
  <c r="AA906" i="1" a="1"/>
  <c r="AA906" i="1" s="1"/>
  <c r="AA907" i="1" a="1"/>
  <c r="AA907" i="1" s="1"/>
  <c r="AA908" i="1" a="1"/>
  <c r="AA908" i="1" s="1"/>
  <c r="AA909" i="1" a="1"/>
  <c r="AA909" i="1" s="1"/>
  <c r="AA910" i="1" a="1"/>
  <c r="AA910" i="1" s="1"/>
  <c r="AA911" i="1" a="1"/>
  <c r="AA911" i="1" s="1"/>
  <c r="AA912" i="1" a="1"/>
  <c r="AA912" i="1" s="1"/>
  <c r="AA913" i="1" a="1"/>
  <c r="AA913" i="1" s="1"/>
  <c r="AA914" i="1" a="1"/>
  <c r="AA914" i="1" s="1"/>
  <c r="AA915" i="1" a="1"/>
  <c r="AA915" i="1" s="1"/>
  <c r="AA916" i="1" a="1"/>
  <c r="AA916" i="1" s="1"/>
  <c r="AA917" i="1" a="1"/>
  <c r="AA917" i="1" s="1"/>
  <c r="AA918" i="1" a="1"/>
  <c r="AA918" i="1"/>
  <c r="AA919" i="1" a="1"/>
  <c r="AA919" i="1" s="1"/>
  <c r="AA920" i="1" a="1"/>
  <c r="AA920" i="1" s="1"/>
  <c r="AA921" i="1" a="1"/>
  <c r="AA921" i="1" s="1"/>
  <c r="AA922" i="1" a="1"/>
  <c r="AA922" i="1" s="1"/>
  <c r="AA923" i="1" a="1"/>
  <c r="AA923" i="1" s="1"/>
  <c r="AA924" i="1" a="1"/>
  <c r="AA924" i="1" s="1"/>
  <c r="AA925" i="1" a="1"/>
  <c r="AA925" i="1" s="1"/>
  <c r="AA926" i="1" a="1"/>
  <c r="AA926" i="1" s="1"/>
  <c r="AA927" i="1" a="1"/>
  <c r="AA927" i="1" s="1"/>
  <c r="AA928" i="1" a="1"/>
  <c r="AA928" i="1" s="1"/>
  <c r="AA929" i="1" a="1"/>
  <c r="AA929" i="1" s="1"/>
  <c r="AA930" i="1" a="1"/>
  <c r="AA930" i="1" s="1"/>
  <c r="AA931" i="1" a="1"/>
  <c r="AA931" i="1" s="1"/>
  <c r="AA932" i="1" a="1"/>
  <c r="AA932" i="1" s="1"/>
  <c r="AA933" i="1" a="1"/>
  <c r="AA933" i="1" s="1"/>
  <c r="AA934" i="1" a="1"/>
  <c r="AA934" i="1" s="1"/>
  <c r="AA935" i="1" a="1"/>
  <c r="AA935" i="1" s="1"/>
  <c r="AA936" i="1" a="1"/>
  <c r="AA936" i="1" s="1"/>
  <c r="AA937" i="1" a="1"/>
  <c r="AA937" i="1"/>
  <c r="AA938" i="1" a="1"/>
  <c r="AA938" i="1" s="1"/>
  <c r="AA939" i="1" a="1"/>
  <c r="AA939" i="1" s="1"/>
  <c r="AA940" i="1" a="1"/>
  <c r="AA940" i="1" s="1"/>
  <c r="AA941" i="1" a="1"/>
  <c r="AA941" i="1" s="1"/>
  <c r="AA942" i="1" a="1"/>
  <c r="AA942" i="1"/>
  <c r="AA943" i="1" a="1"/>
  <c r="AA943" i="1" s="1"/>
  <c r="AA944" i="1" a="1"/>
  <c r="AA944" i="1" s="1"/>
  <c r="AA945" i="1" a="1"/>
  <c r="AA945" i="1" s="1"/>
  <c r="AA946" i="1" a="1"/>
  <c r="AA946" i="1" s="1"/>
  <c r="AA947" i="1" a="1"/>
  <c r="AA947" i="1" s="1"/>
  <c r="AA948" i="1" a="1"/>
  <c r="AA948" i="1" s="1"/>
  <c r="AA949" i="1" a="1"/>
  <c r="AA949" i="1" s="1"/>
  <c r="AA950" i="1" a="1"/>
  <c r="AA950" i="1" s="1"/>
  <c r="AA951" i="1" a="1"/>
  <c r="AA951" i="1" s="1"/>
  <c r="AA952" i="1" a="1"/>
  <c r="AA952" i="1" s="1"/>
  <c r="AA953" i="1" a="1"/>
  <c r="AA953" i="1" s="1"/>
  <c r="AA954" i="1" a="1"/>
  <c r="AA954" i="1" s="1"/>
  <c r="AA955" i="1" a="1"/>
  <c r="AA955" i="1" s="1"/>
  <c r="AA956" i="1" a="1"/>
  <c r="AA956" i="1" s="1"/>
  <c r="AA957" i="1" a="1"/>
  <c r="AA957" i="1" s="1"/>
  <c r="AA958" i="1" a="1"/>
  <c r="AA958" i="1" s="1"/>
  <c r="AA959" i="1" a="1"/>
  <c r="AA959" i="1" s="1"/>
  <c r="AA960" i="1" a="1"/>
  <c r="AA960" i="1" s="1"/>
  <c r="AA961" i="1" a="1"/>
  <c r="AA961" i="1" s="1"/>
  <c r="AA962" i="1" a="1"/>
  <c r="AA962" i="1" s="1"/>
  <c r="AA963" i="1" a="1"/>
  <c r="AA963" i="1" s="1"/>
  <c r="AA964" i="1" a="1"/>
  <c r="AA964" i="1"/>
  <c r="AA965" i="1" a="1"/>
  <c r="AA965" i="1" s="1"/>
  <c r="AA966" i="1" a="1"/>
  <c r="AA966" i="1" s="1"/>
  <c r="AA967" i="1" a="1"/>
  <c r="AA967" i="1" s="1"/>
  <c r="AA968" i="1" a="1"/>
  <c r="AA968" i="1" s="1"/>
  <c r="AA969" i="1" a="1"/>
  <c r="AA969" i="1" s="1"/>
  <c r="AA970" i="1" a="1"/>
  <c r="AA970" i="1" s="1"/>
  <c r="AA971" i="1" a="1"/>
  <c r="AA971" i="1" s="1"/>
  <c r="AA972" i="1" a="1"/>
  <c r="AA972" i="1" s="1"/>
  <c r="AA973" i="1" a="1"/>
  <c r="AA973" i="1" s="1"/>
  <c r="AA974" i="1" a="1"/>
  <c r="AA974" i="1" s="1"/>
  <c r="AA975" i="1" a="1"/>
  <c r="AA975" i="1" s="1"/>
  <c r="AA976" i="1" a="1"/>
  <c r="AA976" i="1" s="1"/>
  <c r="AA977" i="1" a="1"/>
  <c r="AA977" i="1" s="1"/>
  <c r="AA978" i="1" a="1"/>
  <c r="AA978" i="1" s="1"/>
  <c r="AA979" i="1" a="1"/>
  <c r="AA979" i="1" s="1"/>
  <c r="AA980" i="1" a="1"/>
  <c r="AA980" i="1" s="1"/>
  <c r="AA981" i="1" a="1"/>
  <c r="AA981" i="1" s="1"/>
  <c r="AA982" i="1" a="1"/>
  <c r="AA982" i="1" s="1"/>
  <c r="AA983" i="1" a="1"/>
  <c r="AA983" i="1" s="1"/>
  <c r="AA984" i="1" a="1"/>
  <c r="AA984" i="1" s="1"/>
  <c r="AA985" i="1" a="1"/>
  <c r="AA985" i="1" s="1"/>
  <c r="AA986" i="1" a="1"/>
  <c r="AA986" i="1" s="1"/>
  <c r="AA987" i="1" a="1"/>
  <c r="AA987" i="1" s="1"/>
  <c r="AA988" i="1" a="1"/>
  <c r="AA988" i="1" s="1"/>
  <c r="AA989" i="1" a="1"/>
  <c r="AA989" i="1" s="1"/>
  <c r="AA990" i="1" a="1"/>
  <c r="AA990" i="1" s="1"/>
  <c r="AA991" i="1" a="1"/>
  <c r="AA991" i="1" s="1"/>
  <c r="AA992" i="1" a="1"/>
  <c r="AA992" i="1" s="1"/>
  <c r="AA993" i="1" a="1"/>
  <c r="AA993" i="1" s="1"/>
  <c r="AA994" i="1" a="1"/>
  <c r="AA994" i="1" s="1"/>
  <c r="AA995" i="1" a="1"/>
  <c r="AA995" i="1"/>
  <c r="AA996" i="1" a="1"/>
  <c r="AA996" i="1" s="1"/>
  <c r="AA997" i="1" a="1"/>
  <c r="AA997" i="1" s="1"/>
  <c r="AA998" i="1" a="1"/>
  <c r="AA998" i="1" s="1"/>
  <c r="AA999" i="1" a="1"/>
  <c r="AA999" i="1" s="1"/>
  <c r="AA1000" i="1" a="1"/>
  <c r="AA1000" i="1" s="1"/>
  <c r="AA1001" i="1" a="1"/>
  <c r="AA1001" i="1" s="1"/>
  <c r="AA1002" i="1" a="1"/>
  <c r="AA1002" i="1" s="1"/>
  <c r="AA1003" i="1" a="1"/>
  <c r="AA1003" i="1" s="1"/>
  <c r="AA1004" i="1" a="1"/>
  <c r="AA1004" i="1" s="1"/>
  <c r="AA1005" i="1" a="1"/>
  <c r="AA1005" i="1" s="1"/>
  <c r="AA1006" i="1" a="1"/>
  <c r="AA1006" i="1" s="1"/>
  <c r="AA1007" i="1" a="1"/>
  <c r="AA1007" i="1" s="1"/>
  <c r="AA1008" i="1" a="1"/>
  <c r="AA1008" i="1" s="1"/>
  <c r="AA1009" i="1" a="1"/>
  <c r="AA1009" i="1" s="1"/>
  <c r="AA1010" i="1" a="1"/>
  <c r="AA1010" i="1" s="1"/>
  <c r="AA1011" i="1" a="1"/>
  <c r="AA1011" i="1" s="1"/>
  <c r="AA1012" i="1" a="1"/>
  <c r="AA1012" i="1" s="1"/>
  <c r="AA1013" i="1" a="1"/>
  <c r="AA1013" i="1" s="1"/>
  <c r="AA1014" i="1" a="1"/>
  <c r="AA1014" i="1"/>
  <c r="AA1015" i="1" a="1"/>
  <c r="AA1015" i="1" s="1"/>
  <c r="AA1016" i="1" a="1"/>
  <c r="AA1016" i="1" s="1"/>
  <c r="AA1017" i="1" a="1"/>
  <c r="AA1017" i="1" s="1"/>
  <c r="AA1018" i="1" a="1"/>
  <c r="AA1018" i="1" s="1"/>
  <c r="AA1019" i="1" a="1"/>
  <c r="AA1019" i="1"/>
  <c r="AA1020" i="1" a="1"/>
  <c r="AA1020" i="1" s="1"/>
  <c r="AA1021" i="1" a="1"/>
  <c r="AA1021" i="1" s="1"/>
  <c r="AA1022" i="1" a="1"/>
  <c r="AA1022" i="1" s="1"/>
  <c r="AA1023" i="1" a="1"/>
  <c r="AA1023" i="1" s="1"/>
  <c r="AA1024" i="1" a="1"/>
  <c r="AA1024" i="1" s="1"/>
  <c r="AA1025" i="1" a="1"/>
  <c r="AA1025" i="1" s="1"/>
  <c r="AA1026" i="1" a="1"/>
  <c r="AA1026" i="1" s="1"/>
  <c r="AA1027" i="1" a="1"/>
  <c r="AA1027" i="1" s="1"/>
  <c r="AA1028" i="1" a="1"/>
  <c r="AA1028" i="1" s="1"/>
  <c r="AA1029" i="1" a="1"/>
  <c r="AA1029" i="1" s="1"/>
  <c r="AA1030" i="1" a="1"/>
  <c r="AA1030" i="1" s="1"/>
  <c r="AA1031" i="1" a="1"/>
  <c r="AA1031" i="1" s="1"/>
  <c r="AA1032" i="1" a="1"/>
  <c r="AA1032" i="1" s="1"/>
  <c r="AA1033" i="1" a="1"/>
  <c r="AA1033" i="1" s="1"/>
  <c r="AA1034" i="1" a="1"/>
  <c r="AA1034" i="1" s="1"/>
  <c r="AA1035" i="1" a="1"/>
  <c r="AA1035" i="1" s="1"/>
  <c r="AA1036" i="1" a="1"/>
  <c r="AA1036" i="1" s="1"/>
  <c r="AA1037" i="1" a="1"/>
  <c r="AA1037" i="1" s="1"/>
  <c r="AA1038" i="1" a="1"/>
  <c r="AA1038" i="1"/>
  <c r="AA1039" i="1" a="1"/>
  <c r="AA1039" i="1" s="1"/>
  <c r="AA1040" i="1" a="1"/>
  <c r="AA1040" i="1" s="1"/>
  <c r="AA1041" i="1" a="1"/>
  <c r="AA1041" i="1" s="1"/>
  <c r="AA1042" i="1" a="1"/>
  <c r="AA1042" i="1" s="1"/>
  <c r="AA1043" i="1" a="1"/>
  <c r="AA1043" i="1" s="1"/>
  <c r="AA1044" i="1" a="1"/>
  <c r="AA1044" i="1" s="1"/>
  <c r="AA1045" i="1" a="1"/>
  <c r="AA1045" i="1" s="1"/>
  <c r="AA1046" i="1" a="1"/>
  <c r="AA1046" i="1" s="1"/>
  <c r="AA1047" i="1" a="1"/>
  <c r="AA1047" i="1" s="1"/>
  <c r="AA1048" i="1" a="1"/>
  <c r="AA1048" i="1" s="1"/>
  <c r="AA1049" i="1" a="1"/>
  <c r="AA1049" i="1" s="1"/>
  <c r="AA1050" i="1" a="1"/>
  <c r="AA1050" i="1" s="1"/>
  <c r="AA1051" i="1" a="1"/>
  <c r="AA1051" i="1" s="1"/>
  <c r="AA1052" i="1" a="1"/>
  <c r="AA1052" i="1"/>
  <c r="AA1053" i="1" a="1"/>
  <c r="AA1053" i="1" s="1"/>
  <c r="AA1054" i="1" a="1"/>
  <c r="AA1054" i="1" s="1"/>
  <c r="AA1055" i="1" a="1"/>
  <c r="AA1055" i="1" s="1"/>
  <c r="AA1056" i="1" a="1"/>
  <c r="AA1056" i="1" s="1"/>
  <c r="AA1057" i="1" a="1"/>
  <c r="AA1057" i="1" s="1"/>
  <c r="AA1058" i="1" a="1"/>
  <c r="AA1058" i="1" s="1"/>
  <c r="AA1059" i="1" a="1"/>
  <c r="AA1059" i="1" s="1"/>
  <c r="AA1060" i="1" a="1"/>
  <c r="AA1060" i="1"/>
  <c r="AA1061" i="1" a="1"/>
  <c r="AA1061" i="1" s="1"/>
  <c r="AA1062" i="1" a="1"/>
  <c r="AA1062" i="1" s="1"/>
  <c r="AA1063" i="1" a="1"/>
  <c r="AA1063" i="1" s="1"/>
  <c r="AA1064" i="1" a="1"/>
  <c r="AA1064" i="1" s="1"/>
  <c r="AA1065" i="1" a="1"/>
  <c r="AA1065" i="1" s="1"/>
  <c r="AA1066" i="1" a="1"/>
  <c r="AA1066" i="1" s="1"/>
  <c r="AA1067" i="1" a="1"/>
  <c r="AA1067" i="1" s="1"/>
  <c r="AA1068" i="1" a="1"/>
  <c r="AA1068" i="1" s="1"/>
  <c r="AA1069" i="1" a="1"/>
  <c r="AA1069" i="1" s="1"/>
  <c r="AA1070" i="1" a="1"/>
  <c r="AA1070" i="1" s="1"/>
  <c r="AA1071" i="1" a="1"/>
  <c r="AA1071" i="1"/>
  <c r="AA1072" i="1" a="1"/>
  <c r="AA1072" i="1" s="1"/>
  <c r="AA1073" i="1" a="1"/>
  <c r="AA1073" i="1" s="1"/>
  <c r="AA1074" i="1" a="1"/>
  <c r="AA1074" i="1" s="1"/>
  <c r="AA1075" i="1" a="1"/>
  <c r="AA1075" i="1" s="1"/>
  <c r="AA1076" i="1" a="1"/>
  <c r="AA1076" i="1" s="1"/>
  <c r="AA1077" i="1" a="1"/>
  <c r="AA1077" i="1" s="1"/>
  <c r="AA1078" i="1" a="1"/>
  <c r="AA1078" i="1" s="1"/>
  <c r="AA1079" i="1" a="1"/>
  <c r="AA1079" i="1" s="1"/>
  <c r="AA1080" i="1" a="1"/>
  <c r="AA1080" i="1" s="1"/>
  <c r="AA1081" i="1" a="1"/>
  <c r="AA1081" i="1" s="1"/>
  <c r="AA1082" i="1" a="1"/>
  <c r="AA1082" i="1" s="1"/>
  <c r="AA1083" i="1" a="1"/>
  <c r="AA1083" i="1" s="1"/>
  <c r="AA1084" i="1" a="1"/>
  <c r="AA1084" i="1" s="1"/>
  <c r="AA1085" i="1" a="1"/>
  <c r="AA1085" i="1" s="1"/>
  <c r="AA1086" i="1" a="1"/>
  <c r="AA1086" i="1" s="1"/>
  <c r="AA1087" i="1" a="1"/>
  <c r="AA1087" i="1"/>
  <c r="AA1088" i="1" a="1"/>
  <c r="AA1088" i="1"/>
  <c r="AA1089" i="1" a="1"/>
  <c r="AA1089" i="1" s="1"/>
  <c r="AA1090" i="1" a="1"/>
  <c r="AA1090" i="1" s="1"/>
  <c r="AA1091" i="1" a="1"/>
  <c r="AA1091" i="1" s="1"/>
  <c r="AA1092" i="1" a="1"/>
  <c r="AA1092" i="1" s="1"/>
  <c r="AA1093" i="1" a="1"/>
  <c r="AA1093" i="1" s="1"/>
  <c r="AA1094" i="1" a="1"/>
  <c r="AA1094" i="1" s="1"/>
  <c r="AA1095" i="1" a="1"/>
  <c r="AA1095" i="1" s="1"/>
  <c r="AA1096" i="1" a="1"/>
  <c r="AA1096" i="1" s="1"/>
  <c r="AA1097" i="1" a="1"/>
  <c r="AA1097" i="1" s="1"/>
  <c r="AA1098" i="1" a="1"/>
  <c r="AA1098" i="1" s="1"/>
  <c r="AA1099" i="1" a="1"/>
  <c r="AA1099" i="1" s="1"/>
  <c r="AA1100" i="1" a="1"/>
  <c r="AA1100" i="1" s="1"/>
  <c r="AA1101" i="1" a="1"/>
  <c r="AA1101" i="1"/>
  <c r="AA1102" i="1" a="1"/>
  <c r="AA1102" i="1" s="1"/>
  <c r="AA1103" i="1" a="1"/>
  <c r="AA1103" i="1" s="1"/>
  <c r="AA1104" i="1" a="1"/>
  <c r="AA1104" i="1" s="1"/>
  <c r="AA1105" i="1" a="1"/>
  <c r="AA1105" i="1" s="1"/>
  <c r="AA1106" i="1" a="1"/>
  <c r="AA1106" i="1" s="1"/>
  <c r="AA1107" i="1" a="1"/>
  <c r="AA1107" i="1" s="1"/>
  <c r="AA1108" i="1" a="1"/>
  <c r="AA1108" i="1" s="1"/>
  <c r="AA1109" i="1" a="1"/>
  <c r="AA1109" i="1"/>
  <c r="AA1110" i="1" a="1"/>
  <c r="AA1110" i="1" s="1"/>
  <c r="AA1111" i="1" a="1"/>
  <c r="AA1111" i="1" s="1"/>
  <c r="AA1112" i="1" a="1"/>
  <c r="AA1112" i="1" s="1"/>
  <c r="AA1113" i="1" a="1"/>
  <c r="AA1113" i="1" s="1"/>
  <c r="AA1114" i="1" a="1"/>
  <c r="AA1114" i="1" s="1"/>
  <c r="AA1115" i="1" a="1"/>
  <c r="AA1115" i="1" s="1"/>
  <c r="AA1116" i="1" a="1"/>
  <c r="AA1116" i="1"/>
  <c r="AA1117" i="1" a="1"/>
  <c r="AA1117" i="1" s="1"/>
  <c r="AA1118" i="1" a="1"/>
  <c r="AA1118" i="1" s="1"/>
  <c r="AA1119" i="1" a="1"/>
  <c r="AA1119" i="1" s="1"/>
  <c r="AA1120" i="1" a="1"/>
  <c r="AA1120" i="1" s="1"/>
  <c r="AA1121" i="1" a="1"/>
  <c r="AA1121" i="1" s="1"/>
  <c r="AA1122" i="1" a="1"/>
  <c r="AA1122" i="1" s="1"/>
  <c r="AA1123" i="1" a="1"/>
  <c r="AA1123" i="1"/>
  <c r="AA1124" i="1" a="1"/>
  <c r="AA1124" i="1" s="1"/>
  <c r="AA1125" i="1" a="1"/>
  <c r="AA1125" i="1" s="1"/>
  <c r="AA1126" i="1" a="1"/>
  <c r="AA1126" i="1" s="1"/>
  <c r="AA1127" i="1" a="1"/>
  <c r="AA1127" i="1" s="1"/>
  <c r="AA1128" i="1" a="1"/>
  <c r="AA1128" i="1" s="1"/>
  <c r="AA1129" i="1" a="1"/>
  <c r="AA1129" i="1" s="1"/>
  <c r="AA1130" i="1" a="1"/>
  <c r="AA1130" i="1" s="1"/>
  <c r="AA1131" i="1" a="1"/>
  <c r="AA1131" i="1" s="1"/>
  <c r="AA1132" i="1" a="1"/>
  <c r="AA1132" i="1" s="1"/>
  <c r="AA1133" i="1" a="1"/>
  <c r="AA1133" i="1" s="1"/>
  <c r="AA1134" i="1" a="1"/>
  <c r="AA1134" i="1" s="1"/>
  <c r="AA1135" i="1" a="1"/>
  <c r="AA1135" i="1" s="1"/>
  <c r="AA1136" i="1" a="1"/>
  <c r="AA1136" i="1" s="1"/>
  <c r="AA1137" i="1" a="1"/>
  <c r="AA1137" i="1"/>
  <c r="AA1138" i="1" a="1"/>
  <c r="AA1138" i="1" s="1"/>
  <c r="AA1139" i="1" a="1"/>
  <c r="AA1139" i="1" s="1"/>
  <c r="AA1140" i="1" a="1"/>
  <c r="AA1140" i="1" s="1"/>
  <c r="AA1141" i="1" a="1"/>
  <c r="AA1141" i="1" s="1"/>
  <c r="AA1142" i="1" a="1"/>
  <c r="AA1142" i="1" s="1"/>
  <c r="AA1143" i="1" a="1"/>
  <c r="AA1143" i="1" s="1"/>
  <c r="AA1144" i="1" a="1"/>
  <c r="AA1144" i="1" s="1"/>
  <c r="AA1145" i="1" a="1"/>
  <c r="AA1145" i="1" s="1"/>
  <c r="AA1146" i="1" a="1"/>
  <c r="AA1146" i="1" s="1"/>
  <c r="AA1147" i="1" a="1"/>
  <c r="AA1147" i="1" s="1"/>
  <c r="AA1148" i="1" a="1"/>
  <c r="AA1148" i="1" s="1"/>
  <c r="AA1149" i="1" a="1"/>
  <c r="AA1149" i="1" s="1"/>
  <c r="AA1150" i="1" a="1"/>
  <c r="AA1150" i="1" s="1"/>
  <c r="AA1151" i="1" a="1"/>
  <c r="AA1151" i="1" s="1"/>
  <c r="AA1152" i="1" a="1"/>
  <c r="AA1152" i="1" s="1"/>
  <c r="AA1153" i="1" a="1"/>
  <c r="AA1153" i="1" s="1"/>
  <c r="AA1154" i="1" a="1"/>
  <c r="AA1154" i="1" s="1"/>
  <c r="AA1155" i="1" a="1"/>
  <c r="AA1155" i="1" s="1"/>
  <c r="AA1156" i="1" a="1"/>
  <c r="AA1156" i="1" s="1"/>
  <c r="AA1157" i="1" a="1"/>
  <c r="AA1157" i="1"/>
  <c r="AA1158" i="1" a="1"/>
  <c r="AA1158" i="1" s="1"/>
  <c r="AA1159" i="1" a="1"/>
  <c r="AA1159" i="1" s="1"/>
  <c r="AA1160" i="1" a="1"/>
  <c r="AA1160" i="1"/>
  <c r="AA1161" i="1" a="1"/>
  <c r="AA1161" i="1" s="1"/>
  <c r="AA1162" i="1" a="1"/>
  <c r="AA1162" i="1" s="1"/>
  <c r="AA1163" i="1" a="1"/>
  <c r="AA1163" i="1" s="1"/>
  <c r="AA1164" i="1" a="1"/>
  <c r="AA1164" i="1" s="1"/>
  <c r="AA1165" i="1" a="1"/>
  <c r="AA1165" i="1" s="1"/>
  <c r="AA1166" i="1" a="1"/>
  <c r="AA1166" i="1" s="1"/>
  <c r="AA1167" i="1" a="1"/>
  <c r="AA1167" i="1" s="1"/>
  <c r="AA1168" i="1" a="1"/>
  <c r="AA1168" i="1" s="1"/>
  <c r="AA1169" i="1" a="1"/>
  <c r="AA1169" i="1" s="1"/>
  <c r="AA1170" i="1" a="1"/>
  <c r="AA1170" i="1" s="1"/>
  <c r="AA1171" i="1" a="1"/>
  <c r="AA1171" i="1" s="1"/>
  <c r="AA1172" i="1" a="1"/>
  <c r="AA1172" i="1" s="1"/>
  <c r="AA1173" i="1" a="1"/>
  <c r="AA1173" i="1" s="1"/>
  <c r="AA1174" i="1" a="1"/>
  <c r="AA1174" i="1"/>
  <c r="AA1175" i="1" a="1"/>
  <c r="AA1175" i="1" s="1"/>
  <c r="AA1176" i="1" a="1"/>
  <c r="AA1176" i="1" s="1"/>
  <c r="AA1177" i="1" a="1"/>
  <c r="AA1177" i="1" s="1"/>
  <c r="AA1178" i="1" a="1"/>
  <c r="AA1178" i="1" s="1"/>
  <c r="AA1179" i="1" a="1"/>
  <c r="AA1179" i="1" s="1"/>
  <c r="AA1180" i="1" a="1"/>
  <c r="AA1180" i="1" s="1"/>
  <c r="AA1181" i="1" a="1"/>
  <c r="AA1181" i="1" s="1"/>
  <c r="AA1182" i="1" a="1"/>
  <c r="AA1182" i="1" s="1"/>
  <c r="AA1183" i="1" a="1"/>
  <c r="AA1183" i="1" s="1"/>
  <c r="AA1184" i="1" a="1"/>
  <c r="AA1184" i="1" s="1"/>
  <c r="AA1185" i="1" a="1"/>
  <c r="AA1185" i="1" s="1"/>
  <c r="AA1186" i="1" a="1"/>
  <c r="AA1186" i="1" s="1"/>
  <c r="AA1187" i="1" a="1"/>
  <c r="AA1187" i="1" s="1"/>
  <c r="AA1188" i="1" a="1"/>
  <c r="AA1188" i="1" s="1"/>
  <c r="AA1189" i="1" a="1"/>
  <c r="AA1189" i="1" s="1"/>
  <c r="AA1190" i="1" a="1"/>
  <c r="AA1190" i="1" s="1"/>
  <c r="AA1191" i="1" a="1"/>
  <c r="AA1191" i="1" s="1"/>
  <c r="AA1192" i="1" a="1"/>
  <c r="AA1192" i="1" s="1"/>
  <c r="AA1193" i="1" a="1"/>
  <c r="AA1193" i="1" s="1"/>
  <c r="AA1194" i="1" a="1"/>
  <c r="AA1194" i="1" s="1"/>
  <c r="AA1195" i="1" a="1"/>
  <c r="AA1195" i="1" s="1"/>
  <c r="AA1196" i="1" a="1"/>
  <c r="AA1196" i="1" s="1"/>
  <c r="AA1197" i="1" a="1"/>
  <c r="AA1197" i="1" s="1"/>
  <c r="AA1198" i="1" a="1"/>
  <c r="AA1198" i="1"/>
  <c r="AA1199" i="1" a="1"/>
  <c r="AA1199" i="1" s="1"/>
  <c r="AA1200" i="1" a="1"/>
  <c r="AA1200" i="1" s="1"/>
  <c r="AA1201" i="1" a="1"/>
  <c r="AA1201" i="1" s="1"/>
  <c r="AA1202" i="1" a="1"/>
  <c r="AA1202" i="1" s="1"/>
  <c r="AA1203" i="1" a="1"/>
  <c r="AA1203" i="1" s="1"/>
  <c r="AA1204" i="1" a="1"/>
  <c r="AA1204" i="1" s="1"/>
  <c r="AA1205" i="1" a="1"/>
  <c r="AA1205" i="1" s="1"/>
  <c r="AA1206" i="1" a="1"/>
  <c r="AA1206" i="1" s="1"/>
  <c r="AA1207" i="1" a="1"/>
  <c r="AA1207" i="1" s="1"/>
  <c r="AA1208" i="1" a="1"/>
  <c r="AA1208" i="1" s="1"/>
  <c r="AA1209" i="1" a="1"/>
  <c r="AA1209" i="1" s="1"/>
  <c r="AA1210" i="1" a="1"/>
  <c r="AA1210" i="1" s="1"/>
  <c r="AA1211" i="1" a="1"/>
  <c r="AA1211" i="1" s="1"/>
  <c r="AA1212" i="1" a="1"/>
  <c r="AA1212" i="1" s="1"/>
  <c r="AA1213" i="1" a="1"/>
  <c r="AA1213" i="1" s="1"/>
  <c r="AA1214" i="1" a="1"/>
  <c r="AA1214" i="1" s="1"/>
  <c r="AA1215" i="1" a="1"/>
  <c r="AA1215" i="1" s="1"/>
  <c r="AA1216" i="1" a="1"/>
  <c r="AA1216" i="1" s="1"/>
  <c r="AA1217" i="1" a="1"/>
  <c r="AA1217" i="1" s="1"/>
  <c r="AA1218" i="1" a="1"/>
  <c r="AA1218" i="1"/>
  <c r="AA1219" i="1" a="1"/>
  <c r="AA1219" i="1" s="1"/>
  <c r="AA1220" i="1" a="1"/>
  <c r="AA1220" i="1" s="1"/>
  <c r="AA1221" i="1" a="1"/>
  <c r="AA1221" i="1" s="1"/>
  <c r="AA1222" i="1" a="1"/>
  <c r="AA1222" i="1" s="1"/>
  <c r="AA1223" i="1" a="1"/>
  <c r="AA1223" i="1" s="1"/>
  <c r="AA1224" i="1" a="1"/>
  <c r="AA1224" i="1" s="1"/>
  <c r="AA1225" i="1" a="1"/>
  <c r="AA1225" i="1" s="1"/>
  <c r="AA1226" i="1" a="1"/>
  <c r="AA1226" i="1"/>
  <c r="AA1227" i="1" a="1"/>
  <c r="AA1227" i="1" s="1"/>
  <c r="AA1228" i="1" a="1"/>
  <c r="AA1228" i="1" s="1"/>
  <c r="AA1229" i="1" a="1"/>
  <c r="AA1229" i="1"/>
  <c r="AA1230" i="1" a="1"/>
  <c r="AA1230" i="1" s="1"/>
  <c r="AA1231" i="1" a="1"/>
  <c r="AA1231" i="1" s="1"/>
  <c r="AA1232" i="1" a="1"/>
  <c r="AA1232" i="1" s="1"/>
  <c r="AA1233" i="1" a="1"/>
  <c r="AA1233" i="1" s="1"/>
  <c r="AA1234" i="1" a="1"/>
  <c r="AA1234" i="1" s="1"/>
  <c r="AA1235" i="1" a="1"/>
  <c r="AA1235" i="1" s="1"/>
  <c r="AA1236" i="1" a="1"/>
  <c r="AA1236" i="1" s="1"/>
  <c r="AA1237" i="1" a="1"/>
  <c r="AA1237" i="1" s="1"/>
  <c r="AA1238" i="1" a="1"/>
  <c r="AA1238" i="1" s="1"/>
  <c r="AA1239" i="1" a="1"/>
  <c r="AA1239" i="1" s="1"/>
  <c r="AA1240" i="1" a="1"/>
  <c r="AA1240" i="1" s="1"/>
  <c r="AA1241" i="1" a="1"/>
  <c r="AA1241" i="1"/>
  <c r="AA1242" i="1" a="1"/>
  <c r="AA1242" i="1" s="1"/>
  <c r="AA1243" i="1" a="1"/>
  <c r="AA1243" i="1" s="1"/>
  <c r="AA1244" i="1" a="1"/>
  <c r="AA1244" i="1" s="1"/>
  <c r="AA1245" i="1" a="1"/>
  <c r="AA1245" i="1" s="1"/>
  <c r="AA1246" i="1" a="1"/>
  <c r="AA1246" i="1" s="1"/>
  <c r="AA1247" i="1" a="1"/>
  <c r="AA1247" i="1" s="1"/>
  <c r="AA1248" i="1" a="1"/>
  <c r="AA1248" i="1" s="1"/>
  <c r="AA1249" i="1" a="1"/>
  <c r="AA1249" i="1" s="1"/>
  <c r="AA1250" i="1" a="1"/>
  <c r="AA1250" i="1" s="1"/>
  <c r="AA1251" i="1" a="1"/>
  <c r="AA1251" i="1" s="1"/>
  <c r="AA1252" i="1" a="1"/>
  <c r="AA1252" i="1"/>
  <c r="AA1253" i="1" a="1"/>
  <c r="AA1253" i="1" s="1"/>
  <c r="AA1254" i="1" a="1"/>
  <c r="AA1254" i="1"/>
  <c r="AA1255" i="1" a="1"/>
  <c r="AA1255" i="1" s="1"/>
  <c r="AA1256" i="1" a="1"/>
  <c r="AA1256" i="1" s="1"/>
  <c r="AA1257" i="1" a="1"/>
  <c r="AA1257" i="1" s="1"/>
  <c r="AA1258" i="1" a="1"/>
  <c r="AA1258" i="1" s="1"/>
  <c r="AA1259" i="1" a="1"/>
  <c r="AA1259" i="1"/>
  <c r="AA1260" i="1" a="1"/>
  <c r="AA1260" i="1" s="1"/>
  <c r="AA1261" i="1" a="1"/>
  <c r="AA1261" i="1" s="1"/>
  <c r="AA1262" i="1" a="1"/>
  <c r="AA1262" i="1" s="1"/>
  <c r="AA1263" i="1" a="1"/>
  <c r="AA1263" i="1" s="1"/>
  <c r="AA1264" i="1" a="1"/>
  <c r="AA1264" i="1" s="1"/>
  <c r="AA1265" i="1" a="1"/>
  <c r="AA1265" i="1" s="1"/>
  <c r="AA1266" i="1" a="1"/>
  <c r="AA1266" i="1" s="1"/>
  <c r="AA1267" i="1" a="1"/>
  <c r="AA1267" i="1" s="1"/>
  <c r="AA1268" i="1" a="1"/>
  <c r="AA1268" i="1" s="1"/>
  <c r="AA1269" i="1" a="1"/>
  <c r="AA1269" i="1" s="1"/>
  <c r="AA1270" i="1" a="1"/>
  <c r="AA1270" i="1" s="1"/>
  <c r="AA1271" i="1" a="1"/>
  <c r="AA1271" i="1" s="1"/>
  <c r="AA1272" i="1" a="1"/>
  <c r="AA1272" i="1" s="1"/>
  <c r="AA1273" i="1" a="1"/>
  <c r="AA1273" i="1" s="1"/>
  <c r="AA1274" i="1" a="1"/>
  <c r="AA1274" i="1" s="1"/>
  <c r="AA1275" i="1" a="1"/>
  <c r="AA1275" i="1" s="1"/>
  <c r="AA1276" i="1" a="1"/>
  <c r="AA1276" i="1" s="1"/>
  <c r="AA1277" i="1" a="1"/>
  <c r="AA1277" i="1" s="1"/>
  <c r="AA1278" i="1" a="1"/>
  <c r="AA1278" i="1" s="1"/>
  <c r="AA1279" i="1" a="1"/>
  <c r="AA1279" i="1" s="1"/>
  <c r="AA1280" i="1" a="1"/>
  <c r="AA1280" i="1" s="1"/>
  <c r="AA1281" i="1" a="1"/>
  <c r="AA1281" i="1" s="1"/>
  <c r="AA1282" i="1" a="1"/>
  <c r="AA1282" i="1" s="1"/>
  <c r="AA1283" i="1" a="1"/>
  <c r="AA1283" i="1" s="1"/>
  <c r="AA1284" i="1" a="1"/>
  <c r="AA1284" i="1" s="1"/>
  <c r="AA1285" i="1" a="1"/>
  <c r="AA1285" i="1" s="1"/>
  <c r="AA1286" i="1" a="1"/>
  <c r="AA1286" i="1" s="1"/>
  <c r="AA1287" i="1" a="1"/>
  <c r="AA1287" i="1" s="1"/>
  <c r="AA1288" i="1" a="1"/>
  <c r="AA1288" i="1" s="1"/>
  <c r="AA1289" i="1" a="1"/>
  <c r="AA1289" i="1" s="1"/>
  <c r="AA1290" i="1" a="1"/>
  <c r="AA1290" i="1" s="1"/>
  <c r="AA1291" i="1" a="1"/>
  <c r="AA1291" i="1" s="1"/>
  <c r="AA1292" i="1" a="1"/>
  <c r="AA1292" i="1" s="1"/>
  <c r="AA1293" i="1" a="1"/>
  <c r="AA1293" i="1" s="1"/>
  <c r="AA1294" i="1" a="1"/>
  <c r="AA1294" i="1" s="1"/>
  <c r="AA1295" i="1" a="1"/>
  <c r="AA1295" i="1" s="1"/>
  <c r="AA1296" i="1" a="1"/>
  <c r="AA1296" i="1" s="1"/>
  <c r="AA1297" i="1" a="1"/>
  <c r="AA1297" i="1" s="1"/>
  <c r="AA1298" i="1" a="1"/>
  <c r="AA1298" i="1" s="1"/>
  <c r="AA1299" i="1" a="1"/>
  <c r="AA1299" i="1" s="1"/>
  <c r="AA1300" i="1" a="1"/>
  <c r="AA1300" i="1" s="1"/>
  <c r="AA1301" i="1" a="1"/>
  <c r="AA1301" i="1" s="1"/>
  <c r="AA1302" i="1" a="1"/>
  <c r="AA1302" i="1" s="1"/>
  <c r="AA1303" i="1" a="1"/>
  <c r="AA1303" i="1" s="1"/>
  <c r="AA1304" i="1" a="1"/>
  <c r="AA1304" i="1" s="1"/>
  <c r="AA1305" i="1" a="1"/>
  <c r="AA1305" i="1"/>
  <c r="AA1306" i="1" a="1"/>
  <c r="AA1306" i="1"/>
  <c r="AA1307" i="1" a="1"/>
  <c r="AA1307" i="1" s="1"/>
  <c r="AA1308" i="1" a="1"/>
  <c r="AA1308" i="1" s="1"/>
  <c r="AA1309" i="1" a="1"/>
  <c r="AA1309" i="1" s="1"/>
  <c r="AA1310" i="1" a="1"/>
  <c r="AA1310" i="1" s="1"/>
  <c r="AA1311" i="1" a="1"/>
  <c r="AA1311" i="1" s="1"/>
  <c r="AA1312" i="1" a="1"/>
  <c r="AA1312" i="1" s="1"/>
  <c r="AA1313" i="1" a="1"/>
  <c r="AA1313" i="1" s="1"/>
  <c r="AA1314" i="1" a="1"/>
  <c r="AA1314" i="1" s="1"/>
  <c r="AA1315" i="1" a="1"/>
  <c r="AA1315" i="1" s="1"/>
  <c r="AA1316" i="1" a="1"/>
  <c r="AA1316" i="1" s="1"/>
  <c r="AA1317" i="1" a="1"/>
  <c r="AA1317" i="1" s="1"/>
  <c r="AA1318" i="1" a="1"/>
  <c r="AA1318" i="1" s="1"/>
  <c r="AA1319" i="1" a="1"/>
  <c r="AA1319" i="1" s="1"/>
  <c r="AA1320" i="1" a="1"/>
  <c r="AA1320" i="1" s="1"/>
  <c r="AA1321" i="1" a="1"/>
  <c r="AA1321" i="1" s="1"/>
  <c r="AA1322" i="1" a="1"/>
  <c r="AA1322" i="1" s="1"/>
  <c r="AA1323" i="1" a="1"/>
  <c r="AA1323" i="1" s="1"/>
  <c r="AA1324" i="1" a="1"/>
  <c r="AA1324" i="1" s="1"/>
  <c r="AA1325" i="1" a="1"/>
  <c r="AA1325" i="1" s="1"/>
  <c r="AA1326" i="1" a="1"/>
  <c r="AA1326" i="1" s="1"/>
  <c r="AA1327" i="1" a="1"/>
  <c r="AA1327" i="1" s="1"/>
  <c r="AA1328" i="1" a="1"/>
  <c r="AA1328" i="1" s="1"/>
  <c r="AA1329" i="1" a="1"/>
  <c r="AA1329" i="1" s="1"/>
  <c r="AA1330" i="1" a="1"/>
  <c r="AA1330" i="1"/>
  <c r="AA1331" i="1" a="1"/>
  <c r="AA1331" i="1" s="1"/>
  <c r="AA1332" i="1" a="1"/>
  <c r="AA1332" i="1" s="1"/>
  <c r="AA1333" i="1" a="1"/>
  <c r="AA1333" i="1" s="1"/>
  <c r="AA1334" i="1" a="1"/>
  <c r="AA1334" i="1" s="1"/>
  <c r="AA1335" i="1" a="1"/>
  <c r="AA1335" i="1" s="1"/>
  <c r="AA1336" i="1" a="1"/>
  <c r="AA1336" i="1" s="1"/>
  <c r="AA1337" i="1" a="1"/>
  <c r="AA1337" i="1" s="1"/>
  <c r="AA1338" i="1" a="1"/>
  <c r="AA1338" i="1" s="1"/>
  <c r="AA1339" i="1" a="1"/>
  <c r="AA1339" i="1" s="1"/>
  <c r="AA1340" i="1" a="1"/>
  <c r="AA1340" i="1" s="1"/>
  <c r="AA1341" i="1" a="1"/>
  <c r="AA1341" i="1" s="1"/>
  <c r="AA1342" i="1" a="1"/>
  <c r="AA1342" i="1" s="1"/>
  <c r="AA1343" i="1" a="1"/>
  <c r="AA1343" i="1" s="1"/>
  <c r="AA1344" i="1" a="1"/>
  <c r="AA1344" i="1" s="1"/>
  <c r="AA1345" i="1" a="1"/>
  <c r="AA1345" i="1" s="1"/>
  <c r="AA1346" i="1" a="1"/>
  <c r="AA1346" i="1" s="1"/>
  <c r="AA1347" i="1" a="1"/>
  <c r="AA1347" i="1"/>
  <c r="AA1348" i="1" a="1"/>
  <c r="AA1348" i="1" s="1"/>
  <c r="AA1349" i="1" a="1"/>
  <c r="AA1349" i="1" s="1"/>
  <c r="AA1350" i="1" a="1"/>
  <c r="AA1350" i="1" s="1"/>
  <c r="AA1351" i="1" a="1"/>
  <c r="AA1351" i="1" s="1"/>
  <c r="AA1352" i="1" a="1"/>
  <c r="AA1352" i="1" s="1"/>
  <c r="AA1353" i="1" a="1"/>
  <c r="AA1353" i="1" s="1"/>
  <c r="AA1354" i="1" a="1"/>
  <c r="AA1354" i="1" s="1"/>
  <c r="AA1355" i="1" a="1"/>
  <c r="AA1355" i="1" s="1"/>
  <c r="AA1356" i="1" a="1"/>
  <c r="AA1356" i="1" s="1"/>
  <c r="AA1357" i="1" a="1"/>
  <c r="AA1357" i="1" s="1"/>
  <c r="AA1358" i="1" a="1"/>
  <c r="AA1358" i="1" s="1"/>
  <c r="AA1359" i="1" a="1"/>
  <c r="AA1359" i="1" s="1"/>
  <c r="AA1360" i="1" a="1"/>
  <c r="AA1360" i="1" s="1"/>
  <c r="AA1361" i="1" a="1"/>
  <c r="AA1361" i="1"/>
  <c r="AA1362" i="1" a="1"/>
  <c r="AA1362" i="1" s="1"/>
  <c r="AA1363" i="1" a="1"/>
  <c r="AA1363" i="1" s="1"/>
  <c r="AA1364" i="1" a="1"/>
  <c r="AA1364" i="1"/>
  <c r="AA1365" i="1" a="1"/>
  <c r="AA1365" i="1" s="1"/>
  <c r="AA1366" i="1" a="1"/>
  <c r="AA1366" i="1" s="1"/>
  <c r="AA1367" i="1" a="1"/>
  <c r="AA1367" i="1" s="1"/>
  <c r="AA1368" i="1" a="1"/>
  <c r="AA1368" i="1" s="1"/>
  <c r="AA1369" i="1" a="1"/>
  <c r="AA1369" i="1" s="1"/>
  <c r="AA1370" i="1" a="1"/>
  <c r="AA1370" i="1" s="1"/>
  <c r="AA1371" i="1" a="1"/>
  <c r="AA1371" i="1" s="1"/>
  <c r="AA1372" i="1" a="1"/>
  <c r="AA1372" i="1" s="1"/>
  <c r="AA1373" i="1" a="1"/>
  <c r="AA1373" i="1"/>
  <c r="AA1374" i="1" a="1"/>
  <c r="AA1374" i="1" s="1"/>
  <c r="AA1375" i="1" a="1"/>
  <c r="AA1375" i="1" s="1"/>
  <c r="AA1376" i="1" a="1"/>
  <c r="AA1376" i="1" s="1"/>
  <c r="AA1377" i="1" a="1"/>
  <c r="AA1377" i="1"/>
  <c r="AA1378" i="1" a="1"/>
  <c r="AA1378" i="1" s="1"/>
  <c r="AA1379" i="1" a="1"/>
  <c r="AA1379" i="1" s="1"/>
  <c r="AA1380" i="1" a="1"/>
  <c r="AA1380" i="1" s="1"/>
  <c r="AA1381" i="1" a="1"/>
  <c r="AA1381" i="1" s="1"/>
  <c r="AA1382" i="1" a="1"/>
  <c r="AA1382" i="1" s="1"/>
  <c r="AA1383" i="1" a="1"/>
  <c r="AA1383" i="1" s="1"/>
  <c r="AA1384" i="1" a="1"/>
  <c r="AA1384" i="1" s="1"/>
  <c r="AA1385" i="1" a="1"/>
  <c r="AA1385" i="1" s="1"/>
  <c r="AA1386" i="1" a="1"/>
  <c r="AA1386" i="1" s="1"/>
  <c r="AA1387" i="1" a="1"/>
  <c r="AA1387" i="1" s="1"/>
  <c r="AA1388" i="1" a="1"/>
  <c r="AA1388" i="1" s="1"/>
  <c r="AA1389" i="1" a="1"/>
  <c r="AA1389" i="1" s="1"/>
  <c r="AA1390" i="1" a="1"/>
  <c r="AA1390" i="1" s="1"/>
  <c r="AA1391" i="1" a="1"/>
  <c r="AA1391" i="1" s="1"/>
  <c r="AA1392" i="1" a="1"/>
  <c r="AA1392" i="1" s="1"/>
  <c r="AA1393" i="1" a="1"/>
  <c r="AA1393" i="1" s="1"/>
  <c r="AA1394" i="1" a="1"/>
  <c r="AA1394" i="1" s="1"/>
  <c r="AA1395" i="1" a="1"/>
  <c r="AA1395" i="1" s="1"/>
  <c r="AA1396" i="1" a="1"/>
  <c r="AA1396" i="1" s="1"/>
  <c r="AA1397" i="1" a="1"/>
  <c r="AA1397" i="1" s="1"/>
  <c r="AA1398" i="1" a="1"/>
  <c r="AA1398" i="1" s="1"/>
  <c r="AA1399" i="1" a="1"/>
  <c r="AA1399" i="1" s="1"/>
  <c r="AA1400" i="1" a="1"/>
  <c r="AA1400" i="1" s="1"/>
  <c r="AA1401" i="1" a="1"/>
  <c r="AA1401" i="1"/>
  <c r="AA1402" i="1" a="1"/>
  <c r="AA1402" i="1" s="1"/>
  <c r="AA1403" i="1" a="1"/>
  <c r="AA1403" i="1" s="1"/>
  <c r="AA1404" i="1" a="1"/>
  <c r="AA1404" i="1" s="1"/>
  <c r="AA1405" i="1" a="1"/>
  <c r="AA1405" i="1" s="1"/>
  <c r="AA1406" i="1" a="1"/>
  <c r="AA1406" i="1" s="1"/>
  <c r="AA1407" i="1" a="1"/>
  <c r="AA1407" i="1" s="1"/>
  <c r="AA1408" i="1" a="1"/>
  <c r="AA1408" i="1" s="1"/>
  <c r="AA1409" i="1" a="1"/>
  <c r="AA1409" i="1" s="1"/>
  <c r="AA1410" i="1" a="1"/>
  <c r="AA1410" i="1" s="1"/>
  <c r="AA1411" i="1" a="1"/>
  <c r="AA1411" i="1" s="1"/>
  <c r="AA1412" i="1" a="1"/>
  <c r="AA1412" i="1" s="1"/>
  <c r="AA1413" i="1" a="1"/>
  <c r="AA1413" i="1" s="1"/>
  <c r="AA1414" i="1" a="1"/>
  <c r="AA1414" i="1" s="1"/>
  <c r="AA1415" i="1" a="1"/>
  <c r="AA1415" i="1" s="1"/>
  <c r="AA1416" i="1" a="1"/>
  <c r="AA1416" i="1" s="1"/>
  <c r="AA1417" i="1" a="1"/>
  <c r="AA1417" i="1" s="1"/>
  <c r="AA1418" i="1" a="1"/>
  <c r="AA1418" i="1" s="1"/>
  <c r="AA1419" i="1" a="1"/>
  <c r="AA1419" i="1" s="1"/>
  <c r="AA1420" i="1" a="1"/>
  <c r="AA1420" i="1"/>
  <c r="AA1421" i="1" a="1"/>
  <c r="AA1421" i="1" s="1"/>
  <c r="AA1422" i="1" a="1"/>
  <c r="AA1422" i="1" s="1"/>
  <c r="AA1423" i="1" a="1"/>
  <c r="AA1423" i="1" s="1"/>
  <c r="AA1424" i="1" a="1"/>
  <c r="AA1424" i="1" s="1"/>
  <c r="AA1425" i="1" a="1"/>
  <c r="AA1425" i="1" s="1"/>
  <c r="AA1426" i="1" a="1"/>
  <c r="AA1426" i="1" s="1"/>
  <c r="AA1427" i="1" a="1"/>
  <c r="AA1427" i="1" s="1"/>
  <c r="AA1428" i="1" a="1"/>
  <c r="AA1428" i="1"/>
  <c r="AA1429" i="1" a="1"/>
  <c r="AA1429" i="1" s="1"/>
  <c r="AA1430" i="1" a="1"/>
  <c r="AA1430" i="1" s="1"/>
  <c r="AA1431" i="1" a="1"/>
  <c r="AA1431" i="1" s="1"/>
  <c r="AA1432" i="1" a="1"/>
  <c r="AA1432" i="1" s="1"/>
  <c r="AA1433" i="1" a="1"/>
  <c r="AA1433" i="1" s="1"/>
  <c r="AA1434" i="1" a="1"/>
  <c r="AA1434" i="1" s="1"/>
  <c r="AA1435" i="1" a="1"/>
  <c r="AA1435" i="1" s="1"/>
  <c r="AA1436" i="1" a="1"/>
  <c r="AA1436" i="1" s="1"/>
  <c r="AA1437" i="1" a="1"/>
  <c r="AA1437" i="1"/>
  <c r="AA1438" i="1" a="1"/>
  <c r="AA1438" i="1" s="1"/>
  <c r="AA1439" i="1" a="1"/>
  <c r="AA1439" i="1" s="1"/>
  <c r="AA1440" i="1" a="1"/>
  <c r="AA1440" i="1" s="1"/>
  <c r="AA1441" i="1" a="1"/>
  <c r="AA1441" i="1" s="1"/>
  <c r="AA1442" i="1" a="1"/>
  <c r="AA1442" i="1" s="1"/>
  <c r="AA1443" i="1" a="1"/>
  <c r="AA1443" i="1" s="1"/>
  <c r="AA1444" i="1" a="1"/>
  <c r="AA1444" i="1" s="1"/>
  <c r="AA1445" i="1" a="1"/>
  <c r="AA1445" i="1" s="1"/>
  <c r="AA1446" i="1" a="1"/>
  <c r="AA1446" i="1" s="1"/>
  <c r="AA1447" i="1" a="1"/>
  <c r="AA1447" i="1" s="1"/>
  <c r="AA1448" i="1" a="1"/>
  <c r="AA1448" i="1" s="1"/>
  <c r="AA1449" i="1" a="1"/>
  <c r="AA1449" i="1" s="1"/>
  <c r="AA1450" i="1" a="1"/>
  <c r="AA1450" i="1" s="1"/>
  <c r="AA1451" i="1" a="1"/>
  <c r="AA1451" i="1" s="1"/>
  <c r="AA1452" i="1" a="1"/>
  <c r="AA1452" i="1" s="1"/>
  <c r="AA1453" i="1" a="1"/>
  <c r="AA1453" i="1" s="1"/>
  <c r="AA1454" i="1" a="1"/>
  <c r="AA1454" i="1" s="1"/>
  <c r="AA1455" i="1" a="1"/>
  <c r="AA1455" i="1" s="1"/>
  <c r="AA1456" i="1" a="1"/>
  <c r="AA1456" i="1" s="1"/>
  <c r="AA1457" i="1" a="1"/>
  <c r="AA1457" i="1" s="1"/>
  <c r="AA1458" i="1" a="1"/>
  <c r="AA1458" i="1" s="1"/>
  <c r="AA1459" i="1" a="1"/>
  <c r="AA1459" i="1" s="1"/>
  <c r="AA1460" i="1" a="1"/>
  <c r="AA1460" i="1" s="1"/>
  <c r="AA1461" i="1" a="1"/>
  <c r="AA1461" i="1" s="1"/>
  <c r="AA1462" i="1" a="1"/>
  <c r="AA1462" i="1" s="1"/>
  <c r="AA1463" i="1" a="1"/>
  <c r="AA1463" i="1" s="1"/>
  <c r="AA1464" i="1" a="1"/>
  <c r="AA1464" i="1" s="1"/>
  <c r="AA1465" i="1" a="1"/>
  <c r="AA1465" i="1" s="1"/>
  <c r="AA1466" i="1" a="1"/>
  <c r="AA1466" i="1" s="1"/>
  <c r="AA1467" i="1" a="1"/>
  <c r="AA1467" i="1"/>
  <c r="AA1468" i="1" a="1"/>
  <c r="AA1468" i="1" s="1"/>
  <c r="AA1469" i="1" a="1"/>
  <c r="AA1469" i="1" s="1"/>
  <c r="AA1470" i="1" a="1"/>
  <c r="AA1470" i="1" s="1"/>
  <c r="AA1471" i="1" a="1"/>
  <c r="AA1471" i="1" s="1"/>
  <c r="AA1472" i="1" a="1"/>
  <c r="AA1472" i="1"/>
  <c r="AA1473" i="1" a="1"/>
  <c r="AA1473" i="1" s="1"/>
  <c r="AA1474" i="1" a="1"/>
  <c r="AA1474" i="1"/>
  <c r="AA1475" i="1" a="1"/>
  <c r="AA1475" i="1" s="1"/>
  <c r="AA1476" i="1" a="1"/>
  <c r="AA1476" i="1" s="1"/>
  <c r="AA1477" i="1" a="1"/>
  <c r="AA1477" i="1" s="1"/>
  <c r="AA1478" i="1" a="1"/>
  <c r="AA1478" i="1"/>
  <c r="AA1479" i="1" a="1"/>
  <c r="AA1479" i="1" s="1"/>
  <c r="AA1480" i="1" a="1"/>
  <c r="AA1480" i="1" s="1"/>
  <c r="AA1481" i="1" a="1"/>
  <c r="AA1481" i="1" s="1"/>
  <c r="AA1482" i="1" a="1"/>
  <c r="AA1482" i="1" s="1"/>
  <c r="AA1483" i="1" a="1"/>
  <c r="AA1483" i="1" s="1"/>
  <c r="AA1484" i="1" a="1"/>
  <c r="AA1484" i="1" s="1"/>
  <c r="AA1485" i="1" a="1"/>
  <c r="AA1485" i="1" s="1"/>
  <c r="AA1486" i="1" a="1"/>
  <c r="AA1486" i="1" s="1"/>
  <c r="AA1487" i="1" a="1"/>
  <c r="AA1487" i="1" s="1"/>
  <c r="AA1488" i="1" a="1"/>
  <c r="AA1488" i="1"/>
  <c r="AA1489" i="1" a="1"/>
  <c r="AA1489" i="1" s="1"/>
  <c r="AA1490" i="1" a="1"/>
  <c r="AA1490" i="1" s="1"/>
  <c r="AA1491" i="1" a="1"/>
  <c r="AA1491" i="1" s="1"/>
  <c r="AA1492" i="1" a="1"/>
  <c r="AA1492" i="1" s="1"/>
  <c r="AA1493" i="1" a="1"/>
  <c r="AA1493" i="1" s="1"/>
  <c r="AA1494" i="1" a="1"/>
  <c r="AA1494" i="1" s="1"/>
  <c r="AA1495" i="1" a="1"/>
  <c r="AA1495" i="1" s="1"/>
  <c r="AA1496" i="1" a="1"/>
  <c r="AA1496" i="1" s="1"/>
  <c r="AA1497" i="1" a="1"/>
  <c r="AA1497" i="1" s="1"/>
  <c r="AA1498" i="1" a="1"/>
  <c r="AA1498" i="1" s="1"/>
  <c r="AA1499" i="1" a="1"/>
  <c r="AA1499" i="1" s="1"/>
  <c r="AA1500" i="1" a="1"/>
  <c r="AA1500" i="1" s="1"/>
  <c r="AA1501" i="1" a="1"/>
  <c r="AA1501" i="1" s="1"/>
  <c r="AA1502" i="1" a="1"/>
  <c r="AA1502" i="1"/>
  <c r="AA1503" i="1" a="1"/>
  <c r="AA1503" i="1" s="1"/>
  <c r="AA1504" i="1" a="1"/>
  <c r="AA1504" i="1" s="1"/>
  <c r="AA1505" i="1" a="1"/>
  <c r="AA1505" i="1" s="1"/>
  <c r="AA1506" i="1" a="1"/>
  <c r="AA1506" i="1" s="1"/>
  <c r="AA1507" i="1" a="1"/>
  <c r="AA1507" i="1" s="1"/>
  <c r="AA1508" i="1" a="1"/>
  <c r="AA1508" i="1" s="1"/>
  <c r="AA1509" i="1" a="1"/>
  <c r="AA1509" i="1" s="1"/>
  <c r="AA1510" i="1" a="1"/>
  <c r="AA1510" i="1" s="1"/>
  <c r="AA1511" i="1" a="1"/>
  <c r="AA1511" i="1" s="1"/>
  <c r="AA1512" i="1" a="1"/>
  <c r="AA1512" i="1" s="1"/>
  <c r="AA1513" i="1" a="1"/>
  <c r="AA1513" i="1" s="1"/>
  <c r="AA1514" i="1" a="1"/>
  <c r="AA1514" i="1" s="1"/>
  <c r="AA1515" i="1" a="1"/>
  <c r="AA1515" i="1"/>
  <c r="AA1516" i="1" a="1"/>
  <c r="AA1516" i="1" s="1"/>
  <c r="AA1517" i="1" a="1"/>
  <c r="AA1517" i="1" s="1"/>
  <c r="AA1518" i="1" a="1"/>
  <c r="AA1518" i="1" s="1"/>
  <c r="AA1519" i="1" a="1"/>
  <c r="AA1519" i="1" s="1"/>
  <c r="AA1520" i="1" a="1"/>
  <c r="AA1520" i="1" s="1"/>
  <c r="AA1521" i="1" a="1"/>
  <c r="AA1521" i="1" s="1"/>
  <c r="AA1522" i="1" a="1"/>
  <c r="AA1522" i="1" s="1"/>
  <c r="AA1523" i="1" a="1"/>
  <c r="AA1523" i="1"/>
  <c r="AA1524" i="1" a="1"/>
  <c r="AA1524" i="1" s="1"/>
  <c r="AA1525" i="1" a="1"/>
  <c r="AA1525" i="1" s="1"/>
  <c r="AA1526" i="1" a="1"/>
  <c r="AA1526" i="1" s="1"/>
  <c r="AA1527" i="1" a="1"/>
  <c r="AA1527" i="1" s="1"/>
  <c r="AA1528" i="1" a="1"/>
  <c r="AA1528" i="1"/>
  <c r="AA1529" i="1" a="1"/>
  <c r="AA1529" i="1" s="1"/>
  <c r="AA1530" i="1" a="1"/>
  <c r="AA1530" i="1" s="1"/>
  <c r="AA1531" i="1" a="1"/>
  <c r="AA1531" i="1" s="1"/>
  <c r="AA1532" i="1" a="1"/>
  <c r="AA1532" i="1" s="1"/>
  <c r="AA1533" i="1" a="1"/>
  <c r="AA1533" i="1" s="1"/>
  <c r="AA1534" i="1" a="1"/>
  <c r="AA1534" i="1" s="1"/>
  <c r="AA1535" i="1" a="1"/>
  <c r="AA1535" i="1" s="1"/>
  <c r="AA1536" i="1" a="1"/>
  <c r="AA1536" i="1" s="1"/>
  <c r="AA1537" i="1" a="1"/>
  <c r="AA1537" i="1" s="1"/>
  <c r="AA1538" i="1" a="1"/>
  <c r="AA1538" i="1" s="1"/>
  <c r="AA1539" i="1" a="1"/>
  <c r="AA1539" i="1" s="1"/>
  <c r="AA1540" i="1" a="1"/>
  <c r="AA1540" i="1" s="1"/>
  <c r="AA1541" i="1" a="1"/>
  <c r="AA1541" i="1" s="1"/>
  <c r="AA1542" i="1" a="1"/>
  <c r="AA1542" i="1" s="1"/>
  <c r="AA1543" i="1" a="1"/>
  <c r="AA1543" i="1" s="1"/>
  <c r="AA1544" i="1" a="1"/>
  <c r="AA1544" i="1" s="1"/>
  <c r="AA1545" i="1" a="1"/>
  <c r="AA1545" i="1" s="1"/>
  <c r="AA1546" i="1" a="1"/>
  <c r="AA1546" i="1" s="1"/>
  <c r="AA1547" i="1" a="1"/>
  <c r="AA1547" i="1" s="1"/>
  <c r="AA1548" i="1" a="1"/>
  <c r="AA1548" i="1" s="1"/>
  <c r="AA1549" i="1" a="1"/>
  <c r="AA1549" i="1" s="1"/>
  <c r="AA1550" i="1" a="1"/>
  <c r="AA1550" i="1" s="1"/>
  <c r="AA1551" i="1" a="1"/>
  <c r="AA1551" i="1" s="1"/>
  <c r="AA1552" i="1" a="1"/>
  <c r="AA1552" i="1"/>
  <c r="AA1553" i="1" a="1"/>
  <c r="AA1553" i="1" s="1"/>
  <c r="AA1554" i="1" a="1"/>
  <c r="AA1554" i="1" s="1"/>
  <c r="AA1555" i="1" a="1"/>
  <c r="AA1555" i="1" s="1"/>
  <c r="AA1556" i="1" a="1"/>
  <c r="AA1556" i="1"/>
  <c r="AA1557" i="1" a="1"/>
  <c r="AA1557" i="1" s="1"/>
  <c r="AA1558" i="1" a="1"/>
  <c r="AA1558" i="1" s="1"/>
  <c r="AA1559" i="1" a="1"/>
  <c r="AA1559" i="1" s="1"/>
  <c r="AA1560" i="1" a="1"/>
  <c r="AA1560" i="1" s="1"/>
  <c r="AA1561" i="1" a="1"/>
  <c r="AA1561" i="1" s="1"/>
  <c r="AA1562" i="1" a="1"/>
  <c r="AA1562" i="1" s="1"/>
  <c r="AA1563" i="1" a="1"/>
  <c r="AA1563" i="1"/>
  <c r="AA1564" i="1" a="1"/>
  <c r="AA1564" i="1" s="1"/>
  <c r="AA1565" i="1" a="1"/>
  <c r="AA1565" i="1" s="1"/>
  <c r="AA1566" i="1" a="1"/>
  <c r="AA1566" i="1" s="1"/>
  <c r="AA1567" i="1" a="1"/>
  <c r="AA1567" i="1" s="1"/>
  <c r="AA1568" i="1" a="1"/>
  <c r="AA1568" i="1" s="1"/>
  <c r="AA1569" i="1" a="1"/>
  <c r="AA1569" i="1" s="1"/>
  <c r="AA1570" i="1" a="1"/>
  <c r="AA1570" i="1" s="1"/>
  <c r="AA1571" i="1" a="1"/>
  <c r="AA1571" i="1" s="1"/>
  <c r="AA1572" i="1" a="1"/>
  <c r="AA1572" i="1" s="1"/>
  <c r="AA1573" i="1" a="1"/>
  <c r="AA1573" i="1"/>
  <c r="AA1574" i="1" a="1"/>
  <c r="AA1574" i="1" s="1"/>
  <c r="AA1575" i="1" a="1"/>
  <c r="AA1575" i="1" s="1"/>
  <c r="AA1576" i="1" a="1"/>
  <c r="AA1576" i="1" s="1"/>
  <c r="AA1577" i="1" a="1"/>
  <c r="AA1577" i="1" s="1"/>
  <c r="AA1578" i="1" a="1"/>
  <c r="AA1578" i="1" s="1"/>
  <c r="AA1579" i="1" a="1"/>
  <c r="AA1579" i="1" s="1"/>
  <c r="AA1580" i="1" a="1"/>
  <c r="AA1580" i="1" s="1"/>
  <c r="AA1581" i="1" a="1"/>
  <c r="AA1581" i="1" s="1"/>
  <c r="AA1582" i="1" a="1"/>
  <c r="AA1582" i="1" s="1"/>
  <c r="AA1583" i="1" a="1"/>
  <c r="AA1583" i="1" s="1"/>
  <c r="AA1584" i="1" a="1"/>
  <c r="AA1584" i="1" s="1"/>
  <c r="AA1585" i="1" a="1"/>
  <c r="AA1585" i="1" s="1"/>
  <c r="AA1586" i="1" a="1"/>
  <c r="AA1586" i="1" s="1"/>
  <c r="AA1587" i="1" a="1"/>
  <c r="AA1587" i="1" s="1"/>
  <c r="AA1588" i="1" a="1"/>
  <c r="AA1588" i="1" s="1"/>
  <c r="AA1589" i="1" a="1"/>
  <c r="AA1589" i="1" s="1"/>
  <c r="AA1590" i="1" a="1"/>
  <c r="AA1590" i="1" s="1"/>
  <c r="AA1591" i="1" a="1"/>
  <c r="AA1591" i="1" s="1"/>
  <c r="AA1592" i="1" a="1"/>
  <c r="AA1592" i="1"/>
  <c r="AA1593" i="1" a="1"/>
  <c r="AA1593" i="1" s="1"/>
  <c r="AA1594" i="1" a="1"/>
  <c r="AA1594" i="1" s="1"/>
  <c r="AA1595" i="1" a="1"/>
  <c r="AA1595" i="1"/>
  <c r="AA1596" i="1" a="1"/>
  <c r="AA1596" i="1" s="1"/>
  <c r="AA1597" i="1" a="1"/>
  <c r="AA1597" i="1" s="1"/>
  <c r="AA1598" i="1" a="1"/>
  <c r="AA1598" i="1" s="1"/>
  <c r="AA1599" i="1" a="1"/>
  <c r="AA1599" i="1" s="1"/>
  <c r="AA1600" i="1" a="1"/>
  <c r="AA1600" i="1" s="1"/>
  <c r="AA1601" i="1" a="1"/>
  <c r="AA1601" i="1" s="1"/>
  <c r="AA1602" i="1" a="1"/>
  <c r="AA1602" i="1" s="1"/>
  <c r="AA1603" i="1" a="1"/>
  <c r="AA1603" i="1"/>
  <c r="AA1604" i="1" a="1"/>
  <c r="AA1604" i="1" s="1"/>
  <c r="AA1605" i="1" a="1"/>
  <c r="AA1605" i="1" s="1"/>
  <c r="AA1606" i="1" a="1"/>
  <c r="AA1606" i="1" s="1"/>
  <c r="AA1607" i="1" a="1"/>
  <c r="AA1607" i="1" s="1"/>
  <c r="AA1608" i="1" a="1"/>
  <c r="AA1608" i="1" s="1"/>
  <c r="AA1609" i="1" a="1"/>
  <c r="AA1609" i="1"/>
  <c r="AA1610" i="1" a="1"/>
  <c r="AA1610" i="1" s="1"/>
  <c r="AA1611" i="1" a="1"/>
  <c r="AA1611" i="1" s="1"/>
  <c r="AA1612" i="1" a="1"/>
  <c r="AA1612" i="1" s="1"/>
  <c r="AA1613" i="1" a="1"/>
  <c r="AA1613" i="1" s="1"/>
  <c r="AA1614" i="1" a="1"/>
  <c r="AA1614" i="1" s="1"/>
  <c r="AA1615" i="1" a="1"/>
  <c r="AA1615" i="1" s="1"/>
  <c r="AA1616" i="1" a="1"/>
  <c r="AA1616" i="1"/>
  <c r="AA1617" i="1" a="1"/>
  <c r="AA1617" i="1" s="1"/>
  <c r="AA1618" i="1" a="1"/>
  <c r="AA1618" i="1" s="1"/>
  <c r="AA1619" i="1" a="1"/>
  <c r="AA1619" i="1" s="1"/>
  <c r="AA1620" i="1" a="1"/>
  <c r="AA1620" i="1"/>
  <c r="AA1621" i="1" a="1"/>
  <c r="AA1621" i="1" s="1"/>
  <c r="AA1622" i="1" a="1"/>
  <c r="AA1622" i="1"/>
  <c r="AA1623" i="1" a="1"/>
  <c r="AA1623" i="1" s="1"/>
  <c r="AA1624" i="1" a="1"/>
  <c r="AA1624" i="1" s="1"/>
  <c r="AA1625" i="1" a="1"/>
  <c r="AA1625" i="1" s="1"/>
  <c r="AA1626" i="1" a="1"/>
  <c r="AA1626" i="1"/>
  <c r="AA1627" i="1" a="1"/>
  <c r="AA1627" i="1" s="1"/>
  <c r="AA1628" i="1" a="1"/>
  <c r="AA1628" i="1" s="1"/>
  <c r="AA1629" i="1" a="1"/>
  <c r="AA1629" i="1" s="1"/>
  <c r="AA1630" i="1" a="1"/>
  <c r="AA1630" i="1" s="1"/>
  <c r="AA1631" i="1" a="1"/>
  <c r="AA1631" i="1" s="1"/>
  <c r="AA1632" i="1" a="1"/>
  <c r="AA1632" i="1" s="1"/>
  <c r="AA1633" i="1" a="1"/>
  <c r="AA1633" i="1" s="1"/>
  <c r="AA1634" i="1" a="1"/>
  <c r="AA1634" i="1" s="1"/>
  <c r="AA1635" i="1" a="1"/>
  <c r="AA1635" i="1" s="1"/>
  <c r="AA1636" i="1" a="1"/>
  <c r="AA1636" i="1" s="1"/>
  <c r="AA1637" i="1" a="1"/>
  <c r="AA1637" i="1" s="1"/>
  <c r="AA1638" i="1" a="1"/>
  <c r="AA1638" i="1" s="1"/>
  <c r="AA1639" i="1" a="1"/>
  <c r="AA1639" i="1" s="1"/>
  <c r="AA1640" i="1" a="1"/>
  <c r="AA1640" i="1" s="1"/>
  <c r="AA1641" i="1" a="1"/>
  <c r="AA1641" i="1" s="1"/>
  <c r="AA1642" i="1" a="1"/>
  <c r="AA1642" i="1"/>
  <c r="AA1643" i="1" a="1"/>
  <c r="AA1643" i="1"/>
  <c r="AA1644" i="1" a="1"/>
  <c r="AA1644" i="1" s="1"/>
  <c r="AA1645" i="1" a="1"/>
  <c r="AA1645" i="1" s="1"/>
  <c r="AA1646" i="1" a="1"/>
  <c r="AA1646" i="1" s="1"/>
  <c r="AA1647" i="1" a="1"/>
  <c r="AA1647" i="1" s="1"/>
  <c r="AA1648" i="1" a="1"/>
  <c r="AA1648" i="1" s="1"/>
  <c r="AA1649" i="1" a="1"/>
  <c r="AA1649" i="1" s="1"/>
  <c r="AA1650" i="1" a="1"/>
  <c r="AA1650" i="1" s="1"/>
  <c r="AA1651" i="1" a="1"/>
  <c r="AA1651" i="1" s="1"/>
  <c r="AA1652" i="1" a="1"/>
  <c r="AA1652" i="1" s="1"/>
  <c r="AA1653" i="1" a="1"/>
  <c r="AA1653" i="1" s="1"/>
  <c r="AA1654" i="1" a="1"/>
  <c r="AA1654" i="1"/>
  <c r="AA1655" i="1" a="1"/>
  <c r="AA1655" i="1" s="1"/>
  <c r="AA1656" i="1" a="1"/>
  <c r="AA1656" i="1"/>
  <c r="AA1657" i="1" a="1"/>
  <c r="AA1657" i="1" s="1"/>
  <c r="AA1658" i="1" a="1"/>
  <c r="AA1658" i="1" s="1"/>
  <c r="AA1659" i="1" a="1"/>
  <c r="AA1659" i="1" s="1"/>
  <c r="AA1660" i="1" a="1"/>
  <c r="AA1660" i="1" s="1"/>
  <c r="AA1661" i="1" a="1"/>
  <c r="AA1661" i="1" s="1"/>
  <c r="AA1662" i="1" a="1"/>
  <c r="AA1662" i="1" s="1"/>
  <c r="AA1663" i="1" a="1"/>
  <c r="AA1663" i="1" s="1"/>
  <c r="AA1664" i="1" a="1"/>
  <c r="AA1664" i="1" s="1"/>
  <c r="AA1665" i="1" a="1"/>
  <c r="AA1665" i="1" s="1"/>
  <c r="AA1666" i="1" a="1"/>
  <c r="AA1666" i="1" s="1"/>
  <c r="AA1667" i="1" a="1"/>
  <c r="AA1667" i="1" s="1"/>
  <c r="AA1668" i="1" a="1"/>
  <c r="AA1668" i="1" s="1"/>
  <c r="AA1669" i="1" a="1"/>
  <c r="AA1669" i="1" s="1"/>
  <c r="AA1670" i="1" a="1"/>
  <c r="AA1670" i="1" s="1"/>
  <c r="AA1671" i="1" a="1"/>
  <c r="AA1671" i="1" s="1"/>
  <c r="AA1672" i="1" a="1"/>
  <c r="AA1672" i="1" s="1"/>
  <c r="AA1673" i="1" a="1"/>
  <c r="AA1673" i="1" s="1"/>
  <c r="AA1674" i="1" a="1"/>
  <c r="AA1674" i="1" s="1"/>
  <c r="AA1675" i="1" a="1"/>
  <c r="AA1675" i="1" s="1"/>
  <c r="AA1676" i="1" a="1"/>
  <c r="AA1676" i="1" s="1"/>
  <c r="AA1677" i="1" a="1"/>
  <c r="AA1677" i="1" s="1"/>
  <c r="AA1678" i="1" a="1"/>
  <c r="AA1678" i="1" s="1"/>
  <c r="AA1679" i="1" a="1"/>
  <c r="AA1679" i="1" s="1"/>
  <c r="AA1680" i="1" a="1"/>
  <c r="AA1680" i="1" s="1"/>
  <c r="AA1681" i="1" a="1"/>
  <c r="AA1681" i="1" s="1"/>
  <c r="AA1682" i="1" a="1"/>
  <c r="AA1682" i="1" s="1"/>
  <c r="AA1683" i="1" a="1"/>
  <c r="AA1683" i="1" s="1"/>
  <c r="AA1684" i="1" a="1"/>
  <c r="AA1684" i="1" s="1"/>
  <c r="AA1685" i="1" a="1"/>
  <c r="AA1685" i="1" s="1"/>
  <c r="AA1686" i="1" a="1"/>
  <c r="AA1686" i="1" s="1"/>
  <c r="AA1687" i="1" a="1"/>
  <c r="AA1687" i="1" s="1"/>
  <c r="AA1688" i="1" a="1"/>
  <c r="AA1688" i="1" s="1"/>
  <c r="AA1689" i="1" a="1"/>
  <c r="AA1689" i="1" s="1"/>
  <c r="AA1690" i="1" a="1"/>
  <c r="AA1690" i="1" s="1"/>
  <c r="AA1691" i="1" a="1"/>
  <c r="AA1691" i="1" s="1"/>
  <c r="AA1692" i="1" a="1"/>
  <c r="AA1692" i="1" s="1"/>
  <c r="AA1693" i="1" a="1"/>
  <c r="AA1693" i="1" s="1"/>
  <c r="AA1694" i="1" a="1"/>
  <c r="AA1694" i="1" s="1"/>
  <c r="AA1695" i="1" a="1"/>
  <c r="AA1695" i="1" s="1"/>
  <c r="AA1696" i="1" a="1"/>
  <c r="AA1696" i="1" s="1"/>
  <c r="AA1697" i="1" a="1"/>
  <c r="AA1697" i="1" s="1"/>
  <c r="AA1698" i="1" a="1"/>
  <c r="AA1698" i="1" s="1"/>
  <c r="AA1699" i="1" a="1"/>
  <c r="AA1699" i="1" s="1"/>
  <c r="AA1700" i="1" a="1"/>
  <c r="AA1700" i="1" s="1"/>
  <c r="AA1701" i="1" a="1"/>
  <c r="AA1701" i="1"/>
  <c r="AA1702" i="1" a="1"/>
  <c r="AA1702" i="1"/>
  <c r="AA1703" i="1" a="1"/>
  <c r="AA1703" i="1" s="1"/>
  <c r="AA1704" i="1" a="1"/>
  <c r="AA1704" i="1" s="1"/>
  <c r="AA1705" i="1" a="1"/>
  <c r="AA1705" i="1" s="1"/>
  <c r="AA1706" i="1" a="1"/>
  <c r="AA1706" i="1" s="1"/>
  <c r="AA1707" i="1" a="1"/>
  <c r="AA1707" i="1"/>
  <c r="AA1708" i="1" a="1"/>
  <c r="AA1708" i="1" s="1"/>
  <c r="AA1709" i="1" a="1"/>
  <c r="AA1709" i="1" s="1"/>
  <c r="AA1710" i="1" a="1"/>
  <c r="AA1710" i="1" s="1"/>
  <c r="AA1711" i="1" a="1"/>
  <c r="AA1711" i="1" s="1"/>
  <c r="AA1712" i="1" a="1"/>
  <c r="AA1712" i="1" s="1"/>
  <c r="AA1713" i="1" a="1"/>
  <c r="AA1713" i="1" s="1"/>
  <c r="AA1714" i="1" a="1"/>
  <c r="AA1714" i="1" s="1"/>
  <c r="AA1715" i="1" a="1"/>
  <c r="AA1715" i="1" s="1"/>
  <c r="AA1716" i="1" a="1"/>
  <c r="AA1716" i="1"/>
  <c r="AA1717" i="1" a="1"/>
  <c r="AA1717" i="1" s="1"/>
  <c r="AA1718" i="1" a="1"/>
  <c r="AA1718" i="1" s="1"/>
  <c r="AA1719" i="1" a="1"/>
  <c r="AA1719" i="1" s="1"/>
  <c r="AA1720" i="1" a="1"/>
  <c r="AA1720" i="1" s="1"/>
  <c r="AA1721" i="1" a="1"/>
  <c r="AA1721" i="1" s="1"/>
  <c r="AA1722" i="1" a="1"/>
  <c r="AA1722" i="1" s="1"/>
  <c r="AA1723" i="1" a="1"/>
  <c r="AA1723" i="1" s="1"/>
  <c r="AA1724" i="1" a="1"/>
  <c r="AA1724" i="1" s="1"/>
  <c r="AA1725" i="1" a="1"/>
  <c r="AA1725" i="1"/>
  <c r="AA1726" i="1" a="1"/>
  <c r="AA1726" i="1" s="1"/>
  <c r="AA1727" i="1" a="1"/>
  <c r="AA1727" i="1" s="1"/>
  <c r="AA1728" i="1" a="1"/>
  <c r="AA1728" i="1" s="1"/>
  <c r="AA1729" i="1" a="1"/>
  <c r="AA1729" i="1" s="1"/>
  <c r="AA1730" i="1" a="1"/>
  <c r="AA1730" i="1" s="1"/>
  <c r="AA1731" i="1" a="1"/>
  <c r="AA1731" i="1" s="1"/>
  <c r="AA1732" i="1" a="1"/>
  <c r="AA1732" i="1" s="1"/>
  <c r="AA1733" i="1" a="1"/>
  <c r="AA1733" i="1" s="1"/>
  <c r="AA1734" i="1" a="1"/>
  <c r="AA1734" i="1" s="1"/>
  <c r="AA1735" i="1" a="1"/>
  <c r="AA1735" i="1" s="1"/>
  <c r="AA1736" i="1" a="1"/>
  <c r="AA1736" i="1" s="1"/>
  <c r="AA1737" i="1" a="1"/>
  <c r="AA1737" i="1" s="1"/>
  <c r="AA1738" i="1" a="1"/>
  <c r="AA1738" i="1" s="1"/>
  <c r="AA1739" i="1" a="1"/>
  <c r="AA1739" i="1" s="1"/>
  <c r="AA1740" i="1" a="1"/>
  <c r="AA1740" i="1" s="1"/>
  <c r="AA1741" i="1" a="1"/>
  <c r="AA1741" i="1" s="1"/>
  <c r="AA1742" i="1" a="1"/>
  <c r="AA1742" i="1" s="1"/>
  <c r="AA1743" i="1" a="1"/>
  <c r="AA1743" i="1" s="1"/>
  <c r="AA1744" i="1" a="1"/>
  <c r="AA1744" i="1"/>
  <c r="AA1745" i="1" a="1"/>
  <c r="AA1745" i="1" s="1"/>
  <c r="AA1746" i="1" a="1"/>
  <c r="AA1746" i="1" s="1"/>
  <c r="AA1747" i="1" a="1"/>
  <c r="AA1747" i="1" s="1"/>
  <c r="AA1748" i="1" a="1"/>
  <c r="AA1748" i="1" s="1"/>
  <c r="AA1749" i="1" a="1"/>
  <c r="AA1749" i="1" s="1"/>
  <c r="AA1750" i="1" a="1"/>
  <c r="AA1750" i="1" s="1"/>
  <c r="AA1751" i="1" a="1"/>
  <c r="AA1751" i="1" s="1"/>
  <c r="AA1752" i="1" a="1"/>
  <c r="AA1752" i="1" s="1"/>
  <c r="AA1753" i="1" a="1"/>
  <c r="AA1753" i="1" s="1"/>
  <c r="AA1754" i="1" a="1"/>
  <c r="AA1754" i="1" s="1"/>
  <c r="AA1755" i="1" a="1"/>
  <c r="AA1755" i="1" s="1"/>
  <c r="AA1756" i="1" a="1"/>
  <c r="AA1756" i="1" s="1"/>
  <c r="AA1757" i="1" a="1"/>
  <c r="AA1757" i="1"/>
  <c r="AA1758" i="1" a="1"/>
  <c r="AA1758" i="1" s="1"/>
  <c r="AA1759" i="1" a="1"/>
  <c r="AA1759" i="1" s="1"/>
  <c r="AA1760" i="1" a="1"/>
  <c r="AA1760" i="1"/>
  <c r="AA1761" i="1" a="1"/>
  <c r="AA1761" i="1" s="1"/>
  <c r="AA1762" i="1" a="1"/>
  <c r="AA1762" i="1" s="1"/>
  <c r="AA1763" i="1" a="1"/>
  <c r="AA1763" i="1" s="1"/>
  <c r="AA1764" i="1" a="1"/>
  <c r="AA1764" i="1" s="1"/>
  <c r="AA1765" i="1" a="1"/>
  <c r="AA1765" i="1" s="1"/>
  <c r="AA1766" i="1" a="1"/>
  <c r="AA1766" i="1" s="1"/>
  <c r="AA1767" i="1" a="1"/>
  <c r="AA1767" i="1" s="1"/>
  <c r="AA1768" i="1" a="1"/>
  <c r="AA1768" i="1" s="1"/>
  <c r="AA1769" i="1" a="1"/>
  <c r="AA1769" i="1"/>
  <c r="AA1770" i="1" a="1"/>
  <c r="AA1770" i="1"/>
  <c r="AA1771" i="1" a="1"/>
  <c r="AA1771" i="1" s="1"/>
  <c r="AA1772" i="1" a="1"/>
  <c r="AA1772" i="1" s="1"/>
  <c r="AA1773" i="1" a="1"/>
  <c r="AA1773" i="1" s="1"/>
  <c r="AA1774" i="1" a="1"/>
  <c r="AA1774" i="1" s="1"/>
  <c r="AA1775" i="1" a="1"/>
  <c r="AA1775" i="1" s="1"/>
  <c r="AA1776" i="1" a="1"/>
  <c r="AA1776" i="1" s="1"/>
  <c r="AA1777" i="1" a="1"/>
  <c r="AA1777" i="1" s="1"/>
  <c r="AA1778" i="1" a="1"/>
  <c r="AA1778" i="1" s="1"/>
  <c r="AA1779" i="1" a="1"/>
  <c r="AA1779" i="1" s="1"/>
  <c r="AA1780" i="1" a="1"/>
  <c r="AA1780" i="1" s="1"/>
  <c r="AA1781" i="1" a="1"/>
  <c r="AA1781" i="1" s="1"/>
  <c r="AA1782" i="1" a="1"/>
  <c r="AA1782" i="1"/>
  <c r="AA1783" i="1" a="1"/>
  <c r="AA1783" i="1" s="1"/>
  <c r="AA1784" i="1" a="1"/>
  <c r="AA1784" i="1" s="1"/>
  <c r="AA1785" i="1" a="1"/>
  <c r="AA1785" i="1" s="1"/>
  <c r="AA1786" i="1" a="1"/>
  <c r="AA1786" i="1" s="1"/>
  <c r="AA1787" i="1" a="1"/>
  <c r="AA1787" i="1" s="1"/>
  <c r="AA1788" i="1" a="1"/>
  <c r="AA1788" i="1" s="1"/>
  <c r="AA1789" i="1" a="1"/>
  <c r="AA1789" i="1" s="1"/>
  <c r="AA1790" i="1" a="1"/>
  <c r="AA1790" i="1" s="1"/>
  <c r="AA1791" i="1" a="1"/>
  <c r="AA1791" i="1" s="1"/>
  <c r="AA1792" i="1" a="1"/>
  <c r="AA1792" i="1" s="1"/>
  <c r="AA1793" i="1" a="1"/>
  <c r="AA1793" i="1" s="1"/>
  <c r="AA1794" i="1" a="1"/>
  <c r="AA1794" i="1" s="1"/>
  <c r="AA1795" i="1" a="1"/>
  <c r="AA1795" i="1" s="1"/>
  <c r="AA1796" i="1" a="1"/>
  <c r="AA1796" i="1" s="1"/>
  <c r="AA1797" i="1" a="1"/>
  <c r="AA1797" i="1" s="1"/>
  <c r="AA1798" i="1" a="1"/>
  <c r="AA1798" i="1" s="1"/>
  <c r="AA1799" i="1" a="1"/>
  <c r="AA1799" i="1" s="1"/>
  <c r="AA1800" i="1" a="1"/>
  <c r="AA1800" i="1" s="1"/>
  <c r="AA1801" i="1" a="1"/>
  <c r="AA1801" i="1" s="1"/>
  <c r="AA1802" i="1" a="1"/>
  <c r="AA1802" i="1" s="1"/>
  <c r="AA1803" i="1" a="1"/>
  <c r="AA1803" i="1"/>
  <c r="AA1804" i="1" a="1"/>
  <c r="AA1804" i="1" s="1"/>
  <c r="AA1805" i="1" a="1"/>
  <c r="AA1805" i="1" s="1"/>
  <c r="AA1806" i="1" a="1"/>
  <c r="AA1806" i="1" s="1"/>
  <c r="AA1807" i="1" a="1"/>
  <c r="AA1807" i="1" s="1"/>
  <c r="AA1808" i="1" a="1"/>
  <c r="AA1808" i="1" s="1"/>
  <c r="AA1809" i="1" a="1"/>
  <c r="AA1809" i="1" s="1"/>
  <c r="AA1810" i="1" a="1"/>
  <c r="AA1810" i="1" s="1"/>
  <c r="AA1811" i="1" a="1"/>
  <c r="AA1811" i="1"/>
  <c r="AA1812" i="1" a="1"/>
  <c r="AA1812" i="1" s="1"/>
  <c r="AA1813" i="1" a="1"/>
  <c r="AA1813" i="1"/>
  <c r="AA1814" i="1" a="1"/>
  <c r="AA1814" i="1" s="1"/>
  <c r="AA1815" i="1" a="1"/>
  <c r="AA1815" i="1" s="1"/>
  <c r="AA1816" i="1" a="1"/>
  <c r="AA1816" i="1" s="1"/>
  <c r="AA1817" i="1" a="1"/>
  <c r="AA1817" i="1" s="1"/>
  <c r="AA1818" i="1" a="1"/>
  <c r="AA1818" i="1" s="1"/>
  <c r="AA1819" i="1" a="1"/>
  <c r="AA1819" i="1" s="1"/>
  <c r="AA1820" i="1" a="1"/>
  <c r="AA1820" i="1" s="1"/>
  <c r="AA1821" i="1" a="1"/>
  <c r="AA1821" i="1" s="1"/>
  <c r="AA1822" i="1" a="1"/>
  <c r="AA1822" i="1"/>
  <c r="AA1823" i="1" a="1"/>
  <c r="AA1823" i="1" s="1"/>
  <c r="AA1824" i="1" a="1"/>
  <c r="AA1824" i="1" s="1"/>
  <c r="AA1825" i="1" a="1"/>
  <c r="AA1825" i="1" s="1"/>
  <c r="AA1826" i="1" a="1"/>
  <c r="AA1826" i="1"/>
  <c r="AA1827" i="1" a="1"/>
  <c r="AA1827" i="1" s="1"/>
  <c r="AA1828" i="1" a="1"/>
  <c r="AA1828" i="1" s="1"/>
  <c r="AA1829" i="1" a="1"/>
  <c r="AA1829" i="1"/>
  <c r="AA1830" i="1" a="1"/>
  <c r="AA1830" i="1" s="1"/>
  <c r="AA1831" i="1" a="1"/>
  <c r="AA1831" i="1" s="1"/>
  <c r="AA1832" i="1" a="1"/>
  <c r="AA1832" i="1" s="1"/>
  <c r="AA1833" i="1" a="1"/>
  <c r="AA1833" i="1" s="1"/>
  <c r="AA1834" i="1" a="1"/>
  <c r="AA1834" i="1" s="1"/>
  <c r="AA1835" i="1" a="1"/>
  <c r="AA1835" i="1"/>
  <c r="AA1836" i="1" a="1"/>
  <c r="AA1836" i="1" s="1"/>
  <c r="AA1837" i="1" a="1"/>
  <c r="AA1837" i="1"/>
  <c r="AA1838" i="1" a="1"/>
  <c r="AA1838" i="1"/>
  <c r="AA1839" i="1" a="1"/>
  <c r="AA1839" i="1" s="1"/>
  <c r="AA1840" i="1" a="1"/>
  <c r="AA1840" i="1" s="1"/>
  <c r="AA1841" i="1" a="1"/>
  <c r="AA1841" i="1" s="1"/>
  <c r="AA1842" i="1" a="1"/>
  <c r="AA1842" i="1" s="1"/>
  <c r="AA1843" i="1" a="1"/>
  <c r="AA1843" i="1" s="1"/>
  <c r="AA1844" i="1" a="1"/>
  <c r="AA1844" i="1" s="1"/>
  <c r="AA1845" i="1" a="1"/>
  <c r="AA1845" i="1" s="1"/>
  <c r="AA1846" i="1" a="1"/>
  <c r="AA1846" i="1" s="1"/>
  <c r="AA1847" i="1" a="1"/>
  <c r="AA1847" i="1" s="1"/>
  <c r="AA1848" i="1" a="1"/>
  <c r="AA1848" i="1" s="1"/>
  <c r="AA1849" i="1" a="1"/>
  <c r="AA1849" i="1" s="1"/>
  <c r="AA1850" i="1" a="1"/>
  <c r="AA1850" i="1" s="1"/>
  <c r="AA1851" i="1" a="1"/>
  <c r="AA1851" i="1" s="1"/>
  <c r="AA1852" i="1" a="1"/>
  <c r="AA1852" i="1" s="1"/>
  <c r="AA1853" i="1" a="1"/>
  <c r="AA1853" i="1"/>
  <c r="AA1854" i="1" a="1"/>
  <c r="AA1854" i="1" s="1"/>
  <c r="AA1855" i="1" a="1"/>
  <c r="AA1855" i="1" s="1"/>
  <c r="AA1856" i="1" a="1"/>
  <c r="AA1856" i="1" s="1"/>
  <c r="AA1857" i="1" a="1"/>
  <c r="AA1857" i="1" s="1"/>
  <c r="AA1858" i="1" a="1"/>
  <c r="AA1858" i="1" s="1"/>
  <c r="AA1859" i="1" a="1"/>
  <c r="AA1859" i="1" s="1"/>
  <c r="AA1860" i="1" a="1"/>
  <c r="AA1860" i="1" s="1"/>
  <c r="AA1861" i="1" a="1"/>
  <c r="AA1861" i="1" s="1"/>
  <c r="AA1862" i="1" a="1"/>
  <c r="AA1862" i="1" s="1"/>
  <c r="AA1863" i="1" a="1"/>
  <c r="AA1863" i="1" s="1"/>
  <c r="AA1864" i="1" a="1"/>
  <c r="AA1864" i="1" s="1"/>
  <c r="AA1865" i="1" a="1"/>
  <c r="AA1865" i="1" s="1"/>
  <c r="AA1866" i="1" a="1"/>
  <c r="AA1866" i="1" s="1"/>
  <c r="AA1867" i="1" a="1"/>
  <c r="AA1867" i="1" s="1"/>
  <c r="AA1868" i="1" a="1"/>
  <c r="AA1868" i="1" s="1"/>
  <c r="AA1869" i="1" a="1"/>
  <c r="AA1869" i="1" s="1"/>
  <c r="AA1870" i="1" a="1"/>
  <c r="AA1870" i="1"/>
  <c r="AA1871" i="1" a="1"/>
  <c r="AA1871" i="1" s="1"/>
  <c r="AA1872" i="1" a="1"/>
  <c r="AA1872" i="1" s="1"/>
  <c r="AA1873" i="1" a="1"/>
  <c r="AA1873" i="1" s="1"/>
  <c r="AA1874" i="1" a="1"/>
  <c r="AA1874" i="1" s="1"/>
  <c r="AA1875" i="1" a="1"/>
  <c r="AA1875" i="1" s="1"/>
  <c r="AA1876" i="1" a="1"/>
  <c r="AA1876" i="1" s="1"/>
  <c r="AA1877" i="1" a="1"/>
  <c r="AA1877" i="1" s="1"/>
  <c r="AA1878" i="1" a="1"/>
  <c r="AA1878" i="1" s="1"/>
  <c r="AA1879" i="1" a="1"/>
  <c r="AA1879" i="1" s="1"/>
  <c r="AA1880" i="1" a="1"/>
  <c r="AA1880" i="1" s="1"/>
  <c r="AA1881" i="1" a="1"/>
  <c r="AA1881" i="1" s="1"/>
  <c r="AA1882" i="1" a="1"/>
  <c r="AA1882" i="1"/>
  <c r="AA1883" i="1" a="1"/>
  <c r="AA1883" i="1" s="1"/>
  <c r="AA1884" i="1" a="1"/>
  <c r="AA1884" i="1"/>
  <c r="AA1885" i="1" a="1"/>
  <c r="AA1885" i="1" s="1"/>
  <c r="AA1886" i="1" a="1"/>
  <c r="AA1886" i="1" s="1"/>
  <c r="AA1887" i="1" a="1"/>
  <c r="AA1887" i="1" s="1"/>
  <c r="AA1888" i="1" a="1"/>
  <c r="AA1888" i="1" s="1"/>
  <c r="AA1889" i="1" a="1"/>
  <c r="AA1889" i="1" s="1"/>
  <c r="AA1890" i="1" a="1"/>
  <c r="AA1890" i="1" s="1"/>
  <c r="AA1891" i="1" a="1"/>
  <c r="AA1891" i="1"/>
  <c r="AA1892" i="1" a="1"/>
  <c r="AA1892" i="1" s="1"/>
  <c r="AA1893" i="1" a="1"/>
  <c r="AA1893" i="1" s="1"/>
  <c r="AA1894" i="1" a="1"/>
  <c r="AA1894" i="1"/>
  <c r="AA1895" i="1" a="1"/>
  <c r="AA1895" i="1" s="1"/>
  <c r="AA1896" i="1" a="1"/>
  <c r="AA1896" i="1"/>
  <c r="AA1897" i="1" a="1"/>
  <c r="AA1897" i="1" s="1"/>
  <c r="AA1898" i="1" a="1"/>
  <c r="AA1898" i="1" s="1"/>
  <c r="AA1899" i="1" a="1"/>
  <c r="AA1899" i="1" s="1"/>
  <c r="AA1900" i="1" a="1"/>
  <c r="AA1900" i="1" s="1"/>
  <c r="AA1901" i="1" a="1"/>
  <c r="AA1901" i="1" s="1"/>
  <c r="AA1902" i="1" a="1"/>
  <c r="AA1902" i="1" s="1"/>
  <c r="AA1903" i="1" a="1"/>
  <c r="AA1903" i="1" s="1"/>
  <c r="AA1904" i="1" a="1"/>
  <c r="AA1904" i="1"/>
  <c r="AA1905" i="1" a="1"/>
  <c r="AA1905" i="1"/>
  <c r="AA1906" i="1" a="1"/>
  <c r="AA1906" i="1" s="1"/>
  <c r="AA1907" i="1" a="1"/>
  <c r="AA1907" i="1" s="1"/>
  <c r="AA1908" i="1" a="1"/>
  <c r="AA1908" i="1" s="1"/>
  <c r="AA1909" i="1" a="1"/>
  <c r="AA1909" i="1" s="1"/>
  <c r="AA1910" i="1" a="1"/>
  <c r="AA1910" i="1" s="1"/>
  <c r="AA1911" i="1" a="1"/>
  <c r="AA1911" i="1" s="1"/>
  <c r="AA1912" i="1" a="1"/>
  <c r="AA1912" i="1" s="1"/>
  <c r="AA1913" i="1" a="1"/>
  <c r="AA1913" i="1" s="1"/>
  <c r="AA1914" i="1" a="1"/>
  <c r="AA1914" i="1" s="1"/>
  <c r="AA1915" i="1" a="1"/>
  <c r="AA1915" i="1" s="1"/>
  <c r="AA1916" i="1" a="1"/>
  <c r="AA1916" i="1"/>
  <c r="AA1917" i="1" a="1"/>
  <c r="AA1917" i="1" s="1"/>
  <c r="AA1918" i="1" a="1"/>
  <c r="AA1918" i="1"/>
  <c r="AA1919" i="1" a="1"/>
  <c r="AA1919" i="1" s="1"/>
  <c r="AA1920" i="1" a="1"/>
  <c r="AA1920" i="1"/>
  <c r="AA1921" i="1" a="1"/>
  <c r="AA1921" i="1"/>
  <c r="AA1922" i="1" a="1"/>
  <c r="AA1922" i="1" s="1"/>
  <c r="AA1923" i="1" a="1"/>
  <c r="AA1923" i="1" s="1"/>
  <c r="AA1924" i="1" a="1"/>
  <c r="AA1924" i="1" s="1"/>
  <c r="AA1925" i="1" a="1"/>
  <c r="AA1925" i="1" s="1"/>
  <c r="AA1926" i="1" a="1"/>
  <c r="AA1926" i="1" s="1"/>
  <c r="AA1927" i="1" a="1"/>
  <c r="AA1927" i="1" s="1"/>
  <c r="AA1928" i="1" a="1"/>
  <c r="AA1928" i="1"/>
  <c r="AA1929" i="1" a="1"/>
  <c r="AA1929" i="1"/>
  <c r="AA1930" i="1" a="1"/>
  <c r="AA1930" i="1" s="1"/>
  <c r="AA1931" i="1" a="1"/>
  <c r="AA1931" i="1" s="1"/>
  <c r="AA1932" i="1" a="1"/>
  <c r="AA1932" i="1" s="1"/>
  <c r="AA1933" i="1" a="1"/>
  <c r="AA1933" i="1"/>
  <c r="AA1934" i="1" a="1"/>
  <c r="AA1934" i="1" s="1"/>
  <c r="AA1935" i="1" a="1"/>
  <c r="AA1935" i="1" s="1"/>
  <c r="AA1936" i="1" a="1"/>
  <c r="AA1936" i="1" s="1"/>
  <c r="AA1937" i="1" a="1"/>
  <c r="AA1937" i="1" s="1"/>
  <c r="AA1938" i="1" a="1"/>
  <c r="AA1938" i="1" s="1"/>
  <c r="AA1939" i="1" a="1"/>
  <c r="AA1939" i="1" s="1"/>
  <c r="AA1940" i="1" a="1"/>
  <c r="AA1940" i="1" s="1"/>
  <c r="AA1941" i="1" a="1"/>
  <c r="AA1941" i="1" s="1"/>
  <c r="AA1942" i="1" a="1"/>
  <c r="AA1942" i="1"/>
  <c r="AA1943" i="1" a="1"/>
  <c r="AA1943" i="1" s="1"/>
  <c r="AA1944" i="1" a="1"/>
  <c r="AA1944" i="1" s="1"/>
  <c r="AA1945" i="1" a="1"/>
  <c r="AA1945" i="1"/>
  <c r="AA1946" i="1" a="1"/>
  <c r="AA1946" i="1" s="1"/>
  <c r="AA1947" i="1" a="1"/>
  <c r="AA1947" i="1" s="1"/>
  <c r="AA1948" i="1" a="1"/>
  <c r="AA1948" i="1" s="1"/>
  <c r="AA1949" i="1" a="1"/>
  <c r="AA1949" i="1" s="1"/>
  <c r="AA1950" i="1" a="1"/>
  <c r="AA1950" i="1" s="1"/>
  <c r="AA1951" i="1" a="1"/>
  <c r="AA1951" i="1" s="1"/>
  <c r="AA1952" i="1" a="1"/>
  <c r="AA1952" i="1" s="1"/>
  <c r="AA1953" i="1" a="1"/>
  <c r="AA1953" i="1" s="1"/>
  <c r="AA1954" i="1" a="1"/>
  <c r="AA1954" i="1" s="1"/>
  <c r="AA1955" i="1" a="1"/>
  <c r="AA1955" i="1" s="1"/>
  <c r="AA1956" i="1" a="1"/>
  <c r="AA1956" i="1" s="1"/>
  <c r="AA1957" i="1" a="1"/>
  <c r="AA1957" i="1" s="1"/>
  <c r="AA1958" i="1" a="1"/>
  <c r="AA1958" i="1"/>
  <c r="AA1959" i="1" a="1"/>
  <c r="AA1959" i="1" s="1"/>
  <c r="AA1960" i="1" a="1"/>
  <c r="AA1960" i="1" s="1"/>
  <c r="AA1961" i="1" a="1"/>
  <c r="AA1961" i="1" s="1"/>
  <c r="AA1962" i="1" a="1"/>
  <c r="AA1962" i="1" s="1"/>
  <c r="AA1963" i="1" a="1"/>
  <c r="AA1963" i="1" s="1"/>
  <c r="AA1964" i="1" a="1"/>
  <c r="AA1964" i="1" s="1"/>
  <c r="AA1965" i="1" a="1"/>
  <c r="AA1965" i="1" s="1"/>
  <c r="AA1966" i="1" a="1"/>
  <c r="AA1966" i="1" s="1"/>
  <c r="AA1967" i="1" a="1"/>
  <c r="AA1967" i="1" s="1"/>
  <c r="AA1968" i="1" a="1"/>
  <c r="AA1968" i="1" s="1"/>
  <c r="AA1969" i="1" a="1"/>
  <c r="AA1969" i="1" s="1"/>
  <c r="AA1970" i="1" a="1"/>
  <c r="AA1970" i="1" s="1"/>
  <c r="AA1971" i="1" a="1"/>
  <c r="AA1971" i="1" s="1"/>
  <c r="AA1972" i="1" a="1"/>
  <c r="AA1972" i="1" s="1"/>
  <c r="AA1973" i="1" a="1"/>
  <c r="AA1973" i="1" s="1"/>
  <c r="AA1974" i="1" a="1"/>
  <c r="AA1974" i="1"/>
  <c r="AA1975" i="1" a="1"/>
  <c r="AA1975" i="1" s="1"/>
  <c r="AA1976" i="1" a="1"/>
  <c r="AA1976" i="1"/>
  <c r="AA1977" i="1" a="1"/>
  <c r="AA1977" i="1" s="1"/>
  <c r="AA1978" i="1" a="1"/>
  <c r="AA1978" i="1" s="1"/>
  <c r="AA1979" i="1" a="1"/>
  <c r="AA1979" i="1" s="1"/>
  <c r="AA1980" i="1" a="1"/>
  <c r="AA1980" i="1" s="1"/>
  <c r="AA1981" i="1" a="1"/>
  <c r="AA1981" i="1"/>
  <c r="AA1982" i="1" a="1"/>
  <c r="AA1982" i="1" s="1"/>
  <c r="AA1983" i="1" a="1"/>
  <c r="AA1983" i="1" s="1"/>
  <c r="AA1984" i="1" a="1"/>
  <c r="AA1984" i="1" s="1"/>
  <c r="AA1985" i="1" a="1"/>
  <c r="AA1985" i="1" s="1"/>
  <c r="AA1986" i="1" a="1"/>
  <c r="AA1986" i="1" s="1"/>
  <c r="AA1987" i="1" a="1"/>
  <c r="AA1987" i="1" s="1"/>
  <c r="AA1988" i="1" a="1"/>
  <c r="AA1988" i="1" s="1"/>
  <c r="AA1989" i="1" a="1"/>
  <c r="AA1989" i="1"/>
  <c r="AA1990" i="1" a="1"/>
  <c r="AA1990" i="1" s="1"/>
  <c r="AA1991" i="1" a="1"/>
  <c r="AA1991" i="1" s="1"/>
  <c r="AA1992" i="1" a="1"/>
  <c r="AA1992" i="1"/>
  <c r="AA1993" i="1" a="1"/>
  <c r="AA1993" i="1" s="1"/>
  <c r="AA1994" i="1" a="1"/>
  <c r="AA1994" i="1" s="1"/>
  <c r="AA1995" i="1" a="1"/>
  <c r="AA1995" i="1" s="1"/>
  <c r="AA1996" i="1" a="1"/>
  <c r="AA1996" i="1" s="1"/>
  <c r="AA1997" i="1" a="1"/>
  <c r="AA1997" i="1" s="1"/>
  <c r="AA1998" i="1" a="1"/>
  <c r="AA1998" i="1"/>
  <c r="AA1999" i="1" a="1"/>
  <c r="AA1999" i="1" s="1"/>
  <c r="AA2000" i="1" a="1"/>
  <c r="AA2000" i="1" s="1"/>
  <c r="AA2001" i="1" a="1"/>
  <c r="AA2001" i="1" s="1"/>
  <c r="K5" i="3" l="1"/>
  <c r="G5" i="3"/>
  <c r="H5" i="3" s="1"/>
  <c r="E16" i="3"/>
  <c r="L5" i="3"/>
  <c r="H3" i="3"/>
  <c r="K3" i="3"/>
  <c r="L3" i="3" s="1"/>
  <c r="J5" i="3"/>
  <c r="D2" i="3"/>
  <c r="I3" i="3"/>
  <c r="J3" i="3" s="1"/>
  <c r="G2" i="3"/>
  <c r="H2" i="3" s="1"/>
  <c r="I2" i="3"/>
  <c r="J2" i="3" s="1"/>
  <c r="E2" i="3"/>
  <c r="F2" i="3" s="1"/>
  <c r="K2" i="3"/>
  <c r="L2" i="3" s="1"/>
  <c r="E5" i="3"/>
  <c r="F5" i="3" s="1"/>
  <c r="I6" i="3"/>
  <c r="J6" i="3" s="1"/>
  <c r="I4" i="3"/>
  <c r="J4" i="3" s="1"/>
  <c r="G6" i="3"/>
  <c r="H6" i="3" s="1"/>
  <c r="G4" i="3"/>
  <c r="H4" i="3" s="1"/>
  <c r="E6" i="3"/>
  <c r="F6" i="3" s="1"/>
  <c r="E4" i="3"/>
  <c r="F4" i="3" s="1"/>
  <c r="E3" i="3"/>
  <c r="F3" i="3" s="1"/>
  <c r="K6" i="3"/>
  <c r="L6" i="3" s="1"/>
  <c r="K4" i="3"/>
  <c r="L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<sst xmlns="http://schemas.openxmlformats.org/spreadsheetml/2006/main" count="18246" uniqueCount="2088">
  <si>
    <t>Feedback_ID</t>
  </si>
  <si>
    <t>Guest_ID</t>
  </si>
  <si>
    <t>Guest_Name</t>
  </si>
  <si>
    <t>Hotel_Name</t>
  </si>
  <si>
    <t>Room_Type</t>
  </si>
  <si>
    <t>Checkin_Date</t>
  </si>
  <si>
    <t>Checkout_Date</t>
  </si>
  <si>
    <t>Stay_Duration</t>
  </si>
  <si>
    <t>Booking_Source</t>
  </si>
  <si>
    <t>Travel_Purpose</t>
  </si>
  <si>
    <t>Room_Cleanliness</t>
  </si>
  <si>
    <t>Staff_Courtesy</t>
  </si>
  <si>
    <t>Food_Quality</t>
  </si>
  <si>
    <t>Checkin_Experience</t>
  </si>
  <si>
    <t>Checkout_Experience</t>
  </si>
  <si>
    <t>Amenities_Satisfaction</t>
  </si>
  <si>
    <t>Value_for_Money</t>
  </si>
  <si>
    <t>Safety_Measures</t>
  </si>
  <si>
    <t>WiFi_Quality</t>
  </si>
  <si>
    <t>Noise_Levels</t>
  </si>
  <si>
    <t>Would_Recommend</t>
  </si>
  <si>
    <t>Feedback_Source</t>
  </si>
  <si>
    <t>Additional_Comments</t>
  </si>
  <si>
    <t>Guest_Gender</t>
  </si>
  <si>
    <t>Guest_Age</t>
  </si>
  <si>
    <t>Feedback_Date</t>
  </si>
  <si>
    <t>Grand Heritage</t>
  </si>
  <si>
    <t>Single</t>
  </si>
  <si>
    <t>Website</t>
  </si>
  <si>
    <t>Business</t>
  </si>
  <si>
    <t>Yes</t>
  </si>
  <si>
    <t>Email</t>
  </si>
  <si>
    <t>Great stay</t>
  </si>
  <si>
    <t>Male</t>
  </si>
  <si>
    <t>OceanView Resort</t>
  </si>
  <si>
    <t>Double</t>
  </si>
  <si>
    <t>Conference</t>
  </si>
  <si>
    <t>No</t>
  </si>
  <si>
    <t>Feedback Form</t>
  </si>
  <si>
    <t>Average</t>
  </si>
  <si>
    <t>Other</t>
  </si>
  <si>
    <t>City Lights Hotel</t>
  </si>
  <si>
    <t>App</t>
  </si>
  <si>
    <t>Transit</t>
  </si>
  <si>
    <t>Female</t>
  </si>
  <si>
    <t>Family</t>
  </si>
  <si>
    <t>App Review</t>
  </si>
  <si>
    <t>Poor service</t>
  </si>
  <si>
    <t>Hilltop Inn</t>
  </si>
  <si>
    <t>Travel Agent</t>
  </si>
  <si>
    <t>Walk-in</t>
  </si>
  <si>
    <t>Palm Grove Stay</t>
  </si>
  <si>
    <t>Suite</t>
  </si>
  <si>
    <t>Leisure</t>
  </si>
  <si>
    <t>In-person</t>
  </si>
  <si>
    <t>Will visit again</t>
  </si>
  <si>
    <t>Needs improvement</t>
  </si>
  <si>
    <t>Deluxe</t>
  </si>
  <si>
    <t>Online Survey</t>
  </si>
  <si>
    <t>Theresa Perez</t>
  </si>
  <si>
    <t>Melanie Mccarthy</t>
  </si>
  <si>
    <t>Robert Johnson</t>
  </si>
  <si>
    <t>Melissa Farrell</t>
  </si>
  <si>
    <t>Morgan Pierce</t>
  </si>
  <si>
    <t>Todd Arellano</t>
  </si>
  <si>
    <t>Robert Gates</t>
  </si>
  <si>
    <t>Tammy Smith</t>
  </si>
  <si>
    <t>Matthew Mcbride</t>
  </si>
  <si>
    <t>Mr. Philip Hawkins</t>
  </si>
  <si>
    <t>Scott Johnson</t>
  </si>
  <si>
    <t>Veronica Rojas</t>
  </si>
  <si>
    <t>Justin Watson</t>
  </si>
  <si>
    <t>Susan King</t>
  </si>
  <si>
    <t>Melanie Ruiz</t>
  </si>
  <si>
    <t>Alan Wade</t>
  </si>
  <si>
    <t>Brittany Lynch</t>
  </si>
  <si>
    <t>Ryan Meyers</t>
  </si>
  <si>
    <t>Joshua Ramirez</t>
  </si>
  <si>
    <t>Teresa Smith</t>
  </si>
  <si>
    <t>Timothy Farrell</t>
  </si>
  <si>
    <t>Susan Spencer</t>
  </si>
  <si>
    <t>Jordan Morgan</t>
  </si>
  <si>
    <t>Natalie Webb</t>
  </si>
  <si>
    <t>Timothy Buchanan</t>
  </si>
  <si>
    <t>Chelsea Hull</t>
  </si>
  <si>
    <t>Melanie Wells</t>
  </si>
  <si>
    <t>Allison Miller</t>
  </si>
  <si>
    <t>Kevin Edwards</t>
  </si>
  <si>
    <t>Diane Zimmerman</t>
  </si>
  <si>
    <t>Heather Sanchez</t>
  </si>
  <si>
    <t>Melody Hernandez</t>
  </si>
  <si>
    <t>Gina King</t>
  </si>
  <si>
    <t>Dr. Jasmine Hopkins</t>
  </si>
  <si>
    <t>Robert Mora</t>
  </si>
  <si>
    <t>Mark Bruce</t>
  </si>
  <si>
    <t>Alyssa Thornton</t>
  </si>
  <si>
    <t>Adam Mills</t>
  </si>
  <si>
    <t>John Wilson</t>
  </si>
  <si>
    <t>Chris Roberts</t>
  </si>
  <si>
    <t>Spencer Galvan</t>
  </si>
  <si>
    <t>Christine Kennedy</t>
  </si>
  <si>
    <t>Darren King</t>
  </si>
  <si>
    <t>Heather Little</t>
  </si>
  <si>
    <t>Christopher Cox</t>
  </si>
  <si>
    <t>Danielle Smith</t>
  </si>
  <si>
    <t>Shelby Dean</t>
  </si>
  <si>
    <t>Ariana King</t>
  </si>
  <si>
    <t>Ashley Reynolds</t>
  </si>
  <si>
    <t>Rebecca Rollins</t>
  </si>
  <si>
    <t>Lindsay Miles</t>
  </si>
  <si>
    <t>Jackson Thompson</t>
  </si>
  <si>
    <t>Gail Brown</t>
  </si>
  <si>
    <t>Nicole Reynolds</t>
  </si>
  <si>
    <t>Daniel Rodriguez</t>
  </si>
  <si>
    <t>Eric Barr</t>
  </si>
  <si>
    <t>Kristi Green</t>
  </si>
  <si>
    <t>Scott Hernandez</t>
  </si>
  <si>
    <t>Regina Dickerson</t>
  </si>
  <si>
    <t>John Henry</t>
  </si>
  <si>
    <t>Monica Garcia</t>
  </si>
  <si>
    <t>John Thompson</t>
  </si>
  <si>
    <t>Ann Miranda</t>
  </si>
  <si>
    <t>Vanessa Ballard</t>
  </si>
  <si>
    <t>Kayla Dudley</t>
  </si>
  <si>
    <t>Mark Reynolds</t>
  </si>
  <si>
    <t>Laura Miller</t>
  </si>
  <si>
    <t>Amy Martin</t>
  </si>
  <si>
    <t>Jean Tapia</t>
  </si>
  <si>
    <t>Julian Wilson</t>
  </si>
  <si>
    <t>David Poole</t>
  </si>
  <si>
    <t>Arthur Marshall</t>
  </si>
  <si>
    <t>James Farley</t>
  </si>
  <si>
    <t>Jesse Beltran</t>
  </si>
  <si>
    <t>Katie Carter</t>
  </si>
  <si>
    <t>Samantha Padilla</t>
  </si>
  <si>
    <t>Robert Wilson</t>
  </si>
  <si>
    <t>Christopher Armstrong</t>
  </si>
  <si>
    <t>Peter Benton</t>
  </si>
  <si>
    <t>Anthony Hogan</t>
  </si>
  <si>
    <t>Renee Harrington</t>
  </si>
  <si>
    <t>Mark Ashley</t>
  </si>
  <si>
    <t>Mary Barry</t>
  </si>
  <si>
    <t>Timothy Branch</t>
  </si>
  <si>
    <t>Aaron Butler</t>
  </si>
  <si>
    <t>Joseph Black</t>
  </si>
  <si>
    <t>Courtney Kelley</t>
  </si>
  <si>
    <t>Lauren Spence</t>
  </si>
  <si>
    <t>Daniel Mccullough</t>
  </si>
  <si>
    <t>Shawn Davis</t>
  </si>
  <si>
    <t>Richard Scott</t>
  </si>
  <si>
    <t>Kaitlin Newman</t>
  </si>
  <si>
    <t>Susan Cunningham</t>
  </si>
  <si>
    <t>Stephanie Chaney</t>
  </si>
  <si>
    <t>Debra Wu</t>
  </si>
  <si>
    <t>Travis Morris</t>
  </si>
  <si>
    <t>Nicholas Forbes</t>
  </si>
  <si>
    <t>Brittany Davis</t>
  </si>
  <si>
    <t>Katelyn English MD</t>
  </si>
  <si>
    <t>Amanda Pollard</t>
  </si>
  <si>
    <t>Donna Farley</t>
  </si>
  <si>
    <t>Kristin Foley</t>
  </si>
  <si>
    <t>Gabriel Cooper</t>
  </si>
  <si>
    <t>Christopher Gross</t>
  </si>
  <si>
    <t>Shaun Wilson</t>
  </si>
  <si>
    <t>Michelle Bell</t>
  </si>
  <si>
    <t>David Jones IV</t>
  </si>
  <si>
    <t>Bonnie Kramer</t>
  </si>
  <si>
    <t>Andrea Klein</t>
  </si>
  <si>
    <t>Monica Maldonado</t>
  </si>
  <si>
    <t>Shannon Robinson</t>
  </si>
  <si>
    <t>Samuel White</t>
  </si>
  <si>
    <t>Erica Curry</t>
  </si>
  <si>
    <t>Thomas Walker</t>
  </si>
  <si>
    <t>Stacey Garner</t>
  </si>
  <si>
    <t>John Kennedy</t>
  </si>
  <si>
    <t>Alyssa Ruiz</t>
  </si>
  <si>
    <t>Rita Thompson</t>
  </si>
  <si>
    <t>Thomas Clark IV</t>
  </si>
  <si>
    <t>Karen Williamson</t>
  </si>
  <si>
    <t>Amber Jackson</t>
  </si>
  <si>
    <t>Keith Cohen</t>
  </si>
  <si>
    <t>Kelly Gill</t>
  </si>
  <si>
    <t>Donald White</t>
  </si>
  <si>
    <t>Valerie Cherry</t>
  </si>
  <si>
    <t>Rebecca Lawrence</t>
  </si>
  <si>
    <t>Tracey Gonzalez</t>
  </si>
  <si>
    <t>Alex Moreno</t>
  </si>
  <si>
    <t>Kenneth Rodriguez DDS</t>
  </si>
  <si>
    <t>Jacob Marquez</t>
  </si>
  <si>
    <t>Lawrence Lee</t>
  </si>
  <si>
    <t>Jason Arias</t>
  </si>
  <si>
    <t>Sandra Carter</t>
  </si>
  <si>
    <t>Kevin Yates</t>
  </si>
  <si>
    <t>Carly Chapman</t>
  </si>
  <si>
    <t>Amy Grant</t>
  </si>
  <si>
    <t>Sean Mendoza</t>
  </si>
  <si>
    <t>Stephen Thompson</t>
  </si>
  <si>
    <t>William Miller</t>
  </si>
  <si>
    <t>Christy Kent</t>
  </si>
  <si>
    <t>David Hanson</t>
  </si>
  <si>
    <t>Lisa Vasquez</t>
  </si>
  <si>
    <t>Connie Rojas</t>
  </si>
  <si>
    <t>Jordan Mullen</t>
  </si>
  <si>
    <t>Cory Mcclure</t>
  </si>
  <si>
    <t>Alison Rogers</t>
  </si>
  <si>
    <t>Jonathan Gonzalez</t>
  </si>
  <si>
    <t>Elizabeth Kelly</t>
  </si>
  <si>
    <t>Charles Scott</t>
  </si>
  <si>
    <t>Richard Hunter</t>
  </si>
  <si>
    <t>Michael Moran</t>
  </si>
  <si>
    <t>John Hensley</t>
  </si>
  <si>
    <t>Casey Richardson</t>
  </si>
  <si>
    <t>Amy Green</t>
  </si>
  <si>
    <t>Ashley Figueroa</t>
  </si>
  <si>
    <t>Katherine Jackson</t>
  </si>
  <si>
    <t>Tammy Cabrera</t>
  </si>
  <si>
    <t>Casey Taylor</t>
  </si>
  <si>
    <t>Rachel White</t>
  </si>
  <si>
    <t>Kathleen Orr</t>
  </si>
  <si>
    <t>John Nunez</t>
  </si>
  <si>
    <t>James Beltran</t>
  </si>
  <si>
    <t>Seth Morgan</t>
  </si>
  <si>
    <t>Arthur Richardson</t>
  </si>
  <si>
    <t>Brianna Aguirre</t>
  </si>
  <si>
    <t>Christopher Simpson</t>
  </si>
  <si>
    <t>Antonio Good</t>
  </si>
  <si>
    <t>Melissa Reid</t>
  </si>
  <si>
    <t>Barbara Turner</t>
  </si>
  <si>
    <t>Jeffery Brooks</t>
  </si>
  <si>
    <t>Katherine Cervantes</t>
  </si>
  <si>
    <t>Timothy Henry</t>
  </si>
  <si>
    <t>Edward Carey</t>
  </si>
  <si>
    <t>Dr. James Anderson</t>
  </si>
  <si>
    <t>Andre Owen</t>
  </si>
  <si>
    <t>Elizabeth Day</t>
  </si>
  <si>
    <t>Mr. Nathan Sanchez DDS</t>
  </si>
  <si>
    <t>Maria Mercado</t>
  </si>
  <si>
    <t>Henry Johnson</t>
  </si>
  <si>
    <t>Michael Mcclain</t>
  </si>
  <si>
    <t>Kevin Martinez</t>
  </si>
  <si>
    <t>Donna Grant</t>
  </si>
  <si>
    <t>Jennifer Stephens</t>
  </si>
  <si>
    <t>Jordan Mitchell</t>
  </si>
  <si>
    <t>Marcia Rivera</t>
  </si>
  <si>
    <t>Natasha Richards</t>
  </si>
  <si>
    <t>Marcus Frye</t>
  </si>
  <si>
    <t>John Cooley</t>
  </si>
  <si>
    <t>Stephen Bowen</t>
  </si>
  <si>
    <t>Walter Peterson</t>
  </si>
  <si>
    <t>Gina Jones</t>
  </si>
  <si>
    <t>Victoria Grant</t>
  </si>
  <si>
    <t>Veronica Noble</t>
  </si>
  <si>
    <t>Brian Bender</t>
  </si>
  <si>
    <t>Jimmy Rios</t>
  </si>
  <si>
    <t>Robert Ware</t>
  </si>
  <si>
    <t>Erica Lowe</t>
  </si>
  <si>
    <t>Franklin Jones</t>
  </si>
  <si>
    <t>Kaitlyn Williams</t>
  </si>
  <si>
    <t>Travis Sherman</t>
  </si>
  <si>
    <t>Cynthia Walters</t>
  </si>
  <si>
    <t>Denise Dalton MD</t>
  </si>
  <si>
    <t>Natalie Williams</t>
  </si>
  <si>
    <t>Kelly Gilmore</t>
  </si>
  <si>
    <t>Thomas Andrews</t>
  </si>
  <si>
    <t>Daniel Beasley</t>
  </si>
  <si>
    <t>Beverly Sanders</t>
  </si>
  <si>
    <t>Steven Dalton</t>
  </si>
  <si>
    <t>Matthew Gonzalez</t>
  </si>
  <si>
    <t>Susan Gibbs</t>
  </si>
  <si>
    <t>Madison Santiago</t>
  </si>
  <si>
    <t>William Williams</t>
  </si>
  <si>
    <t>Michelle Harris</t>
  </si>
  <si>
    <t>Judith Joseph</t>
  </si>
  <si>
    <t>Luis Peterson</t>
  </si>
  <si>
    <t>Richard Crawford PhD</t>
  </si>
  <si>
    <t>Alexa Faulkner</t>
  </si>
  <si>
    <t>Chris Medina</t>
  </si>
  <si>
    <t>John Payne</t>
  </si>
  <si>
    <t>Thomas Garcia</t>
  </si>
  <si>
    <t>John Hamilton</t>
  </si>
  <si>
    <t>Amber Crosby</t>
  </si>
  <si>
    <t>Aaron Cook</t>
  </si>
  <si>
    <t>Joshua Huerta</t>
  </si>
  <si>
    <t>William Howard</t>
  </si>
  <si>
    <t>Kenneth Hall</t>
  </si>
  <si>
    <t>Renee Gross</t>
  </si>
  <si>
    <t>Michael Everett</t>
  </si>
  <si>
    <t>Shelby Robbins</t>
  </si>
  <si>
    <t>Jennifer Irwin</t>
  </si>
  <si>
    <t>Eric Garcia</t>
  </si>
  <si>
    <t>Joshua Wilson</t>
  </si>
  <si>
    <t>Amber Peterson</t>
  </si>
  <si>
    <t>Renee Black</t>
  </si>
  <si>
    <t>Johnathan Gardner</t>
  </si>
  <si>
    <t>Amy Meyer</t>
  </si>
  <si>
    <t>Johnathan Bolton</t>
  </si>
  <si>
    <t>Jonathan Farley</t>
  </si>
  <si>
    <t>Justin Shelton</t>
  </si>
  <si>
    <t>Lauren Sullivan</t>
  </si>
  <si>
    <t>Robert Thomas</t>
  </si>
  <si>
    <t>Michael Duncan</t>
  </si>
  <si>
    <t>Dylan Martinez</t>
  </si>
  <si>
    <t>Ashley Sutton</t>
  </si>
  <si>
    <t>Kelly Scott</t>
  </si>
  <si>
    <t>James Brown</t>
  </si>
  <si>
    <t>John Shaw</t>
  </si>
  <si>
    <t>Jonathan Ayers</t>
  </si>
  <si>
    <t>Brenda Bean</t>
  </si>
  <si>
    <t>Amber Smith</t>
  </si>
  <si>
    <t>Alice Long</t>
  </si>
  <si>
    <t>James Ortiz Jr.</t>
  </si>
  <si>
    <t>Erin Stewart</t>
  </si>
  <si>
    <t>Marcus Sandoval</t>
  </si>
  <si>
    <t>Jason Ross</t>
  </si>
  <si>
    <t>Jessica Anderson</t>
  </si>
  <si>
    <t>Adam Schmidt</t>
  </si>
  <si>
    <t>Grace Hines</t>
  </si>
  <si>
    <t>David Chase</t>
  </si>
  <si>
    <t>Christopher Zimmerman</t>
  </si>
  <si>
    <t>Dr. Victor Torres</t>
  </si>
  <si>
    <t>Rhonda Koch</t>
  </si>
  <si>
    <t>Christopher Everett</t>
  </si>
  <si>
    <t>William Smith</t>
  </si>
  <si>
    <t>Scott Rodriguez</t>
  </si>
  <si>
    <t>Jason Clark</t>
  </si>
  <si>
    <t>Scott Miller</t>
  </si>
  <si>
    <t>Bradley Colon</t>
  </si>
  <si>
    <t>Thomas Wright</t>
  </si>
  <si>
    <t>Danielle Perez</t>
  </si>
  <si>
    <t>Lori Thomas</t>
  </si>
  <si>
    <t>Mrs. Crystal Mendez</t>
  </si>
  <si>
    <t>Angela Brown</t>
  </si>
  <si>
    <t>Adam Russell</t>
  </si>
  <si>
    <t>Benjamin Murphy</t>
  </si>
  <si>
    <t>Wendy Clark</t>
  </si>
  <si>
    <t>Benjamin Swanson</t>
  </si>
  <si>
    <t>Sarah Hammond</t>
  </si>
  <si>
    <t>Mrs. Amy Rodgers</t>
  </si>
  <si>
    <t>Joe Campbell</t>
  </si>
  <si>
    <t>Richard Conway</t>
  </si>
  <si>
    <t>Brian Serrano</t>
  </si>
  <si>
    <t>David Smith</t>
  </si>
  <si>
    <t>Lisa Black</t>
  </si>
  <si>
    <t>Jonathan King</t>
  </si>
  <si>
    <t>Thomas Schmidt</t>
  </si>
  <si>
    <t>Randall Shannon</t>
  </si>
  <si>
    <t>Jason Norris</t>
  </si>
  <si>
    <t>Harold Terrell</t>
  </si>
  <si>
    <t>Kevin Garcia</t>
  </si>
  <si>
    <t>Suzanne Hernandez</t>
  </si>
  <si>
    <t>Lisa Smith</t>
  </si>
  <si>
    <t>Jeffrey Miller</t>
  </si>
  <si>
    <t>Anthony Galvan</t>
  </si>
  <si>
    <t>Stephanie Smith</t>
  </si>
  <si>
    <t>Joshua King</t>
  </si>
  <si>
    <t>Ashley Meza</t>
  </si>
  <si>
    <t>Scott Moore</t>
  </si>
  <si>
    <t>Matthew Mitchell</t>
  </si>
  <si>
    <t>Gregory Williams</t>
  </si>
  <si>
    <t>Amber Becker</t>
  </si>
  <si>
    <t>Christina Shelton</t>
  </si>
  <si>
    <t>Debra Russo</t>
  </si>
  <si>
    <t>Loretta Ward</t>
  </si>
  <si>
    <t>Curtis Walker</t>
  </si>
  <si>
    <t>Maria Best</t>
  </si>
  <si>
    <t>Sharon Adams</t>
  </si>
  <si>
    <t>Amy Harvey</t>
  </si>
  <si>
    <t>Crystal Kirby</t>
  </si>
  <si>
    <t>Susan Haynes</t>
  </si>
  <si>
    <t>Kristy Davies</t>
  </si>
  <si>
    <t>Adam Rojas</t>
  </si>
  <si>
    <t>Thomas Fitzpatrick</t>
  </si>
  <si>
    <t>Joe Jennings</t>
  </si>
  <si>
    <t>Alexander Smith</t>
  </si>
  <si>
    <t>Robert Murillo DDS</t>
  </si>
  <si>
    <t>James Lopez</t>
  </si>
  <si>
    <t>Laura Kelly</t>
  </si>
  <si>
    <t>Carol Shelton</t>
  </si>
  <si>
    <t>Sonya Hines</t>
  </si>
  <si>
    <t>Ryan Potter</t>
  </si>
  <si>
    <t>Sarah Barrera</t>
  </si>
  <si>
    <t>Michael Rivera</t>
  </si>
  <si>
    <t>Ronald Williams</t>
  </si>
  <si>
    <t>Angela Quinn</t>
  </si>
  <si>
    <t>Brandon Castillo</t>
  </si>
  <si>
    <t>Jamie Clarke</t>
  </si>
  <si>
    <t>Rebecca Jones</t>
  </si>
  <si>
    <t>Jerry Gonzalez</t>
  </si>
  <si>
    <t>Sarah Stanley</t>
  </si>
  <si>
    <t>Lori Lopez</t>
  </si>
  <si>
    <t>Michael Conway</t>
  </si>
  <si>
    <t>Carlos Garcia</t>
  </si>
  <si>
    <t>Matthew Gentry</t>
  </si>
  <si>
    <t>Scott Richard</t>
  </si>
  <si>
    <t>James Rodriguez</t>
  </si>
  <si>
    <t>Anthony Vasquez</t>
  </si>
  <si>
    <t>Vincent Cooley</t>
  </si>
  <si>
    <t>Adrian Murphy</t>
  </si>
  <si>
    <t>Jesus Rodriguez</t>
  </si>
  <si>
    <t>Ebony Cantrell</t>
  </si>
  <si>
    <t>Barbara Williams</t>
  </si>
  <si>
    <t>Michael Moss</t>
  </si>
  <si>
    <t>Eric Joyce</t>
  </si>
  <si>
    <t>Lisa Wagner</t>
  </si>
  <si>
    <t>Brittany Figueroa</t>
  </si>
  <si>
    <t>Robert Smith</t>
  </si>
  <si>
    <t>Michael Perez</t>
  </si>
  <si>
    <t>Billy Evans</t>
  </si>
  <si>
    <t>Brian Sharp</t>
  </si>
  <si>
    <t>Omar Jackson</t>
  </si>
  <si>
    <t>Paige Gay</t>
  </si>
  <si>
    <t>Melissa Webb</t>
  </si>
  <si>
    <t>Kevin Parker</t>
  </si>
  <si>
    <t>Sarah Gray</t>
  </si>
  <si>
    <t>Wendy Jackson</t>
  </si>
  <si>
    <t>Beverly Foster</t>
  </si>
  <si>
    <t>Kevin Caldwell</t>
  </si>
  <si>
    <t>Jennifer Jackson</t>
  </si>
  <si>
    <t>Joseph Wade</t>
  </si>
  <si>
    <t>Steve Duffy</t>
  </si>
  <si>
    <t>Lauren Smith</t>
  </si>
  <si>
    <t>Matthew Nelson</t>
  </si>
  <si>
    <t>Kevin Gonzalez</t>
  </si>
  <si>
    <t>Peter Lopez</t>
  </si>
  <si>
    <t>Barry Hill</t>
  </si>
  <si>
    <t>Jacob Rodriguez</t>
  </si>
  <si>
    <t>Christian Taylor</t>
  </si>
  <si>
    <t>Travis Wilson</t>
  </si>
  <si>
    <t>Paul Shelton</t>
  </si>
  <si>
    <t>Mary Juarez</t>
  </si>
  <si>
    <t>Gordon Hunt</t>
  </si>
  <si>
    <t>Susan Brown</t>
  </si>
  <si>
    <t>Samantha Sandoval</t>
  </si>
  <si>
    <t>Donna Payne</t>
  </si>
  <si>
    <t>Clinton Kelly</t>
  </si>
  <si>
    <t>Jennifer Thomas</t>
  </si>
  <si>
    <t>John Tyler</t>
  </si>
  <si>
    <t>Mrs. Elizabeth Shepard</t>
  </si>
  <si>
    <t>Jessica Romero</t>
  </si>
  <si>
    <t>Meghan Hernandez</t>
  </si>
  <si>
    <t>Leah Finley</t>
  </si>
  <si>
    <t>Michele Cox</t>
  </si>
  <si>
    <t>Gabrielle Gordon</t>
  </si>
  <si>
    <t>Vanessa Morris</t>
  </si>
  <si>
    <t>Amber Wagner</t>
  </si>
  <si>
    <t>Andrea Cooper</t>
  </si>
  <si>
    <t>Carrie West</t>
  </si>
  <si>
    <t>Ashley Morales</t>
  </si>
  <si>
    <t>Kaitlyn Jackson</t>
  </si>
  <si>
    <t>Barbara Hernandez</t>
  </si>
  <si>
    <t>Lauren Roberts</t>
  </si>
  <si>
    <t>Ms. Kelly Mcfarland</t>
  </si>
  <si>
    <t>Andre Thomas</t>
  </si>
  <si>
    <t>Charlotte Joseph</t>
  </si>
  <si>
    <t>Becky Nicholson</t>
  </si>
  <si>
    <t>Megan Martinez</t>
  </si>
  <si>
    <t>Dr. Ashley Mendoza DDS</t>
  </si>
  <si>
    <t>Katelyn Munoz</t>
  </si>
  <si>
    <t>Alex Dunlap</t>
  </si>
  <si>
    <t>Thomas Wade</t>
  </si>
  <si>
    <t>Benjamin Sawyer</t>
  </si>
  <si>
    <t>Juan Walker</t>
  </si>
  <si>
    <t>Shane Morgan</t>
  </si>
  <si>
    <t>Troy Ochoa</t>
  </si>
  <si>
    <t>Christopher Nguyen</t>
  </si>
  <si>
    <t>Donald Salazar</t>
  </si>
  <si>
    <t>Laura Harris</t>
  </si>
  <si>
    <t>Kristin Wright</t>
  </si>
  <si>
    <t>Tyler Williams</t>
  </si>
  <si>
    <t>Crystal Price</t>
  </si>
  <si>
    <t>Chelsea Gutierrez</t>
  </si>
  <si>
    <t>Aaron Brown</t>
  </si>
  <si>
    <t>Robert Fitzpatrick</t>
  </si>
  <si>
    <t>Kenneth Romero</t>
  </si>
  <si>
    <t>Mario Roberts</t>
  </si>
  <si>
    <t>Scott Graham</t>
  </si>
  <si>
    <t>Kimberly Stewart</t>
  </si>
  <si>
    <t>Jonathan Simpson</t>
  </si>
  <si>
    <t>Mallory Thompson</t>
  </si>
  <si>
    <t>Sara Martin</t>
  </si>
  <si>
    <t>Matthew Olson</t>
  </si>
  <si>
    <t>Dakota Kim</t>
  </si>
  <si>
    <t>Brandon Wallace</t>
  </si>
  <si>
    <t>Cassandra Hicks</t>
  </si>
  <si>
    <t>Stacy Lee</t>
  </si>
  <si>
    <t>Alex Miranda</t>
  </si>
  <si>
    <t>Derek Perez</t>
  </si>
  <si>
    <t>Deborah Cruz</t>
  </si>
  <si>
    <t>Brandon Robinson</t>
  </si>
  <si>
    <t>Natasha Gray</t>
  </si>
  <si>
    <t>Kevin Franklin</t>
  </si>
  <si>
    <t>Derek Foster</t>
  </si>
  <si>
    <t>Zachary Williams</t>
  </si>
  <si>
    <t>Chelsea Day</t>
  </si>
  <si>
    <t>Patricia Scott</t>
  </si>
  <si>
    <t>Catherine Wood</t>
  </si>
  <si>
    <t>Elizabeth Smith</t>
  </si>
  <si>
    <t>Sergio Jones</t>
  </si>
  <si>
    <t>Rhonda George</t>
  </si>
  <si>
    <t>Andrew Henry</t>
  </si>
  <si>
    <t>Erika Reed</t>
  </si>
  <si>
    <t>John Hunt</t>
  </si>
  <si>
    <t>Debbie Harris</t>
  </si>
  <si>
    <t>Harry Brown</t>
  </si>
  <si>
    <t>Richard Mack</t>
  </si>
  <si>
    <t>Jade Jackson</t>
  </si>
  <si>
    <t>Benjamin Wolfe</t>
  </si>
  <si>
    <t>Dustin Mann</t>
  </si>
  <si>
    <t>Kevin Goodman</t>
  </si>
  <si>
    <t>Mary Hernandez</t>
  </si>
  <si>
    <t>Cody Holloway</t>
  </si>
  <si>
    <t>Timothy Valentine</t>
  </si>
  <si>
    <t>Jennifer Rodgers</t>
  </si>
  <si>
    <t>Robert Harrington</t>
  </si>
  <si>
    <t>Angela Turner</t>
  </si>
  <si>
    <t>Robert Williams</t>
  </si>
  <si>
    <t>Lisa Farley</t>
  </si>
  <si>
    <t>Stephen Wilkerson</t>
  </si>
  <si>
    <t>Amber Powell</t>
  </si>
  <si>
    <t>Morgan Washington</t>
  </si>
  <si>
    <t>Jason Kaiser</t>
  </si>
  <si>
    <t>Selena Lawson</t>
  </si>
  <si>
    <t>Kathryn Fisher</t>
  </si>
  <si>
    <t>Kristen Rogers</t>
  </si>
  <si>
    <t>Kenneth Barr</t>
  </si>
  <si>
    <t>Tina Wilson MD</t>
  </si>
  <si>
    <t>Brittany Morrow</t>
  </si>
  <si>
    <t>Scott Wilson</t>
  </si>
  <si>
    <t>Christopher Thompson</t>
  </si>
  <si>
    <t>Linda Johnson</t>
  </si>
  <si>
    <t>Mary Stewart</t>
  </si>
  <si>
    <t>Raymond Allen</t>
  </si>
  <si>
    <t>David Dickerson</t>
  </si>
  <si>
    <t>Nancy Walker</t>
  </si>
  <si>
    <t>Jacqueline Welch</t>
  </si>
  <si>
    <t>Lisa Franklin</t>
  </si>
  <si>
    <t>William Barrett</t>
  </si>
  <si>
    <t>Matthew Page</t>
  </si>
  <si>
    <t>Michael Morales</t>
  </si>
  <si>
    <t>Sierra Little</t>
  </si>
  <si>
    <t>Christine Wyatt</t>
  </si>
  <si>
    <t>Theresa Taylor</t>
  </si>
  <si>
    <t>Angelica Odonnell</t>
  </si>
  <si>
    <t>Robert Cole</t>
  </si>
  <si>
    <t>Erin Phillips</t>
  </si>
  <si>
    <t>Patricia Clark</t>
  </si>
  <si>
    <t>Katie Tran</t>
  </si>
  <si>
    <t>Erica Hernandez</t>
  </si>
  <si>
    <t>Drew Mccann</t>
  </si>
  <si>
    <t>Daniel Benitez</t>
  </si>
  <si>
    <t>Douglas Ward</t>
  </si>
  <si>
    <t>Reginald Blevins</t>
  </si>
  <si>
    <t>Joshua Robinson</t>
  </si>
  <si>
    <t>Shelby Evans</t>
  </si>
  <si>
    <t>Theresa White</t>
  </si>
  <si>
    <t>Andrea Wright</t>
  </si>
  <si>
    <t>Todd Alvarez</t>
  </si>
  <si>
    <t>Ashley Garner</t>
  </si>
  <si>
    <t>Justin Watkins</t>
  </si>
  <si>
    <t>Tammy May</t>
  </si>
  <si>
    <t>Andrew Obrien</t>
  </si>
  <si>
    <t>Jennifer Lee</t>
  </si>
  <si>
    <t>Caitlyn Williams</t>
  </si>
  <si>
    <t>Katie Woodward</t>
  </si>
  <si>
    <t>Michelle Hill</t>
  </si>
  <si>
    <t>David Peters</t>
  </si>
  <si>
    <t>Sharon Taylor</t>
  </si>
  <si>
    <t>Dylan Rios</t>
  </si>
  <si>
    <t>Nicholas Smith</t>
  </si>
  <si>
    <t>Krystal Jordan</t>
  </si>
  <si>
    <t>Jennifer Davis</t>
  </si>
  <si>
    <t>Sheila Rush</t>
  </si>
  <si>
    <t>Mrs. Lori Hurst DVM</t>
  </si>
  <si>
    <t>Derek Garcia</t>
  </si>
  <si>
    <t>Natalie Rivera</t>
  </si>
  <si>
    <t>Nathan Sparks</t>
  </si>
  <si>
    <t>Andrew Harrison</t>
  </si>
  <si>
    <t>William Crawford</t>
  </si>
  <si>
    <t>Deborah Dennis</t>
  </si>
  <si>
    <t>Mrs. Jean Robinson</t>
  </si>
  <si>
    <t>Mitchell Edwards</t>
  </si>
  <si>
    <t>Paul Holt</t>
  </si>
  <si>
    <t>Steven Lopez</t>
  </si>
  <si>
    <t>Sandra Jones</t>
  </si>
  <si>
    <t>Nicole Stanton</t>
  </si>
  <si>
    <t>Benjamin Davis</t>
  </si>
  <si>
    <t>Dr. Ana Morgan MD</t>
  </si>
  <si>
    <t>Kent Swanson</t>
  </si>
  <si>
    <t>Kevin Bowman</t>
  </si>
  <si>
    <t>Larry Garcia</t>
  </si>
  <si>
    <t>Pamela Tyler</t>
  </si>
  <si>
    <t>Amanda Shaw</t>
  </si>
  <si>
    <t>Kirsten Reilly</t>
  </si>
  <si>
    <t>Kimberly Dodson</t>
  </si>
  <si>
    <t>Paul Serrano</t>
  </si>
  <si>
    <t>Luis Webb</t>
  </si>
  <si>
    <t>Mark Reed</t>
  </si>
  <si>
    <t>Erika Kemp</t>
  </si>
  <si>
    <t>Gail Huynh</t>
  </si>
  <si>
    <t>Anita Walker</t>
  </si>
  <si>
    <t>Carl Jordan</t>
  </si>
  <si>
    <t>Traci Patel</t>
  </si>
  <si>
    <t>Cindy Glover</t>
  </si>
  <si>
    <t>Elizabeth Larson</t>
  </si>
  <si>
    <t>John Martin</t>
  </si>
  <si>
    <t>Tara Solomon</t>
  </si>
  <si>
    <t>Kathryn Clark</t>
  </si>
  <si>
    <t>Meghan Carroll</t>
  </si>
  <si>
    <t>Spencer George</t>
  </si>
  <si>
    <t>Kenneth Clark</t>
  </si>
  <si>
    <t>Seth Brown</t>
  </si>
  <si>
    <t>James Johnson</t>
  </si>
  <si>
    <t>Jonathan Walker</t>
  </si>
  <si>
    <t>Gregory Pope</t>
  </si>
  <si>
    <t>Jamie Spears</t>
  </si>
  <si>
    <t>Karen Murphy</t>
  </si>
  <si>
    <t>Michelle Chung</t>
  </si>
  <si>
    <t>Katherine Gilbert</t>
  </si>
  <si>
    <t>Sandra Schultz</t>
  </si>
  <si>
    <t>Brian Robinson</t>
  </si>
  <si>
    <t>Christopher Cooper</t>
  </si>
  <si>
    <t>Michael Orr</t>
  </si>
  <si>
    <t>Randall Tucker</t>
  </si>
  <si>
    <t>Daniel King</t>
  </si>
  <si>
    <t>Douglas Mccarty</t>
  </si>
  <si>
    <t>Laura Thomas</t>
  </si>
  <si>
    <t>Jon Jones</t>
  </si>
  <si>
    <t>Joan Obrien</t>
  </si>
  <si>
    <t>Shelly Archer</t>
  </si>
  <si>
    <t>Vanessa Johnson</t>
  </si>
  <si>
    <t>Charles Hall</t>
  </si>
  <si>
    <t>Frank Stone</t>
  </si>
  <si>
    <t>Zachary Smith</t>
  </si>
  <si>
    <t>Stacey Barber</t>
  </si>
  <si>
    <t>Christopher Gonzalez</t>
  </si>
  <si>
    <t>Steven Ray</t>
  </si>
  <si>
    <t>Sally Torres</t>
  </si>
  <si>
    <t>Steven Wagner</t>
  </si>
  <si>
    <t>David Taylor</t>
  </si>
  <si>
    <t>Ariel Baird</t>
  </si>
  <si>
    <t>Maria Miller DDS</t>
  </si>
  <si>
    <t>Erica Crane</t>
  </si>
  <si>
    <t>George Griffin</t>
  </si>
  <si>
    <t>Kevin Reed</t>
  </si>
  <si>
    <t>Samantha Giles</t>
  </si>
  <si>
    <t>Dawn Williams</t>
  </si>
  <si>
    <t>Joshua Snyder</t>
  </si>
  <si>
    <t>Adam Warner</t>
  </si>
  <si>
    <t>Lee Lee</t>
  </si>
  <si>
    <t>Gina Weaver</t>
  </si>
  <si>
    <t>Anthony Castro</t>
  </si>
  <si>
    <t>Willie Li</t>
  </si>
  <si>
    <t>Anthony Baldwin</t>
  </si>
  <si>
    <t>Destiny Bradley</t>
  </si>
  <si>
    <t>Patrick Jimenez DDS</t>
  </si>
  <si>
    <t>William Short</t>
  </si>
  <si>
    <t>John Waters</t>
  </si>
  <si>
    <t>Erika Bradley</t>
  </si>
  <si>
    <t>Cheryl Ford</t>
  </si>
  <si>
    <t>Ronald Collier</t>
  </si>
  <si>
    <t>Teresa Johnson</t>
  </si>
  <si>
    <t>Jennifer Lewis</t>
  </si>
  <si>
    <t>Amber Ho</t>
  </si>
  <si>
    <t>Amy Williams</t>
  </si>
  <si>
    <t>Aaron Silva</t>
  </si>
  <si>
    <t>Melissa Rodriguez</t>
  </si>
  <si>
    <t>Brandon Mcclure</t>
  </si>
  <si>
    <t>Kimberly Ballard</t>
  </si>
  <si>
    <t>Laura Jenkins PhD</t>
  </si>
  <si>
    <t>Richard Larson</t>
  </si>
  <si>
    <t>Brandon Snyder</t>
  </si>
  <si>
    <t>Tina Martinez</t>
  </si>
  <si>
    <t>Mr. James Kramer</t>
  </si>
  <si>
    <t>Annette Koch</t>
  </si>
  <si>
    <t>Lisa Knight</t>
  </si>
  <si>
    <t>Raymond Wu</t>
  </si>
  <si>
    <t>Gregory Johnson</t>
  </si>
  <si>
    <t>Nicholas Chavez</t>
  </si>
  <si>
    <t>Tina Copeland</t>
  </si>
  <si>
    <t>Robert Marquez</t>
  </si>
  <si>
    <t>Dr. Jacob Kane DDS</t>
  </si>
  <si>
    <t>Ryan Allen</t>
  </si>
  <si>
    <t>Dr. Sara Clark</t>
  </si>
  <si>
    <t>Martha King</t>
  </si>
  <si>
    <t>Danny Adams</t>
  </si>
  <si>
    <t>Matthew Wilson</t>
  </si>
  <si>
    <t>Ronald Mclean</t>
  </si>
  <si>
    <t>Angela Blair</t>
  </si>
  <si>
    <t>Ray Parsons</t>
  </si>
  <si>
    <t>Ricardo Jordan</t>
  </si>
  <si>
    <t>Chase Bailey</t>
  </si>
  <si>
    <t>Mike Maldonado</t>
  </si>
  <si>
    <t>Jessica Williams</t>
  </si>
  <si>
    <t>Mark Watts</t>
  </si>
  <si>
    <t>Lynn Henry</t>
  </si>
  <si>
    <t>Brenda Gutierrez</t>
  </si>
  <si>
    <t>David Santos</t>
  </si>
  <si>
    <t>Stephanie Mitchell</t>
  </si>
  <si>
    <t>Julia Evans</t>
  </si>
  <si>
    <t>Nicholas Barrera</t>
  </si>
  <si>
    <t>Patricia Hanson</t>
  </si>
  <si>
    <t>Debbie Green</t>
  </si>
  <si>
    <t>Ashley Martinez</t>
  </si>
  <si>
    <t>Melissa Estes</t>
  </si>
  <si>
    <t>Tammy Brown</t>
  </si>
  <si>
    <t>Amanda Perez</t>
  </si>
  <si>
    <t>Christopher Freeman</t>
  </si>
  <si>
    <t>Brian Young</t>
  </si>
  <si>
    <t>Jason Anderson</t>
  </si>
  <si>
    <t>Michael Mcclure</t>
  </si>
  <si>
    <t>Curtis Bush</t>
  </si>
  <si>
    <t>Jonathan Holmes</t>
  </si>
  <si>
    <t>Dr. Mary Barrera MD</t>
  </si>
  <si>
    <t>Victoria Randall</t>
  </si>
  <si>
    <t>Samantha Bell</t>
  </si>
  <si>
    <t>Hannah Chen</t>
  </si>
  <si>
    <t>Thomas Patrick</t>
  </si>
  <si>
    <t>Joseph Robinson</t>
  </si>
  <si>
    <t>Corey Clark</t>
  </si>
  <si>
    <t>Leslie Lewis</t>
  </si>
  <si>
    <t>Ashley Gonzalez</t>
  </si>
  <si>
    <t>Patricia Anderson</t>
  </si>
  <si>
    <t>Caleb Simpson</t>
  </si>
  <si>
    <t>Cheryl Tapia</t>
  </si>
  <si>
    <t>Shawn Wright</t>
  </si>
  <si>
    <t>Ms. Melissa Deleon</t>
  </si>
  <si>
    <t>Benjamin Pace</t>
  </si>
  <si>
    <t>Lance Mcdowell</t>
  </si>
  <si>
    <t>Ariana Silva</t>
  </si>
  <si>
    <t>Robert Orr</t>
  </si>
  <si>
    <t>Todd Reyes</t>
  </si>
  <si>
    <t>Jeffrey Barnett</t>
  </si>
  <si>
    <t>Mr. Shannon Diaz</t>
  </si>
  <si>
    <t>Allen Gonzalez</t>
  </si>
  <si>
    <t>Crystal Lambert</t>
  </si>
  <si>
    <t>Julie Johnson</t>
  </si>
  <si>
    <t>Michelle Walton</t>
  </si>
  <si>
    <t>Danielle Miller</t>
  </si>
  <si>
    <t>Ryan Stanton</t>
  </si>
  <si>
    <t>Carol Galvan</t>
  </si>
  <si>
    <t>Jennifer Hamilton</t>
  </si>
  <si>
    <t>Lisa Parker</t>
  </si>
  <si>
    <t>Kristen Forbes</t>
  </si>
  <si>
    <t>Kevin Miles</t>
  </si>
  <si>
    <t>Mr. Garrett Miller</t>
  </si>
  <si>
    <t>Kelly Morrow</t>
  </si>
  <si>
    <t>Joann Savage</t>
  </si>
  <si>
    <t>Robert Crane</t>
  </si>
  <si>
    <t>Michele Mckinney</t>
  </si>
  <si>
    <t>Tanya Sanchez</t>
  </si>
  <si>
    <t>Jason Reed</t>
  </si>
  <si>
    <t>Steven Blair</t>
  </si>
  <si>
    <t>Amanda Robinson</t>
  </si>
  <si>
    <t>Emma Mccullough</t>
  </si>
  <si>
    <t>Cathy Bradford</t>
  </si>
  <si>
    <t>Melissa Dixon</t>
  </si>
  <si>
    <t>Nicholas Walsh</t>
  </si>
  <si>
    <t>Mr. Kevin Barnes</t>
  </si>
  <si>
    <t>Kristi Warren</t>
  </si>
  <si>
    <t>Robert Cortez</t>
  </si>
  <si>
    <t>Andrew Burns</t>
  </si>
  <si>
    <t>Kendra Evans</t>
  </si>
  <si>
    <t>Sharon Villa DVM</t>
  </si>
  <si>
    <t>Stacy Harrington</t>
  </si>
  <si>
    <t>Michael Castro</t>
  </si>
  <si>
    <t>Christopher Haney</t>
  </si>
  <si>
    <t>Dawn Doyle</t>
  </si>
  <si>
    <t>Michael Haas</t>
  </si>
  <si>
    <t>Amy Chapman DVM</t>
  </si>
  <si>
    <t>Douglas Martinez</t>
  </si>
  <si>
    <t>Anthony Hebert</t>
  </si>
  <si>
    <t>Sergio Shelton</t>
  </si>
  <si>
    <t>Elizabeth Johnson</t>
  </si>
  <si>
    <t>Kimberly Foley</t>
  </si>
  <si>
    <t>Adam Gillespie</t>
  </si>
  <si>
    <t>Justin Turner</t>
  </si>
  <si>
    <t>Ashley Hall</t>
  </si>
  <si>
    <t>Leslie Lambert</t>
  </si>
  <si>
    <t>Shannon Davis DVM</t>
  </si>
  <si>
    <t>Jordan Fisher</t>
  </si>
  <si>
    <t>Kevin Soto</t>
  </si>
  <si>
    <t>Joseph Kennedy</t>
  </si>
  <si>
    <t>Daniel West</t>
  </si>
  <si>
    <t>Lisa Reid</t>
  </si>
  <si>
    <t>Douglas Butler</t>
  </si>
  <si>
    <t>Sarah Johnson</t>
  </si>
  <si>
    <t>Andrea Santiago</t>
  </si>
  <si>
    <t>Marc Mayo</t>
  </si>
  <si>
    <t>Elizabeth Wise</t>
  </si>
  <si>
    <t>Jessica Coleman</t>
  </si>
  <si>
    <t>Scott Rowe</t>
  </si>
  <si>
    <t>Curtis Anderson</t>
  </si>
  <si>
    <t>Katie Dunn</t>
  </si>
  <si>
    <t>Diana Huynh</t>
  </si>
  <si>
    <t>Jason Scott</t>
  </si>
  <si>
    <t>Dawn Kaufman</t>
  </si>
  <si>
    <t>Chelsea Sims</t>
  </si>
  <si>
    <t>Richard Davis</t>
  </si>
  <si>
    <t>Laura Morris</t>
  </si>
  <si>
    <t>Brent Garcia</t>
  </si>
  <si>
    <t>Adam Woodward</t>
  </si>
  <si>
    <t>Laurie Huynh</t>
  </si>
  <si>
    <t>George Green</t>
  </si>
  <si>
    <t>Dr. Crystal Drake</t>
  </si>
  <si>
    <t>Jessica Long</t>
  </si>
  <si>
    <t>Bailey Sanchez</t>
  </si>
  <si>
    <t>Emily Conway</t>
  </si>
  <si>
    <t>Wayne Houston</t>
  </si>
  <si>
    <t>Melanie Cox</t>
  </si>
  <si>
    <t>Mr. Peter Hill</t>
  </si>
  <si>
    <t>Ronald Holden</t>
  </si>
  <si>
    <t>Audrey King</t>
  </si>
  <si>
    <t>Kim Jennings</t>
  </si>
  <si>
    <t>Jennifer Brown</t>
  </si>
  <si>
    <t>Christopher Robinson</t>
  </si>
  <si>
    <t>Brian Gilbert</t>
  </si>
  <si>
    <t>Karen Waters</t>
  </si>
  <si>
    <t>Clifford Yates</t>
  </si>
  <si>
    <t>Heather Torres</t>
  </si>
  <si>
    <t>Justin Allen</t>
  </si>
  <si>
    <t>Jonathan Baker</t>
  </si>
  <si>
    <t>Michelle Jones</t>
  </si>
  <si>
    <t>Joseph Page</t>
  </si>
  <si>
    <t>Tami Khan</t>
  </si>
  <si>
    <t>Alicia Carpenter</t>
  </si>
  <si>
    <t>Kevin Adams</t>
  </si>
  <si>
    <t>Robert Curtis</t>
  </si>
  <si>
    <t>Lynn Liu</t>
  </si>
  <si>
    <t>Calvin Duncan</t>
  </si>
  <si>
    <t>Rachel Johnson</t>
  </si>
  <si>
    <t>David Neal</t>
  </si>
  <si>
    <t>Kristine Vargas</t>
  </si>
  <si>
    <t>Pedro Blair</t>
  </si>
  <si>
    <t>Susan Scott</t>
  </si>
  <si>
    <t>Destiny Singleton MD</t>
  </si>
  <si>
    <t>Amber Hill</t>
  </si>
  <si>
    <t>Stephen Stephens</t>
  </si>
  <si>
    <t>Kimberly Frost</t>
  </si>
  <si>
    <t>Nicholas Roberts</t>
  </si>
  <si>
    <t>Ashley Gordon</t>
  </si>
  <si>
    <t>Ronald Cox</t>
  </si>
  <si>
    <t>Julie Coffey</t>
  </si>
  <si>
    <t>Calvin Macdonald</t>
  </si>
  <si>
    <t>Mrs. Jessica Dunn</t>
  </si>
  <si>
    <t>Kimberly Crawford</t>
  </si>
  <si>
    <t>Marcus Warner</t>
  </si>
  <si>
    <t>Timothy Edwards</t>
  </si>
  <si>
    <t>Renee Bryan</t>
  </si>
  <si>
    <t>Janet Russell</t>
  </si>
  <si>
    <t>Dennis Thomas</t>
  </si>
  <si>
    <t>Cynthia Miller</t>
  </si>
  <si>
    <t>John Marsh</t>
  </si>
  <si>
    <t>Eric Taylor</t>
  </si>
  <si>
    <t>Nicolas Flores</t>
  </si>
  <si>
    <t>Tammy Wheeler</t>
  </si>
  <si>
    <t>Tiffany Arnold</t>
  </si>
  <si>
    <t>Brianna Jones</t>
  </si>
  <si>
    <t>Pamela Smith</t>
  </si>
  <si>
    <t>Jorge Johnson</t>
  </si>
  <si>
    <t>Alyssa Noble</t>
  </si>
  <si>
    <t>Kelly Gray</t>
  </si>
  <si>
    <t>Shaun Cross</t>
  </si>
  <si>
    <t>David Ford</t>
  </si>
  <si>
    <t>Christy Le</t>
  </si>
  <si>
    <t>Anthony Jackson</t>
  </si>
  <si>
    <t>Leslie Vega</t>
  </si>
  <si>
    <t>Bailey Reynolds</t>
  </si>
  <si>
    <t>Rebecca Thompson</t>
  </si>
  <si>
    <t>Cody Lopez</t>
  </si>
  <si>
    <t>Dustin Juarez</t>
  </si>
  <si>
    <t>Sean Jordan</t>
  </si>
  <si>
    <t>Kelsey Wolf</t>
  </si>
  <si>
    <t>Ann Vasquez</t>
  </si>
  <si>
    <t>Matthew Delacruz</t>
  </si>
  <si>
    <t>April Williams</t>
  </si>
  <si>
    <t>Heather Williams</t>
  </si>
  <si>
    <t>Courtney Smith</t>
  </si>
  <si>
    <t>Alexandria Dudley</t>
  </si>
  <si>
    <t>Christopher Ray</t>
  </si>
  <si>
    <t>Alex Allen</t>
  </si>
  <si>
    <t>Joseph Brown</t>
  </si>
  <si>
    <t>Shannon Woods MD</t>
  </si>
  <si>
    <t>Steve Thompson</t>
  </si>
  <si>
    <t>Nicole Thomas</t>
  </si>
  <si>
    <t>Michelle Flynn</t>
  </si>
  <si>
    <t>Steve Garcia</t>
  </si>
  <si>
    <t>Tiffany King</t>
  </si>
  <si>
    <t>Ryan Rose</t>
  </si>
  <si>
    <t>Dakota Valdez</t>
  </si>
  <si>
    <t>Richard Allen</t>
  </si>
  <si>
    <t>Billy Moore</t>
  </si>
  <si>
    <t>Brittany Osborne</t>
  </si>
  <si>
    <t>Susan Webb</t>
  </si>
  <si>
    <t>Laura Herrera</t>
  </si>
  <si>
    <t>Leah Mullins</t>
  </si>
  <si>
    <t>Micheal Chambers</t>
  </si>
  <si>
    <t>Barbara Patel</t>
  </si>
  <si>
    <t>Kayla Smith</t>
  </si>
  <si>
    <t>Michael Horn</t>
  </si>
  <si>
    <t>Meredith Evans</t>
  </si>
  <si>
    <t>Eric Lee</t>
  </si>
  <si>
    <t>Cindy Flores</t>
  </si>
  <si>
    <t>Sandra Johnson</t>
  </si>
  <si>
    <t>Joyce Calhoun</t>
  </si>
  <si>
    <t>Lauren Mendoza</t>
  </si>
  <si>
    <t>Andrew Daniels</t>
  </si>
  <si>
    <t>Denise Maddox</t>
  </si>
  <si>
    <t>George Lewis</t>
  </si>
  <si>
    <t>Edward Montgomery</t>
  </si>
  <si>
    <t>Michael Baker</t>
  </si>
  <si>
    <t>John Patel</t>
  </si>
  <si>
    <t>Beverly Marquez</t>
  </si>
  <si>
    <t>Suzanne Smith</t>
  </si>
  <si>
    <t>Nathan Reynolds</t>
  </si>
  <si>
    <t>Aaron Hopkins</t>
  </si>
  <si>
    <t>Paul Dalton</t>
  </si>
  <si>
    <t>Johnny Mcbride</t>
  </si>
  <si>
    <t>Michael Harper</t>
  </si>
  <si>
    <t>Henry Moss</t>
  </si>
  <si>
    <t>Donald Kim</t>
  </si>
  <si>
    <t>Tyler Rodriguez</t>
  </si>
  <si>
    <t>Matthew Gamble</t>
  </si>
  <si>
    <t>Joseph Bennett</t>
  </si>
  <si>
    <t>Mathew Davis</t>
  </si>
  <si>
    <t>Christopher Rodriguez</t>
  </si>
  <si>
    <t>Steven Lee</t>
  </si>
  <si>
    <t>Cathy Austin</t>
  </si>
  <si>
    <t>Christina Brown</t>
  </si>
  <si>
    <t>Lori Thompson</t>
  </si>
  <si>
    <t>Nicole Newman</t>
  </si>
  <si>
    <t>Emily Hawkins</t>
  </si>
  <si>
    <t>Jason Brown</t>
  </si>
  <si>
    <t>Barbara Brown</t>
  </si>
  <si>
    <t>James Valdez</t>
  </si>
  <si>
    <t>Hunter Holmes</t>
  </si>
  <si>
    <t>Jeremy Moran</t>
  </si>
  <si>
    <t>Amy Burton</t>
  </si>
  <si>
    <t>Dawn Moreno</t>
  </si>
  <si>
    <t>Tina Ward</t>
  </si>
  <si>
    <t>Dalton Keller</t>
  </si>
  <si>
    <t>Brent Young</t>
  </si>
  <si>
    <t>Mary Morales</t>
  </si>
  <si>
    <t>Tina Alvarez</t>
  </si>
  <si>
    <t>Marissa Rodriguez</t>
  </si>
  <si>
    <t>Margaret Choi</t>
  </si>
  <si>
    <t>Priscilla Brewer</t>
  </si>
  <si>
    <t>Kristin Brown</t>
  </si>
  <si>
    <t>Wendy Gonzalez</t>
  </si>
  <si>
    <t>Wayne Valentine</t>
  </si>
  <si>
    <t>Zoe Scott</t>
  </si>
  <si>
    <t>Gary Davidson</t>
  </si>
  <si>
    <t>Shane Heath</t>
  </si>
  <si>
    <t>Christine Benjamin</t>
  </si>
  <si>
    <t>Joshua Holt</t>
  </si>
  <si>
    <t>Cassandra Smith</t>
  </si>
  <si>
    <t>Patrick Rasmussen</t>
  </si>
  <si>
    <t>Keith Watson</t>
  </si>
  <si>
    <t>Robert Bird</t>
  </si>
  <si>
    <t>Elizabeth Horn</t>
  </si>
  <si>
    <t>Danny Henry</t>
  </si>
  <si>
    <t>Samantha Moore</t>
  </si>
  <si>
    <t>Mary Barnes</t>
  </si>
  <si>
    <t>Amanda Jones</t>
  </si>
  <si>
    <t>Jennifer Todd</t>
  </si>
  <si>
    <t>Gary Chavez</t>
  </si>
  <si>
    <t>Donald Hays</t>
  </si>
  <si>
    <t>Johnathan Woods</t>
  </si>
  <si>
    <t>Spencer Nichols</t>
  </si>
  <si>
    <t>Jennifer Burnett</t>
  </si>
  <si>
    <t>John Mcconnell</t>
  </si>
  <si>
    <t>Cassandra Knight</t>
  </si>
  <si>
    <t>Joshua Alvarez</t>
  </si>
  <si>
    <t>Shawn Vega</t>
  </si>
  <si>
    <t>Rickey Benjamin</t>
  </si>
  <si>
    <t>Blake Flores</t>
  </si>
  <si>
    <t>Peter Walker</t>
  </si>
  <si>
    <t>Tyler Cruz</t>
  </si>
  <si>
    <t>Stephanie Dickerson</t>
  </si>
  <si>
    <t>Matthew Williams</t>
  </si>
  <si>
    <t>Martin Burke</t>
  </si>
  <si>
    <t>Jason Johnson</t>
  </si>
  <si>
    <t>Dennis Collins</t>
  </si>
  <si>
    <t>Lynn Smith</t>
  </si>
  <si>
    <t>Miguel Reed</t>
  </si>
  <si>
    <t>Jeffrey Patterson</t>
  </si>
  <si>
    <t>Betty Gates</t>
  </si>
  <si>
    <t>Benjamin Fernandez</t>
  </si>
  <si>
    <t>Jodi Wright</t>
  </si>
  <si>
    <t>George Perez</t>
  </si>
  <si>
    <t>Sherri Summers</t>
  </si>
  <si>
    <t>Marie Bailey</t>
  </si>
  <si>
    <t>Alicia Allen</t>
  </si>
  <si>
    <t>Angela Bartlett</t>
  </si>
  <si>
    <t>Bryan Jackson</t>
  </si>
  <si>
    <t>Scott Howard</t>
  </si>
  <si>
    <t>Amy Gonzales</t>
  </si>
  <si>
    <t>Charles Sparks</t>
  </si>
  <si>
    <t>Emily Daniel</t>
  </si>
  <si>
    <t>Thomas Moore</t>
  </si>
  <si>
    <t>Amanda Johnson</t>
  </si>
  <si>
    <t>Molly Pugh</t>
  </si>
  <si>
    <t>William Garcia</t>
  </si>
  <si>
    <t>Billy Clark</t>
  </si>
  <si>
    <t>Debra Taylor</t>
  </si>
  <si>
    <t>Chelsea Kaiser</t>
  </si>
  <si>
    <t>Mr. Kevin Griffin MD</t>
  </si>
  <si>
    <t>Adam Dixon</t>
  </si>
  <si>
    <t>Christopher Stanley</t>
  </si>
  <si>
    <t>Stephanie Schultz</t>
  </si>
  <si>
    <t>Brian Morse</t>
  </si>
  <si>
    <t>Jessica Graves</t>
  </si>
  <si>
    <t>James Watts Jr.</t>
  </si>
  <si>
    <t>Ronald Rose</t>
  </si>
  <si>
    <t>Amanda Smith</t>
  </si>
  <si>
    <t>Joshua Johnson</t>
  </si>
  <si>
    <t>Christopher Jackson</t>
  </si>
  <si>
    <t>David Bates</t>
  </si>
  <si>
    <t>Christopher Wilkins</t>
  </si>
  <si>
    <t>Elaine Cunningham</t>
  </si>
  <si>
    <t>Lisa Davis</t>
  </si>
  <si>
    <t>Jessica Kline</t>
  </si>
  <si>
    <t>Andrew Decker</t>
  </si>
  <si>
    <t>George Pena</t>
  </si>
  <si>
    <t>Dennis Shea</t>
  </si>
  <si>
    <t>Kyle Cain</t>
  </si>
  <si>
    <t>Marie Young</t>
  </si>
  <si>
    <t>Steve Bradshaw</t>
  </si>
  <si>
    <t>Sierra Keller</t>
  </si>
  <si>
    <t>Cory Higgins</t>
  </si>
  <si>
    <t>Mr. Jack Moreno</t>
  </si>
  <si>
    <t>Kenneth Rogers</t>
  </si>
  <si>
    <t>Amanda Brown</t>
  </si>
  <si>
    <t>Darryl Stewart</t>
  </si>
  <si>
    <t>Christian Scott</t>
  </si>
  <si>
    <t>Carolyn Rivers</t>
  </si>
  <si>
    <t>Chad Jensen</t>
  </si>
  <si>
    <t>Mary Bruce</t>
  </si>
  <si>
    <t>James Pacheco</t>
  </si>
  <si>
    <t>Daniel Harrison</t>
  </si>
  <si>
    <t>Vernon Kim</t>
  </si>
  <si>
    <t>Laura Wilson</t>
  </si>
  <si>
    <t>Joan Berry</t>
  </si>
  <si>
    <t>Brandi Torres</t>
  </si>
  <si>
    <t>Victor Martinez</t>
  </si>
  <si>
    <t>Erika Carpenter</t>
  </si>
  <si>
    <t>Felicia Rodgers</t>
  </si>
  <si>
    <t>Melissa Hunt DDS</t>
  </si>
  <si>
    <t>Jennifer Scott</t>
  </si>
  <si>
    <t>Mary Crawford</t>
  </si>
  <si>
    <t>Christina Murray</t>
  </si>
  <si>
    <t>Richard Palmer</t>
  </si>
  <si>
    <t>Jesse Rodriguez</t>
  </si>
  <si>
    <t>Samantha Summers</t>
  </si>
  <si>
    <t>Tyler Mendoza</t>
  </si>
  <si>
    <t>Timothy Marquez</t>
  </si>
  <si>
    <t>Daniel Smith</t>
  </si>
  <si>
    <t>Nicholas Harris</t>
  </si>
  <si>
    <t>Theresa Burton</t>
  </si>
  <si>
    <t>Amy Brown</t>
  </si>
  <si>
    <t>Debra Vaughn</t>
  </si>
  <si>
    <t>Daniel Morris</t>
  </si>
  <si>
    <t>Russell Dillon</t>
  </si>
  <si>
    <t>Cheryl Hart</t>
  </si>
  <si>
    <t>Manuel Wilson</t>
  </si>
  <si>
    <t>Deborah Miller</t>
  </si>
  <si>
    <t>Ryan Martinez</t>
  </si>
  <si>
    <t>Glenn Baird</t>
  </si>
  <si>
    <t>Victoria Schneider</t>
  </si>
  <si>
    <t>Jonathan Cooke</t>
  </si>
  <si>
    <t>Rhonda Jackson</t>
  </si>
  <si>
    <t>Cody Bryan</t>
  </si>
  <si>
    <t>Pedro Brown</t>
  </si>
  <si>
    <t>Pamela Aguirre</t>
  </si>
  <si>
    <t>Ashley Williams</t>
  </si>
  <si>
    <t>Johnny Johnson</t>
  </si>
  <si>
    <t>Michael Carroll</t>
  </si>
  <si>
    <t>Scott Castaneda</t>
  </si>
  <si>
    <t>Bruce Moore</t>
  </si>
  <si>
    <t>Dana Gibbs</t>
  </si>
  <si>
    <t>Paul Patel</t>
  </si>
  <si>
    <t>Gary Collins</t>
  </si>
  <si>
    <t>Dr. Kyle Chase</t>
  </si>
  <si>
    <t>Leslie Miller</t>
  </si>
  <si>
    <t>Robert Gonzalez</t>
  </si>
  <si>
    <t>Michelle Johnson</t>
  </si>
  <si>
    <t>John Hernandez</t>
  </si>
  <si>
    <t>Alexander Thompson</t>
  </si>
  <si>
    <t>Martin Moses</t>
  </si>
  <si>
    <t>Steven Rios</t>
  </si>
  <si>
    <t>Mr. Gabriel Skinner Jr.</t>
  </si>
  <si>
    <t>Denise Williams</t>
  </si>
  <si>
    <t>Pamela Johnson</t>
  </si>
  <si>
    <t>Steven Johnson</t>
  </si>
  <si>
    <t>Alec Williams</t>
  </si>
  <si>
    <t>Tina Burgess</t>
  </si>
  <si>
    <t>Ms. Nicole Humphrey DVM</t>
  </si>
  <si>
    <t>Vanessa Sanders</t>
  </si>
  <si>
    <t>Antonio Tucker</t>
  </si>
  <si>
    <t>James Coleman</t>
  </si>
  <si>
    <t>Peter Martinez</t>
  </si>
  <si>
    <t>Mark Hill</t>
  </si>
  <si>
    <t>Tina Cunningham</t>
  </si>
  <si>
    <t>Cory Burke</t>
  </si>
  <si>
    <t>Gregory Henderson</t>
  </si>
  <si>
    <t>Clifford Hall</t>
  </si>
  <si>
    <t>Melissa Snyder</t>
  </si>
  <si>
    <t>Larry Williams</t>
  </si>
  <si>
    <t>Erin Coffey</t>
  </si>
  <si>
    <t>Lawrence Taylor</t>
  </si>
  <si>
    <t>Jennifer Nelson</t>
  </si>
  <si>
    <t>Christian Medina</t>
  </si>
  <si>
    <t>Daniel Taylor</t>
  </si>
  <si>
    <t>Joyce Ray</t>
  </si>
  <si>
    <t>Rebecca Hunter</t>
  </si>
  <si>
    <t>Ryan Lewis</t>
  </si>
  <si>
    <t>Sonya Miller</t>
  </si>
  <si>
    <t>Christy Nguyen</t>
  </si>
  <si>
    <t>Shannon Smith</t>
  </si>
  <si>
    <t>Andrea Hoover</t>
  </si>
  <si>
    <t>Yolanda Rush</t>
  </si>
  <si>
    <t>Samantha Hawkins</t>
  </si>
  <si>
    <t>Cheryl Taylor</t>
  </si>
  <si>
    <t>Tim Griffin</t>
  </si>
  <si>
    <t>Stacy Wilson</t>
  </si>
  <si>
    <t>Natalie Johnson</t>
  </si>
  <si>
    <t>Teresa Moore</t>
  </si>
  <si>
    <t>Carrie Jones MD</t>
  </si>
  <si>
    <t>Jennifer Elliott</t>
  </si>
  <si>
    <t>Donald Gross</t>
  </si>
  <si>
    <t>Maria Wright</t>
  </si>
  <si>
    <t>Brittney Dickerson</t>
  </si>
  <si>
    <t>Patrick Lucero</t>
  </si>
  <si>
    <t>Patricia Jones</t>
  </si>
  <si>
    <t>Erica Campbell</t>
  </si>
  <si>
    <t>Steven Davis</t>
  </si>
  <si>
    <t>Robert Hansen</t>
  </si>
  <si>
    <t>Nicholas Davis</t>
  </si>
  <si>
    <t>Kathleen Garcia</t>
  </si>
  <si>
    <t>Brandon Heath</t>
  </si>
  <si>
    <t>Courtney Bryant</t>
  </si>
  <si>
    <t>Julia Rowland</t>
  </si>
  <si>
    <t>Julie Mays</t>
  </si>
  <si>
    <t>Jennifer Powers</t>
  </si>
  <si>
    <t>David Castro</t>
  </si>
  <si>
    <t>Ernest Cohen</t>
  </si>
  <si>
    <t>Jo Warner</t>
  </si>
  <si>
    <t>Shannon Fox</t>
  </si>
  <si>
    <t>Sandra Adams</t>
  </si>
  <si>
    <t>Vicki Haynes</t>
  </si>
  <si>
    <t>Glenn Fisher</t>
  </si>
  <si>
    <t>Holly Owen</t>
  </si>
  <si>
    <t>Logan Mitchell</t>
  </si>
  <si>
    <t>Jason Kane</t>
  </si>
  <si>
    <t>Roger Jensen</t>
  </si>
  <si>
    <t>Jeremy Harvey</t>
  </si>
  <si>
    <t>Mark Walters</t>
  </si>
  <si>
    <t>Aaron Martin</t>
  </si>
  <si>
    <t>Scott Tran</t>
  </si>
  <si>
    <t>Denise Duke</t>
  </si>
  <si>
    <t>Jordan Hickman</t>
  </si>
  <si>
    <t>Walter Singleton</t>
  </si>
  <si>
    <t>Michael Strong PhD</t>
  </si>
  <si>
    <t>Nicole Molina</t>
  </si>
  <si>
    <t>Lisa Evans</t>
  </si>
  <si>
    <t>Sara Day</t>
  </si>
  <si>
    <t>Mary Ward</t>
  </si>
  <si>
    <t>Katie Baker</t>
  </si>
  <si>
    <t>James Stevenson</t>
  </si>
  <si>
    <t>Jonathan Gomez</t>
  </si>
  <si>
    <t>Benjamin Wilson</t>
  </si>
  <si>
    <t>Michele Wise</t>
  </si>
  <si>
    <t>Donna Chen</t>
  </si>
  <si>
    <t>Michael Richardson</t>
  </si>
  <si>
    <t>Anthony Johnston</t>
  </si>
  <si>
    <t>Walter Jennings</t>
  </si>
  <si>
    <t>Joel Allison</t>
  </si>
  <si>
    <t>Sandra Peterson</t>
  </si>
  <si>
    <t>Steven Arnold</t>
  </si>
  <si>
    <t>Christie Phillips</t>
  </si>
  <si>
    <t>Brent Weaver</t>
  </si>
  <si>
    <t>Daniel Burch</t>
  </si>
  <si>
    <t>Ashley Cummings</t>
  </si>
  <si>
    <t>Michael Lopez</t>
  </si>
  <si>
    <t>Justin Mccoy</t>
  </si>
  <si>
    <t>Mark Thompson</t>
  </si>
  <si>
    <t>William Wolfe</t>
  </si>
  <si>
    <t>Douglas Haynes</t>
  </si>
  <si>
    <t>Erika Price</t>
  </si>
  <si>
    <t>Michael Bryan</t>
  </si>
  <si>
    <t>Jennifer Moore</t>
  </si>
  <si>
    <t>Aaron Harmon</t>
  </si>
  <si>
    <t>Christian Dunn</t>
  </si>
  <si>
    <t>Julie Marsh</t>
  </si>
  <si>
    <t>Philip Gallegos</t>
  </si>
  <si>
    <t>Laura Warren</t>
  </si>
  <si>
    <t>Daniel Brown</t>
  </si>
  <si>
    <t>Michelle Martin</t>
  </si>
  <si>
    <t>Amy Wright</t>
  </si>
  <si>
    <t>Anita Torres</t>
  </si>
  <si>
    <t>Brandon Owen</t>
  </si>
  <si>
    <t>Kathleen Wilson</t>
  </si>
  <si>
    <t>Harold Ramirez</t>
  </si>
  <si>
    <t>Matthew Thomas</t>
  </si>
  <si>
    <t>Gregory Salas</t>
  </si>
  <si>
    <t>Jack Johnston</t>
  </si>
  <si>
    <t>Gary Turner</t>
  </si>
  <si>
    <t>Kenneth Newton</t>
  </si>
  <si>
    <t>Marc Henderson</t>
  </si>
  <si>
    <t>Joseph Baird</t>
  </si>
  <si>
    <t>John Conrad</t>
  </si>
  <si>
    <t>David Hart</t>
  </si>
  <si>
    <t>Eric Bates</t>
  </si>
  <si>
    <t>Daniel Ferguson</t>
  </si>
  <si>
    <t>Nicole Clark</t>
  </si>
  <si>
    <t>Jennifer Ryan</t>
  </si>
  <si>
    <t>Carmen Lee</t>
  </si>
  <si>
    <t>Nicole Rogers</t>
  </si>
  <si>
    <t>Steven Haas</t>
  </si>
  <si>
    <t>Jonathan Martin</t>
  </si>
  <si>
    <t>Jacob Carey</t>
  </si>
  <si>
    <t>Amy Le</t>
  </si>
  <si>
    <t>Richard Hudson</t>
  </si>
  <si>
    <t>Melissa Ballard</t>
  </si>
  <si>
    <t>Chad Miranda</t>
  </si>
  <si>
    <t>William Stanley DDS</t>
  </si>
  <si>
    <t>Holly Phillips</t>
  </si>
  <si>
    <t>Benjamin Mills</t>
  </si>
  <si>
    <t>Jose Chen</t>
  </si>
  <si>
    <t>Brandi Mcgee</t>
  </si>
  <si>
    <t>Ann Daniel</t>
  </si>
  <si>
    <t>Joann Bass</t>
  </si>
  <si>
    <t>Alexander Stewart</t>
  </si>
  <si>
    <t>Chad Lara</t>
  </si>
  <si>
    <t>Joshua Brennan</t>
  </si>
  <si>
    <t>Anthony Wright</t>
  </si>
  <si>
    <t>Joseph Lang</t>
  </si>
  <si>
    <t>Daniel Wang</t>
  </si>
  <si>
    <t>Jessica Owens</t>
  </si>
  <si>
    <t>Chelsea Owen</t>
  </si>
  <si>
    <t>Jordan Knight</t>
  </si>
  <si>
    <t>Michelle Simmons DDS</t>
  </si>
  <si>
    <t>Tammy Cortez</t>
  </si>
  <si>
    <t>Trevor Harding</t>
  </si>
  <si>
    <t>Gina Cummings</t>
  </si>
  <si>
    <t>Gerald Snyder</t>
  </si>
  <si>
    <t>Christina Wilkinson</t>
  </si>
  <si>
    <t>Ashley Roberson</t>
  </si>
  <si>
    <t>Lucas Pineda</t>
  </si>
  <si>
    <t>Angela Meyers</t>
  </si>
  <si>
    <t>Drew Marsh</t>
  </si>
  <si>
    <t>Dorothy Brown</t>
  </si>
  <si>
    <t>Elizabeth Dougherty</t>
  </si>
  <si>
    <t>Luis Whitaker</t>
  </si>
  <si>
    <t>Stacy Perez</t>
  </si>
  <si>
    <t>Aaron Carter</t>
  </si>
  <si>
    <t>Anthony Day</t>
  </si>
  <si>
    <t>Amy Ray</t>
  </si>
  <si>
    <t>Paula Shields</t>
  </si>
  <si>
    <t>Kim Robinson</t>
  </si>
  <si>
    <t>Tonya Jackson</t>
  </si>
  <si>
    <t>Jorge Wong</t>
  </si>
  <si>
    <t>Natalie Gomez</t>
  </si>
  <si>
    <t>Rose Mills</t>
  </si>
  <si>
    <t>Ryan Hull</t>
  </si>
  <si>
    <t>Stephanie English</t>
  </si>
  <si>
    <t>Tamara Giles</t>
  </si>
  <si>
    <t>Mrs. Wanda Bryant</t>
  </si>
  <si>
    <t>John Price</t>
  </si>
  <si>
    <t>Courtney Gibson</t>
  </si>
  <si>
    <t>Lisa Allen</t>
  </si>
  <si>
    <t>Michael Martin</t>
  </si>
  <si>
    <t>Laura Roberts</t>
  </si>
  <si>
    <t>Bethany Clark DDS</t>
  </si>
  <si>
    <t>Michael Alvarado</t>
  </si>
  <si>
    <t>Jacob Schaefer</t>
  </si>
  <si>
    <t>Ariana May</t>
  </si>
  <si>
    <t>Felicia Thompson</t>
  </si>
  <si>
    <t>Belinda Wilson</t>
  </si>
  <si>
    <t>Drew Murray</t>
  </si>
  <si>
    <t>Cody Zamora</t>
  </si>
  <si>
    <t>Lynn Phillips</t>
  </si>
  <si>
    <t>Sharon Miller</t>
  </si>
  <si>
    <t>Jessica Yates</t>
  </si>
  <si>
    <t>Makayla Glover</t>
  </si>
  <si>
    <t>Michael Tanner</t>
  </si>
  <si>
    <t>Alexander Garcia</t>
  </si>
  <si>
    <t>Lisa Rangel</t>
  </si>
  <si>
    <t>Natasha Harrison</t>
  </si>
  <si>
    <t>James Haas</t>
  </si>
  <si>
    <t>Peggy Schultz</t>
  </si>
  <si>
    <t>Debra Woods</t>
  </si>
  <si>
    <t>Kristina Stark</t>
  </si>
  <si>
    <t>Dorothy Johnson</t>
  </si>
  <si>
    <t>Tonya Garcia</t>
  </si>
  <si>
    <t>Daniel Mata</t>
  </si>
  <si>
    <t>Jesse Smith</t>
  </si>
  <si>
    <t>Sabrina Mack</t>
  </si>
  <si>
    <t>Brad Ross</t>
  </si>
  <si>
    <t>Kelly Sexton</t>
  </si>
  <si>
    <t>Patrick Garcia</t>
  </si>
  <si>
    <t>Diane Jones</t>
  </si>
  <si>
    <t>Trevor Dixon</t>
  </si>
  <si>
    <t>Lauren Green</t>
  </si>
  <si>
    <t>Eileen Parker</t>
  </si>
  <si>
    <t>Douglas Thornton</t>
  </si>
  <si>
    <t>Laura Ponce</t>
  </si>
  <si>
    <t>Tina Cook</t>
  </si>
  <si>
    <t>Michael Gardner</t>
  </si>
  <si>
    <t>Lisa Brown</t>
  </si>
  <si>
    <t>Benjamin Ball</t>
  </si>
  <si>
    <t>Breanna Gonzalez</t>
  </si>
  <si>
    <t>Donald Mckee</t>
  </si>
  <si>
    <t>Kayla Johns</t>
  </si>
  <si>
    <t>Ronald Orr</t>
  </si>
  <si>
    <t>Nathan Davis</t>
  </si>
  <si>
    <t>Brent Zamora</t>
  </si>
  <si>
    <t>Thomas Cain</t>
  </si>
  <si>
    <t>Erik Wilson</t>
  </si>
  <si>
    <t>Emily Powers</t>
  </si>
  <si>
    <t>Joshua Carpenter</t>
  </si>
  <si>
    <t>Nicole Gardner</t>
  </si>
  <si>
    <t>Martin Mitchell</t>
  </si>
  <si>
    <t>Michael Garcia</t>
  </si>
  <si>
    <t>Beverly Price</t>
  </si>
  <si>
    <t>Michele Lee</t>
  </si>
  <si>
    <t>John Hendrix</t>
  </si>
  <si>
    <t>Fred Spencer</t>
  </si>
  <si>
    <t>Mercedes Romero</t>
  </si>
  <si>
    <t>Cynthia Steele</t>
  </si>
  <si>
    <t>Tabitha Maldonado</t>
  </si>
  <si>
    <t>Dana Rojas</t>
  </si>
  <si>
    <t>Jacob Mendoza</t>
  </si>
  <si>
    <t>James Marks</t>
  </si>
  <si>
    <t>Mitchell Gonzales</t>
  </si>
  <si>
    <t>Charles Frank</t>
  </si>
  <si>
    <t>Charles Stephens</t>
  </si>
  <si>
    <t>Taylor Williams</t>
  </si>
  <si>
    <t>Kristy Love</t>
  </si>
  <si>
    <t>Felicia Montgomery</t>
  </si>
  <si>
    <t>Gina Stone</t>
  </si>
  <si>
    <t>Frank Carter MD</t>
  </si>
  <si>
    <t>Andrea Smith</t>
  </si>
  <si>
    <t>Dustin Hess</t>
  </si>
  <si>
    <t>Lisa Burns</t>
  </si>
  <si>
    <t>Jacob King</t>
  </si>
  <si>
    <t>Lori Molina</t>
  </si>
  <si>
    <t>Daniel Marsh</t>
  </si>
  <si>
    <t>Teresa Jordan</t>
  </si>
  <si>
    <t>Shane Daniel</t>
  </si>
  <si>
    <t>Alison Fletcher</t>
  </si>
  <si>
    <t>Michael Smith</t>
  </si>
  <si>
    <t>Ryan Brooks</t>
  </si>
  <si>
    <t>Jennifer Montgomery</t>
  </si>
  <si>
    <t>Tiffany White</t>
  </si>
  <si>
    <t>Nancy Carpenter</t>
  </si>
  <si>
    <t>Scott Lawrence</t>
  </si>
  <si>
    <t>Michelle Mcneil</t>
  </si>
  <si>
    <t>Courtney Bridges</t>
  </si>
  <si>
    <t>Sandra Molina</t>
  </si>
  <si>
    <t>Abigail Taylor</t>
  </si>
  <si>
    <t>Joshua Davila</t>
  </si>
  <si>
    <t>Abigail Silva</t>
  </si>
  <si>
    <t>Shawn Luna</t>
  </si>
  <si>
    <t>Tyler Flores</t>
  </si>
  <si>
    <t>Erin Jackson</t>
  </si>
  <si>
    <t>Laurie Strickland</t>
  </si>
  <si>
    <t>Michael Moses</t>
  </si>
  <si>
    <t>Eric Sanchez</t>
  </si>
  <si>
    <t>Laurie Collins</t>
  </si>
  <si>
    <t>George Ford</t>
  </si>
  <si>
    <t>Thomas Ryan</t>
  </si>
  <si>
    <t>Kenneth Webster</t>
  </si>
  <si>
    <t>Kevin Leon</t>
  </si>
  <si>
    <t>Heather Thompson</t>
  </si>
  <si>
    <t>Nancy Russell</t>
  </si>
  <si>
    <t>Elizabeth Long</t>
  </si>
  <si>
    <t>Jill Mcgrath</t>
  </si>
  <si>
    <t>Erin Simmons</t>
  </si>
  <si>
    <t>Kevin Carlson</t>
  </si>
  <si>
    <t>Toni Ayala</t>
  </si>
  <si>
    <t>Terry Andrews</t>
  </si>
  <si>
    <t>Austin Lane</t>
  </si>
  <si>
    <t>Colin Garza</t>
  </si>
  <si>
    <t>Kendra Moore</t>
  </si>
  <si>
    <t>Ashley Golden</t>
  </si>
  <si>
    <t>Raymond Newman</t>
  </si>
  <si>
    <t>Matthew Reese</t>
  </si>
  <si>
    <t>Kimberly Pearson</t>
  </si>
  <si>
    <t>Tiffany Contreras</t>
  </si>
  <si>
    <t>Terry Harper</t>
  </si>
  <si>
    <t>Gary Odonnell</t>
  </si>
  <si>
    <t>Pamela Wilson</t>
  </si>
  <si>
    <t>Dr. Timothy Palmer</t>
  </si>
  <si>
    <t>David Shaw</t>
  </si>
  <si>
    <t>Luis Martin</t>
  </si>
  <si>
    <t>Heidi Watkins</t>
  </si>
  <si>
    <t>Emily Roth</t>
  </si>
  <si>
    <t>Melissa Contreras</t>
  </si>
  <si>
    <t>James Gibson</t>
  </si>
  <si>
    <t>Jessica Quinn</t>
  </si>
  <si>
    <t>Donald Rodriguez</t>
  </si>
  <si>
    <t>Lisa Werner</t>
  </si>
  <si>
    <t>Emily Simpson</t>
  </si>
  <si>
    <t>Tanya Ray</t>
  </si>
  <si>
    <t>Lisa Patterson</t>
  </si>
  <si>
    <t>Brian Ritter</t>
  </si>
  <si>
    <t>Keith Johnson</t>
  </si>
  <si>
    <t>Amanda Williams</t>
  </si>
  <si>
    <t>Abigail Valencia</t>
  </si>
  <si>
    <t>Judith Boyd</t>
  </si>
  <si>
    <t>Jeremy Hayes</t>
  </si>
  <si>
    <t>Jennifer Sanford</t>
  </si>
  <si>
    <t>Kyle Mitchell</t>
  </si>
  <si>
    <t>Michael Tate</t>
  </si>
  <si>
    <t>Amy Malone</t>
  </si>
  <si>
    <t>Daniel Bright</t>
  </si>
  <si>
    <t>Cameron Pierce</t>
  </si>
  <si>
    <t>Richard Adams Jr.</t>
  </si>
  <si>
    <t>Evan Garcia</t>
  </si>
  <si>
    <t>Kathryn Obrien</t>
  </si>
  <si>
    <t>Mark Diaz</t>
  </si>
  <si>
    <t>Eugene Washington</t>
  </si>
  <si>
    <t>Kaitlyn Turner</t>
  </si>
  <si>
    <t>Rita Simpson</t>
  </si>
  <si>
    <t>Raymond Brown</t>
  </si>
  <si>
    <t>Nancy Rogers</t>
  </si>
  <si>
    <t>Kenneth Madden</t>
  </si>
  <si>
    <t>Emily Reed</t>
  </si>
  <si>
    <t>Carl Lamb</t>
  </si>
  <si>
    <t>Cody Cruz</t>
  </si>
  <si>
    <t>Melissa Chen</t>
  </si>
  <si>
    <t>Sandra Stark</t>
  </si>
  <si>
    <t>John Jackson</t>
  </si>
  <si>
    <t>Carla Contreras</t>
  </si>
  <si>
    <t>Sarah Flores</t>
  </si>
  <si>
    <t>Bianca Williams</t>
  </si>
  <si>
    <t>Aaron Gallegos</t>
  </si>
  <si>
    <t>Edward Grant</t>
  </si>
  <si>
    <t>Patrick Martin</t>
  </si>
  <si>
    <t>Anthony Bennett</t>
  </si>
  <si>
    <t>Melissa Hogan</t>
  </si>
  <si>
    <t>Albert Hall</t>
  </si>
  <si>
    <t>Virginia Smith</t>
  </si>
  <si>
    <t>Jessica Lucas</t>
  </si>
  <si>
    <t>Patty Ferguson</t>
  </si>
  <si>
    <t>Teresa Reyes</t>
  </si>
  <si>
    <t>John Hall</t>
  </si>
  <si>
    <t>Rhonda Randall MD</t>
  </si>
  <si>
    <t>Sarah Noble</t>
  </si>
  <si>
    <t>Lori Jimenez</t>
  </si>
  <si>
    <t>Troy White</t>
  </si>
  <si>
    <t>Shawn Mason</t>
  </si>
  <si>
    <t>Darrell Romero</t>
  </si>
  <si>
    <t>Candace Gardner</t>
  </si>
  <si>
    <t>Ashley Smith MD</t>
  </si>
  <si>
    <t>Jason Stewart</t>
  </si>
  <si>
    <t>Eric Austin</t>
  </si>
  <si>
    <t>Kenneth Obrien</t>
  </si>
  <si>
    <t>Sean Snyder</t>
  </si>
  <si>
    <t>Phillip Madden</t>
  </si>
  <si>
    <t>David Johnson</t>
  </si>
  <si>
    <t>Gail Marshall</t>
  </si>
  <si>
    <t>Kristen Smith</t>
  </si>
  <si>
    <t>Kelsey Fletcher</t>
  </si>
  <si>
    <t>Amy Carpenter</t>
  </si>
  <si>
    <t>David Wilson</t>
  </si>
  <si>
    <t>Corey Gonzalez</t>
  </si>
  <si>
    <t>Justin Orozco</t>
  </si>
  <si>
    <t>Ashley Thomas</t>
  </si>
  <si>
    <t>Clinton Ellis</t>
  </si>
  <si>
    <t>Kathleen Jones</t>
  </si>
  <si>
    <t>Susan Fisher</t>
  </si>
  <si>
    <t>Donald Key</t>
  </si>
  <si>
    <t>Mark Daniels</t>
  </si>
  <si>
    <t>Charles Monroe</t>
  </si>
  <si>
    <t>Vanessa Smith</t>
  </si>
  <si>
    <t>Diana Bell</t>
  </si>
  <si>
    <t>Nancy Fisher</t>
  </si>
  <si>
    <t>Justin Oliver</t>
  </si>
  <si>
    <t>Heather Rhodes</t>
  </si>
  <si>
    <t>Sheena Butler</t>
  </si>
  <si>
    <t>Dan Estrada</t>
  </si>
  <si>
    <t>Mr. Jose Cook</t>
  </si>
  <si>
    <t>William Meyer DVM</t>
  </si>
  <si>
    <t>Nicholas Weeks</t>
  </si>
  <si>
    <t>Cody Adams</t>
  </si>
  <si>
    <t>Alejandro Montgomery</t>
  </si>
  <si>
    <t>Jose Walters</t>
  </si>
  <si>
    <t>John Diaz</t>
  </si>
  <si>
    <t>Melissa Blackwell</t>
  </si>
  <si>
    <t>Christopher Clarke</t>
  </si>
  <si>
    <t>Leslie Robertson</t>
  </si>
  <si>
    <t>Brandi Coleman</t>
  </si>
  <si>
    <t>John Burnett</t>
  </si>
  <si>
    <t>Matthew Beard</t>
  </si>
  <si>
    <t>Allison Greene</t>
  </si>
  <si>
    <t>Megan Sanchez</t>
  </si>
  <si>
    <t>Mark Webb</t>
  </si>
  <si>
    <t>Andrew Higgins</t>
  </si>
  <si>
    <t>Janet Brown</t>
  </si>
  <si>
    <t>Angel Daniel</t>
  </si>
  <si>
    <t>Angela Smith</t>
  </si>
  <si>
    <t>Adam Lawson</t>
  </si>
  <si>
    <t>Jackson Johnson</t>
  </si>
  <si>
    <t>Cynthia Mcconnell</t>
  </si>
  <si>
    <t>Manuel Lee</t>
  </si>
  <si>
    <t>Kathryn Walters</t>
  </si>
  <si>
    <t>Andres Brown</t>
  </si>
  <si>
    <t>Brandon Watts</t>
  </si>
  <si>
    <t>Anthony Hamilton</t>
  </si>
  <si>
    <t>Michael Anderson</t>
  </si>
  <si>
    <t>Phillip Vega</t>
  </si>
  <si>
    <t>Kenneth Reeves</t>
  </si>
  <si>
    <t>James Lewis</t>
  </si>
  <si>
    <t>Kelli White</t>
  </si>
  <si>
    <t>Mallory Alvarez</t>
  </si>
  <si>
    <t>Lisa Arnold</t>
  </si>
  <si>
    <t>Sean Higgins</t>
  </si>
  <si>
    <t>Bruce Fernandez</t>
  </si>
  <si>
    <t>Johnny Coleman</t>
  </si>
  <si>
    <t>Gina Carter</t>
  </si>
  <si>
    <t>William Rivera</t>
  </si>
  <si>
    <t>Dustin Watts</t>
  </si>
  <si>
    <t>Isaiah Miller</t>
  </si>
  <si>
    <t>Karen Jackson</t>
  </si>
  <si>
    <t>Wendy Ray</t>
  </si>
  <si>
    <t>Sheryl Coleman</t>
  </si>
  <si>
    <t>Mr. Joseph Fuller</t>
  </si>
  <si>
    <t>Monica Daniels</t>
  </si>
  <si>
    <t>Travis Best</t>
  </si>
  <si>
    <t>Andrea Park</t>
  </si>
  <si>
    <t>Ann Crawford</t>
  </si>
  <si>
    <t>Bradley Wilson</t>
  </si>
  <si>
    <t>Tiffany Hernandez</t>
  </si>
  <si>
    <t>Chase Mcconnell</t>
  </si>
  <si>
    <t>Roger Miller</t>
  </si>
  <si>
    <t>Michael Weaver</t>
  </si>
  <si>
    <t>Jennifer Miller</t>
  </si>
  <si>
    <t>Gabriel Ramirez</t>
  </si>
  <si>
    <t>Robert Hatfield MD</t>
  </si>
  <si>
    <t>Deborah Johnston</t>
  </si>
  <si>
    <t>Allen Johnson</t>
  </si>
  <si>
    <t>Christine Gross</t>
  </si>
  <si>
    <t>Jonathan Williams</t>
  </si>
  <si>
    <t>Alfred Trujillo</t>
  </si>
  <si>
    <t>Charles Long</t>
  </si>
  <si>
    <t>Glenn Cooper</t>
  </si>
  <si>
    <t>Dale Miller</t>
  </si>
  <si>
    <t>Robert Porter</t>
  </si>
  <si>
    <t>Gabriel Peterson</t>
  </si>
  <si>
    <t>Shawn Jones</t>
  </si>
  <si>
    <t>Samuel Burke</t>
  </si>
  <si>
    <t>Robert Hays</t>
  </si>
  <si>
    <t>Jose Singleton</t>
  </si>
  <si>
    <t>Adriana Diaz</t>
  </si>
  <si>
    <t>Sara Howard</t>
  </si>
  <si>
    <t>Michelle Campbell</t>
  </si>
  <si>
    <t>Laurie Jackson</t>
  </si>
  <si>
    <t>Taylor Hancock</t>
  </si>
  <si>
    <t>Lindsay Russell</t>
  </si>
  <si>
    <t>Jeffrey Martinez</t>
  </si>
  <si>
    <t>Alexis Rich</t>
  </si>
  <si>
    <t>Karen Hebert</t>
  </si>
  <si>
    <t>John Small</t>
  </si>
  <si>
    <t>Charles Medina</t>
  </si>
  <si>
    <t>Anthony Carson</t>
  </si>
  <si>
    <t>Dylan Brown</t>
  </si>
  <si>
    <t>Kaitlyn Davis</t>
  </si>
  <si>
    <t>Holly Murphy</t>
  </si>
  <si>
    <t>Mr. Daniel Bird</t>
  </si>
  <si>
    <t>Margaret Mccoy DVM</t>
  </si>
  <si>
    <t>Michael Kim</t>
  </si>
  <si>
    <t>David Bell</t>
  </si>
  <si>
    <t>Catherine Price</t>
  </si>
  <si>
    <t>Christopher Reed</t>
  </si>
  <si>
    <t>Rebecca Johnson</t>
  </si>
  <si>
    <t>Oscar Owens</t>
  </si>
  <si>
    <t>Jeff Fox</t>
  </si>
  <si>
    <t>Mark Mcguire MD</t>
  </si>
  <si>
    <t>Lauren Hughes</t>
  </si>
  <si>
    <t>David Mendez</t>
  </si>
  <si>
    <t>Diana Chen</t>
  </si>
  <si>
    <t>Crystal Sanchez</t>
  </si>
  <si>
    <t>Rebecca Miller</t>
  </si>
  <si>
    <t>Carolyn Moody</t>
  </si>
  <si>
    <t>Meagan Pierce</t>
  </si>
  <si>
    <t>Kirk Bradley</t>
  </si>
  <si>
    <t>Jeremiah Castillo</t>
  </si>
  <si>
    <t>Matthew Kim</t>
  </si>
  <si>
    <t>Michael Green</t>
  </si>
  <si>
    <t>Kathryn Kirk</t>
  </si>
  <si>
    <t>Timothy Hoover</t>
  </si>
  <si>
    <t>William Owens</t>
  </si>
  <si>
    <t>Bryan Smith</t>
  </si>
  <si>
    <t>Brianna Valencia</t>
  </si>
  <si>
    <t>Jeffery Wilson DDS</t>
  </si>
  <si>
    <t>Christina Smith</t>
  </si>
  <si>
    <t>Briana Combs</t>
  </si>
  <si>
    <t>James Morales</t>
  </si>
  <si>
    <t>Craig Jones</t>
  </si>
  <si>
    <t>Derek Ramirez</t>
  </si>
  <si>
    <t>Michael Sosa</t>
  </si>
  <si>
    <t>Gary Baker</t>
  </si>
  <si>
    <t>Jared Jones</t>
  </si>
  <si>
    <t>Kendra Bauer</t>
  </si>
  <si>
    <t>Nancy Porter</t>
  </si>
  <si>
    <t>Kristy Mcknight</t>
  </si>
  <si>
    <t>Christopher Griffith</t>
  </si>
  <si>
    <t>Kristine Lewis</t>
  </si>
  <si>
    <t>Cynthia Cook</t>
  </si>
  <si>
    <t>Luis Leach</t>
  </si>
  <si>
    <t>Guy Simpson</t>
  </si>
  <si>
    <t>Brenda Watson</t>
  </si>
  <si>
    <t>Carrie Ruiz</t>
  </si>
  <si>
    <t>Ryan Lopez</t>
  </si>
  <si>
    <t>Bethany Rodriguez</t>
  </si>
  <si>
    <t>Edward Garcia</t>
  </si>
  <si>
    <t>Amy Roberts</t>
  </si>
  <si>
    <t>Jay Garza</t>
  </si>
  <si>
    <t>Sherri Clark</t>
  </si>
  <si>
    <t>Anthony Baker</t>
  </si>
  <si>
    <t>Richard Moreno</t>
  </si>
  <si>
    <t>Chad Bailey</t>
  </si>
  <si>
    <t>Mr. Joshua Cain</t>
  </si>
  <si>
    <t>Joshua Skinner</t>
  </si>
  <si>
    <t>Allison Welch</t>
  </si>
  <si>
    <t>Holly Anderson</t>
  </si>
  <si>
    <t>Jeff Cruz</t>
  </si>
  <si>
    <t>Kevin Smith</t>
  </si>
  <si>
    <t>Sarah Fields</t>
  </si>
  <si>
    <t>Patrick Ortiz</t>
  </si>
  <si>
    <t>Wendy Hughes</t>
  </si>
  <si>
    <t>Mark Thomas</t>
  </si>
  <si>
    <t>Brandon Ray</t>
  </si>
  <si>
    <t>Clinton Barber</t>
  </si>
  <si>
    <t>Gregory Ware</t>
  </si>
  <si>
    <t>Mitchell Price</t>
  </si>
  <si>
    <t>Misty Dudley</t>
  </si>
  <si>
    <t>Melissa Stewart</t>
  </si>
  <si>
    <t>Eric Thornton</t>
  </si>
  <si>
    <t>Paula Roberts</t>
  </si>
  <si>
    <t>Tamara Williams</t>
  </si>
  <si>
    <t>Shannon Thompson</t>
  </si>
  <si>
    <t>Bruce Gay</t>
  </si>
  <si>
    <t>Julie Cruz</t>
  </si>
  <si>
    <t>Susan Harris</t>
  </si>
  <si>
    <t>Sarah Lee</t>
  </si>
  <si>
    <t>Yolanda Tran</t>
  </si>
  <si>
    <t>Jamie Wright</t>
  </si>
  <si>
    <t>Deborah Jones</t>
  </si>
  <si>
    <t>Kathleen Thompson</t>
  </si>
  <si>
    <t>Amy Murphy</t>
  </si>
  <si>
    <t>Nicole Stanley</t>
  </si>
  <si>
    <t>Kim Williams</t>
  </si>
  <si>
    <t>James Ferguson</t>
  </si>
  <si>
    <t>Dakota Hamilton</t>
  </si>
  <si>
    <t>Carl Smith</t>
  </si>
  <si>
    <t>Laura Stevens</t>
  </si>
  <si>
    <t>Sharon Phillips</t>
  </si>
  <si>
    <t>Jeffrey Contreras</t>
  </si>
  <si>
    <t>Jamie Smith</t>
  </si>
  <si>
    <t>Caitlin Harding</t>
  </si>
  <si>
    <t>Christopher Morgan</t>
  </si>
  <si>
    <t>Jason Mcintosh</t>
  </si>
  <si>
    <t>Shari Jordan</t>
  </si>
  <si>
    <t>Andrea Callahan</t>
  </si>
  <si>
    <t>Alexandra Reyes</t>
  </si>
  <si>
    <t>David Lindsey</t>
  </si>
  <si>
    <t>Jamie Taylor</t>
  </si>
  <si>
    <t>Roger Cannon</t>
  </si>
  <si>
    <t>Karl Hardy</t>
  </si>
  <si>
    <t>Ashley Lewis MD</t>
  </si>
  <si>
    <t>Penny Castillo</t>
  </si>
  <si>
    <t>Bryan Brooks</t>
  </si>
  <si>
    <t>Kevin Phillips</t>
  </si>
  <si>
    <t>Ariana Leon</t>
  </si>
  <si>
    <t>Kevin Mcclure</t>
  </si>
  <si>
    <t>Toni Johnson</t>
  </si>
  <si>
    <t>Angel Beck</t>
  </si>
  <si>
    <t>Kelsey Vance</t>
  </si>
  <si>
    <t>Amy Diaz</t>
  </si>
  <si>
    <t>John Jordan</t>
  </si>
  <si>
    <t>Crystal Ayala</t>
  </si>
  <si>
    <t>Tiffany Thomas</t>
  </si>
  <si>
    <t>Christina Chapman</t>
  </si>
  <si>
    <t>Mr. Todd Smith MD</t>
  </si>
  <si>
    <t>Travis Gutierrez</t>
  </si>
  <si>
    <t>Michelle Bowman</t>
  </si>
  <si>
    <t>Derrick Villanueva</t>
  </si>
  <si>
    <t>Meghan Hoover</t>
  </si>
  <si>
    <t>Taylor Becker</t>
  </si>
  <si>
    <t>Michael Williams</t>
  </si>
  <si>
    <t>Patrick Cobb</t>
  </si>
  <si>
    <t>Lauren Snyder</t>
  </si>
  <si>
    <t>Amy Mathis</t>
  </si>
  <si>
    <t>Mary Jacobs</t>
  </si>
  <si>
    <t>Cathy Villarreal</t>
  </si>
  <si>
    <t>Cynthia Ramos</t>
  </si>
  <si>
    <t>Nicholas Obrien</t>
  </si>
  <si>
    <t>Morgan Hinton</t>
  </si>
  <si>
    <t>Andrew Bauer</t>
  </si>
  <si>
    <t>George Welch</t>
  </si>
  <si>
    <t>Sharon Wilson</t>
  </si>
  <si>
    <t>Drew Carney</t>
  </si>
  <si>
    <t>Tristan Petersen</t>
  </si>
  <si>
    <t>Christina Alexander</t>
  </si>
  <si>
    <t>Jon Smith</t>
  </si>
  <si>
    <t>Amanda Fowler</t>
  </si>
  <si>
    <t>Kristin Jarvis</t>
  </si>
  <si>
    <t>Nicholas Lopez</t>
  </si>
  <si>
    <t>Lindsey Campbell</t>
  </si>
  <si>
    <t>Leslie Phillips</t>
  </si>
  <si>
    <t>Diane Daniel</t>
  </si>
  <si>
    <t>Dr. Joshua Gomez</t>
  </si>
  <si>
    <t>Nicholas Morrison</t>
  </si>
  <si>
    <t>Ryan Avery</t>
  </si>
  <si>
    <t>Caleb Reyes</t>
  </si>
  <si>
    <t>Kevin Scott</t>
  </si>
  <si>
    <t>Steven Peters</t>
  </si>
  <si>
    <t>Ruben Shah</t>
  </si>
  <si>
    <t>Christina Harris</t>
  </si>
  <si>
    <t>Mr. Shawn Brown</t>
  </si>
  <si>
    <t>Lindsay Knight</t>
  </si>
  <si>
    <t>Eric Thomas</t>
  </si>
  <si>
    <t>Nicholas Vasquez</t>
  </si>
  <si>
    <t>Elizabeth Morgan</t>
  </si>
  <si>
    <t>Beth Rivera</t>
  </si>
  <si>
    <t>Brian Silva</t>
  </si>
  <si>
    <t>Nicole Camacho</t>
  </si>
  <si>
    <t>Mrs. Jennifer Mack</t>
  </si>
  <si>
    <t>Brenda Mclean</t>
  </si>
  <si>
    <t>Anna Parker</t>
  </si>
  <si>
    <t>James Sexton</t>
  </si>
  <si>
    <t>Kelly Clark</t>
  </si>
  <si>
    <t>Timothy Saunders</t>
  </si>
  <si>
    <t>Thomas Hamilton</t>
  </si>
  <si>
    <t>Kelly Cook</t>
  </si>
  <si>
    <t>Gina Wilson</t>
  </si>
  <si>
    <t>Daniel Webb</t>
  </si>
  <si>
    <t>Cheryl Smith</t>
  </si>
  <si>
    <t>Julia Russell</t>
  </si>
  <si>
    <t>Harry Weber</t>
  </si>
  <si>
    <t>Justin Perez</t>
  </si>
  <si>
    <t>Rachel Graham</t>
  </si>
  <si>
    <t>Karen Marshall DVM</t>
  </si>
  <si>
    <t>David Mills</t>
  </si>
  <si>
    <t>Wendy Young</t>
  </si>
  <si>
    <t>Jennifer Schmidt</t>
  </si>
  <si>
    <t>Jorge Cantu</t>
  </si>
  <si>
    <t>Ryan Griffin</t>
  </si>
  <si>
    <t>Katherine Anderson</t>
  </si>
  <si>
    <t>Donald Snow</t>
  </si>
  <si>
    <t>Jamie Kirby</t>
  </si>
  <si>
    <t>Angela Hays</t>
  </si>
  <si>
    <t>Dawn Suarez</t>
  </si>
  <si>
    <t>Sarah Crawford</t>
  </si>
  <si>
    <t>Theresa Murphy</t>
  </si>
  <si>
    <t>Laura Ward</t>
  </si>
  <si>
    <t>Sean Barr</t>
  </si>
  <si>
    <t>Jared Holmes</t>
  </si>
  <si>
    <t>Jenna Harris</t>
  </si>
  <si>
    <t>Joyce Armstrong</t>
  </si>
  <si>
    <t>Alexis Williams</t>
  </si>
  <si>
    <t>Samantha Harris</t>
  </si>
  <si>
    <t>Anthony Phillips</t>
  </si>
  <si>
    <t>Cheyenne Benson</t>
  </si>
  <si>
    <t>Katelyn Cox MD</t>
  </si>
  <si>
    <t>Gina Cruz</t>
  </si>
  <si>
    <t>Emily Howe</t>
  </si>
  <si>
    <t>Brett Rodriguez</t>
  </si>
  <si>
    <t>Alicia Deleon</t>
  </si>
  <si>
    <t>Brian Burnett</t>
  </si>
  <si>
    <t>Bradley Baker</t>
  </si>
  <si>
    <t>John Watson</t>
  </si>
  <si>
    <t>David Castillo</t>
  </si>
  <si>
    <t>Dr. Javier Jenkins</t>
  </si>
  <si>
    <t>Monica Baker</t>
  </si>
  <si>
    <t>Michael Nichols</t>
  </si>
  <si>
    <t>Bruce Baker</t>
  </si>
  <si>
    <t>Greg Webb</t>
  </si>
  <si>
    <t>Veronica Nash</t>
  </si>
  <si>
    <t>Tanya West</t>
  </si>
  <si>
    <t>Bradley Bush</t>
  </si>
  <si>
    <t>William Dunn</t>
  </si>
  <si>
    <t>Dr. Sean Morgan</t>
  </si>
  <si>
    <t>Nancy Goodwin</t>
  </si>
  <si>
    <t>Sean Sexton</t>
  </si>
  <si>
    <t>Walter Williams</t>
  </si>
  <si>
    <t>Gina Mccarty</t>
  </si>
  <si>
    <t>Lisa Nelson</t>
  </si>
  <si>
    <t>Kristen Johns</t>
  </si>
  <si>
    <t>Barbara Russell</t>
  </si>
  <si>
    <t>Kathleen Stevenson</t>
  </si>
  <si>
    <t>Laura Byrd</t>
  </si>
  <si>
    <t>Jared Dunn</t>
  </si>
  <si>
    <t>Russell Walker DDS</t>
  </si>
  <si>
    <t>Michael Lee</t>
  </si>
  <si>
    <t>Gregory Hurst</t>
  </si>
  <si>
    <t>Joe Adams</t>
  </si>
  <si>
    <t>Micheal Russell</t>
  </si>
  <si>
    <t>Wendy Carroll</t>
  </si>
  <si>
    <t>Ashley Price</t>
  </si>
  <si>
    <t>Heather Fowler</t>
  </si>
  <si>
    <t>Lauren Cooper</t>
  </si>
  <si>
    <t>Jessica Matthews</t>
  </si>
  <si>
    <t>Keith Arroyo Jr.</t>
  </si>
  <si>
    <t>Lisa Fisher</t>
  </si>
  <si>
    <t>Bryan Lee</t>
  </si>
  <si>
    <t>Shannon Carter</t>
  </si>
  <si>
    <t>Christie Bush</t>
  </si>
  <si>
    <t>Antonio King</t>
  </si>
  <si>
    <t>Victoria Contreras</t>
  </si>
  <si>
    <t>Alexis Robertson</t>
  </si>
  <si>
    <t>Gwendolyn Mendoza</t>
  </si>
  <si>
    <t>Jessica Bond</t>
  </si>
  <si>
    <t>Sarah Ross</t>
  </si>
  <si>
    <t>Michelle Rojas</t>
  </si>
  <si>
    <t>Joseph Padilla</t>
  </si>
  <si>
    <t>Jesus Watkins</t>
  </si>
  <si>
    <t>Kathleen Carpenter</t>
  </si>
  <si>
    <t>Gary Johnson</t>
  </si>
  <si>
    <t>Richard Lopez</t>
  </si>
  <si>
    <t>Anna Young</t>
  </si>
  <si>
    <t>Cole Walters</t>
  </si>
  <si>
    <t>Leslie Brown</t>
  </si>
  <si>
    <t>Mary Gonzalez</t>
  </si>
  <si>
    <t>Mary Burnett</t>
  </si>
  <si>
    <t>Jean Scott</t>
  </si>
  <si>
    <t>Melissa Moore</t>
  </si>
  <si>
    <t>William Preston</t>
  </si>
  <si>
    <t>Elizabeth Schmitt</t>
  </si>
  <si>
    <t>Andrew Miller</t>
  </si>
  <si>
    <t>Christopher Evans</t>
  </si>
  <si>
    <t>Natasha Carr</t>
  </si>
  <si>
    <t>Sarah Smith</t>
  </si>
  <si>
    <t>Fred Alexander</t>
  </si>
  <si>
    <t>Anthony Ramos</t>
  </si>
  <si>
    <t>Micheal Mitchell</t>
  </si>
  <si>
    <t>Thomas Hammond</t>
  </si>
  <si>
    <t>Daniel Rollins</t>
  </si>
  <si>
    <t>Alexander Turner</t>
  </si>
  <si>
    <t>Christy Warner</t>
  </si>
  <si>
    <t>Mr. Aaron Morse</t>
  </si>
  <si>
    <t>Lawrence Salazar</t>
  </si>
  <si>
    <t>Gary Hart</t>
  </si>
  <si>
    <t>Katrina Jones</t>
  </si>
  <si>
    <t>Brandi Hart</t>
  </si>
  <si>
    <t>Sharon Booth</t>
  </si>
  <si>
    <t>John Parker</t>
  </si>
  <si>
    <t>Thomas Duncan</t>
  </si>
  <si>
    <t>Levi Perry</t>
  </si>
  <si>
    <t>Tony Le</t>
  </si>
  <si>
    <t>Deanna Smith</t>
  </si>
  <si>
    <t>Tara Freeman</t>
  </si>
  <si>
    <t>Cynthia Valentine</t>
  </si>
  <si>
    <t>Sean Lucas</t>
  </si>
  <si>
    <t>Joseph Silva</t>
  </si>
  <si>
    <t>Paula Allen</t>
  </si>
  <si>
    <t>Robert Lee</t>
  </si>
  <si>
    <t>Jennifer Montoya</t>
  </si>
  <si>
    <t>Timothy Mccarty</t>
  </si>
  <si>
    <t>Maria Griffin</t>
  </si>
  <si>
    <t>Kathy Smith</t>
  </si>
  <si>
    <t>Kimberly Martin</t>
  </si>
  <si>
    <t>Shelly Morris</t>
  </si>
  <si>
    <t>Richard Mclaughlin</t>
  </si>
  <si>
    <t>Christina Jones</t>
  </si>
  <si>
    <t>Jennifer Douglas</t>
  </si>
  <si>
    <t>Samuel Parker</t>
  </si>
  <si>
    <t>Courtney Reed</t>
  </si>
  <si>
    <t>Jesse Burton</t>
  </si>
  <si>
    <t>Jessica Daniels</t>
  </si>
  <si>
    <t>Sara Scott</t>
  </si>
  <si>
    <t>Morgan Rivera</t>
  </si>
  <si>
    <t>Jordan Melendez</t>
  </si>
  <si>
    <t>Leah Cowan</t>
  </si>
  <si>
    <t>Matthew Sanchez</t>
  </si>
  <si>
    <t>Mr. Bill Velazquez</t>
  </si>
  <si>
    <t>Kevin Jones</t>
  </si>
  <si>
    <t>Timothy Rocha</t>
  </si>
  <si>
    <t>Matthew Martin</t>
  </si>
  <si>
    <t>Julian Murphy</t>
  </si>
  <si>
    <t>Robert Steele</t>
  </si>
  <si>
    <t>Luis Moreno</t>
  </si>
  <si>
    <t>Kathryn Harrison</t>
  </si>
  <si>
    <t>Tyler Wilkins</t>
  </si>
  <si>
    <t>Matthew Rivera</t>
  </si>
  <si>
    <t>Claire Andrews</t>
  </si>
  <si>
    <t>Pamela Rollins</t>
  </si>
  <si>
    <t>Dawn Thornton</t>
  </si>
  <si>
    <t>Adrian Johnson</t>
  </si>
  <si>
    <t>Mr. Sean Doyle</t>
  </si>
  <si>
    <t>Eric Bird</t>
  </si>
  <si>
    <t>Michael Casey</t>
  </si>
  <si>
    <t>Michael Gonzalez</t>
  </si>
  <si>
    <t>Jonathan Dunn</t>
  </si>
  <si>
    <t>Rhonda Williams</t>
  </si>
  <si>
    <t>Julie Simmons</t>
  </si>
  <si>
    <t>Logan Benton</t>
  </si>
  <si>
    <t>Mr. James Andrade</t>
  </si>
  <si>
    <t>Jessica Dennis</t>
  </si>
  <si>
    <t>Shawn Rhodes</t>
  </si>
  <si>
    <t>Jennifer Gonzalez</t>
  </si>
  <si>
    <t>Patricia Collins</t>
  </si>
  <si>
    <t>Kimberly Bonilla</t>
  </si>
  <si>
    <t>Amber Mooney</t>
  </si>
  <si>
    <t>Tara Roth</t>
  </si>
  <si>
    <t>Lynn Bullock</t>
  </si>
  <si>
    <t>Deborah Wilkerson</t>
  </si>
  <si>
    <t>Kristin Love</t>
  </si>
  <si>
    <t>Austin Williams</t>
  </si>
  <si>
    <t>Paul Martinez</t>
  </si>
  <si>
    <t>Christopher King</t>
  </si>
  <si>
    <t>James Stephenson</t>
  </si>
  <si>
    <t>David Hamilton</t>
  </si>
  <si>
    <t>April Hansen</t>
  </si>
  <si>
    <t>Deborah Williams</t>
  </si>
  <si>
    <t>Hunter Phillips Jr.</t>
  </si>
  <si>
    <t>Denise Bryant</t>
  </si>
  <si>
    <t>Nancy Murray</t>
  </si>
  <si>
    <t>Tracy Davis</t>
  </si>
  <si>
    <t>Jeremy Thompson</t>
  </si>
  <si>
    <t>Antonio Blake</t>
  </si>
  <si>
    <t>Maxwell Armstrong</t>
  </si>
  <si>
    <t>Sylvia Gonzalez</t>
  </si>
  <si>
    <t>Ashley Myers</t>
  </si>
  <si>
    <t>Abigail Johnson</t>
  </si>
  <si>
    <t>Jerry Perez</t>
  </si>
  <si>
    <t>Valerie Simmons</t>
  </si>
  <si>
    <t>Jeffrey Johnson</t>
  </si>
  <si>
    <t>Brian Frey</t>
  </si>
  <si>
    <t>Katherine Cooke</t>
  </si>
  <si>
    <t>Robert Gentry</t>
  </si>
  <si>
    <t>Carol Diaz</t>
  </si>
  <si>
    <t>Matthew Lee</t>
  </si>
  <si>
    <t>Brian Oconnor</t>
  </si>
  <si>
    <t>Heather Sloan</t>
  </si>
  <si>
    <t>Alexis Fuller</t>
  </si>
  <si>
    <t>Linda Patterson</t>
  </si>
  <si>
    <t>Mrs. Jasmine Donaldson</t>
  </si>
  <si>
    <t>Shelley Mason</t>
  </si>
  <si>
    <t>Erin Cruz</t>
  </si>
  <si>
    <t>Craig Allen</t>
  </si>
  <si>
    <t>Douglas Galloway</t>
  </si>
  <si>
    <t>Diane Michael</t>
  </si>
  <si>
    <t>Mary Clark</t>
  </si>
  <si>
    <t>Brittany Mcintyre</t>
  </si>
  <si>
    <t>Emily Sullivan</t>
  </si>
  <si>
    <t>Danielle Conrad</t>
  </si>
  <si>
    <t>Angel Valdez</t>
  </si>
  <si>
    <t>David Fisher</t>
  </si>
  <si>
    <t>Sheila Stephens</t>
  </si>
  <si>
    <t>Monica Williams</t>
  </si>
  <si>
    <t>Kimberly Ortiz</t>
  </si>
  <si>
    <t>Julie Taylor MD</t>
  </si>
  <si>
    <t>Carl Brown</t>
  </si>
  <si>
    <t>Andrew Hill</t>
  </si>
  <si>
    <t>Martin Mendez</t>
  </si>
  <si>
    <t>Wanda Shaw</t>
  </si>
  <si>
    <t>Kristin Rodriguez</t>
  </si>
  <si>
    <t>Kelly Mcgrath</t>
  </si>
  <si>
    <t>Maria Kane</t>
  </si>
  <si>
    <t>Cynthia Pena</t>
  </si>
  <si>
    <t>Sandra Lloyd</t>
  </si>
  <si>
    <t>John Holt</t>
  </si>
  <si>
    <t>Laura Hernandez</t>
  </si>
  <si>
    <t>Samantha Mooney</t>
  </si>
  <si>
    <t>Alicia Smith</t>
  </si>
  <si>
    <t>Sandra King</t>
  </si>
  <si>
    <t>John Jones</t>
  </si>
  <si>
    <t>John Gibson</t>
  </si>
  <si>
    <t>Richard Gutierrez</t>
  </si>
  <si>
    <t>Laura Randolph</t>
  </si>
  <si>
    <t>Elizabeth Orozco</t>
  </si>
  <si>
    <t>Brooke Patel</t>
  </si>
  <si>
    <t>Holly Butler</t>
  </si>
  <si>
    <t>Devin Jackson</t>
  </si>
  <si>
    <t>Brooke Mcgee</t>
  </si>
  <si>
    <t>Marcus Pugh</t>
  </si>
  <si>
    <t>Clinton Gordon</t>
  </si>
  <si>
    <t>Christina Adams</t>
  </si>
  <si>
    <t>Alicia Hughes</t>
  </si>
  <si>
    <t>Carol Williams</t>
  </si>
  <si>
    <t>Daniel Adams</t>
  </si>
  <si>
    <t>Angela Hamilton</t>
  </si>
  <si>
    <t>Lawrence Hensley</t>
  </si>
  <si>
    <t>James Gray</t>
  </si>
  <si>
    <t>Robert Ward</t>
  </si>
  <si>
    <t>Todd Wilson</t>
  </si>
  <si>
    <t>Daniel Kelly</t>
  </si>
  <si>
    <t>Rachel Tucker</t>
  </si>
  <si>
    <t>Robert Garcia</t>
  </si>
  <si>
    <t>Heather Crawford</t>
  </si>
  <si>
    <t>Dr. Shawna Roberts</t>
  </si>
  <si>
    <t>Angelica Castro</t>
  </si>
  <si>
    <t>Chelsea Cook</t>
  </si>
  <si>
    <t>Mackenzie Clarke</t>
  </si>
  <si>
    <t>Susan Gibson</t>
  </si>
  <si>
    <t>Christina Williams</t>
  </si>
  <si>
    <t>Collin Walters</t>
  </si>
  <si>
    <t>Adam Solomon</t>
  </si>
  <si>
    <t>Dr. Steven Guzman</t>
  </si>
  <si>
    <t>Sara Lewis</t>
  </si>
  <si>
    <t>Caleb Brooks</t>
  </si>
  <si>
    <t>Lisa Ross</t>
  </si>
  <si>
    <t>Brett Coleman</t>
  </si>
  <si>
    <t>Lisa Lamb</t>
  </si>
  <si>
    <t>Rodney Hall</t>
  </si>
  <si>
    <t>Vanessa Thompson</t>
  </si>
  <si>
    <t>Martha Peterson</t>
  </si>
  <si>
    <t>Rodney Rice</t>
  </si>
  <si>
    <t>Gary Ford</t>
  </si>
  <si>
    <t>Christina Morgan</t>
  </si>
  <si>
    <t>Brian Miles</t>
  </si>
  <si>
    <t>Yvette Allen</t>
  </si>
  <si>
    <t>Terry Morse</t>
  </si>
  <si>
    <t>Julie Hebert</t>
  </si>
  <si>
    <t>Kimberly Figueroa DDS</t>
  </si>
  <si>
    <t>Michael Keith</t>
  </si>
  <si>
    <t>Aaron Watson</t>
  </si>
  <si>
    <t>Kyle Mcdaniel</t>
  </si>
  <si>
    <t>Jennifer Johnson</t>
  </si>
  <si>
    <t>Mitchell Tucker</t>
  </si>
  <si>
    <t>Linda Rice</t>
  </si>
  <si>
    <t>George Mckenzie</t>
  </si>
  <si>
    <t>Lauren Johnson</t>
  </si>
  <si>
    <t>Kimberly Rojas</t>
  </si>
  <si>
    <t>David Fritz</t>
  </si>
  <si>
    <t>Shari Contreras</t>
  </si>
  <si>
    <t>Jason Stein</t>
  </si>
  <si>
    <t>Billy Diaz</t>
  </si>
  <si>
    <t>Anthony Smith</t>
  </si>
  <si>
    <t>Grand Total</t>
  </si>
  <si>
    <t>Count of Guest_ID</t>
  </si>
  <si>
    <t>HOTEL</t>
  </si>
  <si>
    <t>Age_Criteria</t>
  </si>
  <si>
    <t>Satification_points</t>
  </si>
  <si>
    <t>Satisfication_level</t>
  </si>
  <si>
    <t>TOTAL_GUESTS</t>
  </si>
  <si>
    <t>TOTAL GUEST</t>
  </si>
  <si>
    <t>FOOD QUALITY</t>
  </si>
  <si>
    <t>ROOM CLEANLINESS</t>
  </si>
  <si>
    <t>Adults</t>
  </si>
  <si>
    <t>Middle Aged Adults</t>
  </si>
  <si>
    <t>Senior</t>
  </si>
  <si>
    <t>Young Adults</t>
  </si>
  <si>
    <t>AGE CRITERA</t>
  </si>
  <si>
    <t>AGE CRITERIA</t>
  </si>
  <si>
    <t>AVERAGE</t>
  </si>
  <si>
    <t>GOOD</t>
  </si>
  <si>
    <t>POOR</t>
  </si>
  <si>
    <t>GENDER</t>
  </si>
  <si>
    <t>Jan</t>
  </si>
  <si>
    <t>Feb</t>
  </si>
  <si>
    <t>Mar</t>
  </si>
  <si>
    <t>Apr</t>
  </si>
  <si>
    <t>May</t>
  </si>
  <si>
    <t>Jun</t>
  </si>
  <si>
    <t>Jul</t>
  </si>
  <si>
    <t>Aug</t>
  </si>
  <si>
    <t>Sep</t>
  </si>
  <si>
    <t>Oct</t>
  </si>
  <si>
    <t>Nov</t>
  </si>
  <si>
    <t>Dec</t>
  </si>
  <si>
    <t>TOTAL GUESTS</t>
  </si>
  <si>
    <t>TOTAL COUNT</t>
  </si>
  <si>
    <t>SATIFICATION</t>
  </si>
  <si>
    <t>BOOKING SOURCE</t>
  </si>
  <si>
    <t>Sum of Room_Cleanliness</t>
  </si>
  <si>
    <t>Sum of Safety_Measures</t>
  </si>
  <si>
    <t>Sum of Food_Quality</t>
  </si>
  <si>
    <t>Sum of Amenities_Satisfaction</t>
  </si>
  <si>
    <t>TRAVEL PURPOSE</t>
  </si>
  <si>
    <t>RECOMMENDATION</t>
  </si>
  <si>
    <t xml:space="preserve"> </t>
  </si>
  <si>
    <t>GREAT</t>
  </si>
  <si>
    <t>GRAND FOOD</t>
  </si>
  <si>
    <t>GRAND SAFETY</t>
  </si>
  <si>
    <t>GRAND ROOM CLEAN</t>
  </si>
  <si>
    <t>GRAND AMENITIES</t>
  </si>
  <si>
    <t>SAFETY MEASURE</t>
  </si>
  <si>
    <t>ROOM CLEAN</t>
  </si>
  <si>
    <t>AMENITIES</t>
  </si>
  <si>
    <t>FOOD_QUALITY</t>
  </si>
  <si>
    <t>SAFETY MEASURES</t>
  </si>
  <si>
    <t>ROOM_CLEANLINESS</t>
  </si>
  <si>
    <t>AMENITIES SATISFICATION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</si>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</sst>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C00000"/>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theme="5"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0" fontId="16" fillId="0" borderId="0" xfId="0" applyFont="1"/>
    <xf numFmtId="0" fontId="0" fillId="0" borderId="10" xfId="0" pivotButton="1" applyBorder="1"/>
    <xf numFmtId="0" fontId="0" fillId="0" borderId="10" xfId="0" applyBorder="1"/>
    <xf numFmtId="0" fontId="0" fillId="0" borderId="10" xfId="0" applyBorder="1" applyAlignment="1">
      <alignment horizontal="left"/>
    </xf>
    <xf numFmtId="0" fontId="16" fillId="0" borderId="10" xfId="0" applyFont="1" applyBorder="1"/>
    <xf numFmtId="0" fontId="16" fillId="0" borderId="10" xfId="0" applyFont="1" applyBorder="1" applyAlignment="1">
      <alignment horizontal="center"/>
    </xf>
    <xf numFmtId="0" fontId="0" fillId="33" borderId="0" xfId="0" applyFill="1"/>
    <xf numFmtId="0" fontId="19" fillId="33" borderId="0" xfId="0" applyFont="1" applyFill="1"/>
    <xf numFmtId="0" fontId="16" fillId="34" borderId="10" xfId="0" applyFont="1" applyFill="1" applyBorder="1" applyAlignment="1">
      <alignment horizontal="center"/>
    </xf>
    <xf numFmtId="0" fontId="16" fillId="34" borderId="10" xfId="0" applyFont="1" applyFill="1" applyBorder="1"/>
    <xf numFmtId="0" fontId="0" fillId="0" borderId="10" xfId="0" applyNumberFormat="1" applyBorder="1"/>
    <xf numFmtId="9" fontId="0" fillId="0" borderId="10" xfId="42" applyFont="1" applyBorder="1"/>
    <xf numFmtId="9" fontId="0" fillId="0" borderId="0" xfId="42" applyFont="1"/>
    <xf numFmtId="0" fontId="20" fillId="0" borderId="10" xfId="0" applyFont="1" applyBorder="1" applyAlignment="1">
      <alignment horizontal="center"/>
    </xf>
    <xf numFmtId="0" fontId="20" fillId="0" borderId="11" xfId="0" applyFont="1" applyBorder="1" applyAlignment="1">
      <alignment horizontal="center"/>
    </xf>
    <xf numFmtId="0" fontId="20" fillId="0" borderId="12" xfId="0" applyFont="1" applyBorder="1" applyAlignment="1">
      <alignment horizontal="center"/>
    </xf>
    <xf numFmtId="9" fontId="0" fillId="0" borderId="10" xfId="0" applyNumberFormat="1" applyBorder="1"/>
    <xf numFmtId="0" fontId="17"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00B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z val="24"/>
        <color theme="0"/>
        <name val="Calibri"/>
        <family val="2"/>
        <scheme val="minor"/>
      </font>
      <fill>
        <patternFill>
          <bgColor theme="1"/>
        </patternFill>
      </fill>
      <border>
        <bottom style="thin">
          <color theme="4"/>
        </bottom>
        <vertical/>
        <horizontal/>
      </border>
    </dxf>
    <dxf>
      <font>
        <b/>
        <i val="0"/>
        <sz val="20"/>
        <color theme="1"/>
        <name val="Calibri"/>
        <family val="2"/>
        <scheme val="minor"/>
      </font>
      <border>
        <left style="thin">
          <color theme="4"/>
        </left>
        <right style="thin">
          <color theme="4"/>
        </right>
        <top style="thin">
          <color theme="4"/>
        </top>
        <bottom style="thin">
          <color theme="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SlicerStyleDark1 2 2 2 2 2" pivot="0" table="0" count="10" xr9:uid="{5E793A3D-5EAF-4C6C-9E1C-64E0DD192F4E}">
      <tableStyleElement type="wholeTable" dxfId="270"/>
      <tableStyleElement type="headerRow" dxfId="269"/>
    </tableStyle>
  </tableStyles>
  <colors>
    <mruColors>
      <color rgb="FFFF6D6D"/>
      <color rgb="FF93FE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ANALYSIS'!$E$10</c:f>
              <c:strCache>
                <c:ptCount val="1"/>
                <c:pt idx="0">
                  <c:v>TOTAL_GUESTS</c:v>
                </c:pt>
              </c:strCache>
            </c:strRef>
          </c:tx>
          <c:spPr>
            <a:solidFill>
              <a:schemeClr val="accent1"/>
            </a:solidFill>
            <a:ln>
              <a:noFill/>
            </a:ln>
            <a:effectLst/>
          </c:spPr>
          <c:invertIfNegative val="0"/>
          <c:cat>
            <c:strRef>
              <c:f>'PIVOT ANALYSIS'!$D$11:$D$15</c:f>
              <c:strCache>
                <c:ptCount val="5"/>
                <c:pt idx="0">
                  <c:v>Palm Grove Stay</c:v>
                </c:pt>
                <c:pt idx="1">
                  <c:v>Grand Heritage</c:v>
                </c:pt>
                <c:pt idx="2">
                  <c:v>Hilltop Inn</c:v>
                </c:pt>
                <c:pt idx="3">
                  <c:v>City Lights Hotel</c:v>
                </c:pt>
                <c:pt idx="4">
                  <c:v>OceanView Resort</c:v>
                </c:pt>
              </c:strCache>
            </c:strRef>
          </c:cat>
          <c:val>
            <c:numRef>
              <c:f>'PIVOT ANALYSIS'!$E$11:$E$15</c:f>
              <c:numCache>
                <c:formatCode>General</c:formatCode>
                <c:ptCount val="5"/>
                <c:pt idx="0">
                  <c:v>434</c:v>
                </c:pt>
                <c:pt idx="1">
                  <c:v>411</c:v>
                </c:pt>
                <c:pt idx="2">
                  <c:v>403</c:v>
                </c:pt>
                <c:pt idx="3">
                  <c:v>380</c:v>
                </c:pt>
                <c:pt idx="4">
                  <c:v>372</c:v>
                </c:pt>
              </c:numCache>
            </c:numRef>
          </c:val>
          <c:extLst>
            <c:ext xmlns:c16="http://schemas.microsoft.com/office/drawing/2014/chart" uri="{C3380CC4-5D6E-409C-BE32-E72D297353CC}">
              <c16:uniqueId val="{00000000-3621-47B5-8FA1-9B4679EB610F}"/>
            </c:ext>
          </c:extLst>
        </c:ser>
        <c:dLbls>
          <c:showLegendKey val="0"/>
          <c:showVal val="0"/>
          <c:showCatName val="0"/>
          <c:showSerName val="0"/>
          <c:showPercent val="0"/>
          <c:showBubbleSize val="0"/>
        </c:dLbls>
        <c:gapWidth val="219"/>
        <c:axId val="738429040"/>
        <c:axId val="738429520"/>
      </c:barChart>
      <c:catAx>
        <c:axId val="7384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29520"/>
        <c:crosses val="autoZero"/>
        <c:auto val="1"/>
        <c:lblAlgn val="ctr"/>
        <c:lblOffset val="100"/>
        <c:noMultiLvlLbl val="0"/>
      </c:catAx>
      <c:valAx>
        <c:axId val="7384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[Guest_Feedback_Hospitality_Industry.xlsx]PIVOT ANALYSIS!AGE_CRI</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ANALYSIS'!$B$28:$B$29</c:f>
              <c:strCache>
                <c:ptCount val="1"/>
                <c:pt idx="0">
                  <c:v>Female</c:v>
                </c:pt>
              </c:strCache>
            </c:strRef>
          </c:tx>
          <c:spPr>
            <a:solidFill>
              <a:schemeClr val="accent1"/>
            </a:solidFill>
            <a:ln>
              <a:noFill/>
            </a:ln>
            <a:effectLst/>
          </c:spPr>
          <c:invertIfNegative val="0"/>
          <c:cat>
            <c:strRef>
              <c:f>'PIVOT ANALYSIS'!$A$30:$A$33</c:f>
              <c:strCache>
                <c:ptCount val="4"/>
                <c:pt idx="0">
                  <c:v>Adults</c:v>
                </c:pt>
                <c:pt idx="1">
                  <c:v>Middle Aged Adults</c:v>
                </c:pt>
                <c:pt idx="2">
                  <c:v>Senior</c:v>
                </c:pt>
                <c:pt idx="3">
                  <c:v>Young Adults</c:v>
                </c:pt>
              </c:strCache>
            </c:strRef>
          </c:cat>
          <c:val>
            <c:numRef>
              <c:f>'PIVOT ANALYSIS'!$B$30:$B$33</c:f>
              <c:numCache>
                <c:formatCode>General</c:formatCode>
                <c:ptCount val="4"/>
                <c:pt idx="0">
                  <c:v>129</c:v>
                </c:pt>
                <c:pt idx="1">
                  <c:v>188</c:v>
                </c:pt>
                <c:pt idx="2">
                  <c:v>249</c:v>
                </c:pt>
                <c:pt idx="3">
                  <c:v>97</c:v>
                </c:pt>
              </c:numCache>
            </c:numRef>
          </c:val>
          <c:extLst>
            <c:ext xmlns:c16="http://schemas.microsoft.com/office/drawing/2014/chart" uri="{C3380CC4-5D6E-409C-BE32-E72D297353CC}">
              <c16:uniqueId val="{00000000-F61B-4E24-9D62-5EFE8EEF20B5}"/>
            </c:ext>
          </c:extLst>
        </c:ser>
        <c:ser>
          <c:idx val="1"/>
          <c:order val="1"/>
          <c:tx>
            <c:strRef>
              <c:f>'PIVOT ANALYSIS'!$C$28:$C$29</c:f>
              <c:strCache>
                <c:ptCount val="1"/>
                <c:pt idx="0">
                  <c:v>Male</c:v>
                </c:pt>
              </c:strCache>
            </c:strRef>
          </c:tx>
          <c:spPr>
            <a:solidFill>
              <a:schemeClr val="accent2"/>
            </a:solidFill>
            <a:ln>
              <a:noFill/>
            </a:ln>
            <a:effectLst/>
          </c:spPr>
          <c:invertIfNegative val="0"/>
          <c:cat>
            <c:strRef>
              <c:f>'PIVOT ANALYSIS'!$A$30:$A$33</c:f>
              <c:strCache>
                <c:ptCount val="4"/>
                <c:pt idx="0">
                  <c:v>Adults</c:v>
                </c:pt>
                <c:pt idx="1">
                  <c:v>Middle Aged Adults</c:v>
                </c:pt>
                <c:pt idx="2">
                  <c:v>Senior</c:v>
                </c:pt>
                <c:pt idx="3">
                  <c:v>Young Adults</c:v>
                </c:pt>
              </c:strCache>
            </c:strRef>
          </c:cat>
          <c:val>
            <c:numRef>
              <c:f>'PIVOT ANALYSIS'!$C$30:$C$33</c:f>
              <c:numCache>
                <c:formatCode>General</c:formatCode>
                <c:ptCount val="4"/>
                <c:pt idx="0">
                  <c:v>113</c:v>
                </c:pt>
                <c:pt idx="1">
                  <c:v>198</c:v>
                </c:pt>
                <c:pt idx="2">
                  <c:v>247</c:v>
                </c:pt>
                <c:pt idx="3">
                  <c:v>124</c:v>
                </c:pt>
              </c:numCache>
            </c:numRef>
          </c:val>
          <c:extLst>
            <c:ext xmlns:c16="http://schemas.microsoft.com/office/drawing/2014/chart" uri="{C3380CC4-5D6E-409C-BE32-E72D297353CC}">
              <c16:uniqueId val="{00000005-A27B-4041-86FA-CFD1718AEAA6}"/>
            </c:ext>
          </c:extLst>
        </c:ser>
        <c:ser>
          <c:idx val="2"/>
          <c:order val="2"/>
          <c:tx>
            <c:strRef>
              <c:f>'PIVOT ANALYSIS'!$D$28:$D$29</c:f>
              <c:strCache>
                <c:ptCount val="1"/>
                <c:pt idx="0">
                  <c:v>Other</c:v>
                </c:pt>
              </c:strCache>
            </c:strRef>
          </c:tx>
          <c:spPr>
            <a:solidFill>
              <a:schemeClr val="accent3"/>
            </a:solidFill>
            <a:ln>
              <a:noFill/>
            </a:ln>
            <a:effectLst/>
          </c:spPr>
          <c:invertIfNegative val="0"/>
          <c:cat>
            <c:strRef>
              <c:f>'PIVOT ANALYSIS'!$A$30:$A$33</c:f>
              <c:strCache>
                <c:ptCount val="4"/>
                <c:pt idx="0">
                  <c:v>Adults</c:v>
                </c:pt>
                <c:pt idx="1">
                  <c:v>Middle Aged Adults</c:v>
                </c:pt>
                <c:pt idx="2">
                  <c:v>Senior</c:v>
                </c:pt>
                <c:pt idx="3">
                  <c:v>Young Adults</c:v>
                </c:pt>
              </c:strCache>
            </c:strRef>
          </c:cat>
          <c:val>
            <c:numRef>
              <c:f>'PIVOT ANALYSIS'!$D$30:$D$33</c:f>
              <c:numCache>
                <c:formatCode>General</c:formatCode>
                <c:ptCount val="4"/>
                <c:pt idx="0">
                  <c:v>121</c:v>
                </c:pt>
                <c:pt idx="1">
                  <c:v>183</c:v>
                </c:pt>
                <c:pt idx="2">
                  <c:v>249</c:v>
                </c:pt>
                <c:pt idx="3">
                  <c:v>102</c:v>
                </c:pt>
              </c:numCache>
            </c:numRef>
          </c:val>
          <c:extLst>
            <c:ext xmlns:c16="http://schemas.microsoft.com/office/drawing/2014/chart" uri="{C3380CC4-5D6E-409C-BE32-E72D297353CC}">
              <c16:uniqueId val="{00000006-A27B-4041-86FA-CFD1718AEAA6}"/>
            </c:ext>
          </c:extLst>
        </c:ser>
        <c:dLbls>
          <c:showLegendKey val="0"/>
          <c:showVal val="0"/>
          <c:showCatName val="0"/>
          <c:showSerName val="0"/>
          <c:showPercent val="0"/>
          <c:showBubbleSize val="0"/>
        </c:dLbls>
        <c:gapWidth val="182"/>
        <c:axId val="254088272"/>
        <c:axId val="282080320"/>
      </c:barChart>
      <c:catAx>
        <c:axId val="25408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80320"/>
        <c:crosses val="autoZero"/>
        <c:auto val="1"/>
        <c:lblAlgn val="ctr"/>
        <c:lblOffset val="100"/>
        <c:noMultiLvlLbl val="0"/>
      </c:catAx>
      <c:valAx>
        <c:axId val="28208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8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ANALYSIS'!$E$67</c:f>
              <c:strCache>
                <c:ptCount val="1"/>
                <c:pt idx="0">
                  <c:v>TOTAL GUEST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25-4967-A501-AFCFC1638A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25-4967-A501-AFCFC1638A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25-4967-A501-AFCFC1638A8F}"/>
              </c:ext>
            </c:extLst>
          </c:dPt>
          <c:cat>
            <c:strRef>
              <c:f>'PIVOT ANALYSIS'!$D$68:$D$70</c:f>
              <c:strCache>
                <c:ptCount val="3"/>
                <c:pt idx="0">
                  <c:v>Female</c:v>
                </c:pt>
                <c:pt idx="1">
                  <c:v>Male</c:v>
                </c:pt>
                <c:pt idx="2">
                  <c:v>Other</c:v>
                </c:pt>
              </c:strCache>
            </c:strRef>
          </c:cat>
          <c:val>
            <c:numRef>
              <c:f>'PIVOT ANALYSIS'!$E$68:$E$70</c:f>
              <c:numCache>
                <c:formatCode>General</c:formatCode>
                <c:ptCount val="3"/>
                <c:pt idx="0">
                  <c:v>663</c:v>
                </c:pt>
                <c:pt idx="1">
                  <c:v>682</c:v>
                </c:pt>
                <c:pt idx="2">
                  <c:v>655</c:v>
                </c:pt>
              </c:numCache>
            </c:numRef>
          </c:val>
          <c:extLst>
            <c:ext xmlns:c16="http://schemas.microsoft.com/office/drawing/2014/chart" uri="{C3380CC4-5D6E-409C-BE32-E72D297353CC}">
              <c16:uniqueId val="{00000000-014B-498C-99B2-DDBFC25D66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ANALYSIS'!$F$87</c:f>
              <c:strCache>
                <c:ptCount val="1"/>
                <c:pt idx="0">
                  <c:v>TOTAL GUESTS</c:v>
                </c:pt>
              </c:strCache>
            </c:strRef>
          </c:tx>
          <c:spPr>
            <a:ln w="28575" cap="rnd">
              <a:solidFill>
                <a:schemeClr val="accent1"/>
              </a:solidFill>
              <a:round/>
            </a:ln>
            <a:effectLst/>
          </c:spPr>
          <c:marker>
            <c:symbol val="none"/>
          </c:marker>
          <c:cat>
            <c:strRef>
              <c:f>'PIVOT ANALYSIS'!$E$88:$E$99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ANALYSIS'!$F$88:$F$99</c:f>
              <c:numCache>
                <c:formatCode>General</c:formatCode>
                <c:ptCount val="12"/>
                <c:pt idx="0">
                  <c:v>182</c:v>
                </c:pt>
                <c:pt idx="1">
                  <c:v>181</c:v>
                </c:pt>
                <c:pt idx="2">
                  <c:v>163</c:v>
                </c:pt>
                <c:pt idx="3">
                  <c:v>147</c:v>
                </c:pt>
                <c:pt idx="4">
                  <c:v>149</c:v>
                </c:pt>
                <c:pt idx="5">
                  <c:v>168</c:v>
                </c:pt>
                <c:pt idx="6">
                  <c:v>181</c:v>
                </c:pt>
                <c:pt idx="7">
                  <c:v>180</c:v>
                </c:pt>
                <c:pt idx="8">
                  <c:v>164</c:v>
                </c:pt>
                <c:pt idx="9">
                  <c:v>161</c:v>
                </c:pt>
                <c:pt idx="10">
                  <c:v>164</c:v>
                </c:pt>
                <c:pt idx="11">
                  <c:v>160</c:v>
                </c:pt>
              </c:numCache>
            </c:numRef>
          </c:val>
          <c:smooth val="0"/>
          <c:extLst>
            <c:ext xmlns:c16="http://schemas.microsoft.com/office/drawing/2014/chart" uri="{C3380CC4-5D6E-409C-BE32-E72D297353CC}">
              <c16:uniqueId val="{00000000-62C1-4075-B143-B710D519994F}"/>
            </c:ext>
          </c:extLst>
        </c:ser>
        <c:dLbls>
          <c:showLegendKey val="0"/>
          <c:showVal val="0"/>
          <c:showCatName val="0"/>
          <c:showSerName val="0"/>
          <c:showPercent val="0"/>
          <c:showBubbleSize val="0"/>
        </c:dLbls>
        <c:smooth val="0"/>
        <c:axId val="399820080"/>
        <c:axId val="399818640"/>
      </c:lineChart>
      <c:catAx>
        <c:axId val="39982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18640"/>
        <c:crosses val="autoZero"/>
        <c:auto val="1"/>
        <c:lblAlgn val="ctr"/>
        <c:lblOffset val="100"/>
        <c:noMultiLvlLbl val="0"/>
      </c:catAx>
      <c:valAx>
        <c:axId val="3998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2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[Guest_Feedback_Hospitality_Industry.xlsx]PIVOT ANALYSIS!BOOKING SOURCE</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doughnutChart>
        <c:varyColors val="1"/>
        <c:ser>
          <c:idx val="0"/>
          <c:order val="0"/>
          <c:tx>
            <c:strRef>
              <c:f>'PIVOT ANALYSIS'!$B$107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B2-4D1E-BB26-2A698DD62B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B2-4D1E-BB26-2A698DD62B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B2-4D1E-BB26-2A698DD62B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B2-4D1E-BB26-2A698DD62B51}"/>
              </c:ext>
            </c:extLst>
          </c:dPt>
          <c:cat>
            <c:strRef>
              <c:f>'PIVOT ANALYSIS'!$A$108:$A$111</c:f>
              <c:strCache>
                <c:ptCount val="4"/>
                <c:pt idx="0">
                  <c:v>App</c:v>
                </c:pt>
                <c:pt idx="1">
                  <c:v>Travel Agent</c:v>
                </c:pt>
                <c:pt idx="2">
                  <c:v>Walk-in</c:v>
                </c:pt>
                <c:pt idx="3">
                  <c:v>Website</c:v>
                </c:pt>
              </c:strCache>
            </c:strRef>
          </c:cat>
          <c:val>
            <c:numRef>
              <c:f>'PIVOT ANALYSIS'!$B$108:$B$111</c:f>
              <c:numCache>
                <c:formatCode>General</c:formatCode>
                <c:ptCount val="4"/>
                <c:pt idx="0">
                  <c:v>509</c:v>
                </c:pt>
                <c:pt idx="1">
                  <c:v>508</c:v>
                </c:pt>
                <c:pt idx="2">
                  <c:v>489</c:v>
                </c:pt>
                <c:pt idx="3">
                  <c:v>494</c:v>
                </c:pt>
              </c:numCache>
            </c:numRef>
          </c:val>
          <c:extLst>
            <c:ext xmlns:c16="http://schemas.microsoft.com/office/drawing/2014/chart" uri="{C3380CC4-5D6E-409C-BE32-E72D297353CC}">
              <c16:uniqueId val="{00000016-5084-4260-849A-248E4671D4D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ANALYSIS'!$E$48</c:f>
              <c:strCache>
                <c:ptCount val="1"/>
                <c:pt idx="0">
                  <c:v>TOTAL_GUESTS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CA-447F-93DD-0D3007ECC2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CA-447F-93DD-0D3007ECC2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CA-447F-93DD-0D3007ECC238}"/>
              </c:ext>
            </c:extLst>
          </c:dPt>
          <c:cat>
            <c:strRef>
              <c:f>'PIVOT ANALYSIS'!$D$49:$D$51</c:f>
              <c:strCache>
                <c:ptCount val="3"/>
                <c:pt idx="0">
                  <c:v>AVERAGE</c:v>
                </c:pt>
                <c:pt idx="1">
                  <c:v>GOOD</c:v>
                </c:pt>
                <c:pt idx="2">
                  <c:v>GREAT</c:v>
                </c:pt>
              </c:strCache>
            </c:strRef>
          </c:cat>
          <c:val>
            <c:numRef>
              <c:f>'PIVOT ANALYSIS'!$E$49:$E$51</c:f>
              <c:numCache>
                <c:formatCode>General</c:formatCode>
                <c:ptCount val="3"/>
                <c:pt idx="0">
                  <c:v>1016</c:v>
                </c:pt>
                <c:pt idx="1">
                  <c:v>36</c:v>
                </c:pt>
                <c:pt idx="2">
                  <c:v>1</c:v>
                </c:pt>
              </c:numCache>
            </c:numRef>
          </c:val>
          <c:extLst>
            <c:ext xmlns:c16="http://schemas.microsoft.com/office/drawing/2014/chart" uri="{C3380CC4-5D6E-409C-BE32-E72D297353CC}">
              <c16:uniqueId val="{00000000-F4EC-47E1-84FC-654C75ADBE6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ANALYSIS'!$E$127</c:f>
              <c:strCache>
                <c:ptCount val="1"/>
                <c:pt idx="0">
                  <c:v>Sum of Room_Cleanliness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07-4541-BF1B-A926C32A6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07-4541-BF1B-A926C32A6F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07-4541-BF1B-A926C32A6F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07-4541-BF1B-A926C32A6F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07-4541-BF1B-A926C32A6FDD}"/>
              </c:ext>
            </c:extLst>
          </c:dPt>
          <c:cat>
            <c:strRef>
              <c:f>'PIVOT ANALYSIS'!$D$128:$D$132</c:f>
              <c:strCache>
                <c:ptCount val="5"/>
                <c:pt idx="0">
                  <c:v>City Lights Hotel</c:v>
                </c:pt>
                <c:pt idx="1">
                  <c:v>Grand Heritage</c:v>
                </c:pt>
                <c:pt idx="2">
                  <c:v>Hilltop Inn</c:v>
                </c:pt>
                <c:pt idx="3">
                  <c:v>OceanView Resort</c:v>
                </c:pt>
                <c:pt idx="4">
                  <c:v>Palm Grove Stay</c:v>
                </c:pt>
              </c:strCache>
            </c:strRef>
          </c:cat>
          <c:val>
            <c:numRef>
              <c:f>'PIVOT ANALYSIS'!$E$128:$E$132</c:f>
              <c:numCache>
                <c:formatCode>General</c:formatCode>
                <c:ptCount val="5"/>
                <c:pt idx="0">
                  <c:v>1139</c:v>
                </c:pt>
                <c:pt idx="1">
                  <c:v>1261</c:v>
                </c:pt>
                <c:pt idx="2">
                  <c:v>1190</c:v>
                </c:pt>
                <c:pt idx="3">
                  <c:v>1108</c:v>
                </c:pt>
                <c:pt idx="4">
                  <c:v>1275</c:v>
                </c:pt>
              </c:numCache>
            </c:numRef>
          </c:val>
          <c:extLst>
            <c:ext xmlns:c16="http://schemas.microsoft.com/office/drawing/2014/chart" uri="{C3380CC4-5D6E-409C-BE32-E72D297353CC}">
              <c16:uniqueId val="{00000000-D893-4DC0-A592-B008BD9650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ANALYSIS'!$E$149</c:f>
              <c:strCache>
                <c:ptCount val="1"/>
                <c:pt idx="0">
                  <c:v>Sum of Safety_Measures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C9-40A4-80B4-F0775EBEB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C9-40A4-80B4-F0775EBEB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C9-40A4-80B4-F0775EBEB7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C9-40A4-80B4-F0775EBEB7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C9-40A4-80B4-F0775EBEB736}"/>
              </c:ext>
            </c:extLst>
          </c:dPt>
          <c:cat>
            <c:strRef>
              <c:f>'PIVOT ANALYSIS'!$D$150:$D$154</c:f>
              <c:strCache>
                <c:ptCount val="5"/>
                <c:pt idx="0">
                  <c:v>City Lights Hotel</c:v>
                </c:pt>
                <c:pt idx="1">
                  <c:v>Grand Heritage</c:v>
                </c:pt>
                <c:pt idx="2">
                  <c:v>Hilltop Inn</c:v>
                </c:pt>
                <c:pt idx="3">
                  <c:v>OceanView Resort</c:v>
                </c:pt>
                <c:pt idx="4">
                  <c:v>Palm Grove Stay</c:v>
                </c:pt>
              </c:strCache>
            </c:strRef>
          </c:cat>
          <c:val>
            <c:numRef>
              <c:f>'PIVOT ANALYSIS'!$E$150:$E$154</c:f>
              <c:numCache>
                <c:formatCode>General</c:formatCode>
                <c:ptCount val="5"/>
                <c:pt idx="0">
                  <c:v>1159</c:v>
                </c:pt>
                <c:pt idx="1">
                  <c:v>1211</c:v>
                </c:pt>
                <c:pt idx="2">
                  <c:v>1162</c:v>
                </c:pt>
                <c:pt idx="3">
                  <c:v>1109</c:v>
                </c:pt>
                <c:pt idx="4">
                  <c:v>1320</c:v>
                </c:pt>
              </c:numCache>
            </c:numRef>
          </c:val>
          <c:extLst>
            <c:ext xmlns:c16="http://schemas.microsoft.com/office/drawing/2014/chart" uri="{C3380CC4-5D6E-409C-BE32-E72D297353CC}">
              <c16:uniqueId val="{00000000-6656-4FFF-BD56-A6E5B39C7D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ANALYSIS'!$E$169</c:f>
              <c:strCache>
                <c:ptCount val="1"/>
                <c:pt idx="0">
                  <c:v>Sum of Food_Quality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69-4B7A-B757-D5979B5E18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69-4B7A-B757-D5979B5E18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69-4B7A-B757-D5979B5E18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69-4B7A-B757-D5979B5E18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69-4B7A-B757-D5979B5E182B}"/>
              </c:ext>
            </c:extLst>
          </c:dPt>
          <c:cat>
            <c:strRef>
              <c:f>'PIVOT ANALYSIS'!$D$170:$D$174</c:f>
              <c:strCache>
                <c:ptCount val="5"/>
                <c:pt idx="0">
                  <c:v>City Lights Hotel</c:v>
                </c:pt>
                <c:pt idx="1">
                  <c:v>Grand Heritage</c:v>
                </c:pt>
                <c:pt idx="2">
                  <c:v>Hilltop Inn</c:v>
                </c:pt>
                <c:pt idx="3">
                  <c:v>OceanView Resort</c:v>
                </c:pt>
                <c:pt idx="4">
                  <c:v>Palm Grove Stay</c:v>
                </c:pt>
              </c:strCache>
            </c:strRef>
          </c:cat>
          <c:val>
            <c:numRef>
              <c:f>'PIVOT ANALYSIS'!$E$170:$E$174</c:f>
              <c:numCache>
                <c:formatCode>General</c:formatCode>
                <c:ptCount val="5"/>
                <c:pt idx="0">
                  <c:v>1164</c:v>
                </c:pt>
                <c:pt idx="1">
                  <c:v>1287</c:v>
                </c:pt>
                <c:pt idx="2">
                  <c:v>1212</c:v>
                </c:pt>
                <c:pt idx="3">
                  <c:v>1106</c:v>
                </c:pt>
                <c:pt idx="4">
                  <c:v>1255</c:v>
                </c:pt>
              </c:numCache>
            </c:numRef>
          </c:val>
          <c:extLst>
            <c:ext xmlns:c16="http://schemas.microsoft.com/office/drawing/2014/chart" uri="{C3380CC4-5D6E-409C-BE32-E72D297353CC}">
              <c16:uniqueId val="{00000000-854E-4C10-9661-7726BDC54F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ANALYSIS'!$E$191</c:f>
              <c:strCache>
                <c:ptCount val="1"/>
                <c:pt idx="0">
                  <c:v>Sum of Amenities_Satisfaction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0-46DA-BEDD-95BFE5DF6D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0-46DA-BEDD-95BFE5DF6D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0-46DA-BEDD-95BFE5DF6D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A0-46DA-BEDD-95BFE5DF6D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A0-46DA-BEDD-95BFE5DF6D87}"/>
              </c:ext>
            </c:extLst>
          </c:dPt>
          <c:cat>
            <c:strRef>
              <c:f>'PIVOT ANALYSIS'!$D$192:$D$196</c:f>
              <c:strCache>
                <c:ptCount val="5"/>
                <c:pt idx="0">
                  <c:v>City Lights Hotel</c:v>
                </c:pt>
                <c:pt idx="1">
                  <c:v>Grand Heritage</c:v>
                </c:pt>
                <c:pt idx="2">
                  <c:v>Hilltop Inn</c:v>
                </c:pt>
                <c:pt idx="3">
                  <c:v>OceanView Resort</c:v>
                </c:pt>
                <c:pt idx="4">
                  <c:v>Palm Grove Stay</c:v>
                </c:pt>
              </c:strCache>
            </c:strRef>
          </c:cat>
          <c:val>
            <c:numRef>
              <c:f>'PIVOT ANALYSIS'!$E$192:$E$196</c:f>
              <c:numCache>
                <c:formatCode>General</c:formatCode>
                <c:ptCount val="5"/>
                <c:pt idx="0">
                  <c:v>1114</c:v>
                </c:pt>
                <c:pt idx="1">
                  <c:v>1284</c:v>
                </c:pt>
                <c:pt idx="2">
                  <c:v>1212</c:v>
                </c:pt>
                <c:pt idx="3">
                  <c:v>1098</c:v>
                </c:pt>
                <c:pt idx="4">
                  <c:v>1277</c:v>
                </c:pt>
              </c:numCache>
            </c:numRef>
          </c:val>
          <c:extLst>
            <c:ext xmlns:c16="http://schemas.microsoft.com/office/drawing/2014/chart" uri="{C3380CC4-5D6E-409C-BE32-E72D297353CC}">
              <c16:uniqueId val="{00000000-EF55-4169-A68A-C789D127D0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ANALYSIS'!$F$213</c:f>
              <c:strCache>
                <c:ptCount val="1"/>
                <c:pt idx="0">
                  <c:v>No</c:v>
                </c:pt>
              </c:strCache>
            </c:strRef>
          </c:tx>
          <c:spPr>
            <a:solidFill>
              <a:schemeClr val="accent1"/>
            </a:solidFill>
            <a:ln>
              <a:noFill/>
            </a:ln>
            <a:effectLst/>
          </c:spPr>
          <c:invertIfNegative val="0"/>
          <c:cat>
            <c:strRef>
              <c:f>'PIVOT ANALYSIS'!$E$214:$E$218</c:f>
              <c:strCache>
                <c:ptCount val="5"/>
                <c:pt idx="0">
                  <c:v>Business</c:v>
                </c:pt>
                <c:pt idx="1">
                  <c:v>Conference</c:v>
                </c:pt>
                <c:pt idx="2">
                  <c:v>Leisure</c:v>
                </c:pt>
                <c:pt idx="3">
                  <c:v>Other</c:v>
                </c:pt>
                <c:pt idx="4">
                  <c:v>Transit</c:v>
                </c:pt>
              </c:strCache>
            </c:strRef>
          </c:cat>
          <c:val>
            <c:numRef>
              <c:f>'PIVOT ANALYSIS'!$F$214:$F$218</c:f>
              <c:numCache>
                <c:formatCode>General</c:formatCode>
                <c:ptCount val="5"/>
                <c:pt idx="0">
                  <c:v>172</c:v>
                </c:pt>
                <c:pt idx="1">
                  <c:v>191</c:v>
                </c:pt>
                <c:pt idx="2">
                  <c:v>192</c:v>
                </c:pt>
                <c:pt idx="3">
                  <c:v>216</c:v>
                </c:pt>
                <c:pt idx="4">
                  <c:v>219</c:v>
                </c:pt>
              </c:numCache>
            </c:numRef>
          </c:val>
          <c:extLst>
            <c:ext xmlns:c16="http://schemas.microsoft.com/office/drawing/2014/chart" uri="{C3380CC4-5D6E-409C-BE32-E72D297353CC}">
              <c16:uniqueId val="{00000000-E806-4575-8EF7-195980F22FC3}"/>
            </c:ext>
          </c:extLst>
        </c:ser>
        <c:ser>
          <c:idx val="1"/>
          <c:order val="1"/>
          <c:tx>
            <c:strRef>
              <c:f>'PIVOT ANALYSIS'!$G$213</c:f>
              <c:strCache>
                <c:ptCount val="1"/>
                <c:pt idx="0">
                  <c:v>Yes</c:v>
                </c:pt>
              </c:strCache>
            </c:strRef>
          </c:tx>
          <c:spPr>
            <a:solidFill>
              <a:schemeClr val="accent2"/>
            </a:solidFill>
            <a:ln>
              <a:noFill/>
            </a:ln>
            <a:effectLst/>
          </c:spPr>
          <c:invertIfNegative val="0"/>
          <c:cat>
            <c:strRef>
              <c:f>'PIVOT ANALYSIS'!$E$214:$E$218</c:f>
              <c:strCache>
                <c:ptCount val="5"/>
                <c:pt idx="0">
                  <c:v>Business</c:v>
                </c:pt>
                <c:pt idx="1">
                  <c:v>Conference</c:v>
                </c:pt>
                <c:pt idx="2">
                  <c:v>Leisure</c:v>
                </c:pt>
                <c:pt idx="3">
                  <c:v>Other</c:v>
                </c:pt>
                <c:pt idx="4">
                  <c:v>Transit</c:v>
                </c:pt>
              </c:strCache>
            </c:strRef>
          </c:cat>
          <c:val>
            <c:numRef>
              <c:f>'PIVOT ANALYSIS'!$G$214:$G$218</c:f>
              <c:numCache>
                <c:formatCode>General</c:formatCode>
                <c:ptCount val="5"/>
                <c:pt idx="0">
                  <c:v>202</c:v>
                </c:pt>
                <c:pt idx="1">
                  <c:v>178</c:v>
                </c:pt>
                <c:pt idx="2">
                  <c:v>223</c:v>
                </c:pt>
                <c:pt idx="3">
                  <c:v>219</c:v>
                </c:pt>
                <c:pt idx="4">
                  <c:v>188</c:v>
                </c:pt>
              </c:numCache>
            </c:numRef>
          </c:val>
          <c:extLst>
            <c:ext xmlns:c16="http://schemas.microsoft.com/office/drawing/2014/chart" uri="{C3380CC4-5D6E-409C-BE32-E72D297353CC}">
              <c16:uniqueId val="{00000001-E806-4575-8EF7-195980F22FC3}"/>
            </c:ext>
          </c:extLst>
        </c:ser>
        <c:dLbls>
          <c:showLegendKey val="0"/>
          <c:showVal val="0"/>
          <c:showCatName val="0"/>
          <c:showSerName val="0"/>
          <c:showPercent val="0"/>
          <c:showBubbleSize val="0"/>
        </c:dLbls>
        <c:gapWidth val="219"/>
        <c:overlap val="-27"/>
        <c:axId val="437146255"/>
        <c:axId val="437146735"/>
      </c:barChart>
      <c:catAx>
        <c:axId val="4371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46735"/>
        <c:crosses val="autoZero"/>
        <c:auto val="1"/>
        <c:lblAlgn val="ctr"/>
        <c:lblOffset val="100"/>
        <c:noMultiLvlLbl val="0"/>
      </c:catAx>
      <c:valAx>
        <c:axId val="43714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3200" b="1">
                <a:solidFill>
                  <a:schemeClr val="tx1"/>
                </a:solidFill>
              </a:rPr>
              <a:t>HOTEL</a:t>
            </a:r>
            <a:r>
              <a:rPr lang="en-US" sz="3200" b="1" baseline="0">
                <a:solidFill>
                  <a:schemeClr val="tx1"/>
                </a:solidFill>
              </a:rPr>
              <a:t> WISE TOTAL GUESTS</a:t>
            </a:r>
            <a:endParaRPr lang="en-US" sz="3200" b="1">
              <a:solidFill>
                <a:schemeClr val="tx1"/>
              </a:solidFill>
            </a:endParaRP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ANALYSIS'!$E$10</c:f>
              <c:strCache>
                <c:ptCount val="1"/>
                <c:pt idx="0">
                  <c:v>TOTAL_GUESTS</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D3C1-4ECC-AAF7-7B78E326AEAE}"/>
              </c:ext>
            </c:extLst>
          </c:dPt>
          <c:dPt>
            <c:idx val="1"/>
            <c:invertIfNegative val="0"/>
            <c:bubble3D val="0"/>
            <c:spPr>
              <a:solidFill>
                <a:srgbClr val="FFFF00"/>
              </a:solidFill>
              <a:ln>
                <a:noFill/>
              </a:ln>
              <a:effectLst/>
            </c:spPr>
            <c:extLst>
              <c:ext xmlns:c16="http://schemas.microsoft.com/office/drawing/2014/chart" uri="{C3380CC4-5D6E-409C-BE32-E72D297353CC}">
                <c16:uniqueId val="{00000002-D3C1-4ECC-AAF7-7B78E326AEAE}"/>
              </c:ext>
            </c:extLst>
          </c:dPt>
          <c:dPt>
            <c:idx val="2"/>
            <c:invertIfNegative val="0"/>
            <c:bubble3D val="0"/>
            <c:spPr>
              <a:solidFill>
                <a:srgbClr val="7030A0"/>
              </a:solidFill>
              <a:ln>
                <a:noFill/>
              </a:ln>
              <a:effectLst/>
            </c:spPr>
            <c:extLst>
              <c:ext xmlns:c16="http://schemas.microsoft.com/office/drawing/2014/chart" uri="{C3380CC4-5D6E-409C-BE32-E72D297353CC}">
                <c16:uniqueId val="{00000003-D3C1-4ECC-AAF7-7B78E326AEAE}"/>
              </c:ext>
            </c:extLst>
          </c:dPt>
          <c:dPt>
            <c:idx val="3"/>
            <c:invertIfNegative val="0"/>
            <c:bubble3D val="0"/>
            <c:spPr>
              <a:solidFill>
                <a:srgbClr val="FF0000"/>
              </a:solidFill>
              <a:ln>
                <a:noFill/>
              </a:ln>
              <a:effectLst/>
            </c:spPr>
            <c:extLst>
              <c:ext xmlns:c16="http://schemas.microsoft.com/office/drawing/2014/chart" uri="{C3380CC4-5D6E-409C-BE32-E72D297353CC}">
                <c16:uniqueId val="{00000004-D3C1-4ECC-AAF7-7B78E326AEAE}"/>
              </c:ext>
            </c:extLst>
          </c:dPt>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ANALYSIS'!$D$11:$D$15</c:f>
              <c:strCache>
                <c:ptCount val="5"/>
                <c:pt idx="0">
                  <c:v>Palm Grove Stay</c:v>
                </c:pt>
                <c:pt idx="1">
                  <c:v>Grand Heritage</c:v>
                </c:pt>
                <c:pt idx="2">
                  <c:v>Hilltop Inn</c:v>
                </c:pt>
                <c:pt idx="3">
                  <c:v>City Lights Hotel</c:v>
                </c:pt>
                <c:pt idx="4">
                  <c:v>OceanView Resort</c:v>
                </c:pt>
              </c:strCache>
            </c:strRef>
          </c:cat>
          <c:val>
            <c:numRef>
              <c:f>'PIVOT ANALYSIS'!$E$11:$E$15</c:f>
              <c:numCache>
                <c:formatCode>General</c:formatCode>
                <c:ptCount val="5"/>
                <c:pt idx="0">
                  <c:v>434</c:v>
                </c:pt>
                <c:pt idx="1">
                  <c:v>411</c:v>
                </c:pt>
                <c:pt idx="2">
                  <c:v>403</c:v>
                </c:pt>
                <c:pt idx="3">
                  <c:v>380</c:v>
                </c:pt>
                <c:pt idx="4">
                  <c:v>372</c:v>
                </c:pt>
              </c:numCache>
            </c:numRef>
          </c:val>
          <c:extLst>
            <c:ext xmlns:c16="http://schemas.microsoft.com/office/drawing/2014/chart" uri="{C3380CC4-5D6E-409C-BE32-E72D297353CC}">
              <c16:uniqueId val="{00000000-D3C1-4ECC-AAF7-7B78E326AEAE}"/>
            </c:ext>
          </c:extLst>
        </c:ser>
        <c:dLbls>
          <c:dLblPos val="outEnd"/>
          <c:showLegendKey val="0"/>
          <c:showVal val="1"/>
          <c:showCatName val="0"/>
          <c:showSerName val="0"/>
          <c:showPercent val="0"/>
          <c:showBubbleSize val="0"/>
        </c:dLbls>
        <c:gapWidth val="219"/>
        <c:axId val="738429040"/>
        <c:axId val="738429520"/>
      </c:barChart>
      <c:catAx>
        <c:axId val="7384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738429520"/>
        <c:crosses val="autoZero"/>
        <c:auto val="1"/>
        <c:lblAlgn val="ctr"/>
        <c:lblOffset val="100"/>
        <c:noMultiLvlLbl val="0"/>
      </c:catAx>
      <c:valAx>
        <c:axId val="7384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7384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D6D"/>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31093958082827E-2"/>
          <c:y val="9.1384812693867792E-2"/>
          <c:w val="0.85258798469156871"/>
          <c:h val="0.90861511467246836"/>
        </c:manualLayout>
      </c:layout>
      <c:pieChart>
        <c:varyColors val="1"/>
        <c:ser>
          <c:idx val="0"/>
          <c:order val="0"/>
          <c:tx>
            <c:strRef>
              <c:f>'QUALITY ANALYSIS'!$F$3</c:f>
              <c:strCache>
                <c:ptCount val="1"/>
                <c:pt idx="0">
                  <c:v>FOOD_QUALITY</c:v>
                </c:pt>
              </c:strCache>
            </c:strRef>
          </c:tx>
          <c:spPr>
            <a:ln>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plosion val="5"/>
          <c:dPt>
            <c:idx val="0"/>
            <c:bubble3D val="0"/>
            <c:spPr>
              <a:solidFill>
                <a:srgbClr val="00B0F0"/>
              </a:solidFill>
              <a:ln w="19050">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tLst>
              <c:ext xmlns:c16="http://schemas.microsoft.com/office/drawing/2014/chart" uri="{C3380CC4-5D6E-409C-BE32-E72D297353CC}">
                <c16:uniqueId val="{00000001-8C62-4568-90F1-7CBD920CF07B}"/>
              </c:ext>
            </c:extLst>
          </c:dPt>
          <c:dPt>
            <c:idx val="1"/>
            <c:bubble3D val="0"/>
            <c:spPr>
              <a:solidFill>
                <a:schemeClr val="accent2">
                  <a:lumMod val="75000"/>
                </a:schemeClr>
              </a:solidFill>
              <a:ln w="19050">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tLst>
              <c:ext xmlns:c16="http://schemas.microsoft.com/office/drawing/2014/chart" uri="{C3380CC4-5D6E-409C-BE32-E72D297353CC}">
                <c16:uniqueId val="{00000003-8C62-4568-90F1-7CBD920CF07B}"/>
              </c:ext>
            </c:extLst>
          </c:dPt>
          <c:dPt>
            <c:idx val="2"/>
            <c:bubble3D val="0"/>
            <c:spPr>
              <a:solidFill>
                <a:srgbClr val="FF0000"/>
              </a:solidFill>
              <a:ln w="19050">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tLst>
              <c:ext xmlns:c16="http://schemas.microsoft.com/office/drawing/2014/chart" uri="{C3380CC4-5D6E-409C-BE32-E72D297353CC}">
                <c16:uniqueId val="{00000005-8C62-4568-90F1-7CBD920CF07B}"/>
              </c:ext>
            </c:extLst>
          </c:dPt>
          <c:dPt>
            <c:idx val="3"/>
            <c:bubble3D val="0"/>
            <c:spPr>
              <a:solidFill>
                <a:srgbClr val="92D050"/>
              </a:solidFill>
              <a:ln w="19050">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tLst>
              <c:ext xmlns:c16="http://schemas.microsoft.com/office/drawing/2014/chart" uri="{C3380CC4-5D6E-409C-BE32-E72D297353CC}">
                <c16:uniqueId val="{00000007-8C62-4568-90F1-7CBD920CF07B}"/>
              </c:ext>
            </c:extLst>
          </c:dPt>
          <c:dPt>
            <c:idx val="4"/>
            <c:bubble3D val="0"/>
            <c:spPr>
              <a:solidFill>
                <a:srgbClr val="FFFF00"/>
              </a:solidFill>
              <a:ln w="19050">
                <a:solidFill>
                  <a:schemeClr val="tx1"/>
                </a:solidFill>
              </a:ln>
              <a:effectLst>
                <a:softEdge rad="0"/>
              </a:effectLst>
              <a:scene3d>
                <a:camera prst="orthographicFront"/>
                <a:lightRig rig="freezing" dir="t">
                  <a:rot lat="0" lon="0" rev="2400000"/>
                </a:lightRig>
              </a:scene3d>
              <a:sp3d prstMaterial="dkEdge">
                <a:bevelT w="120650" h="127000" prst="relaxedInset"/>
                <a:bevelB w="107950"/>
              </a:sp3d>
            </c:spPr>
            <c:extLst>
              <c:ext xmlns:c16="http://schemas.microsoft.com/office/drawing/2014/chart" uri="{C3380CC4-5D6E-409C-BE32-E72D297353CC}">
                <c16:uniqueId val="{00000009-8C62-4568-90F1-7CBD920CF07B}"/>
              </c:ext>
            </c:extLst>
          </c:dPt>
          <c:dLbls>
            <c:spPr>
              <a:solidFill>
                <a:schemeClr val="accent2"/>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ANALYSIS'!$E$4:$E$8</c:f>
              <c:strCache>
                <c:ptCount val="5"/>
                <c:pt idx="0">
                  <c:v>City Lights Hotel</c:v>
                </c:pt>
                <c:pt idx="1">
                  <c:v>Grand Heritage</c:v>
                </c:pt>
                <c:pt idx="2">
                  <c:v>Hilltop Inn</c:v>
                </c:pt>
                <c:pt idx="3">
                  <c:v>OceanView Resort</c:v>
                </c:pt>
                <c:pt idx="4">
                  <c:v>Palm Grove Stay</c:v>
                </c:pt>
              </c:strCache>
            </c:strRef>
          </c:cat>
          <c:val>
            <c:numRef>
              <c:f>'QUALITY ANALYSIS'!$F$4:$F$8</c:f>
              <c:numCache>
                <c:formatCode>0%</c:formatCode>
                <c:ptCount val="5"/>
                <c:pt idx="0">
                  <c:v>0.19322709163346613</c:v>
                </c:pt>
                <c:pt idx="1">
                  <c:v>0.21364541832669323</c:v>
                </c:pt>
                <c:pt idx="2">
                  <c:v>0.20119521912350596</c:v>
                </c:pt>
                <c:pt idx="3">
                  <c:v>0.18359893758300133</c:v>
                </c:pt>
                <c:pt idx="4">
                  <c:v>0.20833333333333334</c:v>
                </c:pt>
              </c:numCache>
            </c:numRef>
          </c:val>
          <c:extLst>
            <c:ext xmlns:c16="http://schemas.microsoft.com/office/drawing/2014/chart" uri="{C3380CC4-5D6E-409C-BE32-E72D297353CC}">
              <c16:uniqueId val="{0000000A-8C62-4568-90F1-7CBD920CF07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93396898823506E-2"/>
          <c:y val="4.100538339965569E-2"/>
          <c:w val="0.89262079028345609"/>
          <c:h val="0.94585817534695704"/>
        </c:manualLayout>
      </c:layout>
      <c:pieChart>
        <c:varyColors val="1"/>
        <c:ser>
          <c:idx val="0"/>
          <c:order val="0"/>
          <c:tx>
            <c:strRef>
              <c:f>'QUALITY ANALYSIS'!$F$11</c:f>
              <c:strCache>
                <c:ptCount val="1"/>
                <c:pt idx="0">
                  <c:v>SAFETY MEASURES</c:v>
                </c:pt>
              </c:strCache>
            </c:strRef>
          </c:tx>
          <c:spPr>
            <a:ln>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plosion val="5"/>
          <c:dPt>
            <c:idx val="0"/>
            <c:bubble3D val="0"/>
            <c:spPr>
              <a:solidFill>
                <a:srgbClr val="00B0F0"/>
              </a:solidFill>
              <a:ln w="19050">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tLst>
              <c:ext xmlns:c16="http://schemas.microsoft.com/office/drawing/2014/chart" uri="{C3380CC4-5D6E-409C-BE32-E72D297353CC}">
                <c16:uniqueId val="{00000001-BA53-4792-BCD4-CF6100F0378B}"/>
              </c:ext>
            </c:extLst>
          </c:dPt>
          <c:dPt>
            <c:idx val="1"/>
            <c:bubble3D val="0"/>
            <c:spPr>
              <a:solidFill>
                <a:schemeClr val="accent2">
                  <a:lumMod val="75000"/>
                </a:schemeClr>
              </a:solidFill>
              <a:ln w="19050">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tLst>
              <c:ext xmlns:c16="http://schemas.microsoft.com/office/drawing/2014/chart" uri="{C3380CC4-5D6E-409C-BE32-E72D297353CC}">
                <c16:uniqueId val="{00000003-BA53-4792-BCD4-CF6100F0378B}"/>
              </c:ext>
            </c:extLst>
          </c:dPt>
          <c:dPt>
            <c:idx val="2"/>
            <c:bubble3D val="0"/>
            <c:spPr>
              <a:solidFill>
                <a:srgbClr val="FF0000"/>
              </a:solidFill>
              <a:ln w="19050">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tLst>
              <c:ext xmlns:c16="http://schemas.microsoft.com/office/drawing/2014/chart" uri="{C3380CC4-5D6E-409C-BE32-E72D297353CC}">
                <c16:uniqueId val="{00000005-BA53-4792-BCD4-CF6100F0378B}"/>
              </c:ext>
            </c:extLst>
          </c:dPt>
          <c:dPt>
            <c:idx val="3"/>
            <c:bubble3D val="0"/>
            <c:spPr>
              <a:solidFill>
                <a:srgbClr val="93FE1E"/>
              </a:solidFill>
              <a:ln w="19050">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tLst>
              <c:ext xmlns:c16="http://schemas.microsoft.com/office/drawing/2014/chart" uri="{C3380CC4-5D6E-409C-BE32-E72D297353CC}">
                <c16:uniqueId val="{00000007-BA53-4792-BCD4-CF6100F0378B}"/>
              </c:ext>
            </c:extLst>
          </c:dPt>
          <c:dPt>
            <c:idx val="4"/>
            <c:bubble3D val="0"/>
            <c:spPr>
              <a:solidFill>
                <a:srgbClr val="92D050"/>
              </a:solidFill>
              <a:ln w="19050">
                <a:solidFill>
                  <a:schemeClr val="tx1"/>
                </a:solidFill>
              </a:ln>
              <a:effectLst>
                <a:glow rad="127000">
                  <a:schemeClr val="bg1"/>
                </a:glow>
              </a:effectLst>
              <a:scene3d>
                <a:camera prst="orthographicFront"/>
                <a:lightRig rig="freezing" dir="t">
                  <a:rot lat="0" lon="0" rev="2400000"/>
                </a:lightRig>
              </a:scene3d>
              <a:sp3d prstMaterial="softEdge">
                <a:bevelT w="120650" h="127000" prst="relaxedInset"/>
                <a:bevelB w="101600" h="82550"/>
              </a:sp3d>
            </c:spPr>
            <c:extLst>
              <c:ext xmlns:c16="http://schemas.microsoft.com/office/drawing/2014/chart" uri="{C3380CC4-5D6E-409C-BE32-E72D297353CC}">
                <c16:uniqueId val="{00000009-BA53-4792-BCD4-CF6100F0378B}"/>
              </c:ext>
            </c:extLst>
          </c:dPt>
          <c:dLbls>
            <c:spPr>
              <a:solidFill>
                <a:schemeClr val="accent2"/>
              </a:solidFill>
              <a:ln>
                <a:noFill/>
              </a:ln>
              <a:effectLst/>
            </c:spPr>
            <c:txPr>
              <a:bodyPr rot="0" spcFirstLastPara="1" vertOverflow="ellipsis" vert="horz" wrap="square" anchor="ctr" anchorCtr="1"/>
              <a:lstStyle/>
              <a:p>
                <a:pPr>
                  <a:defRPr lang="en-US" sz="2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ANALYSIS'!$E$12:$E$16</c:f>
              <c:strCache>
                <c:ptCount val="5"/>
                <c:pt idx="0">
                  <c:v>City Lights Hotel</c:v>
                </c:pt>
                <c:pt idx="1">
                  <c:v>Grand Heritage</c:v>
                </c:pt>
                <c:pt idx="2">
                  <c:v>Hilltop Inn</c:v>
                </c:pt>
                <c:pt idx="3">
                  <c:v>OceanView Resort</c:v>
                </c:pt>
                <c:pt idx="4">
                  <c:v>Palm Grove Stay</c:v>
                </c:pt>
              </c:strCache>
            </c:strRef>
          </c:cat>
          <c:val>
            <c:numRef>
              <c:f>'QUALITY ANALYSIS'!$F$12:$F$16</c:f>
              <c:numCache>
                <c:formatCode>0%</c:formatCode>
                <c:ptCount val="5"/>
                <c:pt idx="0">
                  <c:v>0.19443046468713304</c:v>
                </c:pt>
                <c:pt idx="1">
                  <c:v>0.2031538332494548</c:v>
                </c:pt>
                <c:pt idx="2">
                  <c:v>0.19493373595034391</c:v>
                </c:pt>
                <c:pt idx="3">
                  <c:v>0.18604261030028518</c:v>
                </c:pt>
                <c:pt idx="4">
                  <c:v>0.2214393558127831</c:v>
                </c:pt>
              </c:numCache>
            </c:numRef>
          </c:val>
          <c:extLst>
            <c:ext xmlns:c16="http://schemas.microsoft.com/office/drawing/2014/chart" uri="{C3380CC4-5D6E-409C-BE32-E72D297353CC}">
              <c16:uniqueId val="{0000000A-BA53-4792-BCD4-CF6100F0378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58456534042282"/>
          <c:y val="9.4162087896521723E-2"/>
          <c:w val="0.80398646303763599"/>
          <c:h val="0.8738792326964957"/>
        </c:manualLayout>
      </c:layout>
      <c:pieChart>
        <c:varyColors val="1"/>
        <c:ser>
          <c:idx val="0"/>
          <c:order val="0"/>
          <c:tx>
            <c:strRef>
              <c:f>'QUALITY ANALYSIS'!$F$20</c:f>
              <c:strCache>
                <c:ptCount val="1"/>
                <c:pt idx="0">
                  <c:v>ROOM_CLEANLINESS</c:v>
                </c:pt>
              </c:strCache>
            </c:strRef>
          </c:tx>
          <c:spPr>
            <a:scene3d>
              <a:camera prst="orthographicFront"/>
              <a:lightRig rig="freezing" dir="t">
                <a:rot lat="0" lon="0" rev="1200000"/>
              </a:lightRig>
            </a:scene3d>
            <a:sp3d prstMaterial="dkEdge">
              <a:bevelT w="120650" h="127000" prst="relaxedInset"/>
              <a:bevelB w="114300" h="133350" prst="angle"/>
            </a:sp3d>
          </c:spPr>
          <c:explosion val="5"/>
          <c:dPt>
            <c:idx val="0"/>
            <c:bubble3D val="0"/>
            <c:spPr>
              <a:solidFill>
                <a:srgbClr val="92D050"/>
              </a:solidFill>
              <a:ln w="19050">
                <a:solidFill>
                  <a:schemeClr val="lt1"/>
                </a:solidFill>
              </a:ln>
              <a:effectLst/>
              <a:scene3d>
                <a:camera prst="orthographicFront"/>
                <a:lightRig rig="freezing" dir="t">
                  <a:rot lat="0" lon="0" rev="1200000"/>
                </a:lightRig>
              </a:scene3d>
              <a:sp3d prstMaterial="dkEdge">
                <a:bevelT w="120650" h="127000" prst="relaxedInset"/>
                <a:bevelB w="114300" h="133350" prst="angle"/>
              </a:sp3d>
            </c:spPr>
            <c:extLst>
              <c:ext xmlns:c16="http://schemas.microsoft.com/office/drawing/2014/chart" uri="{C3380CC4-5D6E-409C-BE32-E72D297353CC}">
                <c16:uniqueId val="{00000001-5497-4C33-A922-3117F1EF198E}"/>
              </c:ext>
            </c:extLst>
          </c:dPt>
          <c:dPt>
            <c:idx val="1"/>
            <c:bubble3D val="0"/>
            <c:spPr>
              <a:solidFill>
                <a:schemeClr val="accent2">
                  <a:lumMod val="75000"/>
                </a:schemeClr>
              </a:solidFill>
              <a:ln w="19050">
                <a:solidFill>
                  <a:schemeClr val="lt1"/>
                </a:solidFill>
              </a:ln>
              <a:effectLst/>
              <a:scene3d>
                <a:camera prst="orthographicFront"/>
                <a:lightRig rig="freezing" dir="t">
                  <a:rot lat="0" lon="0" rev="1200000"/>
                </a:lightRig>
              </a:scene3d>
              <a:sp3d prstMaterial="dkEdge">
                <a:bevelT w="120650" h="127000" prst="relaxedInset"/>
                <a:bevelB w="114300" h="133350" prst="angle"/>
              </a:sp3d>
            </c:spPr>
            <c:extLst>
              <c:ext xmlns:c16="http://schemas.microsoft.com/office/drawing/2014/chart" uri="{C3380CC4-5D6E-409C-BE32-E72D297353CC}">
                <c16:uniqueId val="{00000003-5497-4C33-A922-3117F1EF198E}"/>
              </c:ext>
            </c:extLst>
          </c:dPt>
          <c:dPt>
            <c:idx val="2"/>
            <c:bubble3D val="0"/>
            <c:spPr>
              <a:solidFill>
                <a:srgbClr val="FF0000"/>
              </a:solidFill>
              <a:ln w="19050">
                <a:solidFill>
                  <a:schemeClr val="lt1"/>
                </a:solidFill>
              </a:ln>
              <a:effectLst/>
              <a:scene3d>
                <a:camera prst="orthographicFront"/>
                <a:lightRig rig="freezing" dir="t">
                  <a:rot lat="0" lon="0" rev="1200000"/>
                </a:lightRig>
              </a:scene3d>
              <a:sp3d prstMaterial="dkEdge">
                <a:bevelT w="120650" h="127000" prst="relaxedInset"/>
                <a:bevelB w="114300" h="133350" prst="angle"/>
              </a:sp3d>
            </c:spPr>
            <c:extLst>
              <c:ext xmlns:c16="http://schemas.microsoft.com/office/drawing/2014/chart" uri="{C3380CC4-5D6E-409C-BE32-E72D297353CC}">
                <c16:uniqueId val="{00000005-5497-4C33-A922-3117F1EF198E}"/>
              </c:ext>
            </c:extLst>
          </c:dPt>
          <c:dPt>
            <c:idx val="3"/>
            <c:bubble3D val="0"/>
            <c:spPr>
              <a:solidFill>
                <a:schemeClr val="accent4"/>
              </a:solidFill>
              <a:ln w="19050">
                <a:solidFill>
                  <a:schemeClr val="lt1"/>
                </a:solidFill>
              </a:ln>
              <a:effectLst/>
              <a:scene3d>
                <a:camera prst="orthographicFront"/>
                <a:lightRig rig="freezing" dir="t">
                  <a:rot lat="0" lon="0" rev="1200000"/>
                </a:lightRig>
              </a:scene3d>
              <a:sp3d prstMaterial="dkEdge">
                <a:bevelT w="120650" h="127000" prst="relaxedInset"/>
                <a:bevelB w="114300" h="133350" prst="angle"/>
              </a:sp3d>
            </c:spPr>
            <c:extLst>
              <c:ext xmlns:c16="http://schemas.microsoft.com/office/drawing/2014/chart" uri="{C3380CC4-5D6E-409C-BE32-E72D297353CC}">
                <c16:uniqueId val="{00000007-5497-4C33-A922-3117F1EF198E}"/>
              </c:ext>
            </c:extLst>
          </c:dPt>
          <c:dPt>
            <c:idx val="4"/>
            <c:bubble3D val="0"/>
            <c:spPr>
              <a:solidFill>
                <a:srgbClr val="00B0F0"/>
              </a:solidFill>
              <a:ln w="19050">
                <a:solidFill>
                  <a:schemeClr val="lt1"/>
                </a:solidFill>
              </a:ln>
              <a:effectLst/>
              <a:scene3d>
                <a:camera prst="orthographicFront"/>
                <a:lightRig rig="freezing" dir="t">
                  <a:rot lat="0" lon="0" rev="1200000"/>
                </a:lightRig>
              </a:scene3d>
              <a:sp3d prstMaterial="dkEdge">
                <a:bevelT w="120650" h="127000" prst="relaxedInset"/>
                <a:bevelB w="114300" h="133350" prst="angle"/>
              </a:sp3d>
            </c:spPr>
            <c:extLst>
              <c:ext xmlns:c16="http://schemas.microsoft.com/office/drawing/2014/chart" uri="{C3380CC4-5D6E-409C-BE32-E72D297353CC}">
                <c16:uniqueId val="{00000009-5497-4C33-A922-3117F1EF198E}"/>
              </c:ext>
            </c:extLst>
          </c:dPt>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ANALYSIS'!$E$21:$E$25</c:f>
              <c:strCache>
                <c:ptCount val="5"/>
                <c:pt idx="0">
                  <c:v>City Lights Hotel</c:v>
                </c:pt>
                <c:pt idx="1">
                  <c:v>Grand Heritage</c:v>
                </c:pt>
                <c:pt idx="2">
                  <c:v>Hilltop Inn</c:v>
                </c:pt>
                <c:pt idx="3">
                  <c:v>OceanView Resort</c:v>
                </c:pt>
                <c:pt idx="4">
                  <c:v>Palm Grove Stay</c:v>
                </c:pt>
              </c:strCache>
            </c:strRef>
          </c:cat>
          <c:val>
            <c:numRef>
              <c:f>'QUALITY ANALYSIS'!$F$21:$F$25</c:f>
              <c:numCache>
                <c:formatCode>0%</c:formatCode>
                <c:ptCount val="5"/>
                <c:pt idx="0">
                  <c:v>0.19069144483509123</c:v>
                </c:pt>
                <c:pt idx="1">
                  <c:v>0.21111669177967521</c:v>
                </c:pt>
                <c:pt idx="2">
                  <c:v>0.19922986773815504</c:v>
                </c:pt>
                <c:pt idx="3">
                  <c:v>0.18550142307048384</c:v>
                </c:pt>
                <c:pt idx="4">
                  <c:v>0.21346057257659468</c:v>
                </c:pt>
              </c:numCache>
            </c:numRef>
          </c:val>
          <c:extLst>
            <c:ext xmlns:c16="http://schemas.microsoft.com/office/drawing/2014/chart" uri="{C3380CC4-5D6E-409C-BE32-E72D297353CC}">
              <c16:uniqueId val="{0000000A-5497-4C33-A922-3117F1EF198E}"/>
            </c:ext>
          </c:extLst>
        </c:ser>
        <c:dLbls>
          <c:dLblPos val="bestFit"/>
          <c:showLegendKey val="0"/>
          <c:showVal val="1"/>
          <c:showCatName val="0"/>
          <c:showSerName val="0"/>
          <c:showPercent val="0"/>
          <c:showBubbleSize val="0"/>
          <c:showLeaderLines val="1"/>
        </c:dLbls>
        <c:firstSliceAng val="0"/>
      </c:pieChart>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8638815981337"/>
          <c:y val="8.4477875906218511E-2"/>
          <c:w val="0.77871600685330999"/>
          <c:h val="0.85185487344178268"/>
        </c:manualLayout>
      </c:layout>
      <c:pieChart>
        <c:varyColors val="1"/>
        <c:ser>
          <c:idx val="0"/>
          <c:order val="0"/>
          <c:tx>
            <c:strRef>
              <c:f>'QUALITY ANALYSIS'!$F$29</c:f>
              <c:strCache>
                <c:ptCount val="1"/>
                <c:pt idx="0">
                  <c:v>AMENITIES SATISFICATION</c:v>
                </c:pt>
              </c:strCache>
            </c:strRef>
          </c:tx>
          <c:spPr>
            <a:ln>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plosion val="5"/>
          <c:dPt>
            <c:idx val="0"/>
            <c:bubble3D val="0"/>
            <c:spPr>
              <a:solidFill>
                <a:srgbClr val="00B0F0"/>
              </a:solidFill>
              <a:ln w="19050">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tLst>
              <c:ext xmlns:c16="http://schemas.microsoft.com/office/drawing/2014/chart" uri="{C3380CC4-5D6E-409C-BE32-E72D297353CC}">
                <c16:uniqueId val="{00000001-9528-4497-8301-0A4069CB9CFC}"/>
              </c:ext>
            </c:extLst>
          </c:dPt>
          <c:dPt>
            <c:idx val="1"/>
            <c:bubble3D val="0"/>
            <c:spPr>
              <a:solidFill>
                <a:schemeClr val="accent2">
                  <a:lumMod val="75000"/>
                </a:schemeClr>
              </a:solidFill>
              <a:ln w="19050">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tLst>
              <c:ext xmlns:c16="http://schemas.microsoft.com/office/drawing/2014/chart" uri="{C3380CC4-5D6E-409C-BE32-E72D297353CC}">
                <c16:uniqueId val="{00000003-9528-4497-8301-0A4069CB9CFC}"/>
              </c:ext>
            </c:extLst>
          </c:dPt>
          <c:dPt>
            <c:idx val="2"/>
            <c:bubble3D val="0"/>
            <c:spPr>
              <a:solidFill>
                <a:srgbClr val="92D050"/>
              </a:solidFill>
              <a:ln w="19050">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tLst>
              <c:ext xmlns:c16="http://schemas.microsoft.com/office/drawing/2014/chart" uri="{C3380CC4-5D6E-409C-BE32-E72D297353CC}">
                <c16:uniqueId val="{00000005-9528-4497-8301-0A4069CB9CFC}"/>
              </c:ext>
            </c:extLst>
          </c:dPt>
          <c:dPt>
            <c:idx val="3"/>
            <c:bubble3D val="0"/>
            <c:spPr>
              <a:solidFill>
                <a:srgbClr val="FF0000"/>
              </a:solidFill>
              <a:ln w="19050">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tLst>
              <c:ext xmlns:c16="http://schemas.microsoft.com/office/drawing/2014/chart" uri="{C3380CC4-5D6E-409C-BE32-E72D297353CC}">
                <c16:uniqueId val="{00000007-9528-4497-8301-0A4069CB9CFC}"/>
              </c:ext>
            </c:extLst>
          </c:dPt>
          <c:dPt>
            <c:idx val="4"/>
            <c:bubble3D val="0"/>
            <c:spPr>
              <a:solidFill>
                <a:srgbClr val="7030A0"/>
              </a:solidFill>
              <a:ln w="19050">
                <a:solidFill>
                  <a:schemeClr val="tx1"/>
                </a:solidFill>
              </a:ln>
              <a:effectLst>
                <a:glow>
                  <a:schemeClr val="bg1"/>
                </a:glow>
                <a:softEdge rad="88900"/>
              </a:effectLst>
              <a:scene3d>
                <a:camera prst="orthographicFront"/>
                <a:lightRig rig="freezing" dir="t">
                  <a:rot lat="0" lon="0" rev="1200000"/>
                </a:lightRig>
              </a:scene3d>
              <a:sp3d prstMaterial="dkEdge">
                <a:bevelT w="120650" h="127000" prst="relaxedInset"/>
                <a:bevelB/>
              </a:sp3d>
            </c:spPr>
            <c:extLst>
              <c:ext xmlns:c16="http://schemas.microsoft.com/office/drawing/2014/chart" uri="{C3380CC4-5D6E-409C-BE32-E72D297353CC}">
                <c16:uniqueId val="{00000009-9528-4497-8301-0A4069CB9CFC}"/>
              </c:ext>
            </c:extLst>
          </c:dPt>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ANALYSIS'!$E$30:$E$34</c:f>
              <c:strCache>
                <c:ptCount val="5"/>
                <c:pt idx="0">
                  <c:v>City Lights Hotel</c:v>
                </c:pt>
                <c:pt idx="1">
                  <c:v>Grand Heritage</c:v>
                </c:pt>
                <c:pt idx="2">
                  <c:v>Hilltop Inn</c:v>
                </c:pt>
                <c:pt idx="3">
                  <c:v>OceanView Resort</c:v>
                </c:pt>
                <c:pt idx="4">
                  <c:v>Palm Grove Stay</c:v>
                </c:pt>
              </c:strCache>
            </c:strRef>
          </c:cat>
          <c:val>
            <c:numRef>
              <c:f>'QUALITY ANALYSIS'!$F$30:$F$34</c:f>
              <c:numCache>
                <c:formatCode>0%</c:formatCode>
                <c:ptCount val="5"/>
                <c:pt idx="0">
                  <c:v>0.18613199665831245</c:v>
                </c:pt>
                <c:pt idx="1">
                  <c:v>0.21453634085213033</c:v>
                </c:pt>
                <c:pt idx="2">
                  <c:v>0.20250626566416041</c:v>
                </c:pt>
                <c:pt idx="3">
                  <c:v>0.18345864661654135</c:v>
                </c:pt>
                <c:pt idx="4">
                  <c:v>0.21336675020885548</c:v>
                </c:pt>
              </c:numCache>
            </c:numRef>
          </c:val>
          <c:extLst>
            <c:ext xmlns:c16="http://schemas.microsoft.com/office/drawing/2014/chart" uri="{C3380CC4-5D6E-409C-BE32-E72D297353CC}">
              <c16:uniqueId val="{0000000A-9528-4497-8301-0A4069CB9CFC}"/>
            </c:ext>
          </c:extLst>
        </c:ser>
        <c:dLbls>
          <c:dLblPos val="bestFit"/>
          <c:showLegendKey val="0"/>
          <c:showVal val="1"/>
          <c:showCatName val="0"/>
          <c:showSerName val="0"/>
          <c:showPercent val="0"/>
          <c:showBubbleSize val="0"/>
          <c:showLeaderLines val="1"/>
        </c:dLbls>
        <c:firstSliceAng val="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[Guest_Feedback_Hospitality_Industry.xlsx]PIVOT ANALYSIS!AGE_CRI</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t>GENDER</a:t>
            </a:r>
            <a:r>
              <a:rPr lang="en-IN" sz="2800" b="1" baseline="0"/>
              <a:t> WISE AGE CRITERIA</a:t>
            </a:r>
            <a:endParaRPr lang="en-IN" sz="2800" b="1"/>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ANALYSIS'!$B$28:$B$29</c:f>
              <c:strCache>
                <c:ptCount val="1"/>
                <c:pt idx="0">
                  <c:v>Female</c:v>
                </c:pt>
              </c:strCache>
            </c:strRef>
          </c:tx>
          <c:spPr>
            <a:solidFill>
              <a:schemeClr val="accent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ANALYSIS'!$A$30:$A$33</c:f>
              <c:strCache>
                <c:ptCount val="4"/>
                <c:pt idx="0">
                  <c:v>Adults</c:v>
                </c:pt>
                <c:pt idx="1">
                  <c:v>Middle Aged Adults</c:v>
                </c:pt>
                <c:pt idx="2">
                  <c:v>Senior</c:v>
                </c:pt>
                <c:pt idx="3">
                  <c:v>Young Adults</c:v>
                </c:pt>
              </c:strCache>
            </c:strRef>
          </c:cat>
          <c:val>
            <c:numRef>
              <c:f>'PIVOT ANALYSIS'!$B$30:$B$33</c:f>
              <c:numCache>
                <c:formatCode>General</c:formatCode>
                <c:ptCount val="4"/>
                <c:pt idx="0">
                  <c:v>129</c:v>
                </c:pt>
                <c:pt idx="1">
                  <c:v>188</c:v>
                </c:pt>
                <c:pt idx="2">
                  <c:v>249</c:v>
                </c:pt>
                <c:pt idx="3">
                  <c:v>97</c:v>
                </c:pt>
              </c:numCache>
            </c:numRef>
          </c:val>
          <c:extLst>
            <c:ext xmlns:c16="http://schemas.microsoft.com/office/drawing/2014/chart" uri="{C3380CC4-5D6E-409C-BE32-E72D297353CC}">
              <c16:uniqueId val="{00000000-BEDB-4BF6-B41D-8351AF80D780}"/>
            </c:ext>
          </c:extLst>
        </c:ser>
        <c:ser>
          <c:idx val="1"/>
          <c:order val="1"/>
          <c:tx>
            <c:strRef>
              <c:f>'PIVOT ANALYSIS'!$C$28:$C$29</c:f>
              <c:strCache>
                <c:ptCount val="1"/>
                <c:pt idx="0">
                  <c:v>Male</c:v>
                </c:pt>
              </c:strCache>
            </c:strRef>
          </c:tx>
          <c:spPr>
            <a:solidFill>
              <a:schemeClr val="accent6">
                <a:lumMod val="60000"/>
                <a:lumOff val="40000"/>
              </a:schemeClr>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ANALYSIS'!$A$30:$A$33</c:f>
              <c:strCache>
                <c:ptCount val="4"/>
                <c:pt idx="0">
                  <c:v>Adults</c:v>
                </c:pt>
                <c:pt idx="1">
                  <c:v>Middle Aged Adults</c:v>
                </c:pt>
                <c:pt idx="2">
                  <c:v>Senior</c:v>
                </c:pt>
                <c:pt idx="3">
                  <c:v>Young Adults</c:v>
                </c:pt>
              </c:strCache>
            </c:strRef>
          </c:cat>
          <c:val>
            <c:numRef>
              <c:f>'PIVOT ANALYSIS'!$C$30:$C$33</c:f>
              <c:numCache>
                <c:formatCode>General</c:formatCode>
                <c:ptCount val="4"/>
                <c:pt idx="0">
                  <c:v>113</c:v>
                </c:pt>
                <c:pt idx="1">
                  <c:v>198</c:v>
                </c:pt>
                <c:pt idx="2">
                  <c:v>247</c:v>
                </c:pt>
                <c:pt idx="3">
                  <c:v>124</c:v>
                </c:pt>
              </c:numCache>
            </c:numRef>
          </c:val>
          <c:extLst>
            <c:ext xmlns:c16="http://schemas.microsoft.com/office/drawing/2014/chart" uri="{C3380CC4-5D6E-409C-BE32-E72D297353CC}">
              <c16:uniqueId val="{00000006-BEDB-4BF6-B41D-8351AF80D780}"/>
            </c:ext>
          </c:extLst>
        </c:ser>
        <c:ser>
          <c:idx val="2"/>
          <c:order val="2"/>
          <c:tx>
            <c:strRef>
              <c:f>'PIVOT ANALYSIS'!$D$28:$D$29</c:f>
              <c:strCache>
                <c:ptCount val="1"/>
                <c:pt idx="0">
                  <c:v>Other</c:v>
                </c:pt>
              </c:strCache>
            </c:strRef>
          </c:tx>
          <c:spPr>
            <a:solidFill>
              <a:schemeClr val="accent4">
                <a:lumMod val="60000"/>
                <a:lumOff val="40000"/>
              </a:schemeClr>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ANALYSIS'!$A$30:$A$33</c:f>
              <c:strCache>
                <c:ptCount val="4"/>
                <c:pt idx="0">
                  <c:v>Adults</c:v>
                </c:pt>
                <c:pt idx="1">
                  <c:v>Middle Aged Adults</c:v>
                </c:pt>
                <c:pt idx="2">
                  <c:v>Senior</c:v>
                </c:pt>
                <c:pt idx="3">
                  <c:v>Young Adults</c:v>
                </c:pt>
              </c:strCache>
            </c:strRef>
          </c:cat>
          <c:val>
            <c:numRef>
              <c:f>'PIVOT ANALYSIS'!$D$30:$D$33</c:f>
              <c:numCache>
                <c:formatCode>General</c:formatCode>
                <c:ptCount val="4"/>
                <c:pt idx="0">
                  <c:v>121</c:v>
                </c:pt>
                <c:pt idx="1">
                  <c:v>183</c:v>
                </c:pt>
                <c:pt idx="2">
                  <c:v>249</c:v>
                </c:pt>
                <c:pt idx="3">
                  <c:v>102</c:v>
                </c:pt>
              </c:numCache>
            </c:numRef>
          </c:val>
          <c:extLst>
            <c:ext xmlns:c16="http://schemas.microsoft.com/office/drawing/2014/chart" uri="{C3380CC4-5D6E-409C-BE32-E72D297353CC}">
              <c16:uniqueId val="{00000007-BEDB-4BF6-B41D-8351AF80D780}"/>
            </c:ext>
          </c:extLst>
        </c:ser>
        <c:dLbls>
          <c:dLblPos val="outEnd"/>
          <c:showLegendKey val="0"/>
          <c:showVal val="1"/>
          <c:showCatName val="0"/>
          <c:showSerName val="0"/>
          <c:showPercent val="0"/>
          <c:showBubbleSize val="0"/>
        </c:dLbls>
        <c:gapWidth val="182"/>
        <c:axId val="254088272"/>
        <c:axId val="282080320"/>
      </c:barChart>
      <c:catAx>
        <c:axId val="25408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282080320"/>
        <c:crosses val="autoZero"/>
        <c:auto val="1"/>
        <c:lblAlgn val="ctr"/>
        <c:lblOffset val="100"/>
        <c:noMultiLvlLbl val="0"/>
      </c:catAx>
      <c:valAx>
        <c:axId val="28208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54088272"/>
        <c:crosses val="autoZero"/>
        <c:crossBetween val="between"/>
      </c:valAx>
      <c:spPr>
        <a:noFill/>
        <a:ln>
          <a:noFill/>
        </a:ln>
        <a:effectLst/>
      </c:spPr>
    </c:plotArea>
    <c:legend>
      <c:legendPos val="r"/>
      <c:layout>
        <c:manualLayout>
          <c:xMode val="edge"/>
          <c:yMode val="edge"/>
          <c:x val="0.91233766233766234"/>
          <c:y val="0.48659382646594679"/>
          <c:w val="7.1093749999999997E-2"/>
          <c:h val="0.1836121179297032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D6D"/>
    </a:solidFill>
    <a:ln w="9525" cap="flat" cmpd="sng" algn="ctr">
      <a:solidFill>
        <a:schemeClr val="tx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2800" b="1">
                <a:solidFill>
                  <a:schemeClr val="tx1"/>
                </a:solidFill>
              </a:rPr>
              <a:t>SATISFICATION</a:t>
            </a:r>
            <a:r>
              <a:rPr lang="en-US" sz="2800" b="1" baseline="0">
                <a:solidFill>
                  <a:schemeClr val="tx1"/>
                </a:solidFill>
              </a:rPr>
              <a:t> LEVEL BY GUESTS</a:t>
            </a:r>
            <a:endParaRPr lang="en-US" sz="2800" b="1">
              <a:solidFill>
                <a:schemeClr val="tx1"/>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820389638795149"/>
          <c:y val="0.10077598995777703"/>
          <c:w val="0.62329677540307449"/>
          <c:h val="0.87553393200431873"/>
        </c:manualLayout>
      </c:layout>
      <c:doughnutChart>
        <c:varyColors val="1"/>
        <c:ser>
          <c:idx val="0"/>
          <c:order val="0"/>
          <c:tx>
            <c:strRef>
              <c:f>'PIVOT ANALYSIS'!$E$48</c:f>
              <c:strCache>
                <c:ptCount val="1"/>
                <c:pt idx="0">
                  <c:v>TOTAL_GUESTS</c:v>
                </c:pt>
              </c:strCache>
            </c:strRef>
          </c:tx>
          <c:spPr>
            <a:solidFill>
              <a:schemeClr val="accent6">
                <a:lumMod val="60000"/>
                <a:lumOff val="40000"/>
              </a:schemeClr>
            </a:solidFill>
            <a:scene3d>
              <a:camera prst="orthographicFront"/>
              <a:lightRig rig="freezing" dir="t"/>
            </a:scene3d>
            <a:sp3d>
              <a:bevelT w="234950" h="139700" prst="angle"/>
            </a:sp3d>
          </c:spPr>
          <c:dPt>
            <c:idx val="0"/>
            <c:bubble3D val="0"/>
            <c:spPr>
              <a:solidFill>
                <a:schemeClr val="accent6">
                  <a:lumMod val="60000"/>
                  <a:lumOff val="40000"/>
                </a:schemeClr>
              </a:solidFill>
              <a:ln w="19050">
                <a:solidFill>
                  <a:schemeClr val="lt1"/>
                </a:solidFill>
              </a:ln>
              <a:effectLst/>
              <a:scene3d>
                <a:camera prst="orthographicFront"/>
                <a:lightRig rig="freezing" dir="t"/>
              </a:scene3d>
              <a:sp3d>
                <a:bevelT w="234950" h="139700" prst="angle"/>
              </a:sp3d>
            </c:spPr>
            <c:extLst>
              <c:ext xmlns:c16="http://schemas.microsoft.com/office/drawing/2014/chart" uri="{C3380CC4-5D6E-409C-BE32-E72D297353CC}">
                <c16:uniqueId val="{00000001-F7FD-4B94-B46E-D85BAA02BE4A}"/>
              </c:ext>
            </c:extLst>
          </c:dPt>
          <c:dPt>
            <c:idx val="1"/>
            <c:bubble3D val="0"/>
            <c:spPr>
              <a:solidFill>
                <a:srgbClr val="FF0000"/>
              </a:solidFill>
              <a:ln w="19050">
                <a:solidFill>
                  <a:schemeClr val="lt1"/>
                </a:solidFill>
              </a:ln>
              <a:effectLst/>
              <a:scene3d>
                <a:camera prst="orthographicFront"/>
                <a:lightRig rig="freezing" dir="t"/>
              </a:scene3d>
              <a:sp3d>
                <a:bevelT w="234950" h="139700" prst="angle"/>
              </a:sp3d>
            </c:spPr>
            <c:extLst>
              <c:ext xmlns:c16="http://schemas.microsoft.com/office/drawing/2014/chart" uri="{C3380CC4-5D6E-409C-BE32-E72D297353CC}">
                <c16:uniqueId val="{00000003-F7FD-4B94-B46E-D85BAA02BE4A}"/>
              </c:ext>
            </c:extLst>
          </c:dPt>
          <c:dPt>
            <c:idx val="2"/>
            <c:bubble3D val="0"/>
            <c:spPr>
              <a:solidFill>
                <a:schemeClr val="accent6">
                  <a:lumMod val="60000"/>
                  <a:lumOff val="40000"/>
                </a:schemeClr>
              </a:solidFill>
              <a:ln w="19050">
                <a:solidFill>
                  <a:schemeClr val="lt1"/>
                </a:solidFill>
              </a:ln>
              <a:effectLst/>
              <a:scene3d>
                <a:camera prst="orthographicFront"/>
                <a:lightRig rig="freezing" dir="t"/>
              </a:scene3d>
              <a:sp3d>
                <a:bevelT w="234950" h="139700" prst="angle"/>
              </a:sp3d>
            </c:spPr>
            <c:extLst>
              <c:ext xmlns:c16="http://schemas.microsoft.com/office/drawing/2014/chart" uri="{C3380CC4-5D6E-409C-BE32-E72D297353CC}">
                <c16:uniqueId val="{00000005-F7FD-4B94-B46E-D85BAA02BE4A}"/>
              </c:ext>
            </c:extLst>
          </c:dPt>
          <c:dLbls>
            <c:dLbl>
              <c:idx val="0"/>
              <c:layout>
                <c:manualLayout>
                  <c:x val="0.28769841269841251"/>
                  <c:y val="4.442401960784325E-2"/>
                </c:manualLayout>
              </c:layout>
              <c:tx>
                <c:rich>
                  <a:bodyPr rot="0" spcFirstLastPara="1" vertOverflow="ellipsis" vert="horz" wrap="square" lIns="38100" tIns="19050" rIns="38100" bIns="19050" anchor="ctr" anchorCtr="1">
                    <a:noAutofit/>
                  </a:bodyPr>
                  <a:lstStyle/>
                  <a:p>
                    <a:pPr>
                      <a:defRPr sz="2800" b="1" i="0" u="none" strike="noStrike" kern="1200" baseline="0">
                        <a:solidFill>
                          <a:schemeClr val="tx1">
                            <a:lumMod val="75000"/>
                            <a:lumOff val="25000"/>
                          </a:schemeClr>
                        </a:solidFill>
                        <a:latin typeface="+mn-lt"/>
                        <a:ea typeface="+mn-ea"/>
                        <a:cs typeface="+mn-cs"/>
                      </a:defRPr>
                    </a:pPr>
                    <a:fld id="{B92B67C1-CB74-47E3-B7BF-B1D8C03716F7}" type="VALUE">
                      <a:rPr lang="en-US" sz="2800" b="1"/>
                      <a:pPr>
                        <a:defRPr sz="2800" b="1"/>
                      </a:pPr>
                      <a:t>[VALUE]</a:t>
                    </a:fld>
                    <a:endParaRPr lang="en-IN"/>
                  </a:p>
                </c:rich>
              </c:tx>
              <c:spPr>
                <a:solidFill>
                  <a:schemeClr val="accent2"/>
                </a:solid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698412698412702E-2"/>
                      <c:h val="6.4315317662498067E-2"/>
                    </c:manualLayout>
                  </c15:layout>
                  <c15:dlblFieldTable/>
                  <c15:showDataLabelsRange val="0"/>
                </c:ext>
                <c:ext xmlns:c16="http://schemas.microsoft.com/office/drawing/2014/chart" uri="{C3380CC4-5D6E-409C-BE32-E72D297353CC}">
                  <c16:uniqueId val="{00000001-F7FD-4B94-B46E-D85BAA02BE4A}"/>
                </c:ext>
              </c:extLst>
            </c:dLbl>
            <c:dLbl>
              <c:idx val="1"/>
              <c:layout>
                <c:manualLayout>
                  <c:x val="-0.17956349206349209"/>
                  <c:y val="-6.6252030474443543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FD-4B94-B46E-D85BAA02BE4A}"/>
                </c:ext>
              </c:extLst>
            </c:dLbl>
            <c:dLbl>
              <c:idx val="2"/>
              <c:delete val="1"/>
              <c:extLst>
                <c:ext xmlns:c15="http://schemas.microsoft.com/office/drawing/2012/chart" uri="{CE6537A1-D6FC-4f65-9D91-7224C49458BB}">
                  <c15:layout>
                    <c:manualLayout>
                      <c:w val="3.5317460317460308E-3"/>
                      <c:h val="3.1524986604271679E-2"/>
                    </c:manualLayout>
                  </c15:layout>
                </c:ext>
                <c:ext xmlns:c16="http://schemas.microsoft.com/office/drawing/2014/chart" uri="{C3380CC4-5D6E-409C-BE32-E72D297353CC}">
                  <c16:uniqueId val="{00000005-F7FD-4B94-B46E-D85BAA02BE4A}"/>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ANALYSIS'!$D$49:$D$51</c:f>
              <c:strCache>
                <c:ptCount val="3"/>
                <c:pt idx="0">
                  <c:v>AVERAGE</c:v>
                </c:pt>
                <c:pt idx="1">
                  <c:v>GOOD</c:v>
                </c:pt>
                <c:pt idx="2">
                  <c:v>GREAT</c:v>
                </c:pt>
              </c:strCache>
            </c:strRef>
          </c:cat>
          <c:val>
            <c:numRef>
              <c:f>'PIVOT ANALYSIS'!$E$49:$E$51</c:f>
              <c:numCache>
                <c:formatCode>General</c:formatCode>
                <c:ptCount val="3"/>
                <c:pt idx="0">
                  <c:v>1016</c:v>
                </c:pt>
                <c:pt idx="1">
                  <c:v>36</c:v>
                </c:pt>
                <c:pt idx="2">
                  <c:v>1</c:v>
                </c:pt>
              </c:numCache>
            </c:numRef>
          </c:val>
          <c:extLst>
            <c:ext xmlns:c16="http://schemas.microsoft.com/office/drawing/2014/chart" uri="{C3380CC4-5D6E-409C-BE32-E72D297353CC}">
              <c16:uniqueId val="{00000006-F7FD-4B94-B46E-D85BAA02BE4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703162104736913"/>
          <c:y val="0.4657321210684785"/>
          <c:w val="0.18808742657167854"/>
          <c:h val="0.26022339879928802"/>
        </c:manualLayout>
      </c:layout>
      <c:overlay val="0"/>
      <c:spPr>
        <a:solidFill>
          <a:schemeClr val="accent2"/>
        </a:solidFill>
        <a:ln>
          <a:solidFill>
            <a:schemeClr val="tx1"/>
          </a:solid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D6D"/>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solidFill>
                  <a:schemeClr val="tx1"/>
                </a:solidFill>
              </a:rPr>
              <a:t>MONTH WISE QUESTS</a:t>
            </a:r>
            <a:r>
              <a:rPr lang="en-US" sz="2800" baseline="0">
                <a:solidFill>
                  <a:schemeClr val="tx1"/>
                </a:solidFill>
              </a:rPr>
              <a:t> IN HOTEL</a:t>
            </a:r>
            <a:endParaRPr lang="en-US" sz="2800">
              <a:solidFill>
                <a:schemeClr val="tx1"/>
              </a:solidFill>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ANALYSIS'!$F$87</c:f>
              <c:strCache>
                <c:ptCount val="1"/>
                <c:pt idx="0">
                  <c:v>TOTAL GUESTS</c:v>
                </c:pt>
              </c:strCache>
            </c:strRef>
          </c:tx>
          <c:spPr>
            <a:ln w="28575" cap="rnd">
              <a:solidFill>
                <a:schemeClr val="bg1">
                  <a:lumMod val="95000"/>
                </a:schemeClr>
              </a:solidFill>
              <a:round/>
            </a:ln>
            <a:effectLst/>
          </c:spPr>
          <c:marker>
            <c:symbol val="circle"/>
            <c:size val="5"/>
            <c:spPr>
              <a:solidFill>
                <a:srgbClr val="0070C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ANALYSIS'!$E$88:$E$99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ANALYSIS'!$F$88:$F$99</c:f>
              <c:numCache>
                <c:formatCode>General</c:formatCode>
                <c:ptCount val="12"/>
                <c:pt idx="0">
                  <c:v>182</c:v>
                </c:pt>
                <c:pt idx="1">
                  <c:v>181</c:v>
                </c:pt>
                <c:pt idx="2">
                  <c:v>163</c:v>
                </c:pt>
                <c:pt idx="3">
                  <c:v>147</c:v>
                </c:pt>
                <c:pt idx="4">
                  <c:v>149</c:v>
                </c:pt>
                <c:pt idx="5">
                  <c:v>168</c:v>
                </c:pt>
                <c:pt idx="6">
                  <c:v>181</c:v>
                </c:pt>
                <c:pt idx="7">
                  <c:v>180</c:v>
                </c:pt>
                <c:pt idx="8">
                  <c:v>164</c:v>
                </c:pt>
                <c:pt idx="9">
                  <c:v>161</c:v>
                </c:pt>
                <c:pt idx="10">
                  <c:v>164</c:v>
                </c:pt>
                <c:pt idx="11">
                  <c:v>160</c:v>
                </c:pt>
              </c:numCache>
            </c:numRef>
          </c:val>
          <c:smooth val="0"/>
          <c:extLst>
            <c:ext xmlns:c16="http://schemas.microsoft.com/office/drawing/2014/chart" uri="{C3380CC4-5D6E-409C-BE32-E72D297353CC}">
              <c16:uniqueId val="{00000000-AC3B-4DAB-84A3-3E224E6411D8}"/>
            </c:ext>
          </c:extLst>
        </c:ser>
        <c:dLbls>
          <c:dLblPos val="t"/>
          <c:showLegendKey val="0"/>
          <c:showVal val="1"/>
          <c:showCatName val="0"/>
          <c:showSerName val="0"/>
          <c:showPercent val="0"/>
          <c:showBubbleSize val="0"/>
        </c:dLbls>
        <c:marker val="1"/>
        <c:smooth val="0"/>
        <c:axId val="399820080"/>
        <c:axId val="399818640"/>
      </c:lineChart>
      <c:catAx>
        <c:axId val="39982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399818640"/>
        <c:crosses val="autoZero"/>
        <c:auto val="1"/>
        <c:lblAlgn val="ctr"/>
        <c:lblOffset val="100"/>
        <c:noMultiLvlLbl val="0"/>
      </c:catAx>
      <c:valAx>
        <c:axId val="3998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39982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D6D"/>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[Guest_Feedback_Hospitality_Industry.xlsx]PIVOT ANALYSIS!BOOKING SOURCE</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800">
                <a:solidFill>
                  <a:schemeClr val="tx1"/>
                </a:solidFill>
              </a:rPr>
              <a:t>BOOKING SOURCE BY GUEST</a:t>
            </a: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a:scene3d>
            <a:camera prst="orthographicFront"/>
            <a:lightRig rig="chilly" dir="t"/>
          </a:scene3d>
          <a:sp3d prstMaterial="dkEdge">
            <a:bevelT w="203200" prst="angle"/>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a:scene3d>
            <a:camera prst="orthographicFront"/>
            <a:lightRig rig="chilly" dir="t"/>
          </a:scene3d>
          <a:sp3d prstMaterial="dkEdge">
            <a:bevelT w="203200" prst="angle"/>
          </a:sp3d>
        </c:spPr>
        <c:dLbl>
          <c:idx val="0"/>
          <c:layout>
            <c:manualLayout>
              <c:x val="0.1275917065390749"/>
              <c:y val="-6.1787072243346008E-2"/>
            </c:manualLayout>
          </c:layout>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a:scene3d>
            <a:camera prst="orthographicFront"/>
            <a:lightRig rig="chilly" dir="t"/>
          </a:scene3d>
          <a:sp3d prstMaterial="dkEdge">
            <a:bevelT w="203200" prst="angle"/>
          </a:sp3d>
        </c:spPr>
        <c:dLbl>
          <c:idx val="0"/>
          <c:layout>
            <c:manualLayout>
              <c:x val="0.12958532695374794"/>
              <c:y val="8.5551330798479083E-2"/>
            </c:manualLayout>
          </c:layout>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a:scene3d>
            <a:camera prst="orthographicFront"/>
            <a:lightRig rig="chilly" dir="t"/>
          </a:scene3d>
          <a:sp3d prstMaterial="dkEdge">
            <a:bevelT w="203200" prst="angle"/>
          </a:sp3d>
        </c:spPr>
        <c:dLbl>
          <c:idx val="0"/>
          <c:layout>
            <c:manualLayout>
              <c:x val="-0.13456937799043062"/>
              <c:y val="6.8124207858048041E-2"/>
            </c:manualLayout>
          </c:layout>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a:scene3d>
            <a:camera prst="orthographicFront"/>
            <a:lightRig rig="chilly" dir="t"/>
          </a:scene3d>
          <a:sp3d prstMaterial="dkEdge">
            <a:bevelT w="203200" prst="angle"/>
          </a:sp3d>
        </c:spPr>
        <c:dLbl>
          <c:idx val="0"/>
          <c:layout>
            <c:manualLayout>
              <c:x val="-0.1166267942583732"/>
              <c:y val="-0.10297845373891001"/>
            </c:manualLayout>
          </c:layout>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ANALYSIS'!$B$107</c:f>
              <c:strCache>
                <c:ptCount val="1"/>
                <c:pt idx="0">
                  <c:v>Total</c:v>
                </c:pt>
              </c:strCache>
            </c:strRef>
          </c:tx>
          <c:spPr>
            <a:scene3d>
              <a:camera prst="orthographicFront"/>
              <a:lightRig rig="chilly" dir="t"/>
            </a:scene3d>
            <a:sp3d prstMaterial="dkEdge">
              <a:bevelT w="203200" prst="angle"/>
            </a:sp3d>
          </c:spPr>
          <c:explosion val="4"/>
          <c:dPt>
            <c:idx val="0"/>
            <c:bubble3D val="0"/>
            <c:spPr>
              <a:solidFill>
                <a:schemeClr val="accent1"/>
              </a:solidFill>
              <a:ln w="19050">
                <a:solidFill>
                  <a:schemeClr val="lt1"/>
                </a:solidFill>
              </a:ln>
              <a:effectLst/>
              <a:scene3d>
                <a:camera prst="orthographicFront"/>
                <a:lightRig rig="chilly" dir="t"/>
              </a:scene3d>
              <a:sp3d prstMaterial="dkEdge">
                <a:bevelT w="203200" prst="angle"/>
              </a:sp3d>
            </c:spPr>
            <c:extLst>
              <c:ext xmlns:c16="http://schemas.microsoft.com/office/drawing/2014/chart" uri="{C3380CC4-5D6E-409C-BE32-E72D297353CC}">
                <c16:uniqueId val="{00000001-114F-433A-8F7A-F3927DB3B054}"/>
              </c:ext>
            </c:extLst>
          </c:dPt>
          <c:dPt>
            <c:idx val="1"/>
            <c:bubble3D val="0"/>
            <c:spPr>
              <a:solidFill>
                <a:schemeClr val="accent2"/>
              </a:solidFill>
              <a:ln w="19050">
                <a:solidFill>
                  <a:schemeClr val="lt1"/>
                </a:solidFill>
              </a:ln>
              <a:effectLst/>
              <a:scene3d>
                <a:camera prst="orthographicFront"/>
                <a:lightRig rig="chilly" dir="t"/>
              </a:scene3d>
              <a:sp3d prstMaterial="dkEdge">
                <a:bevelT w="203200" prst="angle"/>
              </a:sp3d>
            </c:spPr>
            <c:extLst>
              <c:ext xmlns:c16="http://schemas.microsoft.com/office/drawing/2014/chart" uri="{C3380CC4-5D6E-409C-BE32-E72D297353CC}">
                <c16:uniqueId val="{00000003-114F-433A-8F7A-F3927DB3B054}"/>
              </c:ext>
            </c:extLst>
          </c:dPt>
          <c:dPt>
            <c:idx val="2"/>
            <c:bubble3D val="0"/>
            <c:spPr>
              <a:solidFill>
                <a:schemeClr val="accent3"/>
              </a:solidFill>
              <a:ln w="19050">
                <a:solidFill>
                  <a:schemeClr val="lt1"/>
                </a:solidFill>
              </a:ln>
              <a:effectLst/>
              <a:scene3d>
                <a:camera prst="orthographicFront"/>
                <a:lightRig rig="chilly" dir="t"/>
              </a:scene3d>
              <a:sp3d prstMaterial="dkEdge">
                <a:bevelT w="203200" prst="angle"/>
              </a:sp3d>
            </c:spPr>
            <c:extLst>
              <c:ext xmlns:c16="http://schemas.microsoft.com/office/drawing/2014/chart" uri="{C3380CC4-5D6E-409C-BE32-E72D297353CC}">
                <c16:uniqueId val="{00000005-114F-433A-8F7A-F3927DB3B054}"/>
              </c:ext>
            </c:extLst>
          </c:dPt>
          <c:dPt>
            <c:idx val="3"/>
            <c:bubble3D val="0"/>
            <c:spPr>
              <a:solidFill>
                <a:schemeClr val="accent4"/>
              </a:solidFill>
              <a:ln w="19050">
                <a:solidFill>
                  <a:schemeClr val="lt1"/>
                </a:solidFill>
              </a:ln>
              <a:effectLst/>
              <a:scene3d>
                <a:camera prst="orthographicFront"/>
                <a:lightRig rig="chilly" dir="t"/>
              </a:scene3d>
              <a:sp3d prstMaterial="dkEdge">
                <a:bevelT w="203200" prst="angle"/>
              </a:sp3d>
            </c:spPr>
            <c:extLst>
              <c:ext xmlns:c16="http://schemas.microsoft.com/office/drawing/2014/chart" uri="{C3380CC4-5D6E-409C-BE32-E72D297353CC}">
                <c16:uniqueId val="{00000007-114F-433A-8F7A-F3927DB3B054}"/>
              </c:ext>
            </c:extLst>
          </c:dPt>
          <c:dLbls>
            <c:dLbl>
              <c:idx val="0"/>
              <c:layout>
                <c:manualLayout>
                  <c:x val="0.1275917065390749"/>
                  <c:y val="-6.1787072243346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4F-433A-8F7A-F3927DB3B054}"/>
                </c:ext>
              </c:extLst>
            </c:dLbl>
            <c:dLbl>
              <c:idx val="1"/>
              <c:layout>
                <c:manualLayout>
                  <c:x val="0.12958532695374794"/>
                  <c:y val="8.55513307984790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4F-433A-8F7A-F3927DB3B054}"/>
                </c:ext>
              </c:extLst>
            </c:dLbl>
            <c:dLbl>
              <c:idx val="2"/>
              <c:layout>
                <c:manualLayout>
                  <c:x val="-0.13456937799043062"/>
                  <c:y val="6.8124207858048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4F-433A-8F7A-F3927DB3B054}"/>
                </c:ext>
              </c:extLst>
            </c:dLbl>
            <c:dLbl>
              <c:idx val="3"/>
              <c:layout>
                <c:manualLayout>
                  <c:x val="-0.1166267942583732"/>
                  <c:y val="-0.10297845373891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4F-433A-8F7A-F3927DB3B054}"/>
                </c:ext>
              </c:extLst>
            </c:dLbl>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ANALYSIS'!$A$108:$A$111</c:f>
              <c:strCache>
                <c:ptCount val="4"/>
                <c:pt idx="0">
                  <c:v>App</c:v>
                </c:pt>
                <c:pt idx="1">
                  <c:v>Travel Agent</c:v>
                </c:pt>
                <c:pt idx="2">
                  <c:v>Walk-in</c:v>
                </c:pt>
                <c:pt idx="3">
                  <c:v>Website</c:v>
                </c:pt>
              </c:strCache>
            </c:strRef>
          </c:cat>
          <c:val>
            <c:numRef>
              <c:f>'PIVOT ANALYSIS'!$B$108:$B$111</c:f>
              <c:numCache>
                <c:formatCode>General</c:formatCode>
                <c:ptCount val="4"/>
                <c:pt idx="0">
                  <c:v>509</c:v>
                </c:pt>
                <c:pt idx="1">
                  <c:v>508</c:v>
                </c:pt>
                <c:pt idx="2">
                  <c:v>489</c:v>
                </c:pt>
                <c:pt idx="3">
                  <c:v>494</c:v>
                </c:pt>
              </c:numCache>
            </c:numRef>
          </c:val>
          <c:extLst>
            <c:ext xmlns:c16="http://schemas.microsoft.com/office/drawing/2014/chart" uri="{C3380CC4-5D6E-409C-BE32-E72D297353CC}">
              <c16:uniqueId val="{00000008-114F-433A-8F7A-F3927DB3B05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438288814376667"/>
          <c:y val="0.4000535163617856"/>
          <c:w val="0.17973194439211845"/>
          <c:h val="0.25245950720038324"/>
        </c:manualLayout>
      </c:layout>
      <c:overlay val="0"/>
      <c:spPr>
        <a:solidFill>
          <a:schemeClr val="accent2">
            <a:lumMod val="75000"/>
          </a:schemeClr>
        </a:solidFill>
        <a:ln>
          <a:solidFill>
            <a:schemeClr val="tx1"/>
          </a:solid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D6D"/>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TRAVEL PURPOSE</a:t>
            </a:r>
            <a:r>
              <a:rPr lang="en-IN" sz="2800" b="1" baseline="0">
                <a:solidFill>
                  <a:schemeClr val="tx1"/>
                </a:solidFill>
              </a:rPr>
              <a:t> BY GUESTS</a:t>
            </a:r>
            <a:endParaRPr lang="en-IN" sz="2800" b="1">
              <a:solidFill>
                <a:schemeClr val="tx1"/>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ANALYSIS'!$F$213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ANALYSIS'!$E$214:$E$218</c:f>
              <c:strCache>
                <c:ptCount val="5"/>
                <c:pt idx="0">
                  <c:v>Business</c:v>
                </c:pt>
                <c:pt idx="1">
                  <c:v>Conference</c:v>
                </c:pt>
                <c:pt idx="2">
                  <c:v>Leisure</c:v>
                </c:pt>
                <c:pt idx="3">
                  <c:v>Other</c:v>
                </c:pt>
                <c:pt idx="4">
                  <c:v>Transit</c:v>
                </c:pt>
              </c:strCache>
            </c:strRef>
          </c:cat>
          <c:val>
            <c:numRef>
              <c:f>'PIVOT ANALYSIS'!$F$214:$F$218</c:f>
              <c:numCache>
                <c:formatCode>General</c:formatCode>
                <c:ptCount val="5"/>
                <c:pt idx="0">
                  <c:v>172</c:v>
                </c:pt>
                <c:pt idx="1">
                  <c:v>191</c:v>
                </c:pt>
                <c:pt idx="2">
                  <c:v>192</c:v>
                </c:pt>
                <c:pt idx="3">
                  <c:v>216</c:v>
                </c:pt>
                <c:pt idx="4">
                  <c:v>219</c:v>
                </c:pt>
              </c:numCache>
            </c:numRef>
          </c:val>
          <c:extLst>
            <c:ext xmlns:c16="http://schemas.microsoft.com/office/drawing/2014/chart" uri="{C3380CC4-5D6E-409C-BE32-E72D297353CC}">
              <c16:uniqueId val="{00000000-6BC5-43B4-AE13-7F61817312FC}"/>
            </c:ext>
          </c:extLst>
        </c:ser>
        <c:ser>
          <c:idx val="1"/>
          <c:order val="1"/>
          <c:tx>
            <c:strRef>
              <c:f>'PIVOT ANALYSIS'!$G$213</c:f>
              <c:strCache>
                <c:ptCount val="1"/>
                <c:pt idx="0">
                  <c:v>Yes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ANALYSIS'!$E$214:$E$218</c:f>
              <c:strCache>
                <c:ptCount val="5"/>
                <c:pt idx="0">
                  <c:v>Business</c:v>
                </c:pt>
                <c:pt idx="1">
                  <c:v>Conference</c:v>
                </c:pt>
                <c:pt idx="2">
                  <c:v>Leisure</c:v>
                </c:pt>
                <c:pt idx="3">
                  <c:v>Other</c:v>
                </c:pt>
                <c:pt idx="4">
                  <c:v>Transit</c:v>
                </c:pt>
              </c:strCache>
            </c:strRef>
          </c:cat>
          <c:val>
            <c:numRef>
              <c:f>'PIVOT ANALYSIS'!$G$214:$G$218</c:f>
              <c:numCache>
                <c:formatCode>General</c:formatCode>
                <c:ptCount val="5"/>
                <c:pt idx="0">
                  <c:v>202</c:v>
                </c:pt>
                <c:pt idx="1">
                  <c:v>178</c:v>
                </c:pt>
                <c:pt idx="2">
                  <c:v>223</c:v>
                </c:pt>
                <c:pt idx="3">
                  <c:v>219</c:v>
                </c:pt>
                <c:pt idx="4">
                  <c:v>188</c:v>
                </c:pt>
              </c:numCache>
            </c:numRef>
          </c:val>
          <c:extLst>
            <c:ext xmlns:c16="http://schemas.microsoft.com/office/drawing/2014/chart" uri="{C3380CC4-5D6E-409C-BE32-E72D297353CC}">
              <c16:uniqueId val="{00000001-6BC5-43B4-AE13-7F61817312FC}"/>
            </c:ext>
          </c:extLst>
        </c:ser>
        <c:dLbls>
          <c:dLblPos val="outEnd"/>
          <c:showLegendKey val="0"/>
          <c:showVal val="1"/>
          <c:showCatName val="0"/>
          <c:showSerName val="0"/>
          <c:showPercent val="0"/>
          <c:showBubbleSize val="0"/>
        </c:dLbls>
        <c:gapWidth val="219"/>
        <c:overlap val="-27"/>
        <c:axId val="437146255"/>
        <c:axId val="437146735"/>
      </c:barChart>
      <c:catAx>
        <c:axId val="4371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437146735"/>
        <c:crosses val="autoZero"/>
        <c:auto val="1"/>
        <c:lblAlgn val="ctr"/>
        <c:lblOffset val="100"/>
        <c:noMultiLvlLbl val="0"/>
      </c:catAx>
      <c:valAx>
        <c:axId val="43714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4371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6D6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'QUALITY ANALYSIS'!$F$3</c:f>
              <c:strCache>
                <c:ptCount val="1"/>
                <c:pt idx="0">
                  <c:v>FOOD_QUALITY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BFC-41C4-B080-D686E1FF54B5}"/>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ANALYSIS'!$E$4:$E$8</c:f>
              <c:strCache>
                <c:ptCount val="5"/>
                <c:pt idx="0">
                  <c:v>City Lights Hotel</c:v>
                </c:pt>
                <c:pt idx="1">
                  <c:v>Grand Heritage</c:v>
                </c:pt>
                <c:pt idx="2">
                  <c:v>Hilltop Inn</c:v>
                </c:pt>
                <c:pt idx="3">
                  <c:v>OceanView Resort</c:v>
                </c:pt>
                <c:pt idx="4">
                  <c:v>Palm Grove Stay</c:v>
                </c:pt>
              </c:strCache>
            </c:strRef>
          </c:cat>
          <c:val>
            <c:numRef>
              <c:f>'QUALITY ANALYSIS'!$F$4:$F$8</c:f>
              <c:numCache>
                <c:formatCode>0%</c:formatCode>
                <c:ptCount val="5"/>
                <c:pt idx="0">
                  <c:v>0.19322709163346613</c:v>
                </c:pt>
                <c:pt idx="1">
                  <c:v>0.21364541832669323</c:v>
                </c:pt>
                <c:pt idx="2">
                  <c:v>0.20119521912350596</c:v>
                </c:pt>
                <c:pt idx="3">
                  <c:v>0.18359893758300133</c:v>
                </c:pt>
                <c:pt idx="4">
                  <c:v>0.20833333333333334</c:v>
                </c:pt>
              </c:numCache>
            </c:numRef>
          </c:val>
          <c:extLst>
            <c:ext xmlns:c16="http://schemas.microsoft.com/office/drawing/2014/chart" uri="{C3380CC4-5D6E-409C-BE32-E72D297353CC}">
              <c16:uniqueId val="{00000000-DBFC-41C4-B080-D686E1FF54B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'QUALITY ANALYSIS'!$F$11</c:f>
              <c:strCache>
                <c:ptCount val="1"/>
                <c:pt idx="0">
                  <c:v>SAFETY MEASURES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ANALYSIS'!$E$12:$E$16</c:f>
              <c:strCache>
                <c:ptCount val="5"/>
                <c:pt idx="0">
                  <c:v>City Lights Hotel</c:v>
                </c:pt>
                <c:pt idx="1">
                  <c:v>Grand Heritage</c:v>
                </c:pt>
                <c:pt idx="2">
                  <c:v>Hilltop Inn</c:v>
                </c:pt>
                <c:pt idx="3">
                  <c:v>OceanView Resort</c:v>
                </c:pt>
                <c:pt idx="4">
                  <c:v>Palm Grove Stay</c:v>
                </c:pt>
              </c:strCache>
            </c:strRef>
          </c:cat>
          <c:val>
            <c:numRef>
              <c:f>'QUALITY ANALYSIS'!$F$12:$F$16</c:f>
              <c:numCache>
                <c:formatCode>0%</c:formatCode>
                <c:ptCount val="5"/>
                <c:pt idx="0">
                  <c:v>0.19443046468713304</c:v>
                </c:pt>
                <c:pt idx="1">
                  <c:v>0.2031538332494548</c:v>
                </c:pt>
                <c:pt idx="2">
                  <c:v>0.19493373595034391</c:v>
                </c:pt>
                <c:pt idx="3">
                  <c:v>0.18604261030028518</c:v>
                </c:pt>
                <c:pt idx="4">
                  <c:v>0.2214393558127831</c:v>
                </c:pt>
              </c:numCache>
            </c:numRef>
          </c:val>
          <c:extLst>
            <c:ext xmlns:c16="http://schemas.microsoft.com/office/drawing/2014/chart" uri="{C3380CC4-5D6E-409C-BE32-E72D297353CC}">
              <c16:uniqueId val="{00000000-6498-4F88-95FF-36DD244022A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'QUALITY ANALYSIS'!$F$20</c:f>
              <c:strCache>
                <c:ptCount val="1"/>
                <c:pt idx="0">
                  <c:v>ROOM_CLEANLINESS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ANALYSIS'!$E$21:$E$25</c:f>
              <c:strCache>
                <c:ptCount val="5"/>
                <c:pt idx="0">
                  <c:v>City Lights Hotel</c:v>
                </c:pt>
                <c:pt idx="1">
                  <c:v>Grand Heritage</c:v>
                </c:pt>
                <c:pt idx="2">
                  <c:v>Hilltop Inn</c:v>
                </c:pt>
                <c:pt idx="3">
                  <c:v>OceanView Resort</c:v>
                </c:pt>
                <c:pt idx="4">
                  <c:v>Palm Grove Stay</c:v>
                </c:pt>
              </c:strCache>
            </c:strRef>
          </c:cat>
          <c:val>
            <c:numRef>
              <c:f>'QUALITY ANALYSIS'!$F$21:$F$25</c:f>
              <c:numCache>
                <c:formatCode>0%</c:formatCode>
                <c:ptCount val="5"/>
                <c:pt idx="0">
                  <c:v>0.19069144483509123</c:v>
                </c:pt>
                <c:pt idx="1">
                  <c:v>0.21111669177967521</c:v>
                </c:pt>
                <c:pt idx="2">
                  <c:v>0.19922986773815504</c:v>
                </c:pt>
                <c:pt idx="3">
                  <c:v>0.18550142307048384</c:v>
                </c:pt>
                <c:pt idx="4">
                  <c:v>0.21346057257659468</c:v>
                </c:pt>
              </c:numCache>
            </c:numRef>
          </c:val>
          <c:extLst>
            <c:ext xmlns:c16="http://schemas.microsoft.com/office/drawing/2014/chart" uri="{C3380CC4-5D6E-409C-BE32-E72D297353CC}">
              <c16:uniqueId val="{00000000-4E20-4528-B89C-F6D291E781F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'QUALITY ANALYSIS'!$F$29</c:f>
              <c:strCache>
                <c:ptCount val="1"/>
                <c:pt idx="0">
                  <c:v>AMENITIES SATISFICATION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'QUALITY ANALYSIS'!$E$30:$E$34</c:f>
              <c:strCache>
                <c:ptCount val="5"/>
                <c:pt idx="0">
                  <c:v>City Lights Hotel</c:v>
                </c:pt>
                <c:pt idx="1">
                  <c:v>Grand Heritage</c:v>
                </c:pt>
                <c:pt idx="2">
                  <c:v>Hilltop Inn</c:v>
                </c:pt>
                <c:pt idx="3">
                  <c:v>OceanView Resort</c:v>
                </c:pt>
                <c:pt idx="4">
                  <c:v>Palm Grove Stay</c:v>
                </c:pt>
              </c:strCache>
            </c:strRef>
          </c:cat>
          <c:val>
            <c:numRef>
              <c:f>'QUALITY ANALYSIS'!$F$30:$F$34</c:f>
              <c:numCache>
                <c:formatCode>0%</c:formatCode>
                <c:ptCount val="5"/>
                <c:pt idx="0">
                  <c:v>0.18613199665831245</c:v>
                </c:pt>
                <c:pt idx="1">
                  <c:v>0.21453634085213033</c:v>
                </c:pt>
                <c:pt idx="2">
                  <c:v>0.20250626566416041</c:v>
                </c:pt>
                <c:pt idx="3">
                  <c:v>0.18345864661654135</c:v>
                </c:pt>
                <c:pt idx="4">
                  <c:v>0.21336675020885548</c:v>
                </c:pt>
              </c:numCache>
            </c:numRef>
          </c:val>
          <c:extLst>
            <c:ext xmlns:c16="http://schemas.microsoft.com/office/drawing/2014/chart" uri="{C3380CC4-5D6E-409C-BE32-E72D297353CC}">
              <c16:uniqueId val="{00000000-22CD-45C6-A56A-18F20A44B32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6</xdr:col>
      <xdr:colOff>528918</xdr:colOff>
      <xdr:row>9</xdr:row>
      <xdr:rowOff>19276</xdr:rowOff>
    </xdr:from>
    <xdr:to>
      <xdr:col>7</xdr:col>
      <xdr:colOff>453166</xdr:colOff>
      <xdr:row>18</xdr:row>
      <xdr:rowOff>61410</xdr:rowOff>
    </xdr:to>
    <mc:AlternateContent xmlns:mc="http://schemas.openxmlformats.org/markup-compatibility/2006" xmlns:a14="http://schemas.microsoft.com/office/drawing/2010/main">
      <mc:Choice Requires="a14">
        <xdr:graphicFrame macro="">
          <xdr:nvGraphicFramePr>
            <xdr:cNvPr id="2" name="Room_Type">
              <a:extLst>
                <a:ext uri="{FF2B5EF4-FFF2-40B4-BE49-F238E27FC236}">
                  <a16:creationId xmlns:a16="http://schemas.microsoft.com/office/drawing/2014/main" id="{2FA3C604-6D99-D338-0223-F481C320C6E7}"/>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10228730" y="1632923"/>
              <a:ext cx="1394460" cy="1655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1185134</xdr:colOff>
      <xdr:row>8</xdr:row>
      <xdr:rowOff>119455</xdr:rowOff>
    </xdr:from>
    <xdr:to>
      <xdr:col>10</xdr:col>
      <xdr:colOff>876300</xdr:colOff>
      <xdr:row>21</xdr:row>
      <xdr:rowOff>69926</xdr:rowOff>
    </xdr:to>
    <xdr:graphicFrame macro="">
      <xdr:nvGraphicFramePr>
        <xdr:cNvPr id="3" name="Chart 2">
          <a:extLst>
            <a:ext uri="{FF2B5EF4-FFF2-40B4-BE49-F238E27FC236}">
              <a16:creationId xmlns:a16="http://schemas.microsoft.com/office/drawing/2014/main" id="{50870F59-0FBA-03A2-ED83-06AA073CF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900954</xdr:colOff>
      <xdr:row>25</xdr:row>
      <xdr:rowOff>143434</xdr:rowOff>
    </xdr:from>
    <xdr:to>
      <xdr:col>18</xdr:col>
      <xdr:colOff>170331</xdr:colOff>
      <xdr:row>41</xdr:row>
      <xdr:rowOff>17928</xdr:rowOff>
    </xdr:to>
    <xdr:graphicFrame macro="">
      <xdr:nvGraphicFramePr>
        <xdr:cNvPr id="4" name="Chart 3">
          <a:extLst>
            <a:ext uri="{FF2B5EF4-FFF2-40B4-BE49-F238E27FC236}">
              <a16:creationId xmlns:a16="http://schemas.microsoft.com/office/drawing/2014/main" id="{10590556-135A-150C-090D-F876B91B3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310179</xdr:colOff>
      <xdr:row>28</xdr:row>
      <xdr:rowOff>45274</xdr:rowOff>
    </xdr:from>
    <xdr:to>
      <xdr:col>9</xdr:col>
      <xdr:colOff>2138979</xdr:colOff>
      <xdr:row>35</xdr:row>
      <xdr:rowOff>35861</xdr:rowOff>
    </xdr:to>
    <mc:AlternateContent xmlns:mc="http://schemas.openxmlformats.org/markup-compatibility/2006" xmlns:a14="http://schemas.microsoft.com/office/drawing/2010/main">
      <mc:Choice Requires="a14">
        <xdr:graphicFrame macro="">
          <xdr:nvGraphicFramePr>
            <xdr:cNvPr id="5" name="Guest_Gender">
              <a:extLst>
                <a:ext uri="{FF2B5EF4-FFF2-40B4-BE49-F238E27FC236}">
                  <a16:creationId xmlns:a16="http://schemas.microsoft.com/office/drawing/2014/main" id="{A8DAAE02-C917-BF64-FF6D-EB1A87E747EA}"/>
                </a:ext>
              </a:extLst>
            </xdr:cNvPr>
            <xdr:cNvGraphicFramePr/>
          </xdr:nvGraphicFramePr>
          <xdr:xfrm>
            <a:off x="0" y="0"/>
            <a:ext cx="0" cy="0"/>
          </xdr:xfrm>
          <a:graphic>
            <a:graphicData uri="http://schemas.microsoft.com/office/drawing/2010/slicer">
              <sle:slicer xmlns:sle="http://schemas.microsoft.com/office/drawing/2010/slicer" name="Guest_Gender"/>
            </a:graphicData>
          </a:graphic>
        </xdr:graphicFrame>
      </mc:Choice>
      <mc:Fallback xmlns="">
        <xdr:sp macro="" textlink="">
          <xdr:nvSpPr>
            <xdr:cNvPr id="0" name=""/>
            <xdr:cNvSpPr>
              <a:spLocks noTextEdit="1"/>
            </xdr:cNvSpPr>
          </xdr:nvSpPr>
          <xdr:spPr>
            <a:xfrm>
              <a:off x="14976438" y="5065509"/>
              <a:ext cx="1828800" cy="1245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856129</xdr:colOff>
      <xdr:row>66</xdr:row>
      <xdr:rowOff>53788</xdr:rowOff>
    </xdr:from>
    <xdr:to>
      <xdr:col>8</xdr:col>
      <xdr:colOff>936811</xdr:colOff>
      <xdr:row>81</xdr:row>
      <xdr:rowOff>107576</xdr:rowOff>
    </xdr:to>
    <xdr:graphicFrame macro="">
      <xdr:nvGraphicFramePr>
        <xdr:cNvPr id="7" name="Chart 6">
          <a:extLst>
            <a:ext uri="{FF2B5EF4-FFF2-40B4-BE49-F238E27FC236}">
              <a16:creationId xmlns:a16="http://schemas.microsoft.com/office/drawing/2014/main" id="{8E6926BD-52A8-FA02-869E-90E2418B3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1241612</xdr:colOff>
      <xdr:row>84</xdr:row>
      <xdr:rowOff>143436</xdr:rowOff>
    </xdr:from>
    <xdr:to>
      <xdr:col>14</xdr:col>
      <xdr:colOff>533400</xdr:colOff>
      <xdr:row>100</xdr:row>
      <xdr:rowOff>17930</xdr:rowOff>
    </xdr:to>
    <xdr:graphicFrame macro="">
      <xdr:nvGraphicFramePr>
        <xdr:cNvPr id="10" name="Chart 9">
          <a:extLst>
            <a:ext uri="{FF2B5EF4-FFF2-40B4-BE49-F238E27FC236}">
              <a16:creationId xmlns:a16="http://schemas.microsoft.com/office/drawing/2014/main" id="{F843636D-2805-4E69-C49D-A085458B8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1296297</xdr:colOff>
      <xdr:row>85</xdr:row>
      <xdr:rowOff>138504</xdr:rowOff>
    </xdr:from>
    <xdr:to>
      <xdr:col>7</xdr:col>
      <xdr:colOff>1654885</xdr:colOff>
      <xdr:row>99</xdr:row>
      <xdr:rowOff>95361</xdr:rowOff>
    </xdr:to>
    <mc:AlternateContent xmlns:mc="http://schemas.openxmlformats.org/markup-compatibility/2006" xmlns:a14="http://schemas.microsoft.com/office/drawing/2010/main">
      <mc:Choice Requires="a14">
        <xdr:graphicFrame macro="">
          <xdr:nvGraphicFramePr>
            <xdr:cNvPr id="11" name="Months (Checkin_Date)">
              <a:extLst>
                <a:ext uri="{FF2B5EF4-FFF2-40B4-BE49-F238E27FC236}">
                  <a16:creationId xmlns:a16="http://schemas.microsoft.com/office/drawing/2014/main" id="{F19704BD-C0E3-D3C1-B598-24CF8F87A878}"/>
                </a:ext>
              </a:extLst>
            </xdr:cNvPr>
            <xdr:cNvGraphicFramePr/>
          </xdr:nvGraphicFramePr>
          <xdr:xfrm>
            <a:off x="0" y="0"/>
            <a:ext cx="0" cy="0"/>
          </xdr:xfrm>
          <a:graphic>
            <a:graphicData uri="http://schemas.microsoft.com/office/drawing/2010/slicer">
              <sle:slicer xmlns:sle="http://schemas.microsoft.com/office/drawing/2010/slicer" name="Months (Checkin_Date)"/>
            </a:graphicData>
          </a:graphic>
        </xdr:graphicFrame>
      </mc:Choice>
      <mc:Fallback xmlns="">
        <xdr:sp macro="" textlink="">
          <xdr:nvSpPr>
            <xdr:cNvPr id="0" name=""/>
            <xdr:cNvSpPr>
              <a:spLocks noTextEdit="1"/>
            </xdr:cNvSpPr>
          </xdr:nvSpPr>
          <xdr:spPr>
            <a:xfrm>
              <a:off x="10996109" y="153785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166744</xdr:colOff>
      <xdr:row>86</xdr:row>
      <xdr:rowOff>75753</xdr:rowOff>
    </xdr:from>
    <xdr:to>
      <xdr:col>9</xdr:col>
      <xdr:colOff>337073</xdr:colOff>
      <xdr:row>92</xdr:row>
      <xdr:rowOff>134472</xdr:rowOff>
    </xdr:to>
    <mc:AlternateContent xmlns:mc="http://schemas.openxmlformats.org/markup-compatibility/2006" xmlns:a14="http://schemas.microsoft.com/office/drawing/2010/main">
      <mc:Choice Requires="a14">
        <xdr:graphicFrame macro="">
          <xdr:nvGraphicFramePr>
            <xdr:cNvPr id="12" name="Years (Checkin_Date)">
              <a:extLst>
                <a:ext uri="{FF2B5EF4-FFF2-40B4-BE49-F238E27FC236}">
                  <a16:creationId xmlns:a16="http://schemas.microsoft.com/office/drawing/2014/main" id="{87E4F1CB-F6D0-7DF7-CB8E-41E46A7FA704}"/>
                </a:ext>
              </a:extLst>
            </xdr:cNvPr>
            <xdr:cNvGraphicFramePr/>
          </xdr:nvGraphicFramePr>
          <xdr:xfrm>
            <a:off x="0" y="0"/>
            <a:ext cx="0" cy="0"/>
          </xdr:xfrm>
          <a:graphic>
            <a:graphicData uri="http://schemas.microsoft.com/office/drawing/2010/slicer">
              <sle:slicer xmlns:sle="http://schemas.microsoft.com/office/drawing/2010/slicer" name="Years (Checkin_Date)"/>
            </a:graphicData>
          </a:graphic>
        </xdr:graphicFrame>
      </mc:Choice>
      <mc:Fallback xmlns="">
        <xdr:sp macro="" textlink="">
          <xdr:nvSpPr>
            <xdr:cNvPr id="0" name=""/>
            <xdr:cNvSpPr>
              <a:spLocks noTextEdit="1"/>
            </xdr:cNvSpPr>
          </xdr:nvSpPr>
          <xdr:spPr>
            <a:xfrm>
              <a:off x="13174532" y="15495047"/>
              <a:ext cx="1828800" cy="1134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357243</xdr:colOff>
      <xdr:row>105</xdr:row>
      <xdr:rowOff>98612</xdr:rowOff>
    </xdr:from>
    <xdr:to>
      <xdr:col>8</xdr:col>
      <xdr:colOff>708210</xdr:colOff>
      <xdr:row>120</xdr:row>
      <xdr:rowOff>152400</xdr:rowOff>
    </xdr:to>
    <xdr:graphicFrame macro="">
      <xdr:nvGraphicFramePr>
        <xdr:cNvPr id="13" name="Chart 12">
          <a:extLst>
            <a:ext uri="{FF2B5EF4-FFF2-40B4-BE49-F238E27FC236}">
              <a16:creationId xmlns:a16="http://schemas.microsoft.com/office/drawing/2014/main" id="{B8D0B902-C527-7555-6ED0-95733E9FE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1053353</xdr:colOff>
      <xdr:row>46</xdr:row>
      <xdr:rowOff>143437</xdr:rowOff>
    </xdr:from>
    <xdr:to>
      <xdr:col>9</xdr:col>
      <xdr:colOff>125506</xdr:colOff>
      <xdr:row>58</xdr:row>
      <xdr:rowOff>143436</xdr:rowOff>
    </xdr:to>
    <xdr:graphicFrame macro="">
      <xdr:nvGraphicFramePr>
        <xdr:cNvPr id="15" name="Chart 14">
          <a:extLst>
            <a:ext uri="{FF2B5EF4-FFF2-40B4-BE49-F238E27FC236}">
              <a16:creationId xmlns:a16="http://schemas.microsoft.com/office/drawing/2014/main" id="{AEE51144-3357-4C3A-63CF-700960E64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1314226</xdr:colOff>
      <xdr:row>53</xdr:row>
      <xdr:rowOff>85614</xdr:rowOff>
    </xdr:from>
    <xdr:to>
      <xdr:col>4</xdr:col>
      <xdr:colOff>1406073</xdr:colOff>
      <xdr:row>59</xdr:row>
      <xdr:rowOff>107577</xdr:rowOff>
    </xdr:to>
    <mc:AlternateContent xmlns:mc="http://schemas.openxmlformats.org/markup-compatibility/2006" xmlns:a14="http://schemas.microsoft.com/office/drawing/2010/main">
      <mc:Choice Requires="a14">
        <xdr:graphicFrame macro="">
          <xdr:nvGraphicFramePr>
            <xdr:cNvPr id="16" name="Satisfication_level">
              <a:extLst>
                <a:ext uri="{FF2B5EF4-FFF2-40B4-BE49-F238E27FC236}">
                  <a16:creationId xmlns:a16="http://schemas.microsoft.com/office/drawing/2014/main" id="{3BF285E6-7CDF-665C-897D-D9141C0EDF2E}"/>
                </a:ext>
              </a:extLst>
            </xdr:cNvPr>
            <xdr:cNvGraphicFramePr/>
          </xdr:nvGraphicFramePr>
          <xdr:xfrm>
            <a:off x="0" y="0"/>
            <a:ext cx="0" cy="0"/>
          </xdr:xfrm>
          <a:graphic>
            <a:graphicData uri="http://schemas.microsoft.com/office/drawing/2010/slicer">
              <sle:slicer xmlns:sle="http://schemas.microsoft.com/office/drawing/2010/slicer" name="Satisfication_level"/>
            </a:graphicData>
          </a:graphic>
        </xdr:graphicFrame>
      </mc:Choice>
      <mc:Fallback xmlns="">
        <xdr:sp macro="" textlink="">
          <xdr:nvSpPr>
            <xdr:cNvPr id="0" name=""/>
            <xdr:cNvSpPr>
              <a:spLocks noTextEdit="1"/>
            </xdr:cNvSpPr>
          </xdr:nvSpPr>
          <xdr:spPr>
            <a:xfrm>
              <a:off x="4416014" y="9588202"/>
              <a:ext cx="1828800" cy="1097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1178411</xdr:colOff>
      <xdr:row>17</xdr:row>
      <xdr:rowOff>24653</xdr:rowOff>
    </xdr:from>
    <xdr:to>
      <xdr:col>5</xdr:col>
      <xdr:colOff>1115659</xdr:colOff>
      <xdr:row>22</xdr:row>
      <xdr:rowOff>8964</xdr:rowOff>
    </xdr:to>
    <mc:AlternateContent xmlns:mc="http://schemas.openxmlformats.org/markup-compatibility/2006">
      <mc:Choice xmlns:a14="http://schemas.microsoft.com/office/drawing/2010/main" Requires="a14">
        <xdr:graphicFrame macro="">
          <xdr:nvGraphicFramePr>
            <xdr:cNvPr id="17" name="Would_Recommend">
              <a:extLst>
                <a:ext uri="{FF2B5EF4-FFF2-40B4-BE49-F238E27FC236}">
                  <a16:creationId xmlns:a16="http://schemas.microsoft.com/office/drawing/2014/main" id="{F1EFFA4C-112C-F8B9-0A52-7C0992C6A7E3}"/>
                </a:ext>
              </a:extLst>
            </xdr:cNvPr>
            <xdr:cNvGraphicFramePr/>
          </xdr:nvGraphicFramePr>
          <xdr:xfrm>
            <a:off x="0" y="0"/>
            <a:ext cx="0" cy="0"/>
          </xdr:xfrm>
          <a:graphic>
            <a:graphicData uri="http://schemas.microsoft.com/office/drawing/2010/slicer">
              <sle:slicer xmlns:sle="http://schemas.microsoft.com/office/drawing/2010/slicer" name="Would_Recommend"/>
            </a:graphicData>
          </a:graphic>
        </xdr:graphicFrame>
      </mc:Choice>
      <mc:Fallback>
        <xdr:sp macro="" textlink="">
          <xdr:nvSpPr>
            <xdr:cNvPr id="0" name=""/>
            <xdr:cNvSpPr>
              <a:spLocks noTextEdit="1"/>
            </xdr:cNvSpPr>
          </xdr:nvSpPr>
          <xdr:spPr>
            <a:xfrm>
              <a:off x="5805829" y="3086508"/>
              <a:ext cx="1821466" cy="884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838200</xdr:colOff>
      <xdr:row>125</xdr:row>
      <xdr:rowOff>143435</xdr:rowOff>
    </xdr:from>
    <xdr:to>
      <xdr:col>8</xdr:col>
      <xdr:colOff>833717</xdr:colOff>
      <xdr:row>142</xdr:row>
      <xdr:rowOff>71717</xdr:rowOff>
    </xdr:to>
    <xdr:graphicFrame macro="">
      <xdr:nvGraphicFramePr>
        <xdr:cNvPr id="18" name="Chart 17">
          <a:extLst>
            <a:ext uri="{FF2B5EF4-FFF2-40B4-BE49-F238E27FC236}">
              <a16:creationId xmlns:a16="http://schemas.microsoft.com/office/drawing/2014/main" id="{11C04543-584D-75A2-DFE7-47781D397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811306</xdr:colOff>
      <xdr:row>147</xdr:row>
      <xdr:rowOff>143435</xdr:rowOff>
    </xdr:from>
    <xdr:to>
      <xdr:col>8</xdr:col>
      <xdr:colOff>766482</xdr:colOff>
      <xdr:row>163</xdr:row>
      <xdr:rowOff>17929</xdr:rowOff>
    </xdr:to>
    <xdr:graphicFrame macro="">
      <xdr:nvGraphicFramePr>
        <xdr:cNvPr id="19" name="Chart 18">
          <a:extLst>
            <a:ext uri="{FF2B5EF4-FFF2-40B4-BE49-F238E27FC236}">
              <a16:creationId xmlns:a16="http://schemas.microsoft.com/office/drawing/2014/main" id="{E1498580-ED9D-4C3A-78F6-40625F68E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820270</xdr:colOff>
      <xdr:row>168</xdr:row>
      <xdr:rowOff>107576</xdr:rowOff>
    </xdr:from>
    <xdr:to>
      <xdr:col>8</xdr:col>
      <xdr:colOff>775447</xdr:colOff>
      <xdr:row>183</xdr:row>
      <xdr:rowOff>161364</xdr:rowOff>
    </xdr:to>
    <xdr:graphicFrame macro="">
      <xdr:nvGraphicFramePr>
        <xdr:cNvPr id="20" name="Chart 19">
          <a:extLst>
            <a:ext uri="{FF2B5EF4-FFF2-40B4-BE49-F238E27FC236}">
              <a16:creationId xmlns:a16="http://schemas.microsoft.com/office/drawing/2014/main" id="{24068347-1515-BD56-CE82-546DE5757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1151965</xdr:colOff>
      <xdr:row>189</xdr:row>
      <xdr:rowOff>107576</xdr:rowOff>
    </xdr:from>
    <xdr:to>
      <xdr:col>8</xdr:col>
      <xdr:colOff>1107142</xdr:colOff>
      <xdr:row>204</xdr:row>
      <xdr:rowOff>161364</xdr:rowOff>
    </xdr:to>
    <xdr:graphicFrame macro="">
      <xdr:nvGraphicFramePr>
        <xdr:cNvPr id="21" name="Chart 20">
          <a:extLst>
            <a:ext uri="{FF2B5EF4-FFF2-40B4-BE49-F238E27FC236}">
              <a16:creationId xmlns:a16="http://schemas.microsoft.com/office/drawing/2014/main" id="{238EA6C8-9295-BD8D-B773-A8FD54E5B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1116106</xdr:colOff>
      <xdr:row>209</xdr:row>
      <xdr:rowOff>26894</xdr:rowOff>
    </xdr:from>
    <xdr:to>
      <xdr:col>10</xdr:col>
      <xdr:colOff>569259</xdr:colOff>
      <xdr:row>224</xdr:row>
      <xdr:rowOff>80683</xdr:rowOff>
    </xdr:to>
    <xdr:graphicFrame macro="">
      <xdr:nvGraphicFramePr>
        <xdr:cNvPr id="9" name="Chart 8">
          <a:extLst>
            <a:ext uri="{FF2B5EF4-FFF2-40B4-BE49-F238E27FC236}">
              <a16:creationId xmlns:a16="http://schemas.microsoft.com/office/drawing/2014/main" id="{C8AB0C10-3839-1633-11D2-1DBCD9929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1403872</xdr:colOff>
      <xdr:row>220</xdr:row>
      <xdr:rowOff>123266</xdr:rowOff>
    </xdr:from>
    <xdr:to>
      <xdr:col>4</xdr:col>
      <xdr:colOff>1828351</xdr:colOff>
      <xdr:row>225</xdr:row>
      <xdr:rowOff>98612</xdr:rowOff>
    </xdr:to>
    <mc:AlternateContent xmlns:mc="http://schemas.openxmlformats.org/markup-compatibility/2006">
      <mc:Choice xmlns:a14="http://schemas.microsoft.com/office/drawing/2010/main" Requires="a14">
        <xdr:graphicFrame macro="">
          <xdr:nvGraphicFramePr>
            <xdr:cNvPr id="22" name="Would_Recommend 1">
              <a:extLst>
                <a:ext uri="{FF2B5EF4-FFF2-40B4-BE49-F238E27FC236}">
                  <a16:creationId xmlns:a16="http://schemas.microsoft.com/office/drawing/2014/main" id="{49834706-01F7-1C4F-CF36-A07007E775C7}"/>
                </a:ext>
              </a:extLst>
            </xdr:cNvPr>
            <xdr:cNvGraphicFramePr/>
          </xdr:nvGraphicFramePr>
          <xdr:xfrm>
            <a:off x="0" y="0"/>
            <a:ext cx="0" cy="0"/>
          </xdr:xfrm>
          <a:graphic>
            <a:graphicData uri="http://schemas.microsoft.com/office/drawing/2010/slicer">
              <sle:slicer xmlns:sle="http://schemas.microsoft.com/office/drawing/2010/slicer" name="Would_Recommend 1"/>
            </a:graphicData>
          </a:graphic>
        </xdr:graphicFrame>
      </mc:Choice>
      <mc:Fallback>
        <xdr:sp macro="" textlink="">
          <xdr:nvSpPr>
            <xdr:cNvPr id="0" name=""/>
            <xdr:cNvSpPr>
              <a:spLocks noTextEdit="1"/>
            </xdr:cNvSpPr>
          </xdr:nvSpPr>
          <xdr:spPr>
            <a:xfrm>
              <a:off x="4632674" y="39747266"/>
              <a:ext cx="1823095" cy="875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1106979</xdr:colOff>
      <xdr:row>108</xdr:row>
      <xdr:rowOff>0</xdr:rowOff>
    </xdr:from>
    <xdr:to>
      <xdr:col>10</xdr:col>
      <xdr:colOff>719052</xdr:colOff>
      <xdr:row>122</xdr:row>
      <xdr:rowOff>62519</xdr:rowOff>
    </xdr:to>
    <mc:AlternateContent xmlns:mc="http://schemas.openxmlformats.org/markup-compatibility/2006">
      <mc:Choice xmlns:a14="http://schemas.microsoft.com/office/drawing/2010/main" Requires="a14">
        <xdr:graphicFrame macro="">
          <xdr:nvGraphicFramePr>
            <xdr:cNvPr id="23" name="Booking_Source">
              <a:extLst>
                <a:ext uri="{FF2B5EF4-FFF2-40B4-BE49-F238E27FC236}">
                  <a16:creationId xmlns:a16="http://schemas.microsoft.com/office/drawing/2014/main" id="{171E66F7-86A0-7E9B-EC0A-6809C31F7902}"/>
                </a:ext>
              </a:extLst>
            </xdr:cNvPr>
            <xdr:cNvGraphicFramePr/>
          </xdr:nvGraphicFramePr>
          <xdr:xfrm>
            <a:off x="0" y="0"/>
            <a:ext cx="0" cy="0"/>
          </xdr:xfrm>
          <a:graphic>
            <a:graphicData uri="http://schemas.microsoft.com/office/drawing/2010/slicer">
              <sle:slicer xmlns:sle="http://schemas.microsoft.com/office/drawing/2010/slicer" name="Booking_Source"/>
            </a:graphicData>
          </a:graphic>
        </xdr:graphicFrame>
      </mc:Choice>
      <mc:Fallback>
        <xdr:sp macro="" textlink="">
          <xdr:nvSpPr>
            <xdr:cNvPr id="0" name=""/>
            <xdr:cNvSpPr>
              <a:spLocks noTextEdit="1"/>
            </xdr:cNvSpPr>
          </xdr:nvSpPr>
          <xdr:spPr>
            <a:xfrm>
              <a:off x="13908579" y="19451782"/>
              <a:ext cx="1828800" cy="258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1661160</xdr:colOff>
      <xdr:row>213</xdr:row>
      <xdr:rowOff>3464</xdr:rowOff>
    </xdr:from>
    <xdr:to>
      <xdr:col>8</xdr:col>
      <xdr:colOff>1647305</xdr:colOff>
      <xdr:row>222</xdr:row>
      <xdr:rowOff>110837</xdr:rowOff>
    </xdr:to>
    <mc:AlternateContent xmlns:mc="http://schemas.openxmlformats.org/markup-compatibility/2006">
      <mc:Choice xmlns:a14="http://schemas.microsoft.com/office/drawing/2010/main" Requires="a14">
        <xdr:graphicFrame macro="">
          <xdr:nvGraphicFramePr>
            <xdr:cNvPr id="24" name="Travel_Purpose">
              <a:extLst>
                <a:ext uri="{FF2B5EF4-FFF2-40B4-BE49-F238E27FC236}">
                  <a16:creationId xmlns:a16="http://schemas.microsoft.com/office/drawing/2014/main" id="{5E9792A1-6A77-6188-7D22-41839DD6B63A}"/>
                </a:ext>
              </a:extLst>
            </xdr:cNvPr>
            <xdr:cNvGraphicFramePr/>
          </xdr:nvGraphicFramePr>
          <xdr:xfrm>
            <a:off x="0" y="0"/>
            <a:ext cx="0" cy="0"/>
          </xdr:xfrm>
          <a:graphic>
            <a:graphicData uri="http://schemas.microsoft.com/office/drawing/2010/slicer">
              <sle:slicer xmlns:sle="http://schemas.microsoft.com/office/drawing/2010/slicer" name="Travel_Purpose"/>
            </a:graphicData>
          </a:graphic>
        </xdr:graphicFrame>
      </mc:Choice>
      <mc:Fallback>
        <xdr:sp macro="" textlink="">
          <xdr:nvSpPr>
            <xdr:cNvPr id="0" name=""/>
            <xdr:cNvSpPr>
              <a:spLocks noTextEdit="1"/>
            </xdr:cNvSpPr>
          </xdr:nvSpPr>
          <xdr:spPr>
            <a:xfrm>
              <a:off x="10957560" y="38366700"/>
              <a:ext cx="1828800" cy="1728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91440</xdr:colOff>
      <xdr:row>4</xdr:row>
      <xdr:rowOff>152400</xdr:rowOff>
    </xdr:from>
    <xdr:to>
      <xdr:col>59</xdr:col>
      <xdr:colOff>392545</xdr:colOff>
      <xdr:row>13</xdr:row>
      <xdr:rowOff>19050</xdr:rowOff>
    </xdr:to>
    <xdr:sp macro="" textlink="">
      <xdr:nvSpPr>
        <xdr:cNvPr id="4" name="Rectangle: Rounded Corners 3">
          <a:extLst>
            <a:ext uri="{FF2B5EF4-FFF2-40B4-BE49-F238E27FC236}">
              <a16:creationId xmlns:a16="http://schemas.microsoft.com/office/drawing/2014/main" id="{98AAD5A9-00CE-ECAB-3AB4-206EA9655912}"/>
            </a:ext>
          </a:extLst>
        </xdr:cNvPr>
        <xdr:cNvSpPr/>
      </xdr:nvSpPr>
      <xdr:spPr>
        <a:xfrm>
          <a:off x="10297622" y="891309"/>
          <a:ext cx="25516378" cy="1529196"/>
        </a:xfrm>
        <a:prstGeom prst="roundRect">
          <a:avLst/>
        </a:prstGeom>
        <a:solidFill>
          <a:srgbClr val="FF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6000" b="1" i="0" baseline="0">
              <a:solidFill>
                <a:schemeClr val="bg1"/>
              </a:solidFill>
              <a:effectLst/>
              <a:latin typeface="+mn-lt"/>
              <a:ea typeface="+mn-ea"/>
              <a:cs typeface="+mn-cs"/>
            </a:rPr>
            <a:t>GUEST FEEDBACK AND SERVICE QUALITY DASHBOARD</a:t>
          </a:r>
          <a:endParaRPr lang="en-IN" sz="6000" b="1">
            <a:solidFill>
              <a:schemeClr val="bg1"/>
            </a:solidFill>
            <a:effectLst/>
          </a:endParaRPr>
        </a:p>
        <a:p>
          <a:pPr algn="l"/>
          <a:endParaRPr lang="en-IN" sz="1100" b="1"/>
        </a:p>
      </xdr:txBody>
    </xdr:sp>
    <xdr:clientData/>
  </xdr:twoCellAnchor>
  <xdr:twoCellAnchor>
    <xdr:from>
      <xdr:col>6</xdr:col>
      <xdr:colOff>431338</xdr:colOff>
      <xdr:row>15</xdr:row>
      <xdr:rowOff>165588</xdr:rowOff>
    </xdr:from>
    <xdr:to>
      <xdr:col>17</xdr:col>
      <xdr:colOff>61883</xdr:colOff>
      <xdr:row>211</xdr:row>
      <xdr:rowOff>60960</xdr:rowOff>
    </xdr:to>
    <xdr:sp macro="" textlink="">
      <xdr:nvSpPr>
        <xdr:cNvPr id="5" name="Rectangle: Rounded Corners 4">
          <a:extLst>
            <a:ext uri="{FF2B5EF4-FFF2-40B4-BE49-F238E27FC236}">
              <a16:creationId xmlns:a16="http://schemas.microsoft.com/office/drawing/2014/main" id="{44D3B7C2-5075-DF7A-CA22-90B1CF6B733C}"/>
            </a:ext>
          </a:extLst>
        </xdr:cNvPr>
        <xdr:cNvSpPr/>
      </xdr:nvSpPr>
      <xdr:spPr>
        <a:xfrm>
          <a:off x="4088938" y="2908788"/>
          <a:ext cx="6336145" cy="35739852"/>
        </a:xfrm>
        <a:prstGeom prst="roundRect">
          <a:avLst/>
        </a:prstGeom>
        <a:solidFill>
          <a:srgbClr val="FF6D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31727</xdr:colOff>
      <xdr:row>16</xdr:row>
      <xdr:rowOff>64077</xdr:rowOff>
    </xdr:from>
    <xdr:to>
      <xdr:col>30</xdr:col>
      <xdr:colOff>266700</xdr:colOff>
      <xdr:row>23</xdr:row>
      <xdr:rowOff>57150</xdr:rowOff>
    </xdr:to>
    <xdr:sp macro="" textlink="'PIVOT ANALYSIS'!E11">
      <xdr:nvSpPr>
        <xdr:cNvPr id="6" name="Rectangle: Rounded Corners 5">
          <a:extLst>
            <a:ext uri="{FF2B5EF4-FFF2-40B4-BE49-F238E27FC236}">
              <a16:creationId xmlns:a16="http://schemas.microsoft.com/office/drawing/2014/main" id="{78CE4D02-1321-4657-944B-90BF7B1F9204}"/>
            </a:ext>
          </a:extLst>
        </xdr:cNvPr>
        <xdr:cNvSpPr/>
      </xdr:nvSpPr>
      <xdr:spPr>
        <a:xfrm>
          <a:off x="14662127" y="3112077"/>
          <a:ext cx="3892573" cy="1326573"/>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PALM GROVE STAY</a:t>
          </a:r>
          <a:br>
            <a:rPr lang="en-US" sz="3200" b="1" i="0" u="none" strike="noStrike">
              <a:solidFill>
                <a:schemeClr val="bg1"/>
              </a:solidFill>
              <a:latin typeface="Calibri"/>
              <a:ea typeface="Calibri"/>
              <a:cs typeface="Calibri"/>
            </a:rPr>
          </a:br>
          <a:fld id="{E785B2AA-DA95-4539-8039-ACF34CB67BA6}" type="TxLink">
            <a:rPr lang="en-US" sz="3200" b="1" i="0" u="none" strike="noStrike">
              <a:solidFill>
                <a:srgbClr val="000000"/>
              </a:solidFill>
              <a:latin typeface="Calibri"/>
              <a:ea typeface="Calibri"/>
              <a:cs typeface="Calibri"/>
            </a:rPr>
            <a:t>434</a:t>
          </a:fld>
          <a:endParaRPr lang="en-IN" sz="3200" b="1">
            <a:solidFill>
              <a:schemeClr val="bg1"/>
            </a:solidFill>
          </a:endParaRPr>
        </a:p>
      </xdr:txBody>
    </xdr:sp>
    <xdr:clientData/>
  </xdr:twoCellAnchor>
  <xdr:twoCellAnchor>
    <xdr:from>
      <xdr:col>30</xdr:col>
      <xdr:colOff>422565</xdr:colOff>
      <xdr:row>16</xdr:row>
      <xdr:rowOff>76200</xdr:rowOff>
    </xdr:from>
    <xdr:to>
      <xdr:col>37</xdr:col>
      <xdr:colOff>190501</xdr:colOff>
      <xdr:row>23</xdr:row>
      <xdr:rowOff>57150</xdr:rowOff>
    </xdr:to>
    <xdr:sp macro="" textlink="'PIVOT ANALYSIS'!E12">
      <xdr:nvSpPr>
        <xdr:cNvPr id="7" name="Rectangle: Rounded Corners 6">
          <a:extLst>
            <a:ext uri="{FF2B5EF4-FFF2-40B4-BE49-F238E27FC236}">
              <a16:creationId xmlns:a16="http://schemas.microsoft.com/office/drawing/2014/main" id="{05278704-9F3B-445D-B72D-18477F6197DB}"/>
            </a:ext>
          </a:extLst>
        </xdr:cNvPr>
        <xdr:cNvSpPr/>
      </xdr:nvSpPr>
      <xdr:spPr>
        <a:xfrm>
          <a:off x="18710565" y="3124200"/>
          <a:ext cx="4035136" cy="131445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GRAND HERITAGE</a:t>
          </a:r>
          <a:br>
            <a:rPr lang="en-US" sz="3200" b="1" i="0" u="none" strike="noStrike">
              <a:solidFill>
                <a:schemeClr val="bg1"/>
              </a:solidFill>
              <a:latin typeface="Calibri"/>
              <a:ea typeface="Calibri"/>
              <a:cs typeface="Calibri"/>
            </a:rPr>
          </a:br>
          <a:fld id="{0EA1EB67-5E64-432C-9EC9-D48DFC768AD8}" type="TxLink">
            <a:rPr lang="en-US" sz="3200" b="1" i="0" u="none" strike="noStrike">
              <a:solidFill>
                <a:srgbClr val="000000"/>
              </a:solidFill>
              <a:latin typeface="Calibri"/>
              <a:ea typeface="Calibri"/>
              <a:cs typeface="Calibri"/>
            </a:rPr>
            <a:t>411</a:t>
          </a:fld>
          <a:endParaRPr lang="en-IN" sz="3200" b="1"/>
        </a:p>
      </xdr:txBody>
    </xdr:sp>
    <xdr:clientData/>
  </xdr:twoCellAnchor>
  <xdr:twoCellAnchor>
    <xdr:from>
      <xdr:col>44</xdr:col>
      <xdr:colOff>382732</xdr:colOff>
      <xdr:row>16</xdr:row>
      <xdr:rowOff>58882</xdr:rowOff>
    </xdr:from>
    <xdr:to>
      <xdr:col>51</xdr:col>
      <xdr:colOff>209549</xdr:colOff>
      <xdr:row>23</xdr:row>
      <xdr:rowOff>133350</xdr:rowOff>
    </xdr:to>
    <xdr:sp macro="" textlink="'PIVOT ANALYSIS'!E14">
      <xdr:nvSpPr>
        <xdr:cNvPr id="8" name="Rectangle: Rounded Corners 7">
          <a:extLst>
            <a:ext uri="{FF2B5EF4-FFF2-40B4-BE49-F238E27FC236}">
              <a16:creationId xmlns:a16="http://schemas.microsoft.com/office/drawing/2014/main" id="{31315355-26D4-46BA-8CD1-1EEF6E168FFF}"/>
            </a:ext>
          </a:extLst>
        </xdr:cNvPr>
        <xdr:cNvSpPr/>
      </xdr:nvSpPr>
      <xdr:spPr>
        <a:xfrm>
          <a:off x="27205132" y="3106882"/>
          <a:ext cx="4094017" cy="1407968"/>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CITY LIGHT HOTEL</a:t>
          </a:r>
          <a:br>
            <a:rPr lang="en-US" sz="3200" b="1" i="0" u="none" strike="noStrike">
              <a:solidFill>
                <a:schemeClr val="bg1"/>
              </a:solidFill>
              <a:latin typeface="Calibri"/>
              <a:ea typeface="Calibri"/>
              <a:cs typeface="Calibri"/>
            </a:rPr>
          </a:br>
          <a:fld id="{06BA9181-285F-4799-987C-BECBBB6E177A}" type="TxLink">
            <a:rPr lang="en-US" sz="3200" b="1" i="0" u="none" strike="noStrike">
              <a:solidFill>
                <a:srgbClr val="000000"/>
              </a:solidFill>
              <a:latin typeface="Calibri"/>
              <a:ea typeface="Calibri"/>
              <a:cs typeface="Calibri"/>
            </a:rPr>
            <a:t>380</a:t>
          </a:fld>
          <a:endParaRPr lang="en-IN" sz="3200" b="1"/>
        </a:p>
      </xdr:txBody>
    </xdr:sp>
    <xdr:clientData/>
  </xdr:twoCellAnchor>
  <xdr:twoCellAnchor>
    <xdr:from>
      <xdr:col>37</xdr:col>
      <xdr:colOff>423603</xdr:colOff>
      <xdr:row>16</xdr:row>
      <xdr:rowOff>76200</xdr:rowOff>
    </xdr:from>
    <xdr:to>
      <xdr:col>44</xdr:col>
      <xdr:colOff>209551</xdr:colOff>
      <xdr:row>23</xdr:row>
      <xdr:rowOff>95250</xdr:rowOff>
    </xdr:to>
    <xdr:sp macro="" textlink="'PIVOT ANALYSIS'!E13">
      <xdr:nvSpPr>
        <xdr:cNvPr id="9" name="Rectangle: Rounded Corners 8">
          <a:extLst>
            <a:ext uri="{FF2B5EF4-FFF2-40B4-BE49-F238E27FC236}">
              <a16:creationId xmlns:a16="http://schemas.microsoft.com/office/drawing/2014/main" id="{C52E8E10-CFBF-49F2-AD35-BB899A3BB35F}"/>
            </a:ext>
          </a:extLst>
        </xdr:cNvPr>
        <xdr:cNvSpPr/>
      </xdr:nvSpPr>
      <xdr:spPr>
        <a:xfrm>
          <a:off x="22978803" y="3124200"/>
          <a:ext cx="4053148" cy="135255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HILLTOP INN</a:t>
          </a:r>
          <a:br>
            <a:rPr lang="en-US" sz="3200" b="1" i="0" u="none" strike="noStrike">
              <a:solidFill>
                <a:schemeClr val="bg1"/>
              </a:solidFill>
              <a:latin typeface="Calibri"/>
              <a:ea typeface="Calibri"/>
              <a:cs typeface="Calibri"/>
            </a:rPr>
          </a:br>
          <a:fld id="{E9698BBA-BD1B-424D-9DF7-42176FFCE759}" type="TxLink">
            <a:rPr lang="en-US" sz="3200" b="1" i="0" u="none" strike="noStrike">
              <a:solidFill>
                <a:srgbClr val="000000"/>
              </a:solidFill>
              <a:latin typeface="Calibri"/>
              <a:ea typeface="Calibri"/>
              <a:cs typeface="Calibri"/>
            </a:rPr>
            <a:t>403</a:t>
          </a:fld>
          <a:endParaRPr lang="en-IN" sz="3200" b="1"/>
        </a:p>
      </xdr:txBody>
    </xdr:sp>
    <xdr:clientData/>
  </xdr:twoCellAnchor>
  <xdr:twoCellAnchor>
    <xdr:from>
      <xdr:col>17</xdr:col>
      <xdr:colOff>290945</xdr:colOff>
      <xdr:row>16</xdr:row>
      <xdr:rowOff>55419</xdr:rowOff>
    </xdr:from>
    <xdr:to>
      <xdr:col>23</xdr:col>
      <xdr:colOff>387927</xdr:colOff>
      <xdr:row>23</xdr:row>
      <xdr:rowOff>19051</xdr:rowOff>
    </xdr:to>
    <xdr:sp macro="" textlink="'PIVOT ANALYSIS'!E16">
      <xdr:nvSpPr>
        <xdr:cNvPr id="10" name="Rectangle: Rounded Corners 9">
          <a:extLst>
            <a:ext uri="{FF2B5EF4-FFF2-40B4-BE49-F238E27FC236}">
              <a16:creationId xmlns:a16="http://schemas.microsoft.com/office/drawing/2014/main" id="{1AE1E4B6-7E48-4D9D-BFE6-B4B2DC371BD4}"/>
            </a:ext>
          </a:extLst>
        </xdr:cNvPr>
        <xdr:cNvSpPr/>
      </xdr:nvSpPr>
      <xdr:spPr>
        <a:xfrm>
          <a:off x="10654145" y="3103419"/>
          <a:ext cx="3754582" cy="1297132"/>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TOTAL GUESTS</a:t>
          </a:r>
          <a:br>
            <a:rPr lang="en-US" sz="3200" b="1" i="0" u="none" strike="noStrike">
              <a:solidFill>
                <a:schemeClr val="bg1"/>
              </a:solidFill>
              <a:latin typeface="Calibri"/>
              <a:ea typeface="Calibri"/>
              <a:cs typeface="Calibri"/>
            </a:rPr>
          </a:br>
          <a:fld id="{9748ED47-A43F-4494-9633-6B2C52FD4A8E}" type="TxLink">
            <a:rPr lang="en-US" sz="3200" b="1" i="0" u="none" strike="noStrike">
              <a:solidFill>
                <a:srgbClr val="000000"/>
              </a:solidFill>
              <a:latin typeface="Calibri"/>
              <a:ea typeface="Calibri"/>
              <a:cs typeface="Calibri"/>
            </a:rPr>
            <a:t>2000</a:t>
          </a:fld>
          <a:endParaRPr lang="en-US" sz="3200" b="1"/>
        </a:p>
      </xdr:txBody>
    </xdr:sp>
    <xdr:clientData/>
  </xdr:twoCellAnchor>
  <xdr:twoCellAnchor>
    <xdr:from>
      <xdr:col>51</xdr:col>
      <xdr:colOff>412750</xdr:colOff>
      <xdr:row>16</xdr:row>
      <xdr:rowOff>35791</xdr:rowOff>
    </xdr:from>
    <xdr:to>
      <xdr:col>59</xdr:col>
      <xdr:colOff>277667</xdr:colOff>
      <xdr:row>23</xdr:row>
      <xdr:rowOff>129309</xdr:rowOff>
    </xdr:to>
    <xdr:sp macro="" textlink="'PIVOT ANALYSIS'!E15">
      <xdr:nvSpPr>
        <xdr:cNvPr id="11" name="Rectangle: Rounded Corners 10">
          <a:extLst>
            <a:ext uri="{FF2B5EF4-FFF2-40B4-BE49-F238E27FC236}">
              <a16:creationId xmlns:a16="http://schemas.microsoft.com/office/drawing/2014/main" id="{B701B4A8-FF93-4D2D-BE30-E339DFA2D3B8}"/>
            </a:ext>
          </a:extLst>
        </xdr:cNvPr>
        <xdr:cNvSpPr/>
      </xdr:nvSpPr>
      <xdr:spPr>
        <a:xfrm>
          <a:off x="31031295" y="2991427"/>
          <a:ext cx="4667827" cy="1386609"/>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chemeClr val="bg1"/>
              </a:solidFill>
              <a:latin typeface="Calibri"/>
              <a:ea typeface="Calibri"/>
              <a:cs typeface="Calibri"/>
            </a:rPr>
            <a:t>OCEAN VIEW RESORT</a:t>
          </a:r>
          <a:br>
            <a:rPr lang="en-US" sz="3200" b="1" i="0" u="none" strike="noStrike">
              <a:solidFill>
                <a:schemeClr val="bg1"/>
              </a:solidFill>
              <a:latin typeface="Calibri"/>
              <a:ea typeface="Calibri"/>
              <a:cs typeface="Calibri"/>
            </a:rPr>
          </a:br>
          <a:fld id="{9EE8B95E-5915-465C-8069-C1D54F5540CB}" type="TxLink">
            <a:rPr lang="en-US" sz="3200" b="1" i="0" u="none" strike="noStrike">
              <a:solidFill>
                <a:srgbClr val="000000"/>
              </a:solidFill>
              <a:latin typeface="Calibri"/>
              <a:ea typeface="Calibri"/>
              <a:cs typeface="Calibri"/>
            </a:rPr>
            <a:t>372</a:t>
          </a:fld>
          <a:endParaRPr lang="en-IN" sz="3200" b="1"/>
        </a:p>
      </xdr:txBody>
    </xdr:sp>
    <xdr:clientData/>
  </xdr:twoCellAnchor>
  <xdr:twoCellAnchor>
    <xdr:from>
      <xdr:col>7</xdr:col>
      <xdr:colOff>0</xdr:colOff>
      <xdr:row>4</xdr:row>
      <xdr:rowOff>161636</xdr:rowOff>
    </xdr:from>
    <xdr:to>
      <xdr:col>16</xdr:col>
      <xdr:colOff>415637</xdr:colOff>
      <xdr:row>14</xdr:row>
      <xdr:rowOff>46181</xdr:rowOff>
    </xdr:to>
    <xdr:sp macro="" textlink="'PIVOT ANALYSIS'!E16">
      <xdr:nvSpPr>
        <xdr:cNvPr id="14" name="Rectangle: Rounded Corners 13">
          <a:extLst>
            <a:ext uri="{FF2B5EF4-FFF2-40B4-BE49-F238E27FC236}">
              <a16:creationId xmlns:a16="http://schemas.microsoft.com/office/drawing/2014/main" id="{922661F2-2DD6-4F25-BC25-6C6B362D59FF}"/>
            </a:ext>
          </a:extLst>
        </xdr:cNvPr>
        <xdr:cNvSpPr/>
      </xdr:nvSpPr>
      <xdr:spPr>
        <a:xfrm>
          <a:off x="4202545" y="900545"/>
          <a:ext cx="5818910" cy="1731818"/>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editAs="oneCell">
    <xdr:from>
      <xdr:col>7</xdr:col>
      <xdr:colOff>115454</xdr:colOff>
      <xdr:row>28</xdr:row>
      <xdr:rowOff>156352</xdr:rowOff>
    </xdr:from>
    <xdr:to>
      <xdr:col>16</xdr:col>
      <xdr:colOff>442333</xdr:colOff>
      <xdr:row>42</xdr:row>
      <xdr:rowOff>84974</xdr:rowOff>
    </xdr:to>
    <mc:AlternateContent xmlns:mc="http://schemas.openxmlformats.org/markup-compatibility/2006">
      <mc:Choice xmlns:a14="http://schemas.microsoft.com/office/drawing/2010/main" Requires="a14">
        <xdr:graphicFrame macro="">
          <xdr:nvGraphicFramePr>
            <xdr:cNvPr id="15" name="Room_Type 1">
              <a:extLst>
                <a:ext uri="{FF2B5EF4-FFF2-40B4-BE49-F238E27FC236}">
                  <a16:creationId xmlns:a16="http://schemas.microsoft.com/office/drawing/2014/main" id="{D6D29908-A165-4696-AB83-C843FAC74CB3}"/>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dr:sp macro="" textlink="">
          <xdr:nvSpPr>
            <xdr:cNvPr id="0" name=""/>
            <xdr:cNvSpPr>
              <a:spLocks noTextEdit="1"/>
            </xdr:cNvSpPr>
          </xdr:nvSpPr>
          <xdr:spPr>
            <a:xfrm>
              <a:off x="4382654" y="5276992"/>
              <a:ext cx="5813279" cy="2488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85899</xdr:colOff>
      <xdr:row>73</xdr:row>
      <xdr:rowOff>70194</xdr:rowOff>
    </xdr:from>
    <xdr:to>
      <xdr:col>38</xdr:col>
      <xdr:colOff>426720</xdr:colOff>
      <xdr:row>105</xdr:row>
      <xdr:rowOff>30480</xdr:rowOff>
    </xdr:to>
    <xdr:graphicFrame macro="">
      <xdr:nvGraphicFramePr>
        <xdr:cNvPr id="16" name="Chart 15">
          <a:extLst>
            <a:ext uri="{FF2B5EF4-FFF2-40B4-BE49-F238E27FC236}">
              <a16:creationId xmlns:a16="http://schemas.microsoft.com/office/drawing/2014/main" id="{52D520C2-05C3-4832-AC50-6C40E9186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70196</xdr:colOff>
      <xdr:row>53</xdr:row>
      <xdr:rowOff>131158</xdr:rowOff>
    </xdr:from>
    <xdr:to>
      <xdr:col>16</xdr:col>
      <xdr:colOff>278014</xdr:colOff>
      <xdr:row>63</xdr:row>
      <xdr:rowOff>108066</xdr:rowOff>
    </xdr:to>
    <mc:AlternateContent xmlns:mc="http://schemas.openxmlformats.org/markup-compatibility/2006">
      <mc:Choice xmlns:a14="http://schemas.microsoft.com/office/drawing/2010/main" Requires="a14">
        <xdr:graphicFrame macro="">
          <xdr:nvGraphicFramePr>
            <xdr:cNvPr id="17" name="Would_Recommend 2">
              <a:extLst>
                <a:ext uri="{FF2B5EF4-FFF2-40B4-BE49-F238E27FC236}">
                  <a16:creationId xmlns:a16="http://schemas.microsoft.com/office/drawing/2014/main" id="{94583BA9-CC2C-4707-AD20-51FED29B0DDB}"/>
                </a:ext>
              </a:extLst>
            </xdr:cNvPr>
            <xdr:cNvGraphicFramePr/>
          </xdr:nvGraphicFramePr>
          <xdr:xfrm>
            <a:off x="0" y="0"/>
            <a:ext cx="0" cy="0"/>
          </xdr:xfrm>
          <a:graphic>
            <a:graphicData uri="http://schemas.microsoft.com/office/drawing/2010/slicer">
              <sle:slicer xmlns:sle="http://schemas.microsoft.com/office/drawing/2010/slicer" name="Would_Recommend 2"/>
            </a:graphicData>
          </a:graphic>
        </xdr:graphicFrame>
      </mc:Choice>
      <mc:Fallback>
        <xdr:sp macro="" textlink="">
          <xdr:nvSpPr>
            <xdr:cNvPr id="0" name=""/>
            <xdr:cNvSpPr>
              <a:spLocks noTextEdit="1"/>
            </xdr:cNvSpPr>
          </xdr:nvSpPr>
          <xdr:spPr>
            <a:xfrm>
              <a:off x="4337396" y="9823798"/>
              <a:ext cx="5694218" cy="1805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243840</xdr:colOff>
      <xdr:row>40</xdr:row>
      <xdr:rowOff>91441</xdr:rowOff>
    </xdr:from>
    <xdr:to>
      <xdr:col>27</xdr:col>
      <xdr:colOff>335280</xdr:colOff>
      <xdr:row>70</xdr:row>
      <xdr:rowOff>91440</xdr:rowOff>
    </xdr:to>
    <xdr:graphicFrame macro="">
      <xdr:nvGraphicFramePr>
        <xdr:cNvPr id="19" name="Chart 18">
          <a:extLst>
            <a:ext uri="{FF2B5EF4-FFF2-40B4-BE49-F238E27FC236}">
              <a16:creationId xmlns:a16="http://schemas.microsoft.com/office/drawing/2014/main" id="{D99BCC41-E4DD-4CC9-8185-DD745D932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400856</xdr:colOff>
      <xdr:row>42</xdr:row>
      <xdr:rowOff>137622</xdr:rowOff>
    </xdr:from>
    <xdr:to>
      <xdr:col>37</xdr:col>
      <xdr:colOff>274320</xdr:colOff>
      <xdr:row>71</xdr:row>
      <xdr:rowOff>60960</xdr:rowOff>
    </xdr:to>
    <xdr:graphicFrame macro="">
      <xdr:nvGraphicFramePr>
        <xdr:cNvPr id="20" name="Chart 19">
          <a:extLst>
            <a:ext uri="{FF2B5EF4-FFF2-40B4-BE49-F238E27FC236}">
              <a16:creationId xmlns:a16="http://schemas.microsoft.com/office/drawing/2014/main" id="{7C548D4D-9B46-466E-B865-297597A88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243841</xdr:colOff>
      <xdr:row>40</xdr:row>
      <xdr:rowOff>76661</xdr:rowOff>
    </xdr:from>
    <xdr:to>
      <xdr:col>59</xdr:col>
      <xdr:colOff>487680</xdr:colOff>
      <xdr:row>71</xdr:row>
      <xdr:rowOff>0</xdr:rowOff>
    </xdr:to>
    <xdr:graphicFrame macro="">
      <xdr:nvGraphicFramePr>
        <xdr:cNvPr id="21" name="Chart 20">
          <a:extLst>
            <a:ext uri="{FF2B5EF4-FFF2-40B4-BE49-F238E27FC236}">
              <a16:creationId xmlns:a16="http://schemas.microsoft.com/office/drawing/2014/main" id="{BD27A39B-4EC2-4CD5-ABB0-80CC0AD1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121921</xdr:colOff>
      <xdr:row>41</xdr:row>
      <xdr:rowOff>77584</xdr:rowOff>
    </xdr:from>
    <xdr:to>
      <xdr:col>49</xdr:col>
      <xdr:colOff>1</xdr:colOff>
      <xdr:row>73</xdr:row>
      <xdr:rowOff>91440</xdr:rowOff>
    </xdr:to>
    <xdr:graphicFrame macro="">
      <xdr:nvGraphicFramePr>
        <xdr:cNvPr id="22" name="Chart 21">
          <a:extLst>
            <a:ext uri="{FF2B5EF4-FFF2-40B4-BE49-F238E27FC236}">
              <a16:creationId xmlns:a16="http://schemas.microsoft.com/office/drawing/2014/main" id="{856A718D-0BDD-4C9E-9E2F-E4652660D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604981</xdr:colOff>
      <xdr:row>25</xdr:row>
      <xdr:rowOff>61884</xdr:rowOff>
    </xdr:from>
    <xdr:to>
      <xdr:col>46</xdr:col>
      <xdr:colOff>133925</xdr:colOff>
      <xdr:row>31</xdr:row>
      <xdr:rowOff>84975</xdr:rowOff>
    </xdr:to>
    <xdr:sp macro="" textlink="'PIVOT ANALYSIS'!E16">
      <xdr:nvSpPr>
        <xdr:cNvPr id="23" name="Rectangle: Rounded Corners 22">
          <a:extLst>
            <a:ext uri="{FF2B5EF4-FFF2-40B4-BE49-F238E27FC236}">
              <a16:creationId xmlns:a16="http://schemas.microsoft.com/office/drawing/2014/main" id="{52D87750-F406-4859-B4B9-219B19BFF2EC}"/>
            </a:ext>
          </a:extLst>
        </xdr:cNvPr>
        <xdr:cNvSpPr/>
      </xdr:nvSpPr>
      <xdr:spPr>
        <a:xfrm>
          <a:off x="18283381" y="4633884"/>
          <a:ext cx="9892144" cy="1120371"/>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Guest Satisfaction Breakdown</a:t>
          </a:r>
          <a:endParaRPr lang="en-US" sz="3600" b="1"/>
        </a:p>
      </xdr:txBody>
    </xdr:sp>
    <xdr:clientData/>
  </xdr:twoCellAnchor>
  <xdr:twoCellAnchor>
    <xdr:from>
      <xdr:col>18</xdr:col>
      <xdr:colOff>243841</xdr:colOff>
      <xdr:row>35</xdr:row>
      <xdr:rowOff>60961</xdr:rowOff>
    </xdr:from>
    <xdr:to>
      <xdr:col>26</xdr:col>
      <xdr:colOff>396240</xdr:colOff>
      <xdr:row>41</xdr:row>
      <xdr:rowOff>1</xdr:rowOff>
    </xdr:to>
    <xdr:sp macro="" textlink="">
      <xdr:nvSpPr>
        <xdr:cNvPr id="24" name="Rectangle: Rounded Corners 23">
          <a:extLst>
            <a:ext uri="{FF2B5EF4-FFF2-40B4-BE49-F238E27FC236}">
              <a16:creationId xmlns:a16="http://schemas.microsoft.com/office/drawing/2014/main" id="{76035CEE-8A74-4FFF-8872-7314260AFF5E}"/>
            </a:ext>
          </a:extLst>
        </xdr:cNvPr>
        <xdr:cNvSpPr/>
      </xdr:nvSpPr>
      <xdr:spPr>
        <a:xfrm>
          <a:off x="11216641" y="6461761"/>
          <a:ext cx="5029199" cy="103632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1"/>
              </a:solidFill>
              <a:latin typeface="Calibri"/>
              <a:ea typeface="Calibri"/>
              <a:cs typeface="Calibri"/>
            </a:rPr>
            <a:t>FOOD</a:t>
          </a:r>
          <a:r>
            <a:rPr lang="en-US" sz="3600" b="1" i="0" u="none" strike="noStrike" baseline="0">
              <a:solidFill>
                <a:schemeClr val="bg1"/>
              </a:solidFill>
              <a:latin typeface="Calibri"/>
              <a:ea typeface="Calibri"/>
              <a:cs typeface="Calibri"/>
            </a:rPr>
            <a:t> QUALITY</a:t>
          </a:r>
          <a:endParaRPr lang="en-US" sz="3600" b="1" i="0" u="none" strike="noStrike">
            <a:solidFill>
              <a:schemeClr val="bg1"/>
            </a:solidFill>
            <a:latin typeface="Calibri"/>
            <a:ea typeface="Calibri"/>
            <a:cs typeface="Calibri"/>
          </a:endParaRPr>
        </a:p>
      </xdr:txBody>
    </xdr:sp>
    <xdr:clientData/>
  </xdr:twoCellAnchor>
  <xdr:twoCellAnchor>
    <xdr:from>
      <xdr:col>28</xdr:col>
      <xdr:colOff>304800</xdr:colOff>
      <xdr:row>35</xdr:row>
      <xdr:rowOff>152400</xdr:rowOff>
    </xdr:from>
    <xdr:to>
      <xdr:col>36</xdr:col>
      <xdr:colOff>487680</xdr:colOff>
      <xdr:row>41</xdr:row>
      <xdr:rowOff>91440</xdr:rowOff>
    </xdr:to>
    <xdr:sp macro="" textlink="">
      <xdr:nvSpPr>
        <xdr:cNvPr id="25" name="Rectangle: Rounded Corners 24">
          <a:extLst>
            <a:ext uri="{FF2B5EF4-FFF2-40B4-BE49-F238E27FC236}">
              <a16:creationId xmlns:a16="http://schemas.microsoft.com/office/drawing/2014/main" id="{FC052DFE-31E8-4148-8891-9D569027727E}"/>
            </a:ext>
          </a:extLst>
        </xdr:cNvPr>
        <xdr:cNvSpPr/>
      </xdr:nvSpPr>
      <xdr:spPr>
        <a:xfrm>
          <a:off x="17373600" y="6553200"/>
          <a:ext cx="5059680" cy="103632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1"/>
              </a:solidFill>
              <a:latin typeface="Calibri"/>
              <a:ea typeface="Calibri"/>
              <a:cs typeface="Calibri"/>
            </a:rPr>
            <a:t>SAFETY</a:t>
          </a:r>
          <a:r>
            <a:rPr lang="en-US" sz="3600" b="1" i="0" u="none" strike="noStrike" baseline="0">
              <a:solidFill>
                <a:schemeClr val="bg1"/>
              </a:solidFill>
              <a:latin typeface="Calibri"/>
              <a:ea typeface="Calibri"/>
              <a:cs typeface="Calibri"/>
            </a:rPr>
            <a:t> MEASURES</a:t>
          </a:r>
          <a:endParaRPr lang="en-US" sz="3600" b="1" i="0" u="none" strike="noStrike">
            <a:solidFill>
              <a:schemeClr val="bg1"/>
            </a:solidFill>
            <a:latin typeface="Calibri"/>
            <a:ea typeface="Calibri"/>
            <a:cs typeface="Calibri"/>
          </a:endParaRPr>
        </a:p>
      </xdr:txBody>
    </xdr:sp>
    <xdr:clientData/>
  </xdr:twoCellAnchor>
  <xdr:twoCellAnchor>
    <xdr:from>
      <xdr:col>38</xdr:col>
      <xdr:colOff>426720</xdr:colOff>
      <xdr:row>35</xdr:row>
      <xdr:rowOff>152400</xdr:rowOff>
    </xdr:from>
    <xdr:to>
      <xdr:col>48</xdr:col>
      <xdr:colOff>152400</xdr:colOff>
      <xdr:row>41</xdr:row>
      <xdr:rowOff>91440</xdr:rowOff>
    </xdr:to>
    <xdr:sp macro="" textlink="">
      <xdr:nvSpPr>
        <xdr:cNvPr id="26" name="Rectangle: Rounded Corners 25">
          <a:extLst>
            <a:ext uri="{FF2B5EF4-FFF2-40B4-BE49-F238E27FC236}">
              <a16:creationId xmlns:a16="http://schemas.microsoft.com/office/drawing/2014/main" id="{7AA9E246-9CB6-46FA-8D6F-31F7F1082448}"/>
            </a:ext>
          </a:extLst>
        </xdr:cNvPr>
        <xdr:cNvSpPr/>
      </xdr:nvSpPr>
      <xdr:spPr>
        <a:xfrm>
          <a:off x="23591520" y="6553200"/>
          <a:ext cx="5821680" cy="103632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1"/>
              </a:solidFill>
              <a:latin typeface="Calibri"/>
              <a:ea typeface="Calibri"/>
              <a:cs typeface="Calibri"/>
            </a:rPr>
            <a:t>AMENITIES</a:t>
          </a:r>
          <a:r>
            <a:rPr lang="en-US" sz="3600" b="1" i="0" u="none" strike="noStrike" baseline="0">
              <a:solidFill>
                <a:schemeClr val="bg1"/>
              </a:solidFill>
              <a:latin typeface="Calibri"/>
              <a:ea typeface="Calibri"/>
              <a:cs typeface="Calibri"/>
            </a:rPr>
            <a:t> SATISFICATION</a:t>
          </a:r>
          <a:endParaRPr lang="en-US" sz="3600" b="1" i="0" u="none" strike="noStrike">
            <a:solidFill>
              <a:schemeClr val="bg1"/>
            </a:solidFill>
            <a:latin typeface="Calibri"/>
            <a:ea typeface="Calibri"/>
            <a:cs typeface="Calibri"/>
          </a:endParaRPr>
        </a:p>
      </xdr:txBody>
    </xdr:sp>
    <xdr:clientData/>
  </xdr:twoCellAnchor>
  <xdr:twoCellAnchor>
    <xdr:from>
      <xdr:col>49</xdr:col>
      <xdr:colOff>579120</xdr:colOff>
      <xdr:row>36</xdr:row>
      <xdr:rowOff>30480</xdr:rowOff>
    </xdr:from>
    <xdr:to>
      <xdr:col>59</xdr:col>
      <xdr:colOff>304800</xdr:colOff>
      <xdr:row>41</xdr:row>
      <xdr:rowOff>152400</xdr:rowOff>
    </xdr:to>
    <xdr:sp macro="" textlink="">
      <xdr:nvSpPr>
        <xdr:cNvPr id="27" name="Rectangle: Rounded Corners 26">
          <a:extLst>
            <a:ext uri="{FF2B5EF4-FFF2-40B4-BE49-F238E27FC236}">
              <a16:creationId xmlns:a16="http://schemas.microsoft.com/office/drawing/2014/main" id="{3B45FE67-90CA-48E8-8375-0588618C6050}"/>
            </a:ext>
          </a:extLst>
        </xdr:cNvPr>
        <xdr:cNvSpPr/>
      </xdr:nvSpPr>
      <xdr:spPr>
        <a:xfrm>
          <a:off x="30449520" y="6614160"/>
          <a:ext cx="5821680" cy="103632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1"/>
              </a:solidFill>
              <a:latin typeface="Calibri"/>
              <a:ea typeface="Calibri"/>
              <a:cs typeface="Calibri"/>
            </a:rPr>
            <a:t>ROOM</a:t>
          </a:r>
          <a:r>
            <a:rPr lang="en-US" sz="3600" b="1" i="0" u="none" strike="noStrike" baseline="0">
              <a:solidFill>
                <a:schemeClr val="bg1"/>
              </a:solidFill>
              <a:latin typeface="Calibri"/>
              <a:ea typeface="Calibri"/>
              <a:cs typeface="Calibri"/>
            </a:rPr>
            <a:t> CLEANLINESS</a:t>
          </a:r>
        </a:p>
      </xdr:txBody>
    </xdr:sp>
    <xdr:clientData/>
  </xdr:twoCellAnchor>
  <xdr:twoCellAnchor>
    <xdr:from>
      <xdr:col>60</xdr:col>
      <xdr:colOff>15240</xdr:colOff>
      <xdr:row>5</xdr:row>
      <xdr:rowOff>45720</xdr:rowOff>
    </xdr:from>
    <xdr:to>
      <xdr:col>71</xdr:col>
      <xdr:colOff>228600</xdr:colOff>
      <xdr:row>213</xdr:row>
      <xdr:rowOff>0</xdr:rowOff>
    </xdr:to>
    <xdr:sp macro="" textlink="">
      <xdr:nvSpPr>
        <xdr:cNvPr id="29" name="Rectangle: Rounded Corners 28">
          <a:extLst>
            <a:ext uri="{FF2B5EF4-FFF2-40B4-BE49-F238E27FC236}">
              <a16:creationId xmlns:a16="http://schemas.microsoft.com/office/drawing/2014/main" id="{D435EBC6-B32D-4635-B2EA-EAB5200C16DD}"/>
            </a:ext>
          </a:extLst>
        </xdr:cNvPr>
        <xdr:cNvSpPr/>
      </xdr:nvSpPr>
      <xdr:spPr>
        <a:xfrm>
          <a:off x="36591240" y="960120"/>
          <a:ext cx="6918960" cy="37993320"/>
        </a:xfrm>
        <a:prstGeom prst="roundRect">
          <a:avLst/>
        </a:prstGeom>
        <a:solidFill>
          <a:srgbClr val="FF6D6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60</xdr:col>
      <xdr:colOff>365760</xdr:colOff>
      <xdr:row>22</xdr:row>
      <xdr:rowOff>60960</xdr:rowOff>
    </xdr:from>
    <xdr:to>
      <xdr:col>71</xdr:col>
      <xdr:colOff>30480</xdr:colOff>
      <xdr:row>47</xdr:row>
      <xdr:rowOff>152400</xdr:rowOff>
    </xdr:to>
    <mc:AlternateContent xmlns:mc="http://schemas.openxmlformats.org/markup-compatibility/2006">
      <mc:Choice xmlns:a14="http://schemas.microsoft.com/office/drawing/2010/main" Requires="a14">
        <xdr:graphicFrame macro="">
          <xdr:nvGraphicFramePr>
            <xdr:cNvPr id="30" name="HOTEL 1">
              <a:extLst>
                <a:ext uri="{FF2B5EF4-FFF2-40B4-BE49-F238E27FC236}">
                  <a16:creationId xmlns:a16="http://schemas.microsoft.com/office/drawing/2014/main" id="{0E5DDC31-D69A-418F-85BB-5532D14E3921}"/>
                </a:ext>
              </a:extLst>
            </xdr:cNvPr>
            <xdr:cNvGraphicFramePr/>
          </xdr:nvGraphicFramePr>
          <xdr:xfrm>
            <a:off x="0" y="0"/>
            <a:ext cx="0" cy="0"/>
          </xdr:xfrm>
          <a:graphic>
            <a:graphicData uri="http://schemas.microsoft.com/office/drawing/2010/slicer">
              <sle:slicer xmlns:sle="http://schemas.microsoft.com/office/drawing/2010/slicer" name="HOTEL 1"/>
            </a:graphicData>
          </a:graphic>
        </xdr:graphicFrame>
      </mc:Choice>
      <mc:Fallback>
        <xdr:sp macro="" textlink="">
          <xdr:nvSpPr>
            <xdr:cNvPr id="0" name=""/>
            <xdr:cNvSpPr>
              <a:spLocks noTextEdit="1"/>
            </xdr:cNvSpPr>
          </xdr:nvSpPr>
          <xdr:spPr>
            <a:xfrm>
              <a:off x="36941760" y="4084320"/>
              <a:ext cx="6370320" cy="466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91440</xdr:colOff>
      <xdr:row>62</xdr:row>
      <xdr:rowOff>121920</xdr:rowOff>
    </xdr:from>
    <xdr:to>
      <xdr:col>70</xdr:col>
      <xdr:colOff>229986</xdr:colOff>
      <xdr:row>72</xdr:row>
      <xdr:rowOff>6465</xdr:rowOff>
    </xdr:to>
    <mc:AlternateContent xmlns:mc="http://schemas.openxmlformats.org/markup-compatibility/2006">
      <mc:Choice xmlns:a14="http://schemas.microsoft.com/office/drawing/2010/main" Requires="a14">
        <xdr:graphicFrame macro="">
          <xdr:nvGraphicFramePr>
            <xdr:cNvPr id="31" name="Guest_Gender 1">
              <a:extLst>
                <a:ext uri="{FF2B5EF4-FFF2-40B4-BE49-F238E27FC236}">
                  <a16:creationId xmlns:a16="http://schemas.microsoft.com/office/drawing/2014/main" id="{1783EA2D-1CEA-4AB1-9D66-1BDB35F3A5D0}"/>
                </a:ext>
              </a:extLst>
            </xdr:cNvPr>
            <xdr:cNvGraphicFramePr/>
          </xdr:nvGraphicFramePr>
          <xdr:xfrm>
            <a:off x="0" y="0"/>
            <a:ext cx="0" cy="0"/>
          </xdr:xfrm>
          <a:graphic>
            <a:graphicData uri="http://schemas.microsoft.com/office/drawing/2010/slicer">
              <sle:slicer xmlns:sle="http://schemas.microsoft.com/office/drawing/2010/slicer" name="Guest_Gender 1"/>
            </a:graphicData>
          </a:graphic>
        </xdr:graphicFrame>
      </mc:Choice>
      <mc:Fallback>
        <xdr:sp macro="" textlink="">
          <xdr:nvSpPr>
            <xdr:cNvPr id="0" name=""/>
            <xdr:cNvSpPr>
              <a:spLocks noTextEdit="1"/>
            </xdr:cNvSpPr>
          </xdr:nvSpPr>
          <xdr:spPr>
            <a:xfrm>
              <a:off x="37277040" y="11460480"/>
              <a:ext cx="5624946" cy="1713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121920</xdr:colOff>
      <xdr:row>73</xdr:row>
      <xdr:rowOff>91440</xdr:rowOff>
    </xdr:from>
    <xdr:to>
      <xdr:col>59</xdr:col>
      <xdr:colOff>121920</xdr:colOff>
      <xdr:row>105</xdr:row>
      <xdr:rowOff>0</xdr:rowOff>
    </xdr:to>
    <xdr:graphicFrame macro="">
      <xdr:nvGraphicFramePr>
        <xdr:cNvPr id="32" name="Chart 31">
          <a:extLst>
            <a:ext uri="{FF2B5EF4-FFF2-40B4-BE49-F238E27FC236}">
              <a16:creationId xmlns:a16="http://schemas.microsoft.com/office/drawing/2014/main" id="{FEB75996-4884-4B7F-B27C-47F4C497D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108</xdr:row>
      <xdr:rowOff>0</xdr:rowOff>
    </xdr:from>
    <xdr:to>
      <xdr:col>39</xdr:col>
      <xdr:colOff>0</xdr:colOff>
      <xdr:row>157</xdr:row>
      <xdr:rowOff>152400</xdr:rowOff>
    </xdr:to>
    <xdr:graphicFrame macro="">
      <xdr:nvGraphicFramePr>
        <xdr:cNvPr id="33" name="Chart 32">
          <a:extLst>
            <a:ext uri="{FF2B5EF4-FFF2-40B4-BE49-F238E27FC236}">
              <a16:creationId xmlns:a16="http://schemas.microsoft.com/office/drawing/2014/main" id="{E0F17FD3-617E-4A62-B7DA-4DFFF65CA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518160</xdr:colOff>
      <xdr:row>108</xdr:row>
      <xdr:rowOff>152400</xdr:rowOff>
    </xdr:from>
    <xdr:to>
      <xdr:col>59</xdr:col>
      <xdr:colOff>243840</xdr:colOff>
      <xdr:row>158</xdr:row>
      <xdr:rowOff>30480</xdr:rowOff>
    </xdr:to>
    <xdr:graphicFrame macro="">
      <xdr:nvGraphicFramePr>
        <xdr:cNvPr id="34" name="Chart 33">
          <a:extLst>
            <a:ext uri="{FF2B5EF4-FFF2-40B4-BE49-F238E27FC236}">
              <a16:creationId xmlns:a16="http://schemas.microsoft.com/office/drawing/2014/main" id="{4BC4C1EE-415E-42AD-92FA-34407BB14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60</xdr:col>
      <xdr:colOff>487680</xdr:colOff>
      <xdr:row>86</xdr:row>
      <xdr:rowOff>91440</xdr:rowOff>
    </xdr:from>
    <xdr:to>
      <xdr:col>70</xdr:col>
      <xdr:colOff>396240</xdr:colOff>
      <xdr:row>141</xdr:row>
      <xdr:rowOff>60960</xdr:rowOff>
    </xdr:to>
    <mc:AlternateContent xmlns:mc="http://schemas.openxmlformats.org/markup-compatibility/2006">
      <mc:Choice xmlns:a14="http://schemas.microsoft.com/office/drawing/2010/main" Requires="a14">
        <xdr:graphicFrame macro="">
          <xdr:nvGraphicFramePr>
            <xdr:cNvPr id="35" name="Months (Checkin_Date) 1">
              <a:extLst>
                <a:ext uri="{FF2B5EF4-FFF2-40B4-BE49-F238E27FC236}">
                  <a16:creationId xmlns:a16="http://schemas.microsoft.com/office/drawing/2014/main" id="{BBC49435-7E3F-4D24-977A-B2EA024E8CFC}"/>
                </a:ext>
              </a:extLst>
            </xdr:cNvPr>
            <xdr:cNvGraphicFramePr/>
          </xdr:nvGraphicFramePr>
          <xdr:xfrm>
            <a:off x="0" y="0"/>
            <a:ext cx="0" cy="0"/>
          </xdr:xfrm>
          <a:graphic>
            <a:graphicData uri="http://schemas.microsoft.com/office/drawing/2010/slicer">
              <sle:slicer xmlns:sle="http://schemas.microsoft.com/office/drawing/2010/slicer" name="Months (Checkin_Date) 1"/>
            </a:graphicData>
          </a:graphic>
        </xdr:graphicFrame>
      </mc:Choice>
      <mc:Fallback>
        <xdr:sp macro="" textlink="">
          <xdr:nvSpPr>
            <xdr:cNvPr id="0" name=""/>
            <xdr:cNvSpPr>
              <a:spLocks noTextEdit="1"/>
            </xdr:cNvSpPr>
          </xdr:nvSpPr>
          <xdr:spPr>
            <a:xfrm>
              <a:off x="37063680" y="15819120"/>
              <a:ext cx="6004560" cy="1002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72</xdr:row>
      <xdr:rowOff>135108</xdr:rowOff>
    </xdr:from>
    <xdr:to>
      <xdr:col>16</xdr:col>
      <xdr:colOff>365760</xdr:colOff>
      <xdr:row>98</xdr:row>
      <xdr:rowOff>30480</xdr:rowOff>
    </xdr:to>
    <mc:AlternateContent xmlns:mc="http://schemas.openxmlformats.org/markup-compatibility/2006">
      <mc:Choice xmlns:a14="http://schemas.microsoft.com/office/drawing/2010/main" Requires="a14">
        <xdr:graphicFrame macro="">
          <xdr:nvGraphicFramePr>
            <xdr:cNvPr id="36" name="Years (Checkin_Date) 1">
              <a:extLst>
                <a:ext uri="{FF2B5EF4-FFF2-40B4-BE49-F238E27FC236}">
                  <a16:creationId xmlns:a16="http://schemas.microsoft.com/office/drawing/2014/main" id="{A05C5F45-6FA9-497B-A8CB-A2908D59C95F}"/>
                </a:ext>
              </a:extLst>
            </xdr:cNvPr>
            <xdr:cNvGraphicFramePr/>
          </xdr:nvGraphicFramePr>
          <xdr:xfrm>
            <a:off x="0" y="0"/>
            <a:ext cx="0" cy="0"/>
          </xdr:xfrm>
          <a:graphic>
            <a:graphicData uri="http://schemas.microsoft.com/office/drawing/2010/slicer">
              <sle:slicer xmlns:sle="http://schemas.microsoft.com/office/drawing/2010/slicer" name="Years (Checkin_Date) 1"/>
            </a:graphicData>
          </a:graphic>
        </xdr:graphicFrame>
      </mc:Choice>
      <mc:Fallback>
        <xdr:sp macro="" textlink="">
          <xdr:nvSpPr>
            <xdr:cNvPr id="0" name=""/>
            <xdr:cNvSpPr>
              <a:spLocks noTextEdit="1"/>
            </xdr:cNvSpPr>
          </xdr:nvSpPr>
          <xdr:spPr>
            <a:xfrm>
              <a:off x="4297680" y="13302468"/>
              <a:ext cx="5821680" cy="4650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69272</xdr:colOff>
      <xdr:row>161</xdr:row>
      <xdr:rowOff>55418</xdr:rowOff>
    </xdr:from>
    <xdr:to>
      <xdr:col>39</xdr:col>
      <xdr:colOff>38099</xdr:colOff>
      <xdr:row>210</xdr:row>
      <xdr:rowOff>0</xdr:rowOff>
    </xdr:to>
    <xdr:graphicFrame macro="">
      <xdr:nvGraphicFramePr>
        <xdr:cNvPr id="37" name="Chart 36">
          <a:extLst>
            <a:ext uri="{FF2B5EF4-FFF2-40B4-BE49-F238E27FC236}">
              <a16:creationId xmlns:a16="http://schemas.microsoft.com/office/drawing/2014/main" id="{FF200193-08A1-4031-A7AF-67E39271E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342900</xdr:colOff>
      <xdr:row>165</xdr:row>
      <xdr:rowOff>127488</xdr:rowOff>
    </xdr:from>
    <xdr:to>
      <xdr:col>16</xdr:col>
      <xdr:colOff>400050</xdr:colOff>
      <xdr:row>195</xdr:row>
      <xdr:rowOff>91440</xdr:rowOff>
    </xdr:to>
    <mc:AlternateContent xmlns:mc="http://schemas.openxmlformats.org/markup-compatibility/2006">
      <mc:Choice xmlns:a14="http://schemas.microsoft.com/office/drawing/2010/main" Requires="a14">
        <xdr:graphicFrame macro="">
          <xdr:nvGraphicFramePr>
            <xdr:cNvPr id="38" name="Booking_Source 1">
              <a:extLst>
                <a:ext uri="{FF2B5EF4-FFF2-40B4-BE49-F238E27FC236}">
                  <a16:creationId xmlns:a16="http://schemas.microsoft.com/office/drawing/2014/main" id="{92148E0A-3312-4AFD-AC75-6D0CCF784358}"/>
                </a:ext>
              </a:extLst>
            </xdr:cNvPr>
            <xdr:cNvGraphicFramePr/>
          </xdr:nvGraphicFramePr>
          <xdr:xfrm>
            <a:off x="0" y="0"/>
            <a:ext cx="0" cy="0"/>
          </xdr:xfrm>
          <a:graphic>
            <a:graphicData uri="http://schemas.microsoft.com/office/drawing/2010/slicer">
              <sle:slicer xmlns:sle="http://schemas.microsoft.com/office/drawing/2010/slicer" name="Booking_Source 1"/>
            </a:graphicData>
          </a:graphic>
        </xdr:graphicFrame>
      </mc:Choice>
      <mc:Fallback>
        <xdr:sp macro="" textlink="">
          <xdr:nvSpPr>
            <xdr:cNvPr id="0" name=""/>
            <xdr:cNvSpPr>
              <a:spLocks noTextEdit="1"/>
            </xdr:cNvSpPr>
          </xdr:nvSpPr>
          <xdr:spPr>
            <a:xfrm>
              <a:off x="4610100" y="30302688"/>
              <a:ext cx="5543550" cy="545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128195</xdr:colOff>
      <xdr:row>116</xdr:row>
      <xdr:rowOff>14344</xdr:rowOff>
    </xdr:from>
    <xdr:to>
      <xdr:col>16</xdr:col>
      <xdr:colOff>329902</xdr:colOff>
      <xdr:row>151</xdr:row>
      <xdr:rowOff>30480</xdr:rowOff>
    </xdr:to>
    <mc:AlternateContent xmlns:mc="http://schemas.openxmlformats.org/markup-compatibility/2006">
      <mc:Choice xmlns:a14="http://schemas.microsoft.com/office/drawing/2010/main" Requires="a14">
        <xdr:graphicFrame macro="">
          <xdr:nvGraphicFramePr>
            <xdr:cNvPr id="39" name="Satisfication_level 1">
              <a:extLst>
                <a:ext uri="{FF2B5EF4-FFF2-40B4-BE49-F238E27FC236}">
                  <a16:creationId xmlns:a16="http://schemas.microsoft.com/office/drawing/2014/main" id="{45FDA4C1-4DF7-4027-A96A-F4A19D2300A2}"/>
                </a:ext>
              </a:extLst>
            </xdr:cNvPr>
            <xdr:cNvGraphicFramePr/>
          </xdr:nvGraphicFramePr>
          <xdr:xfrm>
            <a:off x="0" y="0"/>
            <a:ext cx="0" cy="0"/>
          </xdr:xfrm>
          <a:graphic>
            <a:graphicData uri="http://schemas.microsoft.com/office/drawing/2010/slicer">
              <sle:slicer xmlns:sle="http://schemas.microsoft.com/office/drawing/2010/slicer" name="Satisfication_level 1"/>
            </a:graphicData>
          </a:graphic>
        </xdr:graphicFrame>
      </mc:Choice>
      <mc:Fallback>
        <xdr:sp macro="" textlink="">
          <xdr:nvSpPr>
            <xdr:cNvPr id="0" name=""/>
            <xdr:cNvSpPr>
              <a:spLocks noTextEdit="1"/>
            </xdr:cNvSpPr>
          </xdr:nvSpPr>
          <xdr:spPr>
            <a:xfrm>
              <a:off x="4395395" y="21228424"/>
              <a:ext cx="5688107" cy="6416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548640</xdr:colOff>
      <xdr:row>161</xdr:row>
      <xdr:rowOff>0</xdr:rowOff>
    </xdr:from>
    <xdr:to>
      <xdr:col>59</xdr:col>
      <xdr:colOff>243840</xdr:colOff>
      <xdr:row>210</xdr:row>
      <xdr:rowOff>121920</xdr:rowOff>
    </xdr:to>
    <xdr:graphicFrame macro="">
      <xdr:nvGraphicFramePr>
        <xdr:cNvPr id="40" name="Chart 39">
          <a:extLst>
            <a:ext uri="{FF2B5EF4-FFF2-40B4-BE49-F238E27FC236}">
              <a16:creationId xmlns:a16="http://schemas.microsoft.com/office/drawing/2014/main" id="{F994AB10-9B8D-441F-A3B3-CC56E9AAB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60</xdr:col>
      <xdr:colOff>478971</xdr:colOff>
      <xdr:row>150</xdr:row>
      <xdr:rowOff>64860</xdr:rowOff>
    </xdr:from>
    <xdr:to>
      <xdr:col>70</xdr:col>
      <xdr:colOff>239486</xdr:colOff>
      <xdr:row>190</xdr:row>
      <xdr:rowOff>0</xdr:rowOff>
    </xdr:to>
    <mc:AlternateContent xmlns:mc="http://schemas.openxmlformats.org/markup-compatibility/2006">
      <mc:Choice xmlns:a14="http://schemas.microsoft.com/office/drawing/2010/main" Requires="a14">
        <xdr:graphicFrame macro="">
          <xdr:nvGraphicFramePr>
            <xdr:cNvPr id="41" name="Travel_Purpose 1">
              <a:extLst>
                <a:ext uri="{FF2B5EF4-FFF2-40B4-BE49-F238E27FC236}">
                  <a16:creationId xmlns:a16="http://schemas.microsoft.com/office/drawing/2014/main" id="{60F3A380-836E-498C-A528-A2244A516416}"/>
                </a:ext>
              </a:extLst>
            </xdr:cNvPr>
            <xdr:cNvGraphicFramePr/>
          </xdr:nvGraphicFramePr>
          <xdr:xfrm>
            <a:off x="0" y="0"/>
            <a:ext cx="0" cy="0"/>
          </xdr:xfrm>
          <a:graphic>
            <a:graphicData uri="http://schemas.microsoft.com/office/drawing/2010/slicer">
              <sle:slicer xmlns:sle="http://schemas.microsoft.com/office/drawing/2010/slicer" name="Travel_Purpose 1"/>
            </a:graphicData>
          </a:graphic>
        </xdr:graphicFrame>
      </mc:Choice>
      <mc:Fallback>
        <xdr:sp macro="" textlink="">
          <xdr:nvSpPr>
            <xdr:cNvPr id="0" name=""/>
            <xdr:cNvSpPr>
              <a:spLocks noTextEdit="1"/>
            </xdr:cNvSpPr>
          </xdr:nvSpPr>
          <xdr:spPr>
            <a:xfrm>
              <a:off x="37054971" y="27496860"/>
              <a:ext cx="5856515" cy="725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106680</xdr:colOff>
      <xdr:row>1</xdr:row>
      <xdr:rowOff>167641</xdr:rowOff>
    </xdr:from>
    <xdr:to>
      <xdr:col>15</xdr:col>
      <xdr:colOff>640080</xdr:colOff>
      <xdr:row>11</xdr:row>
      <xdr:rowOff>38101</xdr:rowOff>
    </xdr:to>
    <mc:AlternateContent xmlns:mc="http://schemas.openxmlformats.org/markup-compatibility/2006">
      <mc:Choice xmlns:a14="http://schemas.microsoft.com/office/drawing/2010/main" Requires="a14">
        <xdr:graphicFrame macro="">
          <xdr:nvGraphicFramePr>
            <xdr:cNvPr id="2" name="HOTEL">
              <a:extLst>
                <a:ext uri="{FF2B5EF4-FFF2-40B4-BE49-F238E27FC236}">
                  <a16:creationId xmlns:a16="http://schemas.microsoft.com/office/drawing/2014/main" id="{E0BDC48C-A982-5010-9D16-129203B51578}"/>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dr:sp macro="" textlink="">
          <xdr:nvSpPr>
            <xdr:cNvPr id="0" name=""/>
            <xdr:cNvSpPr>
              <a:spLocks noTextEdit="1"/>
            </xdr:cNvSpPr>
          </xdr:nvSpPr>
          <xdr:spPr>
            <a:xfrm>
              <a:off x="11340737" y="352698"/>
              <a:ext cx="1828800" cy="1721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213360</xdr:colOff>
      <xdr:row>0</xdr:row>
      <xdr:rowOff>49530</xdr:rowOff>
    </xdr:from>
    <xdr:to>
      <xdr:col>12</xdr:col>
      <xdr:colOff>53340</xdr:colOff>
      <xdr:row>9</xdr:row>
      <xdr:rowOff>175260</xdr:rowOff>
    </xdr:to>
    <xdr:graphicFrame macro="">
      <xdr:nvGraphicFramePr>
        <xdr:cNvPr id="3" name="Chart 2">
          <a:extLst>
            <a:ext uri="{FF2B5EF4-FFF2-40B4-BE49-F238E27FC236}">
              <a16:creationId xmlns:a16="http://schemas.microsoft.com/office/drawing/2014/main" id="{69BC5A2C-5230-9005-550F-3EF8BEEE1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11</xdr:row>
      <xdr:rowOff>72390</xdr:rowOff>
    </xdr:from>
    <xdr:to>
      <xdr:col>12</xdr:col>
      <xdr:colOff>114300</xdr:colOff>
      <xdr:row>20</xdr:row>
      <xdr:rowOff>91440</xdr:rowOff>
    </xdr:to>
    <xdr:graphicFrame macro="">
      <xdr:nvGraphicFramePr>
        <xdr:cNvPr id="4" name="Chart 3">
          <a:extLst>
            <a:ext uri="{FF2B5EF4-FFF2-40B4-BE49-F238E27FC236}">
              <a16:creationId xmlns:a16="http://schemas.microsoft.com/office/drawing/2014/main" id="{A06F0233-722B-E516-30B4-C2D64D530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220980</xdr:colOff>
      <xdr:row>21</xdr:row>
      <xdr:rowOff>163830</xdr:rowOff>
    </xdr:from>
    <xdr:to>
      <xdr:col>12</xdr:col>
      <xdr:colOff>60960</xdr:colOff>
      <xdr:row>31</xdr:row>
      <xdr:rowOff>160020</xdr:rowOff>
    </xdr:to>
    <xdr:graphicFrame macro="">
      <xdr:nvGraphicFramePr>
        <xdr:cNvPr id="5" name="Chart 4">
          <a:extLst>
            <a:ext uri="{FF2B5EF4-FFF2-40B4-BE49-F238E27FC236}">
              <a16:creationId xmlns:a16="http://schemas.microsoft.com/office/drawing/2014/main" id="{7BA1E34F-89B0-1DE7-3320-58DBEAB90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205740</xdr:colOff>
      <xdr:row>33</xdr:row>
      <xdr:rowOff>156210</xdr:rowOff>
    </xdr:from>
    <xdr:to>
      <xdr:col>12</xdr:col>
      <xdr:colOff>152400</xdr:colOff>
      <xdr:row>42</xdr:row>
      <xdr:rowOff>121920</xdr:rowOff>
    </xdr:to>
    <xdr:graphicFrame macro="">
      <xdr:nvGraphicFramePr>
        <xdr:cNvPr id="6" name="Chart 5">
          <a:extLst>
            <a:ext uri="{FF2B5EF4-FFF2-40B4-BE49-F238E27FC236}">
              <a16:creationId xmlns:a16="http://schemas.microsoft.com/office/drawing/2014/main" id="{27288670-BA8C-C1D7-A4C4-02FECDFE1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DHUN" refreshedDate="46018.577160532404" createdVersion="8" refreshedVersion="8" minRefreshableVersion="3" recordCount="2000" xr:uid="{94428C5D-ED3A-4376-B26D-4203FC9FE21A}">
  <cacheSource type="worksheet">
    <worksheetSource ref="A1:AC2001" sheet="Guest_Feedback_Hospitality_Indu"/>
  </cacheSource>
  <cacheFields count="32">
    <cacheField name="Feedback_ID" numFmtId="0">
      <sharedItems containsSemiMixedTypes="0" containsString="0" containsNumber="1" containsInteger="1" minValue="1" maxValue="2000"/>
    </cacheField>
    <cacheField name="Guest_ID" numFmtId="0">
      <sharedItems containsSemiMixedTypes="0" containsString="0" containsNumber="1" containsInteger="1" minValue="10011" maxValue="99979"/>
    </cacheField>
    <cacheField name="Guest_Name" numFmtId="0">
      <sharedItems/>
    </cacheField>
    <cacheField name="Hotel_Name" numFmtId="0">
      <sharedItems count="5">
        <s v="Grand Heritage"/>
        <s v="OceanView Resort"/>
        <s v="City Lights Hotel"/>
        <s v="Hilltop Inn"/>
        <s v="Palm Grove Stay"/>
      </sharedItems>
    </cacheField>
    <cacheField name="Room_Type" numFmtId="0">
      <sharedItems count="5">
        <s v="Single"/>
        <s v="Double"/>
        <s v="Family"/>
        <s v="Suite"/>
        <s v="Deluxe"/>
      </sharedItems>
    </cacheField>
    <cacheField name="Checkin_Date" numFmtId="14">
      <sharedItems containsSemiMixedTypes="0" containsNonDate="0" containsDate="1" containsString="0" minDate="2023-01-01T00:00:00" maxDate="2025-01-02T00:00:00" count="686">
        <d v="2024-02-12T00:00:00"/>
        <d v="2024-08-11T00:00:00"/>
        <d v="2023-06-17T00:00:00"/>
        <d v="2024-09-13T00:00:00"/>
        <d v="2024-12-07T00:00:00"/>
        <d v="2023-06-16T00:00:00"/>
        <d v="2024-06-16T00:00:00"/>
        <d v="2023-06-14T00:00:00"/>
        <d v="2024-10-03T00:00:00"/>
        <d v="2023-09-19T00:00:00"/>
        <d v="2024-07-17T00:00:00"/>
        <d v="2023-09-18T00:00:00"/>
        <d v="2023-06-24T00:00:00"/>
        <d v="2023-04-06T00:00:00"/>
        <d v="2023-12-23T00:00:00"/>
        <d v="2024-01-05T00:00:00"/>
        <d v="2024-07-05T00:00:00"/>
        <d v="2024-12-21T00:00:00"/>
        <d v="2023-05-22T00:00:00"/>
        <d v="2024-12-03T00:00:00"/>
        <d v="2023-11-15T00:00:00"/>
        <d v="2024-09-22T00:00:00"/>
        <d v="2024-10-19T00:00:00"/>
        <d v="2023-12-01T00:00:00"/>
        <d v="2024-04-18T00:00:00"/>
        <d v="2024-10-02T00:00:00"/>
        <d v="2023-05-25T00:00:00"/>
        <d v="2023-02-23T00:00:00"/>
        <d v="2023-05-02T00:00:00"/>
        <d v="2023-05-04T00:00:00"/>
        <d v="2024-10-16T00:00:00"/>
        <d v="2023-01-22T00:00:00"/>
        <d v="2023-10-03T00:00:00"/>
        <d v="2024-04-26T00:00:00"/>
        <d v="2023-10-26T00:00:00"/>
        <d v="2023-10-04T00:00:00"/>
        <d v="2023-11-18T00:00:00"/>
        <d v="2023-04-25T00:00:00"/>
        <d v="2023-09-29T00:00:00"/>
        <d v="2024-03-11T00:00:00"/>
        <d v="2023-09-21T00:00:00"/>
        <d v="2023-09-07T00:00:00"/>
        <d v="2024-04-06T00:00:00"/>
        <d v="2024-03-14T00:00:00"/>
        <d v="2023-12-08T00:00:00"/>
        <d v="2024-04-10T00:00:00"/>
        <d v="2023-02-27T00:00:00"/>
        <d v="2023-01-05T00:00:00"/>
        <d v="2024-09-14T00:00:00"/>
        <d v="2023-09-22T00:00:00"/>
        <d v="2023-09-06T00:00:00"/>
        <d v="2023-04-05T00:00:00"/>
        <d v="2024-11-27T00:00:00"/>
        <d v="2024-04-01T00:00:00"/>
        <d v="2023-11-13T00:00:00"/>
        <d v="2023-04-29T00:00:00"/>
        <d v="2023-07-21T00:00:00"/>
        <d v="2023-02-22T00:00:00"/>
        <d v="2024-11-03T00:00:00"/>
        <d v="2023-09-01T00:00:00"/>
        <d v="2023-04-04T00:00:00"/>
        <d v="2023-10-07T00:00:00"/>
        <d v="2023-04-02T00:00:00"/>
        <d v="2023-02-07T00:00:00"/>
        <d v="2024-02-17T00:00:00"/>
        <d v="2023-08-31T00:00:00"/>
        <d v="2023-12-30T00:00:00"/>
        <d v="2024-10-09T00:00:00"/>
        <d v="2023-03-05T00:00:00"/>
        <d v="2023-07-20T00:00:00"/>
        <d v="2023-11-03T00:00:00"/>
        <d v="2024-11-19T00:00:00"/>
        <d v="2024-08-19T00:00:00"/>
        <d v="2024-11-02T00:00:00"/>
        <d v="2024-11-24T00:00:00"/>
        <d v="2024-07-01T00:00:00"/>
        <d v="2023-04-09T00:00:00"/>
        <d v="2023-08-14T00:00:00"/>
        <d v="2024-07-02T00:00:00"/>
        <d v="2023-09-30T00:00:00"/>
        <d v="2023-07-05T00:00:00"/>
        <d v="2024-03-27T00:00:00"/>
        <d v="2024-07-14T00:00:00"/>
        <d v="2024-05-19T00:00:00"/>
        <d v="2024-05-31T00:00:00"/>
        <d v="2023-06-23T00:00:00"/>
        <d v="2024-11-25T00:00:00"/>
        <d v="2023-03-14T00:00:00"/>
        <d v="2024-10-25T00:00:00"/>
        <d v="2023-02-25T00:00:00"/>
        <d v="2024-09-25T00:00:00"/>
        <d v="2023-07-23T00:00:00"/>
        <d v="2024-08-13T00:00:00"/>
        <d v="2023-01-16T00:00:00"/>
        <d v="2023-05-06T00:00:00"/>
        <d v="2024-08-21T00:00:00"/>
        <d v="2024-03-03T00:00:00"/>
        <d v="2023-12-17T00:00:00"/>
        <d v="2024-07-08T00:00:00"/>
        <d v="2023-03-20T00:00:00"/>
        <d v="2024-05-15T00:00:00"/>
        <d v="2024-01-14T00:00:00"/>
        <d v="2023-11-01T00:00:00"/>
        <d v="2024-05-02T00:00:00"/>
        <d v="2023-05-05T00:00:00"/>
        <d v="2024-09-09T00:00:00"/>
        <d v="2024-10-07T00:00:00"/>
        <d v="2023-03-22T00:00:00"/>
        <d v="2024-09-12T00:00:00"/>
        <d v="2024-11-06T00:00:00"/>
        <d v="2023-12-14T00:00:00"/>
        <d v="2024-01-02T00:00:00"/>
        <d v="2024-06-18T00:00:00"/>
        <d v="2024-02-19T00:00:00"/>
        <d v="2024-07-27T00:00:00"/>
        <d v="2024-12-24T00:00:00"/>
        <d v="2023-09-09T00:00:00"/>
        <d v="2024-08-30T00:00:00"/>
        <d v="2024-07-22T00:00:00"/>
        <d v="2023-08-22T00:00:00"/>
        <d v="2023-12-24T00:00:00"/>
        <d v="2023-11-22T00:00:00"/>
        <d v="2023-03-06T00:00:00"/>
        <d v="2023-10-20T00:00:00"/>
        <d v="2023-11-20T00:00:00"/>
        <d v="2023-11-27T00:00:00"/>
        <d v="2024-06-12T00:00:00"/>
        <d v="2023-05-15T00:00:00"/>
        <d v="2024-02-23T00:00:00"/>
        <d v="2023-05-10T00:00:00"/>
        <d v="2024-06-05T00:00:00"/>
        <d v="2024-04-04T00:00:00"/>
        <d v="2024-08-15T00:00:00"/>
        <d v="2024-08-24T00:00:00"/>
        <d v="2024-09-23T00:00:00"/>
        <d v="2024-09-05T00:00:00"/>
        <d v="2024-05-09T00:00:00"/>
        <d v="2024-06-22T00:00:00"/>
        <d v="2024-07-26T00:00:00"/>
        <d v="2023-05-16T00:00:00"/>
        <d v="2024-08-31T00:00:00"/>
        <d v="2024-10-22T00:00:00"/>
        <d v="2023-08-15T00:00:00"/>
        <d v="2023-08-16T00:00:00"/>
        <d v="2023-09-15T00:00:00"/>
        <d v="2024-02-18T00:00:00"/>
        <d v="2023-08-08T00:00:00"/>
        <d v="2023-08-24T00:00:00"/>
        <d v="2023-01-20T00:00:00"/>
        <d v="2024-02-28T00:00:00"/>
        <d v="2024-01-24T00:00:00"/>
        <d v="2023-12-11T00:00:00"/>
        <d v="2024-10-11T00:00:00"/>
        <d v="2024-04-11T00:00:00"/>
        <d v="2023-07-08T00:00:00"/>
        <d v="2024-09-08T00:00:00"/>
        <d v="2024-01-03T00:00:00"/>
        <d v="2024-01-20T00:00:00"/>
        <d v="2023-04-08T00:00:00"/>
        <d v="2023-09-27T00:00:00"/>
        <d v="2024-10-26T00:00:00"/>
        <d v="2023-08-06T00:00:00"/>
        <d v="2023-01-21T00:00:00"/>
        <d v="2024-12-14T00:00:00"/>
        <d v="2023-06-09T00:00:00"/>
        <d v="2024-05-06T00:00:00"/>
        <d v="2024-03-04T00:00:00"/>
        <d v="2024-07-29T00:00:00"/>
        <d v="2024-08-18T00:00:00"/>
        <d v="2024-08-07T00:00:00"/>
        <d v="2024-07-25T00:00:00"/>
        <d v="2024-10-20T00:00:00"/>
        <d v="2023-02-16T00:00:00"/>
        <d v="2023-08-11T00:00:00"/>
        <d v="2023-06-07T00:00:00"/>
        <d v="2024-12-22T00:00:00"/>
        <d v="2023-08-19T00:00:00"/>
        <d v="2023-10-25T00:00:00"/>
        <d v="2024-03-20T00:00:00"/>
        <d v="2023-04-15T00:00:00"/>
        <d v="2024-09-29T00:00:00"/>
        <d v="2023-03-09T00:00:00"/>
        <d v="2024-06-21T00:00:00"/>
        <d v="2024-09-11T00:00:00"/>
        <d v="2023-02-10T00:00:00"/>
        <d v="2023-07-19T00:00:00"/>
        <d v="2024-01-10T00:00:00"/>
        <d v="2024-02-10T00:00:00"/>
        <d v="2024-05-22T00:00:00"/>
        <d v="2023-08-30T00:00:00"/>
        <d v="2023-12-05T00:00:00"/>
        <d v="2023-06-20T00:00:00"/>
        <d v="2023-08-04T00:00:00"/>
        <d v="2023-10-10T00:00:00"/>
        <d v="2023-10-28T00:00:00"/>
        <d v="2024-11-21T00:00:00"/>
        <d v="2024-08-10T00:00:00"/>
        <d v="2023-12-19T00:00:00"/>
        <d v="2023-03-28T00:00:00"/>
        <d v="2024-06-09T00:00:00"/>
        <d v="2023-01-09T00:00:00"/>
        <d v="2024-04-07T00:00:00"/>
        <d v="2024-06-19T00:00:00"/>
        <d v="2024-09-15T00:00:00"/>
        <d v="2023-10-24T00:00:00"/>
        <d v="2023-08-05T00:00:00"/>
        <d v="2023-02-01T00:00:00"/>
        <d v="2024-03-06T00:00:00"/>
        <d v="2023-06-19T00:00:00"/>
        <d v="2023-03-11T00:00:00"/>
        <d v="2023-04-21T00:00:00"/>
        <d v="2023-03-30T00:00:00"/>
        <d v="2023-01-02T00:00:00"/>
        <d v="2024-10-31T00:00:00"/>
        <d v="2023-09-28T00:00:00"/>
        <d v="2023-10-01T00:00:00"/>
        <d v="2024-06-27T00:00:00"/>
        <d v="2023-07-09T00:00:00"/>
        <d v="2024-04-27T00:00:00"/>
        <d v="2023-11-04T00:00:00"/>
        <d v="2023-01-14T00:00:00"/>
        <d v="2024-04-30T00:00:00"/>
        <d v="2024-12-18T00:00:00"/>
        <d v="2024-06-29T00:00:00"/>
        <d v="2024-04-08T00:00:00"/>
        <d v="2024-07-21T00:00:00"/>
        <d v="2024-03-08T00:00:00"/>
        <d v="2024-07-28T00:00:00"/>
        <d v="2024-02-04T00:00:00"/>
        <d v="2024-08-14T00:00:00"/>
        <d v="2023-10-06T00:00:00"/>
        <d v="2023-04-20T00:00:00"/>
        <d v="2023-02-17T00:00:00"/>
        <d v="2023-03-23T00:00:00"/>
        <d v="2024-11-16T00:00:00"/>
        <d v="2024-09-16T00:00:00"/>
        <d v="2023-10-05T00:00:00"/>
        <d v="2024-01-16T00:00:00"/>
        <d v="2023-11-06T00:00:00"/>
        <d v="2024-06-25T00:00:00"/>
        <d v="2023-08-28T00:00:00"/>
        <d v="2023-07-02T00:00:00"/>
        <d v="2023-07-03T00:00:00"/>
        <d v="2024-07-07T00:00:00"/>
        <d v="2024-09-30T00:00:00"/>
        <d v="2024-03-12T00:00:00"/>
        <d v="2024-08-16T00:00:00"/>
        <d v="2023-08-21T00:00:00"/>
        <d v="2024-12-04T00:00:00"/>
        <d v="2023-01-01T00:00:00"/>
        <d v="2023-12-28T00:00:00"/>
        <d v="2024-12-19T00:00:00"/>
        <d v="2024-12-09T00:00:00"/>
        <d v="2023-06-18T00:00:00"/>
        <d v="2024-03-16T00:00:00"/>
        <d v="2024-11-08T00:00:00"/>
        <d v="2025-01-01T00:00:00"/>
        <d v="2024-10-21T00:00:00"/>
        <d v="2023-10-19T00:00:00"/>
        <d v="2023-09-04T00:00:00"/>
        <d v="2023-07-07T00:00:00"/>
        <d v="2024-06-06T00:00:00"/>
        <d v="2023-10-11T00:00:00"/>
        <d v="2024-07-10T00:00:00"/>
        <d v="2023-12-03T00:00:00"/>
        <d v="2023-06-08T00:00:00"/>
        <d v="2023-09-24T00:00:00"/>
        <d v="2024-08-12T00:00:00"/>
        <d v="2023-05-31T00:00:00"/>
        <d v="2023-10-12T00:00:00"/>
        <d v="2023-12-06T00:00:00"/>
        <d v="2024-12-29T00:00:00"/>
        <d v="2024-12-30T00:00:00"/>
        <d v="2024-03-22T00:00:00"/>
        <d v="2024-07-15T00:00:00"/>
        <d v="2024-06-14T00:00:00"/>
        <d v="2023-04-23T00:00:00"/>
        <d v="2024-12-25T00:00:00"/>
        <d v="2024-06-13T00:00:00"/>
        <d v="2024-01-28T00:00:00"/>
        <d v="2024-11-05T00:00:00"/>
        <d v="2024-05-13T00:00:00"/>
        <d v="2024-06-01T00:00:00"/>
        <d v="2023-12-21T00:00:00"/>
        <d v="2024-09-24T00:00:00"/>
        <d v="2023-06-02T00:00:00"/>
        <d v="2023-11-25T00:00:00"/>
        <d v="2024-11-20T00:00:00"/>
        <d v="2024-04-23T00:00:00"/>
        <d v="2024-01-26T00:00:00"/>
        <d v="2024-02-16T00:00:00"/>
        <d v="2024-07-30T00:00:00"/>
        <d v="2024-05-21T00:00:00"/>
        <d v="2024-11-29T00:00:00"/>
        <d v="2024-12-11T00:00:00"/>
        <d v="2023-10-21T00:00:00"/>
        <d v="2024-04-21T00:00:00"/>
        <d v="2024-12-05T00:00:00"/>
        <d v="2024-04-22T00:00:00"/>
        <d v="2024-09-01T00:00:00"/>
        <d v="2024-01-30T00:00:00"/>
        <d v="2024-09-04T00:00:00"/>
        <d v="2024-03-13T00:00:00"/>
        <d v="2024-04-19T00:00:00"/>
        <d v="2024-08-08T00:00:00"/>
        <d v="2024-07-03T00:00:00"/>
        <d v="2024-12-28T00:00:00"/>
        <d v="2023-07-16T00:00:00"/>
        <d v="2023-12-31T00:00:00"/>
        <d v="2024-04-28T00:00:00"/>
        <d v="2023-11-16T00:00:00"/>
        <d v="2023-01-19T00:00:00"/>
        <d v="2023-07-22T00:00:00"/>
        <d v="2023-09-11T00:00:00"/>
        <d v="2023-06-01T00:00:00"/>
        <d v="2023-07-18T00:00:00"/>
        <d v="2024-11-17T00:00:00"/>
        <d v="2024-03-28T00:00:00"/>
        <d v="2023-06-29T00:00:00"/>
        <d v="2024-09-21T00:00:00"/>
        <d v="2023-01-23T00:00:00"/>
        <d v="2024-09-28T00:00:00"/>
        <d v="2023-03-25T00:00:00"/>
        <d v="2024-08-26T00:00:00"/>
        <d v="2023-11-26T00:00:00"/>
        <d v="2024-04-17T00:00:00"/>
        <d v="2023-08-23T00:00:00"/>
        <d v="2024-07-09T00:00:00"/>
        <d v="2024-10-14T00:00:00"/>
        <d v="2023-02-09T00:00:00"/>
        <d v="2023-09-17T00:00:00"/>
        <d v="2023-01-06T00:00:00"/>
        <d v="2023-11-07T00:00:00"/>
        <d v="2023-03-07T00:00:00"/>
        <d v="2024-01-09T00:00:00"/>
        <d v="2024-12-31T00:00:00"/>
        <d v="2023-05-26T00:00:00"/>
        <d v="2023-01-29T00:00:00"/>
        <d v="2024-10-04T00:00:00"/>
        <d v="2024-04-14T00:00:00"/>
        <d v="2023-12-27T00:00:00"/>
        <d v="2024-08-17T00:00:00"/>
        <d v="2024-12-26T00:00:00"/>
        <d v="2023-01-26T00:00:00"/>
        <d v="2023-10-17T00:00:00"/>
        <d v="2023-03-12T00:00:00"/>
        <d v="2023-06-26T00:00:00"/>
        <d v="2023-01-27T00:00:00"/>
        <d v="2023-10-16T00:00:00"/>
        <d v="2024-03-09T00:00:00"/>
        <d v="2024-05-07T00:00:00"/>
        <d v="2023-12-12T00:00:00"/>
        <d v="2024-08-01T00:00:00"/>
        <d v="2023-08-26T00:00:00"/>
        <d v="2023-05-17T00:00:00"/>
        <d v="2023-06-12T00:00:00"/>
        <d v="2023-01-28T00:00:00"/>
        <d v="2023-09-13T00:00:00"/>
        <d v="2024-04-25T00:00:00"/>
        <d v="2024-02-05T00:00:00"/>
        <d v="2024-07-19T00:00:00"/>
        <d v="2023-05-13T00:00:00"/>
        <d v="2023-07-10T00:00:00"/>
        <d v="2024-02-07T00:00:00"/>
        <d v="2023-08-02T00:00:00"/>
        <d v="2024-06-28T00:00:00"/>
        <d v="2023-12-02T00:00:00"/>
        <d v="2023-12-10T00:00:00"/>
        <d v="2024-03-31T00:00:00"/>
        <d v="2024-02-14T00:00:00"/>
        <d v="2024-05-10T00:00:00"/>
        <d v="2023-10-18T00:00:00"/>
        <d v="2023-04-12T00:00:00"/>
        <d v="2023-01-10T00:00:00"/>
        <d v="2024-01-18T00:00:00"/>
        <d v="2023-11-23T00:00:00"/>
        <d v="2024-03-25T00:00:00"/>
        <d v="2024-06-15T00:00:00"/>
        <d v="2024-05-16T00:00:00"/>
        <d v="2024-05-01T00:00:00"/>
        <d v="2023-12-07T00:00:00"/>
        <d v="2023-07-14T00:00:00"/>
        <d v="2024-08-05T00:00:00"/>
        <d v="2023-06-22T00:00:00"/>
        <d v="2023-02-02T00:00:00"/>
        <d v="2023-07-30T00:00:00"/>
        <d v="2023-02-20T00:00:00"/>
        <d v="2024-02-11T00:00:00"/>
        <d v="2024-06-24T00:00:00"/>
        <d v="2023-11-11T00:00:00"/>
        <d v="2023-03-27T00:00:00"/>
        <d v="2024-01-01T00:00:00"/>
        <d v="2023-04-03T00:00:00"/>
        <d v="2024-02-01T00:00:00"/>
        <d v="2024-02-20T00:00:00"/>
        <d v="2023-08-20T00:00:00"/>
        <d v="2023-11-24T00:00:00"/>
        <d v="2024-11-12T00:00:00"/>
        <d v="2024-10-08T00:00:00"/>
        <d v="2023-02-06T00:00:00"/>
        <d v="2024-02-06T00:00:00"/>
        <d v="2024-09-27T00:00:00"/>
        <d v="2024-03-01T00:00:00"/>
        <d v="2024-11-09T00:00:00"/>
        <d v="2023-06-10T00:00:00"/>
        <d v="2024-06-20T00:00:00"/>
        <d v="2024-04-12T00:00:00"/>
        <d v="2024-01-23T00:00:00"/>
        <d v="2023-11-14T00:00:00"/>
        <d v="2023-07-04T00:00:00"/>
        <d v="2024-02-25T00:00:00"/>
        <d v="2023-02-21T00:00:00"/>
        <d v="2023-01-03T00:00:00"/>
        <d v="2023-03-18T00:00:00"/>
        <d v="2024-08-04T00:00:00"/>
        <d v="2024-11-04T00:00:00"/>
        <d v="2023-08-18T00:00:00"/>
        <d v="2023-11-02T00:00:00"/>
        <d v="2023-05-23T00:00:00"/>
        <d v="2024-10-28T00:00:00"/>
        <d v="2023-07-26T00:00:00"/>
        <d v="2023-06-15T00:00:00"/>
        <d v="2024-11-15T00:00:00"/>
        <d v="2024-01-29T00:00:00"/>
        <d v="2023-05-01T00:00:00"/>
        <d v="2023-05-20T00:00:00"/>
        <d v="2024-12-06T00:00:00"/>
        <d v="2023-09-25T00:00:00"/>
        <d v="2023-10-30T00:00:00"/>
        <d v="2023-12-04T00:00:00"/>
        <d v="2024-03-07T00:00:00"/>
        <d v="2024-01-06T00:00:00"/>
        <d v="2023-04-13T00:00:00"/>
        <d v="2024-03-10T00:00:00"/>
        <d v="2024-07-12T00:00:00"/>
        <d v="2023-09-16T00:00:00"/>
        <d v="2024-01-21T00:00:00"/>
        <d v="2023-01-30T00:00:00"/>
        <d v="2024-06-04T00:00:00"/>
        <d v="2024-06-03T00:00:00"/>
        <d v="2024-10-15T00:00:00"/>
        <d v="2024-04-16T00:00:00"/>
        <d v="2024-01-07T00:00:00"/>
        <d v="2023-05-27T00:00:00"/>
        <d v="2024-02-27T00:00:00"/>
        <d v="2024-11-28T00:00:00"/>
        <d v="2024-05-27T00:00:00"/>
        <d v="2023-01-07T00:00:00"/>
        <d v="2023-12-25T00:00:00"/>
        <d v="2024-02-26T00:00:00"/>
        <d v="2023-01-17T00:00:00"/>
        <d v="2023-10-31T00:00:00"/>
        <d v="2024-05-28T00:00:00"/>
        <d v="2024-03-21T00:00:00"/>
        <d v="2023-03-02T00:00:00"/>
        <d v="2023-04-07T00:00:00"/>
        <d v="2023-02-04T00:00:00"/>
        <d v="2024-04-13T00:00:00"/>
        <d v="2024-11-13T00:00:00"/>
        <d v="2023-03-08T00:00:00"/>
        <d v="2024-11-01T00:00:00"/>
        <d v="2024-09-10T00:00:00"/>
        <d v="2023-10-09T00:00:00"/>
        <d v="2023-03-21T00:00:00"/>
        <d v="2024-10-30T00:00:00"/>
        <d v="2023-11-30T00:00:00"/>
        <d v="2024-01-13T00:00:00"/>
        <d v="2024-03-30T00:00:00"/>
        <d v="2024-10-10T00:00:00"/>
        <d v="2023-08-09T00:00:00"/>
        <d v="2023-05-29T00:00:00"/>
        <d v="2024-07-13T00:00:00"/>
        <d v="2023-01-18T00:00:00"/>
        <d v="2023-08-03T00:00:00"/>
        <d v="2024-11-07T00:00:00"/>
        <d v="2024-02-03T00:00:00"/>
        <d v="2023-01-25T00:00:00"/>
        <d v="2023-10-22T00:00:00"/>
        <d v="2024-12-12T00:00:00"/>
        <d v="2024-04-02T00:00:00"/>
        <d v="2023-02-08T00:00:00"/>
        <d v="2024-01-25T00:00:00"/>
        <d v="2024-05-08T00:00:00"/>
        <d v="2024-01-22T00:00:00"/>
        <d v="2023-07-12T00:00:00"/>
        <d v="2024-06-30T00:00:00"/>
        <d v="2023-04-22T00:00:00"/>
        <d v="2024-07-06T00:00:00"/>
        <d v="2023-08-12T00:00:00"/>
        <d v="2023-12-29T00:00:00"/>
        <d v="2023-02-05T00:00:00"/>
        <d v="2024-11-26T00:00:00"/>
        <d v="2023-11-21T00:00:00"/>
        <d v="2024-10-27T00:00:00"/>
        <d v="2023-07-01T00:00:00"/>
        <d v="2024-04-15T00:00:00"/>
        <d v="2024-02-21T00:00:00"/>
        <d v="2023-05-30T00:00:00"/>
        <d v="2024-02-08T00:00:00"/>
        <d v="2023-09-03T00:00:00"/>
        <d v="2023-02-15T00:00:00"/>
        <d v="2023-03-16T00:00:00"/>
        <d v="2024-06-23T00:00:00"/>
        <d v="2023-06-30T00:00:00"/>
        <d v="2023-09-23T00:00:00"/>
        <d v="2023-03-24T00:00:00"/>
        <d v="2023-03-31T00:00:00"/>
        <d v="2023-05-24T00:00:00"/>
        <d v="2024-01-27T00:00:00"/>
        <d v="2024-05-26T00:00:00"/>
        <d v="2024-05-23T00:00:00"/>
        <d v="2024-07-04T00:00:00"/>
        <d v="2023-10-15T00:00:00"/>
        <d v="2023-09-20T00:00:00"/>
        <d v="2024-12-23T00:00:00"/>
        <d v="2023-07-29T00:00:00"/>
        <d v="2023-04-27T00:00:00"/>
        <d v="2024-09-07T00:00:00"/>
        <d v="2023-01-11T00:00:00"/>
        <d v="2023-02-24T00:00:00"/>
        <d v="2023-06-28T00:00:00"/>
        <d v="2024-07-20T00:00:00"/>
        <d v="2023-03-15T00:00:00"/>
        <d v="2024-12-13T00:00:00"/>
        <d v="2023-06-03T00:00:00"/>
        <d v="2023-10-29T00:00:00"/>
        <d v="2024-05-05T00:00:00"/>
        <d v="2023-02-13T00:00:00"/>
        <d v="2023-03-03T00:00:00"/>
        <d v="2024-08-03T00:00:00"/>
        <d v="2024-11-18T00:00:00"/>
        <d v="2023-12-18T00:00:00"/>
        <d v="2023-09-12T00:00:00"/>
        <d v="2023-02-19T00:00:00"/>
        <d v="2024-11-23T00:00:00"/>
        <d v="2023-08-25T00:00:00"/>
        <d v="2023-05-14T00:00:00"/>
        <d v="2024-04-09T00:00:00"/>
        <d v="2023-08-07T00:00:00"/>
        <d v="2023-11-10T00:00:00"/>
        <d v="2024-02-09T00:00:00"/>
        <d v="2023-10-08T00:00:00"/>
        <d v="2023-12-26T00:00:00"/>
        <d v="2024-08-02T00:00:00"/>
        <d v="2024-06-02T00:00:00"/>
        <d v="2024-08-28T00:00:00"/>
        <d v="2024-01-19T00:00:00"/>
        <d v="2023-02-14T00:00:00"/>
        <d v="2024-04-05T00:00:00"/>
        <d v="2023-08-17T00:00:00"/>
        <d v="2024-12-10T00:00:00"/>
        <d v="2024-09-19T00:00:00"/>
        <d v="2024-01-04T00:00:00"/>
        <d v="2023-11-19T00:00:00"/>
        <d v="2023-11-17T00:00:00"/>
        <d v="2024-12-08T00:00:00"/>
        <d v="2023-04-19T00:00:00"/>
        <d v="2024-02-29T00:00:00"/>
        <d v="2024-01-11T00:00:00"/>
        <d v="2023-02-03T00:00:00"/>
        <d v="2023-07-06T00:00:00"/>
        <d v="2024-03-24T00:00:00"/>
        <d v="2023-04-28T00:00:00"/>
        <d v="2023-07-31T00:00:00"/>
        <d v="2023-04-30T00:00:00"/>
        <d v="2023-12-09T00:00:00"/>
        <d v="2023-05-21T00:00:00"/>
        <d v="2023-02-26T00:00:00"/>
        <d v="2023-04-24T00:00:00"/>
        <d v="2024-02-15T00:00:00"/>
        <d v="2024-08-23T00:00:00"/>
        <d v="2023-06-13T00:00:00"/>
        <d v="2023-04-17T00:00:00"/>
        <d v="2023-10-23T00:00:00"/>
        <d v="2023-10-14T00:00:00"/>
        <d v="2023-01-31T00:00:00"/>
        <d v="2023-09-08T00:00:00"/>
        <d v="2024-05-20T00:00:00"/>
        <d v="2024-03-17T00:00:00"/>
        <d v="2023-09-02T00:00:00"/>
        <d v="2024-11-30T00:00:00"/>
        <d v="2024-03-02T00:00:00"/>
        <d v="2023-07-15T00:00:00"/>
        <d v="2024-03-18T00:00:00"/>
        <d v="2024-04-03T00:00:00"/>
        <d v="2023-09-14T00:00:00"/>
        <d v="2023-10-02T00:00:00"/>
        <d v="2023-05-28T00:00:00"/>
        <d v="2024-05-17T00:00:00"/>
        <d v="2024-05-12T00:00:00"/>
        <d v="2024-09-26T00:00:00"/>
        <d v="2023-06-21T00:00:00"/>
        <d v="2023-07-13T00:00:00"/>
        <d v="2024-10-18T00:00:00"/>
        <d v="2023-10-27T00:00:00"/>
        <d v="2023-12-15T00:00:00"/>
        <d v="2024-01-08T00:00:00"/>
        <d v="2023-01-13T00:00:00"/>
        <d v="2024-08-06T00:00:00"/>
        <d v="2024-06-17T00:00:00"/>
        <d v="2024-07-23T00:00:00"/>
        <d v="2024-09-17T00:00:00"/>
        <d v="2024-05-14T00:00:00"/>
        <d v="2024-03-23T00:00:00"/>
        <d v="2023-01-08T00:00:00"/>
        <d v="2024-01-17T00:00:00"/>
        <d v="2024-05-11T00:00:00"/>
        <d v="2024-01-15T00:00:00"/>
        <d v="2024-10-24T00:00:00"/>
        <d v="2023-02-12T00:00:00"/>
        <d v="2024-01-31T00:00:00"/>
        <d v="2023-05-08T00:00:00"/>
        <d v="2024-07-31T00:00:00"/>
        <d v="2023-08-10T00:00:00"/>
        <d v="2023-05-09T00:00:00"/>
        <d v="2023-05-18T00:00:00"/>
        <d v="2024-11-14T00:00:00"/>
        <d v="2024-03-26T00:00:00"/>
        <d v="2024-08-25T00:00:00"/>
        <d v="2023-11-05T00:00:00"/>
        <d v="2024-12-27T00:00:00"/>
        <d v="2023-05-19T00:00:00"/>
        <d v="2023-07-28T00:00:00"/>
        <d v="2024-10-13T00:00:00"/>
        <d v="2023-12-16T00:00:00"/>
        <d v="2023-04-01T00:00:00"/>
        <d v="2024-12-02T00:00:00"/>
        <d v="2024-12-20T00:00:00"/>
        <d v="2024-05-03T00:00:00"/>
        <d v="2023-03-29T00:00:00"/>
        <d v="2023-01-04T00:00:00"/>
        <d v="2023-07-25T00:00:00"/>
        <d v="2024-06-07T00:00:00"/>
        <d v="2023-01-24T00:00:00"/>
        <d v="2023-08-01T00:00:00"/>
        <d v="2024-05-29T00:00:00"/>
        <d v="2024-06-11T00:00:00"/>
        <d v="2023-12-20T00:00:00"/>
        <d v="2024-07-18T00:00:00"/>
        <d v="2023-06-27T00:00:00"/>
        <d v="2024-01-12T00:00:00"/>
        <d v="2024-10-17T00:00:00"/>
        <d v="2024-11-22T00:00:00"/>
        <d v="2024-10-05T00:00:00"/>
        <d v="2023-06-05T00:00:00"/>
        <d v="2024-12-15T00:00:00"/>
        <d v="2023-04-10T00:00:00"/>
        <d v="2024-08-09T00:00:00"/>
        <d v="2023-06-04T00:00:00"/>
        <d v="2023-06-11T00:00:00"/>
        <d v="2023-02-28T00:00:00"/>
        <d v="2023-05-12T00:00:00"/>
        <d v="2024-12-17T00:00:00"/>
        <d v="2024-05-25T00:00:00"/>
        <d v="2024-06-26T00:00:00"/>
        <d v="2023-10-13T00:00:00"/>
        <d v="2024-04-24T00:00:00"/>
        <d v="2023-11-09T00:00:00"/>
        <d v="2023-11-28T00:00:00"/>
        <d v="2024-05-04T00:00:00"/>
        <d v="2023-09-10T00:00:00"/>
        <d v="2024-10-01T00:00:00"/>
        <d v="2024-07-16T00:00:00"/>
        <d v="2023-05-11T00:00:00"/>
        <d v="2023-01-12T00:00:00"/>
        <d v="2024-12-16T00:00:00"/>
        <d v="2023-12-13T00:00:00"/>
        <d v="2024-08-22T00:00:00"/>
        <d v="2024-06-08T00:00:00"/>
        <d v="2024-02-22T00:00:00"/>
        <d v="2024-08-29T00:00:00"/>
        <d v="2023-12-22T00:00:00"/>
        <d v="2023-07-11T00:00:00"/>
        <d v="2023-02-18T00:00:00"/>
        <d v="2023-11-08T00:00:00"/>
        <d v="2023-09-05T00:00:00"/>
        <d v="2023-04-26T00:00:00"/>
        <d v="2024-09-18T00:00:00"/>
        <d v="2023-11-29T00:00:00"/>
        <d v="2023-08-27T00:00:00"/>
        <d v="2023-06-06T00:00:00"/>
        <d v="2024-02-13T00:00:00"/>
        <d v="2024-09-03T00:00:00"/>
        <d v="2023-03-10T00:00:00"/>
        <d v="2023-03-01T00:00:00"/>
        <d v="2024-03-05T00:00:00"/>
      </sharedItems>
      <fieldGroup par="31"/>
    </cacheField>
    <cacheField name="Checkout_Date" numFmtId="14">
      <sharedItems containsSemiMixedTypes="0" containsNonDate="0" containsDate="1" containsString="0" minDate="2023-01-17T00:00:00" maxDate="2025-01-11T00:00:00"/>
    </cacheField>
    <cacheField name="Stay_Duration" numFmtId="0">
      <sharedItems containsSemiMixedTypes="0" containsString="0" containsNumber="1" containsInteger="1" minValue="1" maxValue="14"/>
    </cacheField>
    <cacheField name="Booking_Source" numFmtId="0">
      <sharedItems count="4">
        <s v="Website"/>
        <s v="App"/>
        <s v="Travel Agent"/>
        <s v="Walk-in"/>
      </sharedItems>
    </cacheField>
    <cacheField name="Travel_Purpose" numFmtId="0">
      <sharedItems count="5">
        <s v="Business"/>
        <s v="Conference"/>
        <s v="Transit"/>
        <s v="Other"/>
        <s v="Leisure"/>
      </sharedItems>
    </cacheField>
    <cacheField name="Room_Cleanliness" numFmtId="0">
      <sharedItems containsSemiMixedTypes="0" containsString="0" containsNumber="1" containsInteger="1" minValue="1" maxValue="5"/>
    </cacheField>
    <cacheField name="Staff_Courtesy" numFmtId="0">
      <sharedItems containsSemiMixedTypes="0" containsString="0" containsNumber="1" containsInteger="1" minValue="1" maxValue="5"/>
    </cacheField>
    <cacheField name="Food_Quality" numFmtId="0">
      <sharedItems containsSemiMixedTypes="0" containsString="0" containsNumber="1" containsInteger="1" minValue="1" maxValue="5"/>
    </cacheField>
    <cacheField name="Checkin_Experience" numFmtId="0">
      <sharedItems containsSemiMixedTypes="0" containsString="0" containsNumber="1" containsInteger="1" minValue="1" maxValue="5"/>
    </cacheField>
    <cacheField name="Checkout_Experience" numFmtId="0">
      <sharedItems containsSemiMixedTypes="0" containsString="0" containsNumber="1" containsInteger="1" minValue="1" maxValue="5"/>
    </cacheField>
    <cacheField name="Amenities_Satisfaction" numFmtId="0">
      <sharedItems containsSemiMixedTypes="0" containsString="0" containsNumber="1" containsInteger="1" minValue="1" maxValue="5" count="5">
        <n v="3"/>
        <n v="5"/>
        <n v="2"/>
        <n v="4"/>
        <n v="1"/>
      </sharedItems>
    </cacheField>
    <cacheField name="Value_for_Money" numFmtId="0">
      <sharedItems containsSemiMixedTypes="0" containsString="0" containsNumber="1" containsInteger="1" minValue="1" maxValue="5"/>
    </cacheField>
    <cacheField name="Safety_Measures" numFmtId="0">
      <sharedItems containsSemiMixedTypes="0" containsString="0" containsNumber="1" containsInteger="1" minValue="1" maxValue="5"/>
    </cacheField>
    <cacheField name="WiFi_Quality" numFmtId="0">
      <sharedItems containsSemiMixedTypes="0" containsString="0" containsNumber="1" containsInteger="1" minValue="1" maxValue="5"/>
    </cacheField>
    <cacheField name="Noise_Levels" numFmtId="0">
      <sharedItems containsSemiMixedTypes="0" containsString="0" containsNumber="1" containsInteger="1" minValue="1" maxValue="5"/>
    </cacheField>
    <cacheField name="Would_Recommend" numFmtId="0">
      <sharedItems count="2">
        <s v="Yes"/>
        <s v="No"/>
      </sharedItems>
    </cacheField>
    <cacheField name="Feedback_Source" numFmtId="0">
      <sharedItems/>
    </cacheField>
    <cacheField name="Additional_Comments" numFmtId="0">
      <sharedItems/>
    </cacheField>
    <cacheField name="Guest_Gender" numFmtId="0">
      <sharedItems count="3">
        <s v="Male"/>
        <s v="Other"/>
        <s v="Female"/>
      </sharedItems>
    </cacheField>
    <cacheField name="Guest_Age" numFmtId="0">
      <sharedItems containsSemiMixedTypes="0" containsString="0" containsNumber="1" containsInteger="1" minValue="18" maxValue="69"/>
    </cacheField>
    <cacheField name="Feedback_Date" numFmtId="14">
      <sharedItems containsSemiMixedTypes="0" containsNonDate="0" containsDate="1" containsString="0" minDate="2023-02-24T00:00:00" maxDate="2025-01-11T00:00:00"/>
    </cacheField>
    <cacheField name="Age_Criteria" numFmtId="0">
      <sharedItems count="4">
        <s v="Young Adults"/>
        <s v="Middle Aged Adults"/>
        <s v="Senior"/>
        <s v="Adults"/>
      </sharedItems>
    </cacheField>
    <cacheField name="Satification_points" numFmtId="0">
      <sharedItems containsSemiMixedTypes="0" containsString="0" containsNumber="1" minValue="1.7" maxValue="4.7" count="29">
        <n v="3.1"/>
        <n v="3.3"/>
        <n v="3"/>
        <n v="2.8"/>
        <n v="2.9"/>
        <n v="2.7"/>
        <n v="4.2"/>
        <n v="2.6"/>
        <n v="2.4"/>
        <n v="2.2999999999999998"/>
        <n v="3.2"/>
        <n v="3.6"/>
        <n v="4"/>
        <n v="3.4"/>
        <n v="2.5"/>
        <n v="2"/>
        <n v="3.7"/>
        <n v="2.1"/>
        <n v="3.5"/>
        <n v="2.2000000000000002"/>
        <n v="3.9"/>
        <n v="3.8"/>
        <n v="4.4000000000000004"/>
        <n v="4.0999999999999996"/>
        <n v="1.7"/>
        <n v="1.9"/>
        <n v="1.8"/>
        <n v="4.3"/>
        <n v="4.7"/>
      </sharedItems>
    </cacheField>
    <cacheField name="Satisfication_level" numFmtId="0">
      <sharedItems count="4">
        <s v="AVERAGE"/>
        <s v="POOR"/>
        <s v="GOOD"/>
        <s v="GREAT"/>
      </sharedItems>
    </cacheField>
    <cacheField name="Months (Checkin_Date)" numFmtId="0" databaseField="0">
      <fieldGroup base="5">
        <rangePr groupBy="months" startDate="2023-01-01T00:00:00" endDate="2025-01-02T00:00:00"/>
        <groupItems count="14">
          <s v="&lt;01-01-2023"/>
          <s v="Jan"/>
          <s v="Feb"/>
          <s v="Mar"/>
          <s v="Apr"/>
          <s v="May"/>
          <s v="Jun"/>
          <s v="Jul"/>
          <s v="Aug"/>
          <s v="Sep"/>
          <s v="Oct"/>
          <s v="Nov"/>
          <s v="Dec"/>
          <s v="&gt;02-01-2025"/>
        </groupItems>
      </fieldGroup>
    </cacheField>
    <cacheField name="Quarters (Checkin_Date)" numFmtId="0" databaseField="0">
      <fieldGroup base="5">
        <rangePr groupBy="quarters" startDate="2023-01-01T00:00:00" endDate="2025-01-02T00:00:00"/>
        <groupItems count="6">
          <s v="&lt;01-01-2023"/>
          <s v="Qtr1"/>
          <s v="Qtr2"/>
          <s v="Qtr3"/>
          <s v="Qtr4"/>
          <s v="&gt;02-01-2025"/>
        </groupItems>
      </fieldGroup>
    </cacheField>
    <cacheField name="Years (Checkin_Date)" numFmtId="0" databaseField="0">
      <fieldGroup base="5">
        <rangePr groupBy="years" startDate="2023-01-01T00:00:00" endDate="2025-01-02T00:00:00"/>
        <groupItems count="5">
          <s v="&lt;01-01-2023"/>
          <s v="2023"/>
          <s v="2024"/>
          <s v="2025"/>
          <s v="&gt;02-01-2025"/>
        </groupItems>
      </fieldGroup>
    </cacheField>
  </cacheFields>
  <extLst>
    <ext xmlns:x14="http://schemas.microsoft.com/office/spreadsheetml/2009/9/main" uri="{725AE2AE-9491-48be-B2B4-4EB974FC3084}">
      <x14:pivotCacheDefinition pivotCacheId="1022375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DHUN" refreshedDate="46019.558830902781" createdVersion="8" refreshedVersion="8" minRefreshableVersion="3" recordCount="5" xr:uid="{E40D0344-793A-4C71-8F2D-CA5DCAEF39A3}">
  <cacheSource type="worksheet">
    <worksheetSource ref="AG5:AK10" sheet="Sheet1"/>
  </cacheSource>
  <cacheFields count="5">
    <cacheField name="HOTEL" numFmtId="0">
      <sharedItems count="5">
        <s v="Grand Heritage"/>
        <s v="OceanView Resort"/>
        <s v="City Lights Hotel"/>
        <s v="Hilltop Inn"/>
        <s v="Palm Grove Stay"/>
      </sharedItems>
    </cacheField>
    <cacheField name="FOOD QUALITY" numFmtId="9">
      <sharedItems containsSemiMixedTypes="0" containsString="0" containsNumber="1" minValue="0.18359893758300133" maxValue="0.21364541832669323"/>
    </cacheField>
    <cacheField name="SAFETY MEASURE" numFmtId="9">
      <sharedItems containsSemiMixedTypes="0" containsString="0" containsNumber="1" minValue="0.18604261030028518" maxValue="0.2214393558127831"/>
    </cacheField>
    <cacheField name="ROOM CLEANLINESS" numFmtId="9">
      <sharedItems containsSemiMixedTypes="0" containsString="0" containsNumber="1" minValue="0.18550142307048384" maxValue="0.21346057257659468"/>
    </cacheField>
    <cacheField name="AMENITIES" numFmtId="9">
      <sharedItems containsSemiMixedTypes="0" containsString="0" containsNumber="1" minValue="0.18345864661654135" maxValue="0.21453634085213033"/>
    </cacheField>
  </cacheFields>
  <extLst>
    <ext xmlns:x14="http://schemas.microsoft.com/office/spreadsheetml/2009/9/main" uri="{725AE2AE-9491-48be-B2B4-4EB974FC3084}">
      <x14:pivotCacheDefinition pivotCacheId="462215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n v="41989"/>
    <s v="Theresa Perez"/>
    <x v="0"/>
    <x v="0"/>
    <x v="0"/>
    <d v="2024-07-18T00:00:00"/>
    <n v="7"/>
    <x v="0"/>
    <x v="0"/>
    <n v="2"/>
    <n v="5"/>
    <n v="1"/>
    <n v="1"/>
    <n v="5"/>
    <x v="0"/>
    <n v="2"/>
    <n v="3"/>
    <n v="4"/>
    <n v="5"/>
    <x v="0"/>
    <s v="Email"/>
    <s v="Great stay"/>
    <x v="0"/>
    <n v="20"/>
    <d v="2024-07-18T00:00:00"/>
    <x v="0"/>
    <x v="0"/>
    <x v="0"/>
  </r>
  <r>
    <n v="2"/>
    <n v="99245"/>
    <s v="Melanie Mccarthy"/>
    <x v="1"/>
    <x v="1"/>
    <x v="1"/>
    <d v="2024-08-12T00:00:00"/>
    <n v="8"/>
    <x v="0"/>
    <x v="1"/>
    <n v="3"/>
    <n v="4"/>
    <n v="5"/>
    <n v="5"/>
    <n v="2"/>
    <x v="1"/>
    <n v="3"/>
    <n v="3"/>
    <n v="2"/>
    <n v="1"/>
    <x v="1"/>
    <s v="Feedback Form"/>
    <s v="Average"/>
    <x v="1"/>
    <n v="46"/>
    <d v="2024-08-12T00:00:00"/>
    <x v="1"/>
    <x v="1"/>
    <x v="0"/>
  </r>
  <r>
    <n v="3"/>
    <n v="83251"/>
    <s v="Robert Johnson"/>
    <x v="2"/>
    <x v="1"/>
    <x v="2"/>
    <d v="2023-11-27T00:00:00"/>
    <n v="7"/>
    <x v="1"/>
    <x v="2"/>
    <n v="1"/>
    <n v="1"/>
    <n v="5"/>
    <n v="1"/>
    <n v="4"/>
    <x v="2"/>
    <n v="5"/>
    <n v="5"/>
    <n v="3"/>
    <n v="3"/>
    <x v="1"/>
    <s v="Email"/>
    <s v="Great stay"/>
    <x v="2"/>
    <n v="68"/>
    <d v="2023-11-27T00:00:00"/>
    <x v="2"/>
    <x v="2"/>
    <x v="0"/>
  </r>
  <r>
    <n v="4"/>
    <n v="83963"/>
    <s v="Melissa Farrell"/>
    <x v="2"/>
    <x v="2"/>
    <x v="3"/>
    <d v="2024-09-14T00:00:00"/>
    <n v="3"/>
    <x v="0"/>
    <x v="3"/>
    <n v="2"/>
    <n v="2"/>
    <n v="1"/>
    <n v="4"/>
    <n v="4"/>
    <x v="1"/>
    <n v="2"/>
    <n v="1"/>
    <n v="2"/>
    <n v="5"/>
    <x v="0"/>
    <s v="App Review"/>
    <s v="Poor service"/>
    <x v="1"/>
    <n v="47"/>
    <d v="2024-09-14T00:00:00"/>
    <x v="1"/>
    <x v="3"/>
    <x v="1"/>
  </r>
  <r>
    <n v="5"/>
    <n v="78322"/>
    <s v="Morgan Pierce"/>
    <x v="3"/>
    <x v="2"/>
    <x v="4"/>
    <d v="2024-12-08T00:00:00"/>
    <n v="7"/>
    <x v="2"/>
    <x v="3"/>
    <n v="3"/>
    <n v="3"/>
    <n v="5"/>
    <n v="1"/>
    <n v="4"/>
    <x v="0"/>
    <n v="3"/>
    <n v="2"/>
    <n v="2"/>
    <n v="3"/>
    <x v="0"/>
    <s v="Feedback Form"/>
    <s v="Poor service"/>
    <x v="0"/>
    <n v="29"/>
    <d v="2024-12-08T00:00:00"/>
    <x v="3"/>
    <x v="4"/>
    <x v="1"/>
  </r>
  <r>
    <n v="6"/>
    <n v="24454"/>
    <s v="Todd Arellano"/>
    <x v="2"/>
    <x v="2"/>
    <x v="5"/>
    <d v="2023-06-17T00:00:00"/>
    <n v="1"/>
    <x v="3"/>
    <x v="3"/>
    <n v="4"/>
    <n v="3"/>
    <n v="1"/>
    <n v="3"/>
    <n v="3"/>
    <x v="3"/>
    <n v="4"/>
    <n v="3"/>
    <n v="1"/>
    <n v="2"/>
    <x v="0"/>
    <s v="Feedback Form"/>
    <s v="Average"/>
    <x v="1"/>
    <n v="38"/>
    <d v="2024-08-26T00:00:00"/>
    <x v="1"/>
    <x v="3"/>
    <x v="1"/>
  </r>
  <r>
    <n v="7"/>
    <n v="11377"/>
    <s v="Robert Gates"/>
    <x v="4"/>
    <x v="3"/>
    <x v="6"/>
    <d v="2024-06-17T00:00:00"/>
    <n v="5"/>
    <x v="2"/>
    <x v="4"/>
    <n v="1"/>
    <n v="1"/>
    <n v="1"/>
    <n v="2"/>
    <n v="4"/>
    <x v="1"/>
    <n v="4"/>
    <n v="5"/>
    <n v="2"/>
    <n v="2"/>
    <x v="0"/>
    <s v="Email"/>
    <s v="Average"/>
    <x v="2"/>
    <n v="19"/>
    <d v="2024-10-31T00:00:00"/>
    <x v="0"/>
    <x v="5"/>
    <x v="1"/>
  </r>
  <r>
    <n v="8"/>
    <n v="45523"/>
    <s v="Tammy Smith"/>
    <x v="2"/>
    <x v="3"/>
    <x v="7"/>
    <d v="2024-11-19T00:00:00"/>
    <n v="9"/>
    <x v="2"/>
    <x v="2"/>
    <n v="2"/>
    <n v="5"/>
    <n v="4"/>
    <n v="5"/>
    <n v="2"/>
    <x v="1"/>
    <n v="5"/>
    <n v="5"/>
    <n v="5"/>
    <n v="4"/>
    <x v="1"/>
    <s v="In-person"/>
    <s v="Average"/>
    <x v="1"/>
    <n v="69"/>
    <d v="2024-11-19T00:00:00"/>
    <x v="2"/>
    <x v="6"/>
    <x v="2"/>
  </r>
  <r>
    <n v="9"/>
    <n v="40807"/>
    <s v="Matthew Mcbride"/>
    <x v="4"/>
    <x v="0"/>
    <x v="8"/>
    <d v="2024-10-04T00:00:00"/>
    <n v="2"/>
    <x v="1"/>
    <x v="0"/>
    <n v="2"/>
    <n v="5"/>
    <n v="2"/>
    <n v="3"/>
    <n v="3"/>
    <x v="4"/>
    <n v="4"/>
    <n v="1"/>
    <n v="4"/>
    <n v="2"/>
    <x v="1"/>
    <s v="App Review"/>
    <s v="Will visit again"/>
    <x v="1"/>
    <n v="67"/>
    <d v="2024-10-04T00:00:00"/>
    <x v="2"/>
    <x v="5"/>
    <x v="1"/>
  </r>
  <r>
    <n v="10"/>
    <n v="28467"/>
    <s v="Mr. Philip Hawkins"/>
    <x v="0"/>
    <x v="3"/>
    <x v="9"/>
    <d v="2023-11-17T00:00:00"/>
    <n v="3"/>
    <x v="2"/>
    <x v="3"/>
    <n v="1"/>
    <n v="2"/>
    <n v="3"/>
    <n v="5"/>
    <n v="2"/>
    <x v="3"/>
    <n v="3"/>
    <n v="4"/>
    <n v="1"/>
    <n v="1"/>
    <x v="1"/>
    <s v="Email"/>
    <s v="Great stay"/>
    <x v="2"/>
    <n v="33"/>
    <d v="2023-11-17T00:00:00"/>
    <x v="3"/>
    <x v="7"/>
    <x v="1"/>
  </r>
  <r>
    <n v="11"/>
    <n v="47177"/>
    <s v="Scott Johnson"/>
    <x v="4"/>
    <x v="0"/>
    <x v="10"/>
    <d v="2024-07-18T00:00:00"/>
    <n v="9"/>
    <x v="2"/>
    <x v="0"/>
    <n v="4"/>
    <n v="1"/>
    <n v="3"/>
    <n v="5"/>
    <n v="4"/>
    <x v="4"/>
    <n v="5"/>
    <n v="3"/>
    <n v="2"/>
    <n v="2"/>
    <x v="1"/>
    <s v="Feedback Form"/>
    <s v="Needs improvement"/>
    <x v="2"/>
    <n v="49"/>
    <d v="2024-07-18T00:00:00"/>
    <x v="1"/>
    <x v="2"/>
    <x v="0"/>
  </r>
  <r>
    <n v="12"/>
    <n v="22287"/>
    <s v="Veronica Rojas"/>
    <x v="1"/>
    <x v="1"/>
    <x v="11"/>
    <d v="2024-02-07T00:00:00"/>
    <n v="3"/>
    <x v="1"/>
    <x v="0"/>
    <n v="4"/>
    <n v="3"/>
    <n v="2"/>
    <n v="1"/>
    <n v="3"/>
    <x v="4"/>
    <n v="1"/>
    <n v="4"/>
    <n v="1"/>
    <n v="4"/>
    <x v="1"/>
    <s v="In-person"/>
    <s v="Needs improvement"/>
    <x v="0"/>
    <n v="45"/>
    <d v="2024-08-02T00:00:00"/>
    <x v="1"/>
    <x v="8"/>
    <x v="1"/>
  </r>
  <r>
    <n v="13"/>
    <n v="58667"/>
    <s v="Justin Watson"/>
    <x v="0"/>
    <x v="0"/>
    <x v="12"/>
    <d v="2024-09-20T00:00:00"/>
    <n v="8"/>
    <x v="0"/>
    <x v="0"/>
    <n v="5"/>
    <n v="2"/>
    <n v="5"/>
    <n v="2"/>
    <n v="1"/>
    <x v="0"/>
    <n v="5"/>
    <n v="1"/>
    <n v="4"/>
    <n v="5"/>
    <x v="1"/>
    <s v="App Review"/>
    <s v="Needs improvement"/>
    <x v="2"/>
    <n v="26"/>
    <d v="2024-09-20T00:00:00"/>
    <x v="3"/>
    <x v="1"/>
    <x v="0"/>
  </r>
  <r>
    <n v="14"/>
    <n v="22838"/>
    <s v="Susan King"/>
    <x v="4"/>
    <x v="0"/>
    <x v="13"/>
    <d v="2023-07-23T00:00:00"/>
    <n v="6"/>
    <x v="0"/>
    <x v="0"/>
    <n v="4"/>
    <n v="1"/>
    <n v="1"/>
    <n v="1"/>
    <n v="4"/>
    <x v="0"/>
    <n v="4"/>
    <n v="5"/>
    <n v="4"/>
    <n v="4"/>
    <x v="0"/>
    <s v="In-person"/>
    <s v="Average"/>
    <x v="0"/>
    <n v="34"/>
    <d v="2024-03-16T00:00:00"/>
    <x v="3"/>
    <x v="0"/>
    <x v="0"/>
  </r>
  <r>
    <n v="15"/>
    <n v="42065"/>
    <s v="Melanie Ruiz"/>
    <x v="0"/>
    <x v="2"/>
    <x v="14"/>
    <d v="2023-12-24T00:00:00"/>
    <n v="7"/>
    <x v="0"/>
    <x v="1"/>
    <n v="1"/>
    <n v="1"/>
    <n v="3"/>
    <n v="1"/>
    <n v="3"/>
    <x v="2"/>
    <n v="2"/>
    <n v="4"/>
    <n v="1"/>
    <n v="5"/>
    <x v="1"/>
    <s v="Email"/>
    <s v="Will visit again"/>
    <x v="1"/>
    <n v="67"/>
    <d v="2023-12-24T00:00:00"/>
    <x v="2"/>
    <x v="9"/>
    <x v="1"/>
  </r>
  <r>
    <n v="16"/>
    <n v="65259"/>
    <s v="Alan Wade"/>
    <x v="1"/>
    <x v="3"/>
    <x v="15"/>
    <d v="2024-01-06T00:00:00"/>
    <n v="5"/>
    <x v="1"/>
    <x v="0"/>
    <n v="3"/>
    <n v="1"/>
    <n v="4"/>
    <n v="4"/>
    <n v="3"/>
    <x v="3"/>
    <n v="5"/>
    <n v="1"/>
    <n v="3"/>
    <n v="4"/>
    <x v="0"/>
    <s v="In-person"/>
    <s v="Will visit again"/>
    <x v="0"/>
    <n v="36"/>
    <d v="2024-10-29T00:00:00"/>
    <x v="1"/>
    <x v="10"/>
    <x v="0"/>
  </r>
  <r>
    <n v="17"/>
    <n v="58867"/>
    <s v="Brittany Lynch"/>
    <x v="0"/>
    <x v="4"/>
    <x v="16"/>
    <d v="2024-07-06T00:00:00"/>
    <n v="10"/>
    <x v="1"/>
    <x v="4"/>
    <n v="1"/>
    <n v="4"/>
    <n v="5"/>
    <n v="1"/>
    <n v="3"/>
    <x v="3"/>
    <n v="3"/>
    <n v="4"/>
    <n v="4"/>
    <n v="2"/>
    <x v="1"/>
    <s v="Feedback Form"/>
    <s v="Needs improvement"/>
    <x v="1"/>
    <n v="24"/>
    <d v="2024-07-06T00:00:00"/>
    <x v="0"/>
    <x v="0"/>
    <x v="0"/>
  </r>
  <r>
    <n v="18"/>
    <n v="46871"/>
    <s v="Ryan Meyers"/>
    <x v="0"/>
    <x v="4"/>
    <x v="17"/>
    <d v="2024-12-22T00:00:00"/>
    <n v="12"/>
    <x v="3"/>
    <x v="0"/>
    <n v="2"/>
    <n v="2"/>
    <n v="4"/>
    <n v="2"/>
    <n v="5"/>
    <x v="0"/>
    <n v="5"/>
    <n v="5"/>
    <n v="5"/>
    <n v="3"/>
    <x v="1"/>
    <s v="Feedback Form"/>
    <s v="Needs improvement"/>
    <x v="2"/>
    <n v="53"/>
    <d v="2024-12-22T00:00:00"/>
    <x v="2"/>
    <x v="11"/>
    <x v="0"/>
  </r>
  <r>
    <n v="19"/>
    <n v="74870"/>
    <s v="Joshua Ramirez"/>
    <x v="2"/>
    <x v="2"/>
    <x v="18"/>
    <d v="2024-08-21T00:00:00"/>
    <n v="7"/>
    <x v="3"/>
    <x v="3"/>
    <n v="5"/>
    <n v="1"/>
    <n v="3"/>
    <n v="3"/>
    <n v="3"/>
    <x v="0"/>
    <n v="4"/>
    <n v="3"/>
    <n v="5"/>
    <n v="1"/>
    <x v="0"/>
    <s v="Online Survey"/>
    <s v="Will visit again"/>
    <x v="0"/>
    <n v="57"/>
    <d v="2024-08-21T00:00:00"/>
    <x v="2"/>
    <x v="0"/>
    <x v="0"/>
  </r>
  <r>
    <n v="20"/>
    <n v="20522"/>
    <s v="Teresa Smith"/>
    <x v="3"/>
    <x v="1"/>
    <x v="5"/>
    <d v="2023-06-17T00:00:00"/>
    <n v="10"/>
    <x v="2"/>
    <x v="0"/>
    <n v="5"/>
    <n v="2"/>
    <n v="2"/>
    <n v="1"/>
    <n v="1"/>
    <x v="4"/>
    <n v="5"/>
    <n v="2"/>
    <n v="2"/>
    <n v="3"/>
    <x v="1"/>
    <s v="App Review"/>
    <s v="Average"/>
    <x v="0"/>
    <n v="18"/>
    <d v="2024-09-28T00:00:00"/>
    <x v="0"/>
    <x v="8"/>
    <x v="1"/>
  </r>
  <r>
    <n v="21"/>
    <n v="39132"/>
    <s v="Timothy Farrell"/>
    <x v="4"/>
    <x v="1"/>
    <x v="19"/>
    <d v="2024-12-04T00:00:00"/>
    <n v="11"/>
    <x v="2"/>
    <x v="3"/>
    <n v="3"/>
    <n v="3"/>
    <n v="2"/>
    <n v="2"/>
    <n v="4"/>
    <x v="0"/>
    <n v="3"/>
    <n v="5"/>
    <n v="3"/>
    <n v="1"/>
    <x v="1"/>
    <s v="Email"/>
    <s v="Average"/>
    <x v="0"/>
    <n v="59"/>
    <d v="2024-12-04T00:00:00"/>
    <x v="2"/>
    <x v="4"/>
    <x v="1"/>
  </r>
  <r>
    <n v="22"/>
    <n v="50425"/>
    <s v="Susan Spencer"/>
    <x v="3"/>
    <x v="1"/>
    <x v="20"/>
    <d v="2024-08-05T00:00:00"/>
    <n v="10"/>
    <x v="1"/>
    <x v="0"/>
    <n v="2"/>
    <n v="1"/>
    <n v="4"/>
    <n v="1"/>
    <n v="4"/>
    <x v="1"/>
    <n v="3"/>
    <n v="4"/>
    <n v="3"/>
    <n v="2"/>
    <x v="0"/>
    <s v="In-person"/>
    <s v="Needs improvement"/>
    <x v="2"/>
    <n v="53"/>
    <d v="2024-11-27T00:00:00"/>
    <x v="2"/>
    <x v="4"/>
    <x v="1"/>
  </r>
  <r>
    <n v="23"/>
    <n v="15478"/>
    <s v="Jordan Morgan"/>
    <x v="1"/>
    <x v="0"/>
    <x v="21"/>
    <d v="2024-09-23T00:00:00"/>
    <n v="13"/>
    <x v="1"/>
    <x v="2"/>
    <n v="4"/>
    <n v="5"/>
    <n v="5"/>
    <n v="5"/>
    <n v="4"/>
    <x v="3"/>
    <n v="4"/>
    <n v="3"/>
    <n v="2"/>
    <n v="4"/>
    <x v="0"/>
    <s v="Feedback Form"/>
    <s v="Poor service"/>
    <x v="1"/>
    <n v="66"/>
    <d v="2024-10-16T00:00:00"/>
    <x v="2"/>
    <x v="12"/>
    <x v="2"/>
  </r>
  <r>
    <n v="24"/>
    <n v="69355"/>
    <s v="Natalie Webb"/>
    <x v="1"/>
    <x v="3"/>
    <x v="22"/>
    <d v="2024-10-20T00:00:00"/>
    <n v="3"/>
    <x v="3"/>
    <x v="1"/>
    <n v="4"/>
    <n v="1"/>
    <n v="3"/>
    <n v="1"/>
    <n v="3"/>
    <x v="2"/>
    <n v="3"/>
    <n v="2"/>
    <n v="4"/>
    <n v="4"/>
    <x v="1"/>
    <s v="Online Survey"/>
    <s v="Average"/>
    <x v="0"/>
    <n v="56"/>
    <d v="2024-12-06T00:00:00"/>
    <x v="2"/>
    <x v="5"/>
    <x v="1"/>
  </r>
  <r>
    <n v="25"/>
    <n v="61793"/>
    <s v="Timothy Buchanan"/>
    <x v="0"/>
    <x v="1"/>
    <x v="23"/>
    <d v="2023-12-02T00:00:00"/>
    <n v="11"/>
    <x v="2"/>
    <x v="3"/>
    <n v="4"/>
    <n v="1"/>
    <n v="1"/>
    <n v="4"/>
    <n v="4"/>
    <x v="4"/>
    <n v="4"/>
    <n v="1"/>
    <n v="1"/>
    <n v="5"/>
    <x v="1"/>
    <s v="Email"/>
    <s v="Poor service"/>
    <x v="1"/>
    <n v="18"/>
    <d v="2023-12-02T00:00:00"/>
    <x v="0"/>
    <x v="7"/>
    <x v="1"/>
  </r>
  <r>
    <n v="26"/>
    <n v="15025"/>
    <s v="Chelsea Hull"/>
    <x v="3"/>
    <x v="4"/>
    <x v="24"/>
    <d v="2024-04-19T00:00:00"/>
    <n v="5"/>
    <x v="2"/>
    <x v="4"/>
    <n v="1"/>
    <n v="2"/>
    <n v="2"/>
    <n v="5"/>
    <n v="1"/>
    <x v="1"/>
    <n v="5"/>
    <n v="3"/>
    <n v="3"/>
    <n v="3"/>
    <x v="0"/>
    <s v="Feedback Form"/>
    <s v="Great stay"/>
    <x v="1"/>
    <n v="65"/>
    <d v="2024-04-19T00:00:00"/>
    <x v="2"/>
    <x v="2"/>
    <x v="0"/>
  </r>
  <r>
    <n v="27"/>
    <n v="17764"/>
    <s v="Melanie Wells"/>
    <x v="4"/>
    <x v="0"/>
    <x v="25"/>
    <d v="2024-10-03T00:00:00"/>
    <n v="6"/>
    <x v="2"/>
    <x v="0"/>
    <n v="4"/>
    <n v="2"/>
    <n v="4"/>
    <n v="2"/>
    <n v="5"/>
    <x v="0"/>
    <n v="5"/>
    <n v="5"/>
    <n v="3"/>
    <n v="1"/>
    <x v="1"/>
    <s v="Email"/>
    <s v="Average"/>
    <x v="1"/>
    <n v="41"/>
    <d v="2024-10-03T00:00:00"/>
    <x v="1"/>
    <x v="13"/>
    <x v="0"/>
  </r>
  <r>
    <n v="28"/>
    <n v="77648"/>
    <s v="Allison Miller"/>
    <x v="4"/>
    <x v="1"/>
    <x v="26"/>
    <d v="2023-05-26T00:00:00"/>
    <n v="9"/>
    <x v="0"/>
    <x v="3"/>
    <n v="2"/>
    <n v="4"/>
    <n v="3"/>
    <n v="1"/>
    <n v="1"/>
    <x v="2"/>
    <n v="1"/>
    <n v="4"/>
    <n v="4"/>
    <n v="4"/>
    <x v="1"/>
    <s v="Feedback Form"/>
    <s v="Poor service"/>
    <x v="0"/>
    <n v="27"/>
    <d v="2023-06-10T00:00:00"/>
    <x v="3"/>
    <x v="7"/>
    <x v="1"/>
  </r>
  <r>
    <n v="29"/>
    <n v="79036"/>
    <s v="Kevin Edwards"/>
    <x v="0"/>
    <x v="1"/>
    <x v="27"/>
    <d v="2023-06-17T00:00:00"/>
    <n v="4"/>
    <x v="3"/>
    <x v="1"/>
    <n v="5"/>
    <n v="1"/>
    <n v="5"/>
    <n v="5"/>
    <n v="5"/>
    <x v="0"/>
    <n v="4"/>
    <n v="2"/>
    <n v="1"/>
    <n v="2"/>
    <x v="0"/>
    <s v="Email"/>
    <s v="Great stay"/>
    <x v="1"/>
    <n v="28"/>
    <d v="2023-09-15T00:00:00"/>
    <x v="3"/>
    <x v="1"/>
    <x v="0"/>
  </r>
  <r>
    <n v="30"/>
    <n v="41521"/>
    <s v="Diane Zimmerman"/>
    <x v="4"/>
    <x v="3"/>
    <x v="28"/>
    <d v="2024-09-14T00:00:00"/>
    <n v="8"/>
    <x v="0"/>
    <x v="0"/>
    <n v="1"/>
    <n v="3"/>
    <n v="1"/>
    <n v="5"/>
    <n v="4"/>
    <x v="1"/>
    <n v="2"/>
    <n v="3"/>
    <n v="5"/>
    <n v="4"/>
    <x v="1"/>
    <s v="Feedback Form"/>
    <s v="Great stay"/>
    <x v="0"/>
    <n v="55"/>
    <d v="2024-09-14T00:00:00"/>
    <x v="2"/>
    <x v="1"/>
    <x v="0"/>
  </r>
  <r>
    <n v="31"/>
    <n v="50392"/>
    <s v="Heather Sanchez"/>
    <x v="2"/>
    <x v="3"/>
    <x v="29"/>
    <d v="2023-05-07T00:00:00"/>
    <n v="14"/>
    <x v="2"/>
    <x v="1"/>
    <n v="4"/>
    <n v="2"/>
    <n v="1"/>
    <n v="3"/>
    <n v="2"/>
    <x v="2"/>
    <n v="4"/>
    <n v="2"/>
    <n v="3"/>
    <n v="5"/>
    <x v="1"/>
    <s v="In-person"/>
    <s v="Needs improvement"/>
    <x v="1"/>
    <n v="39"/>
    <d v="2023-05-07T00:00:00"/>
    <x v="1"/>
    <x v="3"/>
    <x v="1"/>
  </r>
  <r>
    <n v="32"/>
    <n v="38807"/>
    <s v="Melody Hernandez"/>
    <x v="3"/>
    <x v="0"/>
    <x v="5"/>
    <d v="2024-04-17T00:00:00"/>
    <n v="14"/>
    <x v="1"/>
    <x v="4"/>
    <n v="2"/>
    <n v="4"/>
    <n v="2"/>
    <n v="5"/>
    <n v="5"/>
    <x v="0"/>
    <n v="5"/>
    <n v="2"/>
    <n v="4"/>
    <n v="4"/>
    <x v="0"/>
    <s v="App Review"/>
    <s v="Poor service"/>
    <x v="1"/>
    <n v="48"/>
    <d v="2024-04-17T00:00:00"/>
    <x v="1"/>
    <x v="11"/>
    <x v="0"/>
  </r>
  <r>
    <n v="33"/>
    <n v="72201"/>
    <s v="Gina King"/>
    <x v="1"/>
    <x v="4"/>
    <x v="30"/>
    <d v="2024-10-17T00:00:00"/>
    <n v="8"/>
    <x v="3"/>
    <x v="3"/>
    <n v="3"/>
    <n v="5"/>
    <n v="1"/>
    <n v="2"/>
    <n v="1"/>
    <x v="1"/>
    <n v="5"/>
    <n v="3"/>
    <n v="3"/>
    <n v="2"/>
    <x v="0"/>
    <s v="Feedback Form"/>
    <s v="Needs improvement"/>
    <x v="0"/>
    <n v="18"/>
    <d v="2024-10-17T00:00:00"/>
    <x v="0"/>
    <x v="2"/>
    <x v="0"/>
  </r>
  <r>
    <n v="34"/>
    <n v="84737"/>
    <s v="Dr. Jasmine Hopkins"/>
    <x v="4"/>
    <x v="2"/>
    <x v="31"/>
    <d v="2024-11-08T00:00:00"/>
    <n v="10"/>
    <x v="0"/>
    <x v="4"/>
    <n v="2"/>
    <n v="5"/>
    <n v="3"/>
    <n v="1"/>
    <n v="1"/>
    <x v="1"/>
    <n v="3"/>
    <n v="4"/>
    <n v="5"/>
    <n v="4"/>
    <x v="1"/>
    <s v="Email"/>
    <s v="Great stay"/>
    <x v="0"/>
    <n v="58"/>
    <d v="2024-11-08T00:00:00"/>
    <x v="2"/>
    <x v="1"/>
    <x v="0"/>
  </r>
  <r>
    <n v="35"/>
    <n v="28013"/>
    <s v="Robert Mora"/>
    <x v="4"/>
    <x v="4"/>
    <x v="32"/>
    <d v="2024-01-06T00:00:00"/>
    <n v="6"/>
    <x v="2"/>
    <x v="1"/>
    <n v="5"/>
    <n v="4"/>
    <n v="2"/>
    <n v="5"/>
    <n v="2"/>
    <x v="2"/>
    <n v="1"/>
    <n v="1"/>
    <n v="2"/>
    <n v="1"/>
    <x v="0"/>
    <s v="Feedback Form"/>
    <s v="Average"/>
    <x v="2"/>
    <n v="28"/>
    <d v="2024-03-11T00:00:00"/>
    <x v="3"/>
    <x v="14"/>
    <x v="1"/>
  </r>
  <r>
    <n v="36"/>
    <n v="21311"/>
    <s v="Mark Bruce"/>
    <x v="4"/>
    <x v="3"/>
    <x v="0"/>
    <d v="2024-08-11T00:00:00"/>
    <n v="12"/>
    <x v="0"/>
    <x v="2"/>
    <n v="2"/>
    <n v="5"/>
    <n v="2"/>
    <n v="2"/>
    <n v="5"/>
    <x v="1"/>
    <n v="2"/>
    <n v="3"/>
    <n v="4"/>
    <n v="1"/>
    <x v="1"/>
    <s v="Online Survey"/>
    <s v="Average"/>
    <x v="2"/>
    <n v="23"/>
    <d v="2024-08-11T00:00:00"/>
    <x v="0"/>
    <x v="0"/>
    <x v="0"/>
  </r>
  <r>
    <n v="37"/>
    <n v="40627"/>
    <s v="Alyssa Thornton"/>
    <x v="0"/>
    <x v="3"/>
    <x v="33"/>
    <d v="2024-04-27T00:00:00"/>
    <n v="8"/>
    <x v="1"/>
    <x v="2"/>
    <n v="2"/>
    <n v="1"/>
    <n v="2"/>
    <n v="3"/>
    <n v="5"/>
    <x v="0"/>
    <n v="1"/>
    <n v="1"/>
    <n v="1"/>
    <n v="4"/>
    <x v="1"/>
    <s v="In-person"/>
    <s v="Average"/>
    <x v="2"/>
    <n v="68"/>
    <d v="2024-04-27T00:00:00"/>
    <x v="2"/>
    <x v="9"/>
    <x v="1"/>
  </r>
  <r>
    <n v="38"/>
    <n v="90483"/>
    <s v="Adam Mills"/>
    <x v="1"/>
    <x v="2"/>
    <x v="34"/>
    <d v="2024-11-29T00:00:00"/>
    <n v="12"/>
    <x v="3"/>
    <x v="3"/>
    <n v="1"/>
    <n v="2"/>
    <n v="3"/>
    <n v="1"/>
    <n v="1"/>
    <x v="2"/>
    <n v="4"/>
    <n v="2"/>
    <n v="2"/>
    <n v="2"/>
    <x v="0"/>
    <s v="Online Survey"/>
    <s v="Poor service"/>
    <x v="1"/>
    <n v="62"/>
    <d v="2024-11-29T00:00:00"/>
    <x v="2"/>
    <x v="15"/>
    <x v="1"/>
  </r>
  <r>
    <n v="39"/>
    <n v="19041"/>
    <s v="John Wilson"/>
    <x v="3"/>
    <x v="4"/>
    <x v="35"/>
    <d v="2023-10-05T00:00:00"/>
    <n v="14"/>
    <x v="1"/>
    <x v="0"/>
    <n v="5"/>
    <n v="3"/>
    <n v="4"/>
    <n v="4"/>
    <n v="5"/>
    <x v="4"/>
    <n v="4"/>
    <n v="2"/>
    <n v="1"/>
    <n v="2"/>
    <x v="1"/>
    <s v="Email"/>
    <s v="Will visit again"/>
    <x v="2"/>
    <n v="34"/>
    <d v="2024-01-07T00:00:00"/>
    <x v="3"/>
    <x v="0"/>
    <x v="0"/>
  </r>
  <r>
    <n v="40"/>
    <n v="66513"/>
    <s v="Chris Roberts"/>
    <x v="4"/>
    <x v="4"/>
    <x v="36"/>
    <d v="2024-08-14T00:00:00"/>
    <n v="5"/>
    <x v="1"/>
    <x v="4"/>
    <n v="4"/>
    <n v="5"/>
    <n v="1"/>
    <n v="5"/>
    <n v="2"/>
    <x v="1"/>
    <n v="5"/>
    <n v="4"/>
    <n v="5"/>
    <n v="4"/>
    <x v="1"/>
    <s v="Feedback Form"/>
    <s v="Needs improvement"/>
    <x v="2"/>
    <n v="31"/>
    <d v="2024-08-14T00:00:00"/>
    <x v="3"/>
    <x v="12"/>
    <x v="2"/>
  </r>
  <r>
    <n v="41"/>
    <n v="81796"/>
    <s v="Spencer Galvan"/>
    <x v="2"/>
    <x v="2"/>
    <x v="37"/>
    <d v="2023-04-26T00:00:00"/>
    <n v="1"/>
    <x v="3"/>
    <x v="2"/>
    <n v="5"/>
    <n v="1"/>
    <n v="1"/>
    <n v="5"/>
    <n v="5"/>
    <x v="0"/>
    <n v="3"/>
    <n v="3"/>
    <n v="1"/>
    <n v="2"/>
    <x v="1"/>
    <s v="Feedback Form"/>
    <s v="Will visit again"/>
    <x v="2"/>
    <n v="49"/>
    <d v="2024-08-28T00:00:00"/>
    <x v="1"/>
    <x v="4"/>
    <x v="1"/>
  </r>
  <r>
    <n v="42"/>
    <n v="33306"/>
    <s v="Christine Kennedy"/>
    <x v="0"/>
    <x v="3"/>
    <x v="38"/>
    <d v="2024-09-19T00:00:00"/>
    <n v="4"/>
    <x v="2"/>
    <x v="2"/>
    <n v="3"/>
    <n v="2"/>
    <n v="4"/>
    <n v="3"/>
    <n v="5"/>
    <x v="2"/>
    <n v="2"/>
    <n v="3"/>
    <n v="3"/>
    <n v="1"/>
    <x v="0"/>
    <s v="Online Survey"/>
    <s v="Will visit again"/>
    <x v="1"/>
    <n v="37"/>
    <d v="2024-09-19T00:00:00"/>
    <x v="1"/>
    <x v="3"/>
    <x v="1"/>
  </r>
  <r>
    <n v="43"/>
    <n v="53827"/>
    <s v="Darren King"/>
    <x v="3"/>
    <x v="0"/>
    <x v="2"/>
    <d v="2023-07-22T00:00:00"/>
    <n v="11"/>
    <x v="2"/>
    <x v="0"/>
    <n v="5"/>
    <n v="1"/>
    <n v="2"/>
    <n v="2"/>
    <n v="2"/>
    <x v="4"/>
    <n v="3"/>
    <n v="5"/>
    <n v="5"/>
    <n v="1"/>
    <x v="1"/>
    <s v="App Review"/>
    <s v="Great stay"/>
    <x v="2"/>
    <n v="21"/>
    <d v="2023-07-22T00:00:00"/>
    <x v="0"/>
    <x v="5"/>
    <x v="1"/>
  </r>
  <r>
    <n v="44"/>
    <n v="99086"/>
    <s v="Heather Little"/>
    <x v="4"/>
    <x v="4"/>
    <x v="39"/>
    <d v="2024-03-12T00:00:00"/>
    <n v="6"/>
    <x v="0"/>
    <x v="4"/>
    <n v="1"/>
    <n v="1"/>
    <n v="5"/>
    <n v="3"/>
    <n v="4"/>
    <x v="4"/>
    <n v="2"/>
    <n v="4"/>
    <n v="2"/>
    <n v="1"/>
    <x v="1"/>
    <s v="In-person"/>
    <s v="Needs improvement"/>
    <x v="0"/>
    <n v="56"/>
    <d v="2024-03-12T00:00:00"/>
    <x v="2"/>
    <x v="8"/>
    <x v="1"/>
  </r>
  <r>
    <n v="45"/>
    <n v="21427"/>
    <s v="Christopher Cox"/>
    <x v="3"/>
    <x v="1"/>
    <x v="40"/>
    <d v="2023-09-22T00:00:00"/>
    <n v="9"/>
    <x v="2"/>
    <x v="1"/>
    <n v="4"/>
    <n v="2"/>
    <n v="3"/>
    <n v="2"/>
    <n v="5"/>
    <x v="3"/>
    <n v="1"/>
    <n v="3"/>
    <n v="3"/>
    <n v="5"/>
    <x v="1"/>
    <s v="Feedback Form"/>
    <s v="Great stay"/>
    <x v="1"/>
    <n v="64"/>
    <d v="2024-10-22T00:00:00"/>
    <x v="2"/>
    <x v="10"/>
    <x v="0"/>
  </r>
  <r>
    <n v="46"/>
    <n v="44078"/>
    <s v="Danielle Smith"/>
    <x v="0"/>
    <x v="4"/>
    <x v="41"/>
    <d v="2023-09-08T00:00:00"/>
    <n v="13"/>
    <x v="2"/>
    <x v="2"/>
    <n v="5"/>
    <n v="5"/>
    <n v="2"/>
    <n v="1"/>
    <n v="1"/>
    <x v="3"/>
    <n v="5"/>
    <n v="2"/>
    <n v="3"/>
    <n v="3"/>
    <x v="1"/>
    <s v="Feedback Form"/>
    <s v="Will visit again"/>
    <x v="1"/>
    <n v="39"/>
    <d v="2023-09-08T00:00:00"/>
    <x v="1"/>
    <x v="0"/>
    <x v="0"/>
  </r>
  <r>
    <n v="47"/>
    <n v="88359"/>
    <s v="Shelby Dean"/>
    <x v="2"/>
    <x v="4"/>
    <x v="42"/>
    <d v="2024-08-09T00:00:00"/>
    <n v="14"/>
    <x v="2"/>
    <x v="3"/>
    <n v="4"/>
    <n v="5"/>
    <n v="2"/>
    <n v="5"/>
    <n v="3"/>
    <x v="2"/>
    <n v="3"/>
    <n v="4"/>
    <n v="5"/>
    <n v="1"/>
    <x v="0"/>
    <s v="Email"/>
    <s v="Great stay"/>
    <x v="0"/>
    <n v="46"/>
    <d v="2024-08-09T00:00:00"/>
    <x v="1"/>
    <x v="13"/>
    <x v="0"/>
  </r>
  <r>
    <n v="48"/>
    <n v="41213"/>
    <s v="Ariana King"/>
    <x v="4"/>
    <x v="4"/>
    <x v="43"/>
    <d v="2024-03-15T00:00:00"/>
    <n v="4"/>
    <x v="0"/>
    <x v="3"/>
    <n v="1"/>
    <n v="1"/>
    <n v="2"/>
    <n v="4"/>
    <n v="1"/>
    <x v="1"/>
    <n v="4"/>
    <n v="5"/>
    <n v="1"/>
    <n v="4"/>
    <x v="1"/>
    <s v="Online Survey"/>
    <s v="Great stay"/>
    <x v="2"/>
    <n v="59"/>
    <d v="2024-03-15T00:00:00"/>
    <x v="2"/>
    <x v="3"/>
    <x v="1"/>
  </r>
  <r>
    <n v="49"/>
    <n v="94063"/>
    <s v="Ashley Reynolds"/>
    <x v="2"/>
    <x v="3"/>
    <x v="44"/>
    <d v="2024-05-23T00:00:00"/>
    <n v="6"/>
    <x v="3"/>
    <x v="1"/>
    <n v="2"/>
    <n v="4"/>
    <n v="1"/>
    <n v="3"/>
    <n v="1"/>
    <x v="0"/>
    <n v="5"/>
    <n v="5"/>
    <n v="1"/>
    <n v="5"/>
    <x v="0"/>
    <s v="Email"/>
    <s v="Poor service"/>
    <x v="2"/>
    <n v="54"/>
    <d v="2024-05-23T00:00:00"/>
    <x v="2"/>
    <x v="2"/>
    <x v="0"/>
  </r>
  <r>
    <n v="50"/>
    <n v="72960"/>
    <s v="Rebecca Rollins"/>
    <x v="0"/>
    <x v="1"/>
    <x v="45"/>
    <d v="2024-04-11T00:00:00"/>
    <n v="13"/>
    <x v="2"/>
    <x v="0"/>
    <n v="3"/>
    <n v="5"/>
    <n v="1"/>
    <n v="4"/>
    <n v="4"/>
    <x v="1"/>
    <n v="2"/>
    <n v="2"/>
    <n v="2"/>
    <n v="4"/>
    <x v="1"/>
    <s v="In-person"/>
    <s v="Needs improvement"/>
    <x v="0"/>
    <n v="30"/>
    <d v="2024-05-31T00:00:00"/>
    <x v="3"/>
    <x v="10"/>
    <x v="0"/>
  </r>
  <r>
    <n v="51"/>
    <n v="73741"/>
    <s v="Lindsay Miles"/>
    <x v="2"/>
    <x v="4"/>
    <x v="46"/>
    <d v="2023-09-20T00:00:00"/>
    <n v="10"/>
    <x v="1"/>
    <x v="0"/>
    <n v="5"/>
    <n v="1"/>
    <n v="5"/>
    <n v="4"/>
    <n v="4"/>
    <x v="0"/>
    <n v="5"/>
    <n v="3"/>
    <n v="5"/>
    <n v="2"/>
    <x v="0"/>
    <s v="Feedback Form"/>
    <s v="Needs improvement"/>
    <x v="2"/>
    <n v="32"/>
    <d v="2023-09-20T00:00:00"/>
    <x v="3"/>
    <x v="16"/>
    <x v="0"/>
  </r>
  <r>
    <n v="52"/>
    <n v="69002"/>
    <s v="Jackson Thompson"/>
    <x v="0"/>
    <x v="0"/>
    <x v="47"/>
    <d v="2023-10-12T00:00:00"/>
    <n v="13"/>
    <x v="2"/>
    <x v="2"/>
    <n v="4"/>
    <n v="3"/>
    <n v="3"/>
    <n v="5"/>
    <n v="1"/>
    <x v="0"/>
    <n v="4"/>
    <n v="2"/>
    <n v="2"/>
    <n v="3"/>
    <x v="0"/>
    <s v="Online Survey"/>
    <s v="Will visit again"/>
    <x v="2"/>
    <n v="52"/>
    <d v="2024-12-02T00:00:00"/>
    <x v="2"/>
    <x v="2"/>
    <x v="0"/>
  </r>
  <r>
    <n v="53"/>
    <n v="37207"/>
    <s v="Gail Brown"/>
    <x v="2"/>
    <x v="1"/>
    <x v="48"/>
    <d v="2024-09-15T00:00:00"/>
    <n v="11"/>
    <x v="2"/>
    <x v="2"/>
    <n v="5"/>
    <n v="3"/>
    <n v="2"/>
    <n v="5"/>
    <n v="5"/>
    <x v="3"/>
    <n v="4"/>
    <n v="5"/>
    <n v="4"/>
    <n v="5"/>
    <x v="1"/>
    <s v="Online Survey"/>
    <s v="Average"/>
    <x v="2"/>
    <n v="42"/>
    <d v="2024-09-15T00:00:00"/>
    <x v="1"/>
    <x v="6"/>
    <x v="2"/>
  </r>
  <r>
    <n v="54"/>
    <n v="13936"/>
    <s v="Nicole Reynolds"/>
    <x v="3"/>
    <x v="2"/>
    <x v="49"/>
    <d v="2024-01-13T00:00:00"/>
    <n v="5"/>
    <x v="3"/>
    <x v="2"/>
    <n v="1"/>
    <n v="4"/>
    <n v="1"/>
    <n v="4"/>
    <n v="1"/>
    <x v="3"/>
    <n v="2"/>
    <n v="4"/>
    <n v="5"/>
    <n v="2"/>
    <x v="1"/>
    <s v="Online Survey"/>
    <s v="Great stay"/>
    <x v="1"/>
    <n v="68"/>
    <d v="2024-03-15T00:00:00"/>
    <x v="2"/>
    <x v="3"/>
    <x v="1"/>
  </r>
  <r>
    <n v="55"/>
    <n v="93314"/>
    <s v="Daniel Rodriguez"/>
    <x v="3"/>
    <x v="0"/>
    <x v="50"/>
    <d v="2023-09-07T00:00:00"/>
    <n v="9"/>
    <x v="1"/>
    <x v="1"/>
    <n v="2"/>
    <n v="1"/>
    <n v="4"/>
    <n v="1"/>
    <n v="5"/>
    <x v="1"/>
    <n v="5"/>
    <n v="3"/>
    <n v="4"/>
    <n v="2"/>
    <x v="1"/>
    <s v="In-person"/>
    <s v="Needs improvement"/>
    <x v="0"/>
    <n v="20"/>
    <d v="2024-01-31T00:00:00"/>
    <x v="0"/>
    <x v="10"/>
    <x v="0"/>
  </r>
  <r>
    <n v="56"/>
    <n v="61775"/>
    <s v="Eric Barr"/>
    <x v="0"/>
    <x v="2"/>
    <x v="51"/>
    <d v="2024-10-15T00:00:00"/>
    <n v="10"/>
    <x v="0"/>
    <x v="1"/>
    <n v="1"/>
    <n v="3"/>
    <n v="1"/>
    <n v="4"/>
    <n v="2"/>
    <x v="2"/>
    <n v="3"/>
    <n v="2"/>
    <n v="2"/>
    <n v="1"/>
    <x v="0"/>
    <s v="App Review"/>
    <s v="Average"/>
    <x v="2"/>
    <n v="68"/>
    <d v="2024-10-15T00:00:00"/>
    <x v="2"/>
    <x v="17"/>
    <x v="1"/>
  </r>
  <r>
    <n v="57"/>
    <n v="28674"/>
    <s v="Kristi Green"/>
    <x v="3"/>
    <x v="4"/>
    <x v="52"/>
    <d v="2024-11-28T00:00:00"/>
    <n v="14"/>
    <x v="2"/>
    <x v="2"/>
    <n v="4"/>
    <n v="5"/>
    <n v="2"/>
    <n v="2"/>
    <n v="2"/>
    <x v="0"/>
    <n v="5"/>
    <n v="3"/>
    <n v="4"/>
    <n v="4"/>
    <x v="1"/>
    <s v="App Review"/>
    <s v="Needs improvement"/>
    <x v="0"/>
    <n v="29"/>
    <d v="2024-11-28T00:00:00"/>
    <x v="3"/>
    <x v="13"/>
    <x v="0"/>
  </r>
  <r>
    <n v="58"/>
    <n v="59790"/>
    <s v="Scott Hernandez"/>
    <x v="2"/>
    <x v="3"/>
    <x v="53"/>
    <d v="2024-04-02T00:00:00"/>
    <n v="6"/>
    <x v="2"/>
    <x v="0"/>
    <n v="5"/>
    <n v="1"/>
    <n v="2"/>
    <n v="2"/>
    <n v="4"/>
    <x v="3"/>
    <n v="4"/>
    <n v="4"/>
    <n v="4"/>
    <n v="2"/>
    <x v="0"/>
    <s v="App Review"/>
    <s v="Will visit again"/>
    <x v="1"/>
    <n v="31"/>
    <d v="2024-04-02T00:00:00"/>
    <x v="3"/>
    <x v="10"/>
    <x v="0"/>
  </r>
  <r>
    <n v="59"/>
    <n v="24374"/>
    <s v="Regina Dickerson"/>
    <x v="2"/>
    <x v="4"/>
    <x v="54"/>
    <d v="2023-11-14T00:00:00"/>
    <n v="3"/>
    <x v="2"/>
    <x v="4"/>
    <n v="4"/>
    <n v="4"/>
    <n v="1"/>
    <n v="2"/>
    <n v="3"/>
    <x v="2"/>
    <n v="2"/>
    <n v="5"/>
    <n v="3"/>
    <n v="2"/>
    <x v="1"/>
    <s v="Email"/>
    <s v="Great stay"/>
    <x v="2"/>
    <n v="57"/>
    <d v="2024-06-25T00:00:00"/>
    <x v="2"/>
    <x v="3"/>
    <x v="1"/>
  </r>
  <r>
    <n v="60"/>
    <n v="25317"/>
    <s v="John Henry"/>
    <x v="4"/>
    <x v="4"/>
    <x v="55"/>
    <d v="2024-08-15T00:00:00"/>
    <n v="2"/>
    <x v="2"/>
    <x v="2"/>
    <n v="1"/>
    <n v="4"/>
    <n v="4"/>
    <n v="2"/>
    <n v="3"/>
    <x v="3"/>
    <n v="1"/>
    <n v="2"/>
    <n v="3"/>
    <n v="2"/>
    <x v="0"/>
    <s v="Email"/>
    <s v="Poor service"/>
    <x v="0"/>
    <n v="49"/>
    <d v="2024-08-15T00:00:00"/>
    <x v="1"/>
    <x v="7"/>
    <x v="1"/>
  </r>
  <r>
    <n v="61"/>
    <n v="39181"/>
    <s v="Monica Garcia"/>
    <x v="0"/>
    <x v="2"/>
    <x v="56"/>
    <d v="2023-07-22T00:00:00"/>
    <n v="3"/>
    <x v="1"/>
    <x v="0"/>
    <n v="5"/>
    <n v="5"/>
    <n v="4"/>
    <n v="3"/>
    <n v="4"/>
    <x v="0"/>
    <n v="1"/>
    <n v="5"/>
    <n v="2"/>
    <n v="3"/>
    <x v="1"/>
    <s v="In-person"/>
    <s v="Will visit again"/>
    <x v="1"/>
    <n v="67"/>
    <d v="2023-10-03T00:00:00"/>
    <x v="2"/>
    <x v="18"/>
    <x v="0"/>
  </r>
  <r>
    <n v="62"/>
    <n v="21780"/>
    <s v="John Thompson"/>
    <x v="3"/>
    <x v="4"/>
    <x v="57"/>
    <d v="2024-09-03T00:00:00"/>
    <n v="6"/>
    <x v="3"/>
    <x v="0"/>
    <n v="4"/>
    <n v="3"/>
    <n v="2"/>
    <n v="1"/>
    <n v="2"/>
    <x v="4"/>
    <n v="5"/>
    <n v="2"/>
    <n v="2"/>
    <n v="5"/>
    <x v="1"/>
    <s v="Online Survey"/>
    <s v="Will visit again"/>
    <x v="1"/>
    <n v="21"/>
    <d v="2024-12-06T00:00:00"/>
    <x v="0"/>
    <x v="5"/>
    <x v="1"/>
  </r>
  <r>
    <n v="63"/>
    <n v="92059"/>
    <s v="Ann Miranda"/>
    <x v="0"/>
    <x v="0"/>
    <x v="54"/>
    <d v="2024-12-20T00:00:00"/>
    <n v="10"/>
    <x v="3"/>
    <x v="3"/>
    <n v="5"/>
    <n v="3"/>
    <n v="1"/>
    <n v="3"/>
    <n v="4"/>
    <x v="3"/>
    <n v="4"/>
    <n v="3"/>
    <n v="1"/>
    <n v="1"/>
    <x v="1"/>
    <s v="App Review"/>
    <s v="Will visit again"/>
    <x v="0"/>
    <n v="46"/>
    <d v="2024-12-20T00:00:00"/>
    <x v="1"/>
    <x v="4"/>
    <x v="1"/>
  </r>
  <r>
    <n v="64"/>
    <n v="84396"/>
    <s v="Vanessa Ballard"/>
    <x v="3"/>
    <x v="3"/>
    <x v="58"/>
    <d v="2024-11-04T00:00:00"/>
    <n v="8"/>
    <x v="2"/>
    <x v="4"/>
    <n v="3"/>
    <n v="4"/>
    <n v="3"/>
    <n v="3"/>
    <n v="2"/>
    <x v="2"/>
    <n v="5"/>
    <n v="1"/>
    <n v="4"/>
    <n v="5"/>
    <x v="0"/>
    <s v="Feedback Form"/>
    <s v="Average"/>
    <x v="2"/>
    <n v="48"/>
    <d v="2024-11-04T00:00:00"/>
    <x v="1"/>
    <x v="10"/>
    <x v="0"/>
  </r>
  <r>
    <n v="65"/>
    <n v="62994"/>
    <s v="Kayla Dudley"/>
    <x v="4"/>
    <x v="2"/>
    <x v="59"/>
    <d v="2023-09-02T00:00:00"/>
    <n v="8"/>
    <x v="0"/>
    <x v="2"/>
    <n v="1"/>
    <n v="2"/>
    <n v="3"/>
    <n v="2"/>
    <n v="5"/>
    <x v="1"/>
    <n v="2"/>
    <n v="2"/>
    <n v="1"/>
    <n v="2"/>
    <x v="1"/>
    <s v="App Review"/>
    <s v="Will visit again"/>
    <x v="2"/>
    <n v="49"/>
    <d v="2023-12-01T00:00:00"/>
    <x v="1"/>
    <x v="14"/>
    <x v="1"/>
  </r>
  <r>
    <n v="66"/>
    <n v="30402"/>
    <s v="Mark Reynolds"/>
    <x v="2"/>
    <x v="1"/>
    <x v="60"/>
    <d v="2024-04-19T00:00:00"/>
    <n v="12"/>
    <x v="1"/>
    <x v="4"/>
    <n v="1"/>
    <n v="4"/>
    <n v="2"/>
    <n v="1"/>
    <n v="2"/>
    <x v="1"/>
    <n v="3"/>
    <n v="2"/>
    <n v="1"/>
    <n v="3"/>
    <x v="0"/>
    <s v="In-person"/>
    <s v="Poor service"/>
    <x v="0"/>
    <n v="41"/>
    <d v="2024-04-19T00:00:00"/>
    <x v="1"/>
    <x v="8"/>
    <x v="1"/>
  </r>
  <r>
    <n v="67"/>
    <n v="73907"/>
    <s v="Laura Miller"/>
    <x v="2"/>
    <x v="4"/>
    <x v="16"/>
    <d v="2024-07-06T00:00:00"/>
    <n v="5"/>
    <x v="1"/>
    <x v="2"/>
    <n v="3"/>
    <n v="4"/>
    <n v="4"/>
    <n v="1"/>
    <n v="2"/>
    <x v="0"/>
    <n v="1"/>
    <n v="5"/>
    <n v="5"/>
    <n v="2"/>
    <x v="1"/>
    <s v="App Review"/>
    <s v="Great stay"/>
    <x v="1"/>
    <n v="28"/>
    <d v="2024-07-06T00:00:00"/>
    <x v="3"/>
    <x v="2"/>
    <x v="0"/>
  </r>
  <r>
    <n v="68"/>
    <n v="33276"/>
    <s v="Amy Martin"/>
    <x v="1"/>
    <x v="2"/>
    <x v="61"/>
    <d v="2023-12-09T00:00:00"/>
    <n v="1"/>
    <x v="0"/>
    <x v="4"/>
    <n v="2"/>
    <n v="1"/>
    <n v="3"/>
    <n v="4"/>
    <n v="2"/>
    <x v="4"/>
    <n v="5"/>
    <n v="1"/>
    <n v="1"/>
    <n v="4"/>
    <x v="0"/>
    <s v="Feedback Form"/>
    <s v="Needs improvement"/>
    <x v="0"/>
    <n v="47"/>
    <d v="2024-11-24T00:00:00"/>
    <x v="1"/>
    <x v="8"/>
    <x v="1"/>
  </r>
  <r>
    <n v="69"/>
    <n v="82778"/>
    <s v="Jean Tapia"/>
    <x v="0"/>
    <x v="4"/>
    <x v="62"/>
    <d v="2023-04-03T00:00:00"/>
    <n v="1"/>
    <x v="2"/>
    <x v="4"/>
    <n v="4"/>
    <n v="5"/>
    <n v="1"/>
    <n v="3"/>
    <n v="3"/>
    <x v="3"/>
    <n v="4"/>
    <n v="1"/>
    <n v="1"/>
    <n v="5"/>
    <x v="0"/>
    <s v="Feedback Form"/>
    <s v="Average"/>
    <x v="0"/>
    <n v="66"/>
    <d v="2024-03-22T00:00:00"/>
    <x v="2"/>
    <x v="0"/>
    <x v="0"/>
  </r>
  <r>
    <n v="70"/>
    <n v="11052"/>
    <s v="Julian Wilson"/>
    <x v="3"/>
    <x v="4"/>
    <x v="63"/>
    <d v="2023-08-15T00:00:00"/>
    <n v="12"/>
    <x v="2"/>
    <x v="0"/>
    <n v="2"/>
    <n v="1"/>
    <n v="5"/>
    <n v="1"/>
    <n v="2"/>
    <x v="3"/>
    <n v="1"/>
    <n v="1"/>
    <n v="4"/>
    <n v="1"/>
    <x v="1"/>
    <s v="Feedback Form"/>
    <s v="Will visit again"/>
    <x v="1"/>
    <n v="36"/>
    <d v="2024-03-17T00:00:00"/>
    <x v="1"/>
    <x v="19"/>
    <x v="1"/>
  </r>
  <r>
    <n v="71"/>
    <n v="25400"/>
    <s v="David Poole"/>
    <x v="1"/>
    <x v="2"/>
    <x v="64"/>
    <d v="2024-06-23T00:00:00"/>
    <n v="7"/>
    <x v="2"/>
    <x v="4"/>
    <n v="5"/>
    <n v="4"/>
    <n v="5"/>
    <n v="5"/>
    <n v="1"/>
    <x v="4"/>
    <n v="1"/>
    <n v="1"/>
    <n v="1"/>
    <n v="3"/>
    <x v="0"/>
    <s v="In-person"/>
    <s v="Needs improvement"/>
    <x v="0"/>
    <n v="53"/>
    <d v="2024-06-23T00:00:00"/>
    <x v="2"/>
    <x v="5"/>
    <x v="1"/>
  </r>
  <r>
    <n v="72"/>
    <n v="71980"/>
    <s v="Arthur Marshall"/>
    <x v="0"/>
    <x v="0"/>
    <x v="65"/>
    <d v="2023-09-01T00:00:00"/>
    <n v="2"/>
    <x v="0"/>
    <x v="4"/>
    <n v="4"/>
    <n v="1"/>
    <n v="4"/>
    <n v="3"/>
    <n v="5"/>
    <x v="0"/>
    <n v="3"/>
    <n v="4"/>
    <n v="4"/>
    <n v="5"/>
    <x v="0"/>
    <s v="App Review"/>
    <s v="Will visit again"/>
    <x v="1"/>
    <n v="23"/>
    <d v="2024-05-28T00:00:00"/>
    <x v="0"/>
    <x v="11"/>
    <x v="0"/>
  </r>
  <r>
    <n v="73"/>
    <n v="95483"/>
    <s v="James Farley"/>
    <x v="3"/>
    <x v="1"/>
    <x v="66"/>
    <d v="2024-02-08T00:00:00"/>
    <n v="13"/>
    <x v="1"/>
    <x v="2"/>
    <n v="4"/>
    <n v="3"/>
    <n v="5"/>
    <n v="1"/>
    <n v="3"/>
    <x v="0"/>
    <n v="5"/>
    <n v="3"/>
    <n v="4"/>
    <n v="2"/>
    <x v="1"/>
    <s v="In-person"/>
    <s v="Great stay"/>
    <x v="1"/>
    <n v="19"/>
    <d v="2024-04-13T00:00:00"/>
    <x v="0"/>
    <x v="1"/>
    <x v="0"/>
  </r>
  <r>
    <n v="74"/>
    <n v="35699"/>
    <s v="Jesse Beltran"/>
    <x v="4"/>
    <x v="4"/>
    <x v="67"/>
    <d v="2024-10-10T00:00:00"/>
    <n v="4"/>
    <x v="3"/>
    <x v="0"/>
    <n v="4"/>
    <n v="4"/>
    <n v="1"/>
    <n v="5"/>
    <n v="1"/>
    <x v="2"/>
    <n v="3"/>
    <n v="2"/>
    <n v="1"/>
    <n v="1"/>
    <x v="0"/>
    <s v="Feedback Form"/>
    <s v="Poor service"/>
    <x v="0"/>
    <n v="56"/>
    <d v="2024-10-10T00:00:00"/>
    <x v="2"/>
    <x v="8"/>
    <x v="1"/>
  </r>
  <r>
    <n v="75"/>
    <n v="44111"/>
    <s v="Katie Carter"/>
    <x v="0"/>
    <x v="0"/>
    <x v="68"/>
    <d v="2023-08-26T00:00:00"/>
    <n v="10"/>
    <x v="2"/>
    <x v="4"/>
    <n v="3"/>
    <n v="3"/>
    <n v="2"/>
    <n v="5"/>
    <n v="3"/>
    <x v="2"/>
    <n v="4"/>
    <n v="3"/>
    <n v="4"/>
    <n v="3"/>
    <x v="1"/>
    <s v="App Review"/>
    <s v="Poor service"/>
    <x v="0"/>
    <n v="36"/>
    <d v="2024-08-25T00:00:00"/>
    <x v="1"/>
    <x v="10"/>
    <x v="0"/>
  </r>
  <r>
    <n v="76"/>
    <n v="92489"/>
    <s v="Samantha Padilla"/>
    <x v="3"/>
    <x v="4"/>
    <x v="69"/>
    <d v="2024-04-13T00:00:00"/>
    <n v="5"/>
    <x v="0"/>
    <x v="0"/>
    <n v="1"/>
    <n v="3"/>
    <n v="2"/>
    <n v="5"/>
    <n v="3"/>
    <x v="2"/>
    <n v="4"/>
    <n v="3"/>
    <n v="2"/>
    <n v="2"/>
    <x v="1"/>
    <s v="Email"/>
    <s v="Average"/>
    <x v="0"/>
    <n v="63"/>
    <d v="2024-04-13T00:00:00"/>
    <x v="2"/>
    <x v="5"/>
    <x v="1"/>
  </r>
  <r>
    <n v="77"/>
    <n v="71065"/>
    <s v="Robert Wilson"/>
    <x v="2"/>
    <x v="4"/>
    <x v="70"/>
    <d v="2024-05-14T00:00:00"/>
    <n v="8"/>
    <x v="0"/>
    <x v="0"/>
    <n v="3"/>
    <n v="5"/>
    <n v="1"/>
    <n v="2"/>
    <n v="1"/>
    <x v="0"/>
    <n v="5"/>
    <n v="3"/>
    <n v="2"/>
    <n v="2"/>
    <x v="1"/>
    <s v="In-person"/>
    <s v="Needs improvement"/>
    <x v="2"/>
    <n v="65"/>
    <d v="2024-05-14T00:00:00"/>
    <x v="2"/>
    <x v="5"/>
    <x v="1"/>
  </r>
  <r>
    <n v="78"/>
    <n v="91798"/>
    <s v="Christopher Armstrong"/>
    <x v="0"/>
    <x v="0"/>
    <x v="12"/>
    <d v="2024-05-27T00:00:00"/>
    <n v="10"/>
    <x v="2"/>
    <x v="1"/>
    <n v="3"/>
    <n v="3"/>
    <n v="2"/>
    <n v="4"/>
    <n v="4"/>
    <x v="3"/>
    <n v="1"/>
    <n v="3"/>
    <n v="4"/>
    <n v="5"/>
    <x v="0"/>
    <s v="Email"/>
    <s v="Needs improvement"/>
    <x v="1"/>
    <n v="57"/>
    <d v="2024-11-05T00:00:00"/>
    <x v="2"/>
    <x v="1"/>
    <x v="0"/>
  </r>
  <r>
    <n v="79"/>
    <n v="79452"/>
    <s v="Peter Benton"/>
    <x v="3"/>
    <x v="4"/>
    <x v="71"/>
    <d v="2024-11-20T00:00:00"/>
    <n v="9"/>
    <x v="0"/>
    <x v="2"/>
    <n v="3"/>
    <n v="1"/>
    <n v="1"/>
    <n v="4"/>
    <n v="4"/>
    <x v="1"/>
    <n v="2"/>
    <n v="4"/>
    <n v="2"/>
    <n v="2"/>
    <x v="0"/>
    <s v="Email"/>
    <s v="Poor service"/>
    <x v="1"/>
    <n v="35"/>
    <d v="2024-11-20T00:00:00"/>
    <x v="3"/>
    <x v="3"/>
    <x v="1"/>
  </r>
  <r>
    <n v="80"/>
    <n v="84728"/>
    <s v="Anthony Hogan"/>
    <x v="2"/>
    <x v="1"/>
    <x v="72"/>
    <d v="2024-08-20T00:00:00"/>
    <n v="13"/>
    <x v="2"/>
    <x v="1"/>
    <n v="2"/>
    <n v="1"/>
    <n v="1"/>
    <n v="1"/>
    <n v="2"/>
    <x v="0"/>
    <n v="3"/>
    <n v="5"/>
    <n v="5"/>
    <n v="2"/>
    <x v="0"/>
    <s v="Online Survey"/>
    <s v="Great stay"/>
    <x v="1"/>
    <n v="58"/>
    <d v="2024-08-20T00:00:00"/>
    <x v="2"/>
    <x v="14"/>
    <x v="1"/>
  </r>
  <r>
    <n v="81"/>
    <n v="45692"/>
    <s v="Renee Harrington"/>
    <x v="2"/>
    <x v="2"/>
    <x v="73"/>
    <d v="2024-11-03T00:00:00"/>
    <n v="1"/>
    <x v="2"/>
    <x v="0"/>
    <n v="3"/>
    <n v="2"/>
    <n v="5"/>
    <n v="1"/>
    <n v="1"/>
    <x v="4"/>
    <n v="1"/>
    <n v="4"/>
    <n v="3"/>
    <n v="3"/>
    <x v="1"/>
    <s v="Feedback Form"/>
    <s v="Average"/>
    <x v="1"/>
    <n v="53"/>
    <d v="2024-11-03T00:00:00"/>
    <x v="2"/>
    <x v="8"/>
    <x v="1"/>
  </r>
  <r>
    <n v="82"/>
    <n v="57197"/>
    <s v="Mark Ashley"/>
    <x v="1"/>
    <x v="0"/>
    <x v="74"/>
    <d v="2024-11-25T00:00:00"/>
    <n v="9"/>
    <x v="2"/>
    <x v="4"/>
    <n v="1"/>
    <n v="5"/>
    <n v="5"/>
    <n v="4"/>
    <n v="2"/>
    <x v="1"/>
    <n v="4"/>
    <n v="2"/>
    <n v="2"/>
    <n v="2"/>
    <x v="0"/>
    <s v="Email"/>
    <s v="Will visit again"/>
    <x v="1"/>
    <n v="63"/>
    <d v="2024-11-25T00:00:00"/>
    <x v="2"/>
    <x v="10"/>
    <x v="0"/>
  </r>
  <r>
    <n v="83"/>
    <n v="62404"/>
    <s v="Mary Barry"/>
    <x v="3"/>
    <x v="3"/>
    <x v="75"/>
    <d v="2024-07-02T00:00:00"/>
    <n v="5"/>
    <x v="1"/>
    <x v="2"/>
    <n v="4"/>
    <n v="2"/>
    <n v="4"/>
    <n v="5"/>
    <n v="4"/>
    <x v="0"/>
    <n v="4"/>
    <n v="1"/>
    <n v="1"/>
    <n v="4"/>
    <x v="1"/>
    <s v="In-person"/>
    <s v="Average"/>
    <x v="2"/>
    <n v="69"/>
    <d v="2024-12-04T00:00:00"/>
    <x v="2"/>
    <x v="10"/>
    <x v="0"/>
  </r>
  <r>
    <n v="84"/>
    <n v="70736"/>
    <s v="Timothy Branch"/>
    <x v="1"/>
    <x v="4"/>
    <x v="76"/>
    <d v="2023-04-10T00:00:00"/>
    <n v="4"/>
    <x v="0"/>
    <x v="3"/>
    <n v="2"/>
    <n v="3"/>
    <n v="5"/>
    <n v="1"/>
    <n v="1"/>
    <x v="0"/>
    <n v="1"/>
    <n v="5"/>
    <n v="2"/>
    <n v="4"/>
    <x v="0"/>
    <s v="Feedback Form"/>
    <s v="Poor service"/>
    <x v="1"/>
    <n v="67"/>
    <d v="2023-08-13T00:00:00"/>
    <x v="2"/>
    <x v="5"/>
    <x v="1"/>
  </r>
  <r>
    <n v="85"/>
    <n v="33942"/>
    <s v="Aaron Butler"/>
    <x v="1"/>
    <x v="2"/>
    <x v="77"/>
    <d v="2024-10-20T00:00:00"/>
    <n v="10"/>
    <x v="3"/>
    <x v="2"/>
    <n v="3"/>
    <n v="4"/>
    <n v="2"/>
    <n v="2"/>
    <n v="1"/>
    <x v="2"/>
    <n v="1"/>
    <n v="2"/>
    <n v="5"/>
    <n v="1"/>
    <x v="1"/>
    <s v="Feedback Form"/>
    <s v="Will visit again"/>
    <x v="2"/>
    <n v="37"/>
    <d v="2024-10-20T00:00:00"/>
    <x v="1"/>
    <x v="9"/>
    <x v="1"/>
  </r>
  <r>
    <n v="86"/>
    <n v="78928"/>
    <s v="Joseph Black"/>
    <x v="4"/>
    <x v="1"/>
    <x v="78"/>
    <d v="2024-07-03T00:00:00"/>
    <n v="5"/>
    <x v="1"/>
    <x v="1"/>
    <n v="3"/>
    <n v="1"/>
    <n v="5"/>
    <n v="2"/>
    <n v="1"/>
    <x v="3"/>
    <n v="4"/>
    <n v="1"/>
    <n v="5"/>
    <n v="4"/>
    <x v="0"/>
    <s v="In-person"/>
    <s v="Average"/>
    <x v="0"/>
    <n v="54"/>
    <d v="2024-07-03T00:00:00"/>
    <x v="2"/>
    <x v="2"/>
    <x v="0"/>
  </r>
  <r>
    <n v="87"/>
    <n v="29001"/>
    <s v="Courtney Kelley"/>
    <x v="1"/>
    <x v="1"/>
    <x v="79"/>
    <d v="2023-10-01T00:00:00"/>
    <n v="14"/>
    <x v="2"/>
    <x v="2"/>
    <n v="4"/>
    <n v="4"/>
    <n v="1"/>
    <n v="4"/>
    <n v="2"/>
    <x v="3"/>
    <n v="3"/>
    <n v="4"/>
    <n v="5"/>
    <n v="4"/>
    <x v="0"/>
    <s v="App Review"/>
    <s v="Great stay"/>
    <x v="0"/>
    <n v="18"/>
    <d v="2023-12-01T00:00:00"/>
    <x v="0"/>
    <x v="18"/>
    <x v="0"/>
  </r>
  <r>
    <n v="88"/>
    <n v="38696"/>
    <s v="Lauren Spence"/>
    <x v="1"/>
    <x v="3"/>
    <x v="80"/>
    <d v="2023-07-06T00:00:00"/>
    <n v="9"/>
    <x v="0"/>
    <x v="4"/>
    <n v="4"/>
    <n v="2"/>
    <n v="5"/>
    <n v="1"/>
    <n v="3"/>
    <x v="1"/>
    <n v="3"/>
    <n v="3"/>
    <n v="2"/>
    <n v="5"/>
    <x v="1"/>
    <s v="In-person"/>
    <s v="Needs improvement"/>
    <x v="2"/>
    <n v="40"/>
    <d v="2023-11-01T00:00:00"/>
    <x v="1"/>
    <x v="1"/>
    <x v="0"/>
  </r>
  <r>
    <n v="89"/>
    <n v="32319"/>
    <s v="Daniel Mccullough"/>
    <x v="4"/>
    <x v="1"/>
    <x v="81"/>
    <d v="2024-03-28T00:00:00"/>
    <n v="8"/>
    <x v="3"/>
    <x v="2"/>
    <n v="2"/>
    <n v="2"/>
    <n v="2"/>
    <n v="1"/>
    <n v="3"/>
    <x v="0"/>
    <n v="1"/>
    <n v="2"/>
    <n v="3"/>
    <n v="4"/>
    <x v="0"/>
    <s v="App Review"/>
    <s v="Will visit again"/>
    <x v="1"/>
    <n v="55"/>
    <d v="2024-03-28T00:00:00"/>
    <x v="2"/>
    <x v="9"/>
    <x v="1"/>
  </r>
  <r>
    <n v="90"/>
    <n v="47123"/>
    <s v="Shawn Davis"/>
    <x v="4"/>
    <x v="2"/>
    <x v="82"/>
    <d v="2024-07-15T00:00:00"/>
    <n v="10"/>
    <x v="2"/>
    <x v="3"/>
    <n v="1"/>
    <n v="1"/>
    <n v="4"/>
    <n v="5"/>
    <n v="3"/>
    <x v="2"/>
    <n v="5"/>
    <n v="3"/>
    <n v="1"/>
    <n v="2"/>
    <x v="0"/>
    <s v="Feedback Form"/>
    <s v="Average"/>
    <x v="1"/>
    <n v="37"/>
    <d v="2024-10-24T00:00:00"/>
    <x v="1"/>
    <x v="5"/>
    <x v="1"/>
  </r>
  <r>
    <n v="91"/>
    <n v="61165"/>
    <s v="Richard Scott"/>
    <x v="0"/>
    <x v="3"/>
    <x v="83"/>
    <d v="2024-10-03T00:00:00"/>
    <n v="13"/>
    <x v="0"/>
    <x v="1"/>
    <n v="2"/>
    <n v="2"/>
    <n v="3"/>
    <n v="1"/>
    <n v="1"/>
    <x v="4"/>
    <n v="4"/>
    <n v="3"/>
    <n v="3"/>
    <n v="5"/>
    <x v="1"/>
    <s v="In-person"/>
    <s v="Great stay"/>
    <x v="1"/>
    <n v="21"/>
    <d v="2024-10-03T00:00:00"/>
    <x v="0"/>
    <x v="14"/>
    <x v="1"/>
  </r>
  <r>
    <n v="92"/>
    <n v="28311"/>
    <s v="Kaitlin Newman"/>
    <x v="1"/>
    <x v="0"/>
    <x v="60"/>
    <d v="2023-07-31T00:00:00"/>
    <n v="12"/>
    <x v="2"/>
    <x v="1"/>
    <n v="4"/>
    <n v="4"/>
    <n v="1"/>
    <n v="4"/>
    <n v="4"/>
    <x v="0"/>
    <n v="2"/>
    <n v="3"/>
    <n v="2"/>
    <n v="4"/>
    <x v="1"/>
    <s v="Email"/>
    <s v="Average"/>
    <x v="1"/>
    <n v="68"/>
    <d v="2023-10-01T00:00:00"/>
    <x v="2"/>
    <x v="0"/>
    <x v="0"/>
  </r>
  <r>
    <n v="93"/>
    <n v="37120"/>
    <s v="Susan Cunningham"/>
    <x v="2"/>
    <x v="3"/>
    <x v="70"/>
    <d v="2023-11-04T00:00:00"/>
    <n v="5"/>
    <x v="3"/>
    <x v="0"/>
    <n v="1"/>
    <n v="2"/>
    <n v="2"/>
    <n v="1"/>
    <n v="2"/>
    <x v="2"/>
    <n v="4"/>
    <n v="5"/>
    <n v="3"/>
    <n v="2"/>
    <x v="0"/>
    <s v="In-person"/>
    <s v="Will visit again"/>
    <x v="1"/>
    <n v="66"/>
    <d v="2024-11-05T00:00:00"/>
    <x v="2"/>
    <x v="8"/>
    <x v="1"/>
  </r>
  <r>
    <n v="94"/>
    <n v="32642"/>
    <s v="Stephanie Chaney"/>
    <x v="4"/>
    <x v="0"/>
    <x v="84"/>
    <d v="2024-06-01T00:00:00"/>
    <n v="13"/>
    <x v="0"/>
    <x v="1"/>
    <n v="3"/>
    <n v="4"/>
    <n v="2"/>
    <n v="1"/>
    <n v="2"/>
    <x v="4"/>
    <n v="3"/>
    <n v="1"/>
    <n v="4"/>
    <n v="1"/>
    <x v="0"/>
    <s v="Email"/>
    <s v="Great stay"/>
    <x v="2"/>
    <n v="55"/>
    <d v="2024-06-01T00:00:00"/>
    <x v="2"/>
    <x v="19"/>
    <x v="1"/>
  </r>
  <r>
    <n v="95"/>
    <n v="80083"/>
    <s v="Debra Wu"/>
    <x v="3"/>
    <x v="1"/>
    <x v="85"/>
    <d v="2024-05-21T00:00:00"/>
    <n v="11"/>
    <x v="3"/>
    <x v="3"/>
    <n v="3"/>
    <n v="3"/>
    <n v="3"/>
    <n v="2"/>
    <n v="4"/>
    <x v="4"/>
    <n v="3"/>
    <n v="3"/>
    <n v="1"/>
    <n v="5"/>
    <x v="1"/>
    <s v="Email"/>
    <s v="Needs improvement"/>
    <x v="2"/>
    <n v="22"/>
    <d v="2024-05-21T00:00:00"/>
    <x v="0"/>
    <x v="3"/>
    <x v="1"/>
  </r>
  <r>
    <n v="96"/>
    <n v="39371"/>
    <s v="Travis Morris"/>
    <x v="0"/>
    <x v="2"/>
    <x v="86"/>
    <d v="2024-11-26T00:00:00"/>
    <n v="14"/>
    <x v="2"/>
    <x v="3"/>
    <n v="5"/>
    <n v="5"/>
    <n v="4"/>
    <n v="4"/>
    <n v="3"/>
    <x v="1"/>
    <n v="2"/>
    <n v="2"/>
    <n v="4"/>
    <n v="2"/>
    <x v="0"/>
    <s v="Feedback Form"/>
    <s v="Great stay"/>
    <x v="2"/>
    <n v="23"/>
    <d v="2024-11-26T00:00:00"/>
    <x v="0"/>
    <x v="11"/>
    <x v="0"/>
  </r>
  <r>
    <n v="97"/>
    <n v="95639"/>
    <s v="Nicholas Forbes"/>
    <x v="0"/>
    <x v="4"/>
    <x v="87"/>
    <d v="2023-03-15T00:00:00"/>
    <n v="10"/>
    <x v="2"/>
    <x v="1"/>
    <n v="4"/>
    <n v="1"/>
    <n v="1"/>
    <n v="3"/>
    <n v="5"/>
    <x v="3"/>
    <n v="3"/>
    <n v="5"/>
    <n v="4"/>
    <n v="5"/>
    <x v="0"/>
    <s v="App Review"/>
    <s v="Average"/>
    <x v="0"/>
    <n v="43"/>
    <d v="2023-08-11T00:00:00"/>
    <x v="1"/>
    <x v="18"/>
    <x v="0"/>
  </r>
  <r>
    <n v="98"/>
    <n v="87401"/>
    <s v="Brittany Davis"/>
    <x v="1"/>
    <x v="3"/>
    <x v="26"/>
    <d v="2023-05-26T00:00:00"/>
    <n v="5"/>
    <x v="3"/>
    <x v="2"/>
    <n v="5"/>
    <n v="2"/>
    <n v="4"/>
    <n v="4"/>
    <n v="4"/>
    <x v="3"/>
    <n v="2"/>
    <n v="1"/>
    <n v="3"/>
    <n v="1"/>
    <x v="0"/>
    <s v="App Review"/>
    <s v="Average"/>
    <x v="0"/>
    <n v="18"/>
    <d v="2023-12-16T00:00:00"/>
    <x v="0"/>
    <x v="2"/>
    <x v="0"/>
  </r>
  <r>
    <n v="99"/>
    <n v="75244"/>
    <s v="Katelyn English MD"/>
    <x v="2"/>
    <x v="1"/>
    <x v="88"/>
    <d v="2024-10-26T00:00:00"/>
    <n v="1"/>
    <x v="1"/>
    <x v="3"/>
    <n v="2"/>
    <n v="1"/>
    <n v="3"/>
    <n v="4"/>
    <n v="3"/>
    <x v="1"/>
    <n v="3"/>
    <n v="2"/>
    <n v="4"/>
    <n v="1"/>
    <x v="1"/>
    <s v="Email"/>
    <s v="Average"/>
    <x v="2"/>
    <n v="67"/>
    <d v="2024-10-26T00:00:00"/>
    <x v="2"/>
    <x v="3"/>
    <x v="1"/>
  </r>
  <r>
    <n v="100"/>
    <n v="85279"/>
    <s v="Amanda Pollard"/>
    <x v="4"/>
    <x v="2"/>
    <x v="89"/>
    <d v="2023-07-10T00:00:00"/>
    <n v="9"/>
    <x v="1"/>
    <x v="1"/>
    <n v="2"/>
    <n v="2"/>
    <n v="1"/>
    <n v="3"/>
    <n v="1"/>
    <x v="0"/>
    <n v="2"/>
    <n v="5"/>
    <n v="1"/>
    <n v="5"/>
    <x v="0"/>
    <s v="App Review"/>
    <s v="Average"/>
    <x v="2"/>
    <n v="32"/>
    <d v="2023-07-10T00:00:00"/>
    <x v="3"/>
    <x v="14"/>
    <x v="1"/>
  </r>
  <r>
    <n v="101"/>
    <n v="44450"/>
    <s v="Donna Farley"/>
    <x v="3"/>
    <x v="4"/>
    <x v="86"/>
    <d v="2024-11-26T00:00:00"/>
    <n v="3"/>
    <x v="0"/>
    <x v="1"/>
    <n v="1"/>
    <n v="3"/>
    <n v="5"/>
    <n v="3"/>
    <n v="4"/>
    <x v="2"/>
    <n v="5"/>
    <n v="5"/>
    <n v="4"/>
    <n v="2"/>
    <x v="0"/>
    <s v="In-person"/>
    <s v="Average"/>
    <x v="0"/>
    <n v="33"/>
    <d v="2024-11-26T00:00:00"/>
    <x v="3"/>
    <x v="13"/>
    <x v="0"/>
  </r>
  <r>
    <n v="102"/>
    <n v="92304"/>
    <s v="Kristin Foley"/>
    <x v="1"/>
    <x v="3"/>
    <x v="90"/>
    <d v="2024-09-26T00:00:00"/>
    <n v="1"/>
    <x v="0"/>
    <x v="2"/>
    <n v="4"/>
    <n v="4"/>
    <n v="4"/>
    <n v="2"/>
    <n v="3"/>
    <x v="3"/>
    <n v="4"/>
    <n v="1"/>
    <n v="2"/>
    <n v="3"/>
    <x v="1"/>
    <s v="Email"/>
    <s v="Poor service"/>
    <x v="2"/>
    <n v="40"/>
    <d v="2024-09-26T00:00:00"/>
    <x v="1"/>
    <x v="0"/>
    <x v="0"/>
  </r>
  <r>
    <n v="103"/>
    <n v="96628"/>
    <s v="Gabriel Cooper"/>
    <x v="2"/>
    <x v="2"/>
    <x v="59"/>
    <d v="2023-09-19T00:00:00"/>
    <n v="5"/>
    <x v="1"/>
    <x v="1"/>
    <n v="1"/>
    <n v="1"/>
    <n v="5"/>
    <n v="5"/>
    <n v="2"/>
    <x v="1"/>
    <n v="3"/>
    <n v="3"/>
    <n v="1"/>
    <n v="5"/>
    <x v="1"/>
    <s v="Email"/>
    <s v="Great stay"/>
    <x v="0"/>
    <n v="58"/>
    <d v="2023-11-01T00:00:00"/>
    <x v="2"/>
    <x v="0"/>
    <x v="0"/>
  </r>
  <r>
    <n v="104"/>
    <n v="85994"/>
    <s v="Christopher Gross"/>
    <x v="1"/>
    <x v="1"/>
    <x v="91"/>
    <d v="2024-12-11T00:00:00"/>
    <n v="10"/>
    <x v="3"/>
    <x v="4"/>
    <n v="1"/>
    <n v="3"/>
    <n v="1"/>
    <n v="4"/>
    <n v="5"/>
    <x v="3"/>
    <n v="1"/>
    <n v="2"/>
    <n v="2"/>
    <n v="3"/>
    <x v="1"/>
    <s v="Online Survey"/>
    <s v="Great stay"/>
    <x v="0"/>
    <n v="39"/>
    <d v="2024-12-11T00:00:00"/>
    <x v="1"/>
    <x v="7"/>
    <x v="1"/>
  </r>
  <r>
    <n v="105"/>
    <n v="33407"/>
    <s v="Shaun Wilson"/>
    <x v="1"/>
    <x v="3"/>
    <x v="92"/>
    <d v="2024-08-14T00:00:00"/>
    <n v="3"/>
    <x v="2"/>
    <x v="0"/>
    <n v="2"/>
    <n v="3"/>
    <n v="3"/>
    <n v="4"/>
    <n v="5"/>
    <x v="3"/>
    <n v="2"/>
    <n v="4"/>
    <n v="2"/>
    <n v="2"/>
    <x v="0"/>
    <s v="In-person"/>
    <s v="Great stay"/>
    <x v="2"/>
    <n v="22"/>
    <d v="2024-08-14T00:00:00"/>
    <x v="0"/>
    <x v="0"/>
    <x v="0"/>
  </r>
  <r>
    <n v="106"/>
    <n v="80188"/>
    <s v="Michelle Bell"/>
    <x v="0"/>
    <x v="3"/>
    <x v="93"/>
    <d v="2023-01-17T00:00:00"/>
    <n v="6"/>
    <x v="2"/>
    <x v="3"/>
    <n v="2"/>
    <n v="5"/>
    <n v="5"/>
    <n v="4"/>
    <n v="5"/>
    <x v="3"/>
    <n v="2"/>
    <n v="3"/>
    <n v="5"/>
    <n v="4"/>
    <x v="0"/>
    <s v="App Review"/>
    <s v="Great stay"/>
    <x v="2"/>
    <n v="60"/>
    <d v="2023-09-03T00:00:00"/>
    <x v="2"/>
    <x v="20"/>
    <x v="0"/>
  </r>
  <r>
    <n v="107"/>
    <n v="14445"/>
    <s v="David Jones IV"/>
    <x v="3"/>
    <x v="0"/>
    <x v="94"/>
    <d v="2023-05-07T00:00:00"/>
    <n v="7"/>
    <x v="0"/>
    <x v="2"/>
    <n v="4"/>
    <n v="3"/>
    <n v="5"/>
    <n v="4"/>
    <n v="3"/>
    <x v="0"/>
    <n v="2"/>
    <n v="4"/>
    <n v="5"/>
    <n v="5"/>
    <x v="1"/>
    <s v="App Review"/>
    <s v="Will visit again"/>
    <x v="0"/>
    <n v="22"/>
    <d v="2023-07-02T00:00:00"/>
    <x v="0"/>
    <x v="21"/>
    <x v="0"/>
  </r>
  <r>
    <n v="108"/>
    <n v="92309"/>
    <s v="Bonnie Kramer"/>
    <x v="3"/>
    <x v="0"/>
    <x v="95"/>
    <d v="2024-08-22T00:00:00"/>
    <n v="11"/>
    <x v="0"/>
    <x v="2"/>
    <n v="2"/>
    <n v="5"/>
    <n v="2"/>
    <n v="2"/>
    <n v="3"/>
    <x v="1"/>
    <n v="3"/>
    <n v="2"/>
    <n v="2"/>
    <n v="1"/>
    <x v="1"/>
    <s v="Online Survey"/>
    <s v="Average"/>
    <x v="2"/>
    <n v="23"/>
    <d v="2024-08-22T00:00:00"/>
    <x v="0"/>
    <x v="5"/>
    <x v="1"/>
  </r>
  <r>
    <n v="109"/>
    <n v="41096"/>
    <s v="Andrea Klein"/>
    <x v="3"/>
    <x v="3"/>
    <x v="45"/>
    <d v="2024-04-11T00:00:00"/>
    <n v="4"/>
    <x v="2"/>
    <x v="0"/>
    <n v="4"/>
    <n v="3"/>
    <n v="1"/>
    <n v="4"/>
    <n v="1"/>
    <x v="3"/>
    <n v="4"/>
    <n v="4"/>
    <n v="4"/>
    <n v="4"/>
    <x v="1"/>
    <s v="In-person"/>
    <s v="Poor service"/>
    <x v="1"/>
    <n v="19"/>
    <d v="2024-09-21T00:00:00"/>
    <x v="0"/>
    <x v="1"/>
    <x v="0"/>
  </r>
  <r>
    <n v="110"/>
    <n v="11142"/>
    <s v="Monica Maldonado"/>
    <x v="3"/>
    <x v="2"/>
    <x v="96"/>
    <d v="2024-07-03T00:00:00"/>
    <n v="4"/>
    <x v="1"/>
    <x v="4"/>
    <n v="5"/>
    <n v="4"/>
    <n v="3"/>
    <n v="3"/>
    <n v="5"/>
    <x v="3"/>
    <n v="1"/>
    <n v="4"/>
    <n v="2"/>
    <n v="2"/>
    <x v="0"/>
    <s v="Feedback Form"/>
    <s v="Will visit again"/>
    <x v="0"/>
    <n v="27"/>
    <d v="2024-07-03T00:00:00"/>
    <x v="3"/>
    <x v="1"/>
    <x v="0"/>
  </r>
  <r>
    <n v="111"/>
    <n v="59897"/>
    <s v="Shannon Robinson"/>
    <x v="4"/>
    <x v="1"/>
    <x v="97"/>
    <d v="2023-12-18T00:00:00"/>
    <n v="2"/>
    <x v="0"/>
    <x v="0"/>
    <n v="3"/>
    <n v="3"/>
    <n v="2"/>
    <n v="3"/>
    <n v="2"/>
    <x v="1"/>
    <n v="2"/>
    <n v="1"/>
    <n v="2"/>
    <n v="1"/>
    <x v="1"/>
    <s v="Feedback Form"/>
    <s v="Great stay"/>
    <x v="0"/>
    <n v="53"/>
    <d v="2024-05-29T00:00:00"/>
    <x v="2"/>
    <x v="8"/>
    <x v="1"/>
  </r>
  <r>
    <n v="112"/>
    <n v="75485"/>
    <s v="Samuel White"/>
    <x v="4"/>
    <x v="4"/>
    <x v="98"/>
    <d v="2024-11-18T00:00:00"/>
    <n v="2"/>
    <x v="2"/>
    <x v="1"/>
    <n v="5"/>
    <n v="4"/>
    <n v="4"/>
    <n v="1"/>
    <n v="5"/>
    <x v="4"/>
    <n v="2"/>
    <n v="1"/>
    <n v="5"/>
    <n v="5"/>
    <x v="1"/>
    <s v="In-person"/>
    <s v="Great stay"/>
    <x v="1"/>
    <n v="63"/>
    <d v="2024-11-18T00:00:00"/>
    <x v="2"/>
    <x v="1"/>
    <x v="0"/>
  </r>
  <r>
    <n v="113"/>
    <n v="98071"/>
    <s v="Erica Curry"/>
    <x v="3"/>
    <x v="0"/>
    <x v="99"/>
    <d v="2023-07-29T00:00:00"/>
    <n v="7"/>
    <x v="0"/>
    <x v="2"/>
    <n v="2"/>
    <n v="2"/>
    <n v="3"/>
    <n v="2"/>
    <n v="4"/>
    <x v="0"/>
    <n v="2"/>
    <n v="1"/>
    <n v="3"/>
    <n v="2"/>
    <x v="0"/>
    <s v="App Review"/>
    <s v="Poor service"/>
    <x v="1"/>
    <n v="52"/>
    <d v="2023-08-12T00:00:00"/>
    <x v="2"/>
    <x v="8"/>
    <x v="1"/>
  </r>
  <r>
    <n v="114"/>
    <n v="77266"/>
    <s v="Thomas Walker"/>
    <x v="2"/>
    <x v="1"/>
    <x v="100"/>
    <d v="2024-05-16T00:00:00"/>
    <n v="11"/>
    <x v="1"/>
    <x v="1"/>
    <n v="3"/>
    <n v="3"/>
    <n v="2"/>
    <n v="1"/>
    <n v="4"/>
    <x v="0"/>
    <n v="2"/>
    <n v="4"/>
    <n v="3"/>
    <n v="5"/>
    <x v="0"/>
    <s v="Feedback Form"/>
    <s v="Great stay"/>
    <x v="1"/>
    <n v="62"/>
    <d v="2024-05-16T00:00:00"/>
    <x v="2"/>
    <x v="2"/>
    <x v="0"/>
  </r>
  <r>
    <n v="115"/>
    <n v="73202"/>
    <s v="Stacey Garner"/>
    <x v="4"/>
    <x v="3"/>
    <x v="101"/>
    <d v="2024-06-20T00:00:00"/>
    <n v="5"/>
    <x v="3"/>
    <x v="2"/>
    <n v="3"/>
    <n v="3"/>
    <n v="4"/>
    <n v="4"/>
    <n v="2"/>
    <x v="2"/>
    <n v="1"/>
    <n v="4"/>
    <n v="3"/>
    <n v="4"/>
    <x v="1"/>
    <s v="Feedback Form"/>
    <s v="Great stay"/>
    <x v="2"/>
    <n v="40"/>
    <d v="2024-08-06T00:00:00"/>
    <x v="1"/>
    <x v="2"/>
    <x v="0"/>
  </r>
  <r>
    <n v="116"/>
    <n v="71466"/>
    <s v="John Kennedy"/>
    <x v="4"/>
    <x v="1"/>
    <x v="40"/>
    <d v="2024-09-10T00:00:00"/>
    <n v="5"/>
    <x v="0"/>
    <x v="2"/>
    <n v="1"/>
    <n v="2"/>
    <n v="3"/>
    <n v="2"/>
    <n v="3"/>
    <x v="2"/>
    <n v="2"/>
    <n v="5"/>
    <n v="2"/>
    <n v="5"/>
    <x v="1"/>
    <s v="App Review"/>
    <s v="Great stay"/>
    <x v="1"/>
    <n v="64"/>
    <d v="2024-09-10T00:00:00"/>
    <x v="2"/>
    <x v="5"/>
    <x v="1"/>
  </r>
  <r>
    <n v="117"/>
    <n v="96305"/>
    <s v="Alyssa Ruiz"/>
    <x v="2"/>
    <x v="1"/>
    <x v="102"/>
    <d v="2023-11-02T00:00:00"/>
    <n v="12"/>
    <x v="2"/>
    <x v="1"/>
    <n v="3"/>
    <n v="5"/>
    <n v="2"/>
    <n v="2"/>
    <n v="5"/>
    <x v="4"/>
    <n v="1"/>
    <n v="5"/>
    <n v="2"/>
    <n v="1"/>
    <x v="1"/>
    <s v="In-person"/>
    <s v="Great stay"/>
    <x v="1"/>
    <n v="33"/>
    <d v="2024-10-24T00:00:00"/>
    <x v="3"/>
    <x v="5"/>
    <x v="1"/>
  </r>
  <r>
    <n v="118"/>
    <n v="14123"/>
    <s v="Rita Thompson"/>
    <x v="3"/>
    <x v="1"/>
    <x v="103"/>
    <d v="2024-05-03T00:00:00"/>
    <n v="2"/>
    <x v="1"/>
    <x v="0"/>
    <n v="4"/>
    <n v="4"/>
    <n v="3"/>
    <n v="5"/>
    <n v="4"/>
    <x v="2"/>
    <n v="1"/>
    <n v="1"/>
    <n v="4"/>
    <n v="5"/>
    <x v="1"/>
    <s v="Online Survey"/>
    <s v="Will visit again"/>
    <x v="2"/>
    <n v="54"/>
    <d v="2024-12-20T00:00:00"/>
    <x v="2"/>
    <x v="1"/>
    <x v="0"/>
  </r>
  <r>
    <n v="119"/>
    <n v="78766"/>
    <s v="Thomas Clark IV"/>
    <x v="1"/>
    <x v="3"/>
    <x v="104"/>
    <d v="2024-11-12T00:00:00"/>
    <n v="7"/>
    <x v="2"/>
    <x v="3"/>
    <n v="2"/>
    <n v="2"/>
    <n v="5"/>
    <n v="5"/>
    <n v="2"/>
    <x v="3"/>
    <n v="2"/>
    <n v="5"/>
    <n v="5"/>
    <n v="4"/>
    <x v="1"/>
    <s v="In-person"/>
    <s v="Will visit again"/>
    <x v="1"/>
    <n v="59"/>
    <d v="2024-12-13T00:00:00"/>
    <x v="2"/>
    <x v="11"/>
    <x v="0"/>
  </r>
  <r>
    <n v="120"/>
    <n v="28898"/>
    <s v="Karen Williamson"/>
    <x v="4"/>
    <x v="0"/>
    <x v="105"/>
    <d v="2024-09-10T00:00:00"/>
    <n v="2"/>
    <x v="1"/>
    <x v="3"/>
    <n v="2"/>
    <n v="2"/>
    <n v="2"/>
    <n v="1"/>
    <n v="1"/>
    <x v="3"/>
    <n v="5"/>
    <n v="3"/>
    <n v="2"/>
    <n v="4"/>
    <x v="1"/>
    <s v="Online Survey"/>
    <s v="Will visit again"/>
    <x v="0"/>
    <n v="52"/>
    <d v="2024-09-10T00:00:00"/>
    <x v="2"/>
    <x v="7"/>
    <x v="1"/>
  </r>
  <r>
    <n v="121"/>
    <n v="51067"/>
    <s v="Amber Jackson"/>
    <x v="1"/>
    <x v="4"/>
    <x v="106"/>
    <d v="2024-11-01T00:00:00"/>
    <n v="13"/>
    <x v="3"/>
    <x v="0"/>
    <n v="1"/>
    <n v="1"/>
    <n v="5"/>
    <n v="1"/>
    <n v="4"/>
    <x v="2"/>
    <n v="1"/>
    <n v="5"/>
    <n v="1"/>
    <n v="1"/>
    <x v="1"/>
    <s v="In-person"/>
    <s v="Great stay"/>
    <x v="1"/>
    <n v="65"/>
    <d v="2024-11-01T00:00:00"/>
    <x v="2"/>
    <x v="19"/>
    <x v="1"/>
  </r>
  <r>
    <n v="122"/>
    <n v="55946"/>
    <s v="Keith Cohen"/>
    <x v="1"/>
    <x v="2"/>
    <x v="107"/>
    <d v="2024-04-10T00:00:00"/>
    <n v="12"/>
    <x v="3"/>
    <x v="4"/>
    <n v="1"/>
    <n v="2"/>
    <n v="2"/>
    <n v="3"/>
    <n v="4"/>
    <x v="0"/>
    <n v="5"/>
    <n v="5"/>
    <n v="1"/>
    <n v="3"/>
    <x v="0"/>
    <s v="Feedback Form"/>
    <s v="Needs improvement"/>
    <x v="1"/>
    <n v="57"/>
    <d v="2024-04-10T00:00:00"/>
    <x v="2"/>
    <x v="4"/>
    <x v="1"/>
  </r>
  <r>
    <n v="123"/>
    <n v="84504"/>
    <s v="Kelly Gill"/>
    <x v="2"/>
    <x v="0"/>
    <x v="108"/>
    <d v="2024-09-27T00:00:00"/>
    <n v="5"/>
    <x v="2"/>
    <x v="0"/>
    <n v="2"/>
    <n v="5"/>
    <n v="5"/>
    <n v="3"/>
    <n v="5"/>
    <x v="4"/>
    <n v="1"/>
    <n v="3"/>
    <n v="5"/>
    <n v="3"/>
    <x v="0"/>
    <s v="Email"/>
    <s v="Will visit again"/>
    <x v="2"/>
    <n v="33"/>
    <d v="2024-09-27T00:00:00"/>
    <x v="3"/>
    <x v="1"/>
    <x v="0"/>
  </r>
  <r>
    <n v="124"/>
    <n v="72429"/>
    <s v="Donald White"/>
    <x v="3"/>
    <x v="4"/>
    <x v="12"/>
    <d v="2023-06-25T00:00:00"/>
    <n v="5"/>
    <x v="3"/>
    <x v="0"/>
    <n v="1"/>
    <n v="5"/>
    <n v="1"/>
    <n v="3"/>
    <n v="3"/>
    <x v="3"/>
    <n v="3"/>
    <n v="3"/>
    <n v="1"/>
    <n v="5"/>
    <x v="1"/>
    <s v="Email"/>
    <s v="Average"/>
    <x v="2"/>
    <n v="22"/>
    <d v="2023-11-16T00:00:00"/>
    <x v="0"/>
    <x v="4"/>
    <x v="1"/>
  </r>
  <r>
    <n v="125"/>
    <n v="17992"/>
    <s v="Valerie Cherry"/>
    <x v="1"/>
    <x v="3"/>
    <x v="109"/>
    <d v="2024-11-07T00:00:00"/>
    <n v="3"/>
    <x v="0"/>
    <x v="0"/>
    <n v="3"/>
    <n v="5"/>
    <n v="5"/>
    <n v="2"/>
    <n v="4"/>
    <x v="4"/>
    <n v="2"/>
    <n v="2"/>
    <n v="1"/>
    <n v="4"/>
    <x v="1"/>
    <s v="App Review"/>
    <s v="Average"/>
    <x v="1"/>
    <n v="28"/>
    <d v="2024-11-07T00:00:00"/>
    <x v="3"/>
    <x v="4"/>
    <x v="1"/>
  </r>
  <r>
    <n v="126"/>
    <n v="65173"/>
    <s v="Rebecca Lawrence"/>
    <x v="3"/>
    <x v="4"/>
    <x v="104"/>
    <d v="2023-05-06T00:00:00"/>
    <n v="2"/>
    <x v="1"/>
    <x v="3"/>
    <n v="3"/>
    <n v="4"/>
    <n v="1"/>
    <n v="4"/>
    <n v="4"/>
    <x v="2"/>
    <n v="3"/>
    <n v="4"/>
    <n v="5"/>
    <n v="2"/>
    <x v="0"/>
    <s v="In-person"/>
    <s v="Needs improvement"/>
    <x v="1"/>
    <n v="68"/>
    <d v="2023-05-06T00:00:00"/>
    <x v="2"/>
    <x v="10"/>
    <x v="0"/>
  </r>
  <r>
    <n v="127"/>
    <n v="20125"/>
    <s v="Tracey Gonzalez"/>
    <x v="0"/>
    <x v="3"/>
    <x v="110"/>
    <d v="2023-12-15T00:00:00"/>
    <n v="3"/>
    <x v="1"/>
    <x v="2"/>
    <n v="4"/>
    <n v="4"/>
    <n v="3"/>
    <n v="1"/>
    <n v="5"/>
    <x v="1"/>
    <n v="1"/>
    <n v="4"/>
    <n v="2"/>
    <n v="2"/>
    <x v="1"/>
    <s v="In-person"/>
    <s v="Poor service"/>
    <x v="0"/>
    <n v="46"/>
    <d v="2024-09-08T00:00:00"/>
    <x v="1"/>
    <x v="0"/>
    <x v="0"/>
  </r>
  <r>
    <n v="128"/>
    <n v="32430"/>
    <s v="Alex Moreno"/>
    <x v="3"/>
    <x v="4"/>
    <x v="111"/>
    <d v="2024-01-03T00:00:00"/>
    <n v="11"/>
    <x v="1"/>
    <x v="4"/>
    <n v="1"/>
    <n v="3"/>
    <n v="4"/>
    <n v="3"/>
    <n v="3"/>
    <x v="4"/>
    <n v="3"/>
    <n v="1"/>
    <n v="2"/>
    <n v="4"/>
    <x v="0"/>
    <s v="App Review"/>
    <s v="Average"/>
    <x v="2"/>
    <n v="65"/>
    <d v="2024-01-03T00:00:00"/>
    <x v="2"/>
    <x v="14"/>
    <x v="1"/>
  </r>
  <r>
    <n v="129"/>
    <n v="84165"/>
    <s v="Kenneth Rodriguez DDS"/>
    <x v="2"/>
    <x v="0"/>
    <x v="112"/>
    <d v="2024-06-19T00:00:00"/>
    <n v="5"/>
    <x v="3"/>
    <x v="4"/>
    <n v="2"/>
    <n v="2"/>
    <n v="4"/>
    <n v="2"/>
    <n v="1"/>
    <x v="4"/>
    <n v="2"/>
    <n v="2"/>
    <n v="4"/>
    <n v="2"/>
    <x v="0"/>
    <s v="App Review"/>
    <s v="Poor service"/>
    <x v="0"/>
    <n v="63"/>
    <d v="2024-06-19T00:00:00"/>
    <x v="2"/>
    <x v="19"/>
    <x v="1"/>
  </r>
  <r>
    <n v="130"/>
    <n v="19226"/>
    <s v="Jacob Marquez"/>
    <x v="2"/>
    <x v="3"/>
    <x v="113"/>
    <d v="2024-02-20T00:00:00"/>
    <n v="12"/>
    <x v="3"/>
    <x v="4"/>
    <n v="5"/>
    <n v="5"/>
    <n v="4"/>
    <n v="5"/>
    <n v="1"/>
    <x v="2"/>
    <n v="2"/>
    <n v="2"/>
    <n v="2"/>
    <n v="1"/>
    <x v="1"/>
    <s v="Online Survey"/>
    <s v="Average"/>
    <x v="0"/>
    <n v="28"/>
    <d v="2024-02-20T00:00:00"/>
    <x v="3"/>
    <x v="4"/>
    <x v="1"/>
  </r>
  <r>
    <n v="131"/>
    <n v="27220"/>
    <s v="Lawrence Lee"/>
    <x v="0"/>
    <x v="1"/>
    <x v="114"/>
    <d v="2024-07-28T00:00:00"/>
    <n v="13"/>
    <x v="0"/>
    <x v="1"/>
    <n v="2"/>
    <n v="2"/>
    <n v="1"/>
    <n v="4"/>
    <n v="1"/>
    <x v="2"/>
    <n v="1"/>
    <n v="2"/>
    <n v="1"/>
    <n v="5"/>
    <x v="1"/>
    <s v="Online Survey"/>
    <s v="Needs improvement"/>
    <x v="1"/>
    <n v="63"/>
    <d v="2024-07-28T00:00:00"/>
    <x v="2"/>
    <x v="17"/>
    <x v="1"/>
  </r>
  <r>
    <n v="132"/>
    <n v="14702"/>
    <s v="Jason Arias"/>
    <x v="2"/>
    <x v="3"/>
    <x v="115"/>
    <d v="2024-12-25T00:00:00"/>
    <n v="6"/>
    <x v="3"/>
    <x v="0"/>
    <n v="5"/>
    <n v="3"/>
    <n v="4"/>
    <n v="5"/>
    <n v="1"/>
    <x v="3"/>
    <n v="1"/>
    <n v="2"/>
    <n v="1"/>
    <n v="4"/>
    <x v="1"/>
    <s v="Email"/>
    <s v="Will visit again"/>
    <x v="1"/>
    <n v="33"/>
    <d v="2024-12-25T00:00:00"/>
    <x v="3"/>
    <x v="2"/>
    <x v="0"/>
  </r>
  <r>
    <n v="133"/>
    <n v="10641"/>
    <s v="Sandra Carter"/>
    <x v="3"/>
    <x v="3"/>
    <x v="116"/>
    <d v="2024-07-27T00:00:00"/>
    <n v="4"/>
    <x v="1"/>
    <x v="2"/>
    <n v="5"/>
    <n v="3"/>
    <n v="4"/>
    <n v="5"/>
    <n v="3"/>
    <x v="1"/>
    <n v="5"/>
    <n v="5"/>
    <n v="4"/>
    <n v="5"/>
    <x v="0"/>
    <s v="Feedback Form"/>
    <s v="Poor service"/>
    <x v="1"/>
    <n v="42"/>
    <d v="2024-07-27T00:00:00"/>
    <x v="1"/>
    <x v="22"/>
    <x v="2"/>
  </r>
  <r>
    <n v="134"/>
    <n v="45942"/>
    <s v="Kevin Yates"/>
    <x v="3"/>
    <x v="4"/>
    <x v="117"/>
    <d v="2024-08-31T00:00:00"/>
    <n v="7"/>
    <x v="0"/>
    <x v="2"/>
    <n v="4"/>
    <n v="5"/>
    <n v="5"/>
    <n v="4"/>
    <n v="1"/>
    <x v="1"/>
    <n v="4"/>
    <n v="2"/>
    <n v="5"/>
    <n v="1"/>
    <x v="1"/>
    <s v="In-person"/>
    <s v="Poor service"/>
    <x v="0"/>
    <n v="67"/>
    <d v="2024-08-31T00:00:00"/>
    <x v="2"/>
    <x v="11"/>
    <x v="0"/>
  </r>
  <r>
    <n v="135"/>
    <n v="93728"/>
    <s v="Carly Chapman"/>
    <x v="3"/>
    <x v="3"/>
    <x v="17"/>
    <d v="2024-12-22T00:00:00"/>
    <n v="2"/>
    <x v="0"/>
    <x v="1"/>
    <n v="5"/>
    <n v="2"/>
    <n v="4"/>
    <n v="2"/>
    <n v="5"/>
    <x v="4"/>
    <n v="3"/>
    <n v="1"/>
    <n v="1"/>
    <n v="2"/>
    <x v="1"/>
    <s v="Email"/>
    <s v="Needs improvement"/>
    <x v="0"/>
    <n v="20"/>
    <d v="2024-12-22T00:00:00"/>
    <x v="0"/>
    <x v="7"/>
    <x v="1"/>
  </r>
  <r>
    <n v="136"/>
    <n v="65405"/>
    <s v="Amy Grant"/>
    <x v="2"/>
    <x v="4"/>
    <x v="118"/>
    <d v="2024-07-23T00:00:00"/>
    <n v="14"/>
    <x v="1"/>
    <x v="3"/>
    <n v="3"/>
    <n v="3"/>
    <n v="1"/>
    <n v="5"/>
    <n v="5"/>
    <x v="1"/>
    <n v="5"/>
    <n v="4"/>
    <n v="2"/>
    <n v="4"/>
    <x v="1"/>
    <s v="Email"/>
    <s v="Poor service"/>
    <x v="2"/>
    <n v="20"/>
    <d v="2024-10-04T00:00:00"/>
    <x v="0"/>
    <x v="16"/>
    <x v="0"/>
  </r>
  <r>
    <n v="137"/>
    <n v="13875"/>
    <s v="Sean Mendoza"/>
    <x v="3"/>
    <x v="0"/>
    <x v="119"/>
    <d v="2024-04-29T00:00:00"/>
    <n v="6"/>
    <x v="2"/>
    <x v="1"/>
    <n v="3"/>
    <n v="1"/>
    <n v="5"/>
    <n v="2"/>
    <n v="5"/>
    <x v="2"/>
    <n v="3"/>
    <n v="2"/>
    <n v="2"/>
    <n v="1"/>
    <x v="0"/>
    <s v="Feedback Form"/>
    <s v="Average"/>
    <x v="2"/>
    <n v="18"/>
    <d v="2024-04-29T00:00:00"/>
    <x v="0"/>
    <x v="7"/>
    <x v="1"/>
  </r>
  <r>
    <n v="138"/>
    <n v="51602"/>
    <s v="Stephen Thompson"/>
    <x v="4"/>
    <x v="3"/>
    <x v="120"/>
    <d v="2023-12-25T00:00:00"/>
    <n v="14"/>
    <x v="3"/>
    <x v="1"/>
    <n v="4"/>
    <n v="4"/>
    <n v="1"/>
    <n v="5"/>
    <n v="1"/>
    <x v="2"/>
    <n v="2"/>
    <n v="4"/>
    <n v="2"/>
    <n v="1"/>
    <x v="0"/>
    <s v="Email"/>
    <s v="Will visit again"/>
    <x v="2"/>
    <n v="29"/>
    <d v="2024-07-17T00:00:00"/>
    <x v="3"/>
    <x v="7"/>
    <x v="1"/>
  </r>
  <r>
    <n v="139"/>
    <n v="84430"/>
    <s v="William Miller"/>
    <x v="0"/>
    <x v="1"/>
    <x v="121"/>
    <d v="2023-11-23T00:00:00"/>
    <n v="9"/>
    <x v="3"/>
    <x v="0"/>
    <n v="2"/>
    <n v="2"/>
    <n v="2"/>
    <n v="3"/>
    <n v="5"/>
    <x v="2"/>
    <n v="1"/>
    <n v="3"/>
    <n v="1"/>
    <n v="5"/>
    <x v="0"/>
    <s v="Email"/>
    <s v="Great stay"/>
    <x v="2"/>
    <n v="24"/>
    <d v="2024-01-08T00:00:00"/>
    <x v="0"/>
    <x v="7"/>
    <x v="1"/>
  </r>
  <r>
    <n v="140"/>
    <n v="75322"/>
    <s v="Christy Kent"/>
    <x v="4"/>
    <x v="1"/>
    <x v="122"/>
    <d v="2024-01-24T00:00:00"/>
    <n v="10"/>
    <x v="1"/>
    <x v="3"/>
    <n v="2"/>
    <n v="5"/>
    <n v="4"/>
    <n v="4"/>
    <n v="5"/>
    <x v="4"/>
    <n v="3"/>
    <n v="1"/>
    <n v="3"/>
    <n v="4"/>
    <x v="0"/>
    <s v="Feedback Form"/>
    <s v="Needs improvement"/>
    <x v="2"/>
    <n v="60"/>
    <d v="2024-01-24T00:00:00"/>
    <x v="2"/>
    <x v="10"/>
    <x v="0"/>
  </r>
  <r>
    <n v="141"/>
    <n v="78384"/>
    <s v="David Hanson"/>
    <x v="3"/>
    <x v="0"/>
    <x v="123"/>
    <d v="2023-10-21T00:00:00"/>
    <n v="5"/>
    <x v="2"/>
    <x v="1"/>
    <n v="2"/>
    <n v="3"/>
    <n v="1"/>
    <n v="1"/>
    <n v="2"/>
    <x v="0"/>
    <n v="4"/>
    <n v="3"/>
    <n v="1"/>
    <n v="5"/>
    <x v="1"/>
    <s v="Email"/>
    <s v="Poor service"/>
    <x v="2"/>
    <n v="62"/>
    <d v="2023-11-04T00:00:00"/>
    <x v="2"/>
    <x v="14"/>
    <x v="1"/>
  </r>
  <r>
    <n v="142"/>
    <n v="26077"/>
    <s v="Lisa Vasquez"/>
    <x v="2"/>
    <x v="1"/>
    <x v="124"/>
    <d v="2024-01-02T00:00:00"/>
    <n v="4"/>
    <x v="3"/>
    <x v="2"/>
    <n v="2"/>
    <n v="3"/>
    <n v="1"/>
    <n v="4"/>
    <n v="1"/>
    <x v="2"/>
    <n v="2"/>
    <n v="2"/>
    <n v="1"/>
    <n v="5"/>
    <x v="1"/>
    <s v="In-person"/>
    <s v="Poor service"/>
    <x v="0"/>
    <n v="63"/>
    <d v="2024-02-24T00:00:00"/>
    <x v="2"/>
    <x v="9"/>
    <x v="1"/>
  </r>
  <r>
    <n v="143"/>
    <n v="13612"/>
    <s v="Connie Rojas"/>
    <x v="0"/>
    <x v="4"/>
    <x v="125"/>
    <d v="2023-11-28T00:00:00"/>
    <n v="14"/>
    <x v="2"/>
    <x v="0"/>
    <n v="3"/>
    <n v="3"/>
    <n v="5"/>
    <n v="5"/>
    <n v="5"/>
    <x v="1"/>
    <n v="2"/>
    <n v="5"/>
    <n v="3"/>
    <n v="1"/>
    <x v="0"/>
    <s v="App Review"/>
    <s v="Poor service"/>
    <x v="1"/>
    <n v="49"/>
    <d v="2023-11-28T00:00:00"/>
    <x v="1"/>
    <x v="16"/>
    <x v="0"/>
  </r>
  <r>
    <n v="144"/>
    <n v="82598"/>
    <s v="Jordan Mullen"/>
    <x v="4"/>
    <x v="3"/>
    <x v="126"/>
    <d v="2024-06-13T00:00:00"/>
    <n v="9"/>
    <x v="1"/>
    <x v="3"/>
    <n v="3"/>
    <n v="4"/>
    <n v="2"/>
    <n v="5"/>
    <n v="3"/>
    <x v="1"/>
    <n v="5"/>
    <n v="5"/>
    <n v="3"/>
    <n v="5"/>
    <x v="1"/>
    <s v="Feedback Form"/>
    <s v="Poor service"/>
    <x v="2"/>
    <n v="39"/>
    <d v="2024-06-13T00:00:00"/>
    <x v="1"/>
    <x v="12"/>
    <x v="2"/>
  </r>
  <r>
    <n v="145"/>
    <n v="68192"/>
    <s v="Cory Mcclure"/>
    <x v="3"/>
    <x v="2"/>
    <x v="127"/>
    <d v="2023-08-27T00:00:00"/>
    <n v="6"/>
    <x v="1"/>
    <x v="2"/>
    <n v="4"/>
    <n v="2"/>
    <n v="2"/>
    <n v="3"/>
    <n v="5"/>
    <x v="2"/>
    <n v="4"/>
    <n v="1"/>
    <n v="2"/>
    <n v="2"/>
    <x v="1"/>
    <s v="App Review"/>
    <s v="Needs improvement"/>
    <x v="0"/>
    <n v="29"/>
    <d v="2024-12-26T00:00:00"/>
    <x v="3"/>
    <x v="5"/>
    <x v="1"/>
  </r>
  <r>
    <n v="146"/>
    <n v="98240"/>
    <s v="Robert Wilson"/>
    <x v="2"/>
    <x v="3"/>
    <x v="128"/>
    <d v="2024-02-24T00:00:00"/>
    <n v="12"/>
    <x v="2"/>
    <x v="4"/>
    <n v="4"/>
    <n v="3"/>
    <n v="4"/>
    <n v="3"/>
    <n v="2"/>
    <x v="0"/>
    <n v="2"/>
    <n v="2"/>
    <n v="2"/>
    <n v="2"/>
    <x v="0"/>
    <s v="In-person"/>
    <s v="Average"/>
    <x v="0"/>
    <n v="23"/>
    <d v="2024-02-24T00:00:00"/>
    <x v="0"/>
    <x v="5"/>
    <x v="1"/>
  </r>
  <r>
    <n v="147"/>
    <n v="76998"/>
    <s v="Alison Rogers"/>
    <x v="3"/>
    <x v="3"/>
    <x v="129"/>
    <d v="2024-06-09T00:00:00"/>
    <n v="4"/>
    <x v="1"/>
    <x v="0"/>
    <n v="4"/>
    <n v="4"/>
    <n v="3"/>
    <n v="4"/>
    <n v="3"/>
    <x v="4"/>
    <n v="4"/>
    <n v="2"/>
    <n v="2"/>
    <n v="1"/>
    <x v="0"/>
    <s v="Email"/>
    <s v="Average"/>
    <x v="1"/>
    <n v="55"/>
    <d v="2024-06-09T00:00:00"/>
    <x v="2"/>
    <x v="3"/>
    <x v="1"/>
  </r>
  <r>
    <n v="148"/>
    <n v="65114"/>
    <s v="Jonathan Gonzalez"/>
    <x v="4"/>
    <x v="2"/>
    <x v="78"/>
    <d v="2024-07-03T00:00:00"/>
    <n v="1"/>
    <x v="1"/>
    <x v="2"/>
    <n v="2"/>
    <n v="1"/>
    <n v="3"/>
    <n v="1"/>
    <n v="3"/>
    <x v="2"/>
    <n v="1"/>
    <n v="2"/>
    <n v="1"/>
    <n v="5"/>
    <x v="0"/>
    <s v="Email"/>
    <s v="Will visit again"/>
    <x v="2"/>
    <n v="56"/>
    <d v="2024-07-16T00:00:00"/>
    <x v="2"/>
    <x v="17"/>
    <x v="1"/>
  </r>
  <r>
    <n v="149"/>
    <n v="49579"/>
    <s v="Elizabeth Kelly"/>
    <x v="4"/>
    <x v="1"/>
    <x v="118"/>
    <d v="2024-07-23T00:00:00"/>
    <n v="9"/>
    <x v="0"/>
    <x v="1"/>
    <n v="2"/>
    <n v="2"/>
    <n v="5"/>
    <n v="4"/>
    <n v="4"/>
    <x v="4"/>
    <n v="4"/>
    <n v="2"/>
    <n v="5"/>
    <n v="2"/>
    <x v="0"/>
    <s v="Email"/>
    <s v="Will visit again"/>
    <x v="1"/>
    <n v="55"/>
    <d v="2024-07-23T00:00:00"/>
    <x v="2"/>
    <x v="0"/>
    <x v="0"/>
  </r>
  <r>
    <n v="150"/>
    <n v="38405"/>
    <s v="Charles Scott"/>
    <x v="0"/>
    <x v="1"/>
    <x v="14"/>
    <d v="2024-04-26T00:00:00"/>
    <n v="10"/>
    <x v="2"/>
    <x v="1"/>
    <n v="3"/>
    <n v="5"/>
    <n v="4"/>
    <n v="1"/>
    <n v="2"/>
    <x v="0"/>
    <n v="5"/>
    <n v="1"/>
    <n v="4"/>
    <n v="3"/>
    <x v="0"/>
    <s v="App Review"/>
    <s v="Great stay"/>
    <x v="1"/>
    <n v="58"/>
    <d v="2024-04-26T00:00:00"/>
    <x v="2"/>
    <x v="0"/>
    <x v="0"/>
  </r>
  <r>
    <n v="151"/>
    <n v="87510"/>
    <s v="Richard Hunter"/>
    <x v="2"/>
    <x v="3"/>
    <x v="130"/>
    <d v="2024-06-06T00:00:00"/>
    <n v="3"/>
    <x v="3"/>
    <x v="0"/>
    <n v="3"/>
    <n v="2"/>
    <n v="5"/>
    <n v="2"/>
    <n v="2"/>
    <x v="2"/>
    <n v="5"/>
    <n v="1"/>
    <n v="5"/>
    <n v="3"/>
    <x v="0"/>
    <s v="Online Survey"/>
    <s v="Average"/>
    <x v="1"/>
    <n v="38"/>
    <d v="2024-10-14T00:00:00"/>
    <x v="1"/>
    <x v="2"/>
    <x v="0"/>
  </r>
  <r>
    <n v="152"/>
    <n v="44924"/>
    <s v="Michael Moran"/>
    <x v="1"/>
    <x v="1"/>
    <x v="131"/>
    <d v="2024-04-05T00:00:00"/>
    <n v="6"/>
    <x v="3"/>
    <x v="3"/>
    <n v="1"/>
    <n v="3"/>
    <n v="4"/>
    <n v="5"/>
    <n v="5"/>
    <x v="2"/>
    <n v="3"/>
    <n v="1"/>
    <n v="3"/>
    <n v="5"/>
    <x v="0"/>
    <s v="App Review"/>
    <s v="Needs improvement"/>
    <x v="2"/>
    <n v="45"/>
    <d v="2024-04-05T00:00:00"/>
    <x v="1"/>
    <x v="10"/>
    <x v="0"/>
  </r>
  <r>
    <n v="153"/>
    <n v="12919"/>
    <s v="John Hensley"/>
    <x v="3"/>
    <x v="4"/>
    <x v="132"/>
    <d v="2024-08-16T00:00:00"/>
    <n v="1"/>
    <x v="0"/>
    <x v="1"/>
    <n v="1"/>
    <n v="5"/>
    <n v="2"/>
    <n v="2"/>
    <n v="2"/>
    <x v="2"/>
    <n v="1"/>
    <n v="5"/>
    <n v="1"/>
    <n v="1"/>
    <x v="0"/>
    <s v="Online Survey"/>
    <s v="Average"/>
    <x v="2"/>
    <n v="49"/>
    <d v="2024-08-16T00:00:00"/>
    <x v="1"/>
    <x v="19"/>
    <x v="1"/>
  </r>
  <r>
    <n v="154"/>
    <n v="97111"/>
    <s v="Casey Richardson"/>
    <x v="2"/>
    <x v="4"/>
    <x v="133"/>
    <d v="2024-10-05T00:00:00"/>
    <n v="6"/>
    <x v="1"/>
    <x v="2"/>
    <n v="2"/>
    <n v="2"/>
    <n v="3"/>
    <n v="4"/>
    <n v="3"/>
    <x v="3"/>
    <n v="1"/>
    <n v="2"/>
    <n v="1"/>
    <n v="2"/>
    <x v="1"/>
    <s v="App Review"/>
    <s v="Average"/>
    <x v="2"/>
    <n v="44"/>
    <d v="2024-10-05T00:00:00"/>
    <x v="1"/>
    <x v="8"/>
    <x v="1"/>
  </r>
  <r>
    <n v="155"/>
    <n v="82168"/>
    <s v="Amy Green"/>
    <x v="1"/>
    <x v="2"/>
    <x v="134"/>
    <d v="2024-09-24T00:00:00"/>
    <n v="3"/>
    <x v="1"/>
    <x v="4"/>
    <n v="3"/>
    <n v="5"/>
    <n v="1"/>
    <n v="1"/>
    <n v="3"/>
    <x v="2"/>
    <n v="4"/>
    <n v="3"/>
    <n v="4"/>
    <n v="4"/>
    <x v="0"/>
    <s v="In-person"/>
    <s v="Will visit again"/>
    <x v="0"/>
    <n v="66"/>
    <d v="2024-10-26T00:00:00"/>
    <x v="2"/>
    <x v="2"/>
    <x v="0"/>
  </r>
  <r>
    <n v="156"/>
    <n v="84460"/>
    <s v="Ashley Figueroa"/>
    <x v="2"/>
    <x v="3"/>
    <x v="135"/>
    <d v="2024-09-06T00:00:00"/>
    <n v="3"/>
    <x v="0"/>
    <x v="3"/>
    <n v="2"/>
    <n v="2"/>
    <n v="3"/>
    <n v="1"/>
    <n v="5"/>
    <x v="2"/>
    <n v="5"/>
    <n v="4"/>
    <n v="5"/>
    <n v="4"/>
    <x v="1"/>
    <s v="App Review"/>
    <s v="Poor service"/>
    <x v="0"/>
    <n v="66"/>
    <d v="2024-12-14T00:00:00"/>
    <x v="2"/>
    <x v="1"/>
    <x v="0"/>
  </r>
  <r>
    <n v="157"/>
    <n v="73768"/>
    <s v="Katherine Jackson"/>
    <x v="3"/>
    <x v="4"/>
    <x v="136"/>
    <d v="2024-09-25T00:00:00"/>
    <n v="11"/>
    <x v="0"/>
    <x v="0"/>
    <n v="5"/>
    <n v="1"/>
    <n v="4"/>
    <n v="2"/>
    <n v="3"/>
    <x v="0"/>
    <n v="5"/>
    <n v="1"/>
    <n v="3"/>
    <n v="2"/>
    <x v="0"/>
    <s v="App Review"/>
    <s v="Poor service"/>
    <x v="0"/>
    <n v="32"/>
    <d v="2024-09-25T00:00:00"/>
    <x v="3"/>
    <x v="4"/>
    <x v="1"/>
  </r>
  <r>
    <n v="158"/>
    <n v="53910"/>
    <s v="Tammy Cabrera"/>
    <x v="3"/>
    <x v="0"/>
    <x v="137"/>
    <d v="2024-06-23T00:00:00"/>
    <n v="7"/>
    <x v="1"/>
    <x v="1"/>
    <n v="1"/>
    <n v="1"/>
    <n v="3"/>
    <n v="3"/>
    <n v="5"/>
    <x v="0"/>
    <n v="5"/>
    <n v="1"/>
    <n v="4"/>
    <n v="5"/>
    <x v="0"/>
    <s v="Feedback Form"/>
    <s v="Average"/>
    <x v="2"/>
    <n v="50"/>
    <d v="2024-08-09T00:00:00"/>
    <x v="1"/>
    <x v="0"/>
    <x v="0"/>
  </r>
  <r>
    <n v="159"/>
    <n v="44005"/>
    <s v="Casey Taylor"/>
    <x v="0"/>
    <x v="1"/>
    <x v="11"/>
    <d v="2024-06-12T00:00:00"/>
    <n v="11"/>
    <x v="2"/>
    <x v="3"/>
    <n v="4"/>
    <n v="1"/>
    <n v="1"/>
    <n v="3"/>
    <n v="4"/>
    <x v="3"/>
    <n v="1"/>
    <n v="5"/>
    <n v="1"/>
    <n v="3"/>
    <x v="0"/>
    <s v="Email"/>
    <s v="Average"/>
    <x v="1"/>
    <n v="49"/>
    <d v="2024-08-12T00:00:00"/>
    <x v="1"/>
    <x v="5"/>
    <x v="1"/>
  </r>
  <r>
    <n v="160"/>
    <n v="93400"/>
    <s v="Rachel White"/>
    <x v="4"/>
    <x v="3"/>
    <x v="138"/>
    <d v="2024-07-27T00:00:00"/>
    <n v="9"/>
    <x v="0"/>
    <x v="4"/>
    <n v="2"/>
    <n v="2"/>
    <n v="2"/>
    <n v="2"/>
    <n v="2"/>
    <x v="2"/>
    <n v="5"/>
    <n v="5"/>
    <n v="4"/>
    <n v="3"/>
    <x v="0"/>
    <s v="Email"/>
    <s v="Average"/>
    <x v="1"/>
    <n v="63"/>
    <d v="2024-09-01T00:00:00"/>
    <x v="2"/>
    <x v="4"/>
    <x v="1"/>
  </r>
  <r>
    <n v="161"/>
    <n v="20657"/>
    <s v="Kathleen Orr"/>
    <x v="4"/>
    <x v="4"/>
    <x v="139"/>
    <d v="2024-03-28T00:00:00"/>
    <n v="6"/>
    <x v="2"/>
    <x v="3"/>
    <n v="5"/>
    <n v="5"/>
    <n v="2"/>
    <n v="3"/>
    <n v="2"/>
    <x v="1"/>
    <n v="3"/>
    <n v="4"/>
    <n v="2"/>
    <n v="2"/>
    <x v="0"/>
    <s v="Email"/>
    <s v="Average"/>
    <x v="0"/>
    <n v="51"/>
    <d v="2024-03-28T00:00:00"/>
    <x v="2"/>
    <x v="1"/>
    <x v="0"/>
  </r>
  <r>
    <n v="162"/>
    <n v="28394"/>
    <s v="John Nunez"/>
    <x v="4"/>
    <x v="2"/>
    <x v="140"/>
    <d v="2024-09-01T00:00:00"/>
    <n v="12"/>
    <x v="3"/>
    <x v="3"/>
    <n v="4"/>
    <n v="1"/>
    <n v="4"/>
    <n v="1"/>
    <n v="2"/>
    <x v="4"/>
    <n v="2"/>
    <n v="5"/>
    <n v="5"/>
    <n v="3"/>
    <x v="0"/>
    <s v="Online Survey"/>
    <s v="Will visit again"/>
    <x v="1"/>
    <n v="69"/>
    <d v="2024-09-01T00:00:00"/>
    <x v="2"/>
    <x v="3"/>
    <x v="1"/>
  </r>
  <r>
    <n v="163"/>
    <n v="82433"/>
    <s v="James Beltran"/>
    <x v="0"/>
    <x v="4"/>
    <x v="141"/>
    <d v="2024-10-23T00:00:00"/>
    <n v="14"/>
    <x v="1"/>
    <x v="0"/>
    <n v="5"/>
    <n v="4"/>
    <n v="3"/>
    <n v="4"/>
    <n v="4"/>
    <x v="2"/>
    <n v="5"/>
    <n v="1"/>
    <n v="3"/>
    <n v="2"/>
    <x v="1"/>
    <s v="In-person"/>
    <s v="Average"/>
    <x v="0"/>
    <n v="24"/>
    <d v="2024-10-23T00:00:00"/>
    <x v="0"/>
    <x v="1"/>
    <x v="0"/>
  </r>
  <r>
    <n v="164"/>
    <n v="48397"/>
    <s v="Seth Morgan"/>
    <x v="4"/>
    <x v="0"/>
    <x v="142"/>
    <d v="2023-08-16T00:00:00"/>
    <n v="14"/>
    <x v="2"/>
    <x v="4"/>
    <n v="3"/>
    <n v="4"/>
    <n v="4"/>
    <n v="3"/>
    <n v="2"/>
    <x v="3"/>
    <n v="3"/>
    <n v="2"/>
    <n v="2"/>
    <n v="1"/>
    <x v="0"/>
    <s v="Online Survey"/>
    <s v="Average"/>
    <x v="1"/>
    <n v="30"/>
    <d v="2023-12-30T00:00:00"/>
    <x v="3"/>
    <x v="3"/>
    <x v="1"/>
  </r>
  <r>
    <n v="165"/>
    <n v="33874"/>
    <s v="Arthur Richardson"/>
    <x v="2"/>
    <x v="4"/>
    <x v="143"/>
    <d v="2024-05-25T00:00:00"/>
    <n v="1"/>
    <x v="2"/>
    <x v="4"/>
    <n v="3"/>
    <n v="1"/>
    <n v="3"/>
    <n v="1"/>
    <n v="4"/>
    <x v="1"/>
    <n v="3"/>
    <n v="2"/>
    <n v="5"/>
    <n v="3"/>
    <x v="0"/>
    <s v="Feedback Form"/>
    <s v="Great stay"/>
    <x v="2"/>
    <n v="56"/>
    <d v="2024-05-25T00:00:00"/>
    <x v="2"/>
    <x v="2"/>
    <x v="0"/>
  </r>
  <r>
    <n v="166"/>
    <n v="39873"/>
    <s v="Brianna Aguirre"/>
    <x v="4"/>
    <x v="3"/>
    <x v="144"/>
    <d v="2024-10-25T00:00:00"/>
    <n v="9"/>
    <x v="1"/>
    <x v="3"/>
    <n v="3"/>
    <n v="1"/>
    <n v="5"/>
    <n v="4"/>
    <n v="4"/>
    <x v="0"/>
    <n v="2"/>
    <n v="5"/>
    <n v="2"/>
    <n v="5"/>
    <x v="1"/>
    <s v="Feedback Form"/>
    <s v="Great stay"/>
    <x v="0"/>
    <n v="67"/>
    <d v="2024-10-25T00:00:00"/>
    <x v="2"/>
    <x v="13"/>
    <x v="0"/>
  </r>
  <r>
    <n v="167"/>
    <n v="94655"/>
    <s v="Christopher Simpson"/>
    <x v="4"/>
    <x v="2"/>
    <x v="145"/>
    <d v="2024-07-09T00:00:00"/>
    <n v="13"/>
    <x v="1"/>
    <x v="1"/>
    <n v="4"/>
    <n v="3"/>
    <n v="4"/>
    <n v="1"/>
    <n v="5"/>
    <x v="4"/>
    <n v="1"/>
    <n v="4"/>
    <n v="4"/>
    <n v="3"/>
    <x v="1"/>
    <s v="App Review"/>
    <s v="Average"/>
    <x v="0"/>
    <n v="23"/>
    <d v="2024-07-09T00:00:00"/>
    <x v="0"/>
    <x v="2"/>
    <x v="0"/>
  </r>
  <r>
    <n v="168"/>
    <n v="33670"/>
    <s v="Antonio Good"/>
    <x v="3"/>
    <x v="2"/>
    <x v="146"/>
    <d v="2023-10-28T00:00:00"/>
    <n v="5"/>
    <x v="3"/>
    <x v="3"/>
    <n v="4"/>
    <n v="4"/>
    <n v="3"/>
    <n v="5"/>
    <n v="1"/>
    <x v="3"/>
    <n v="5"/>
    <n v="2"/>
    <n v="3"/>
    <n v="2"/>
    <x v="0"/>
    <s v="Feedback Form"/>
    <s v="Poor service"/>
    <x v="1"/>
    <n v="68"/>
    <d v="2024-09-03T00:00:00"/>
    <x v="2"/>
    <x v="1"/>
    <x v="0"/>
  </r>
  <r>
    <n v="169"/>
    <n v="20951"/>
    <s v="Melissa Reid"/>
    <x v="0"/>
    <x v="0"/>
    <x v="147"/>
    <d v="2024-09-22T00:00:00"/>
    <n v="2"/>
    <x v="1"/>
    <x v="2"/>
    <n v="3"/>
    <n v="4"/>
    <n v="5"/>
    <n v="4"/>
    <n v="1"/>
    <x v="0"/>
    <n v="3"/>
    <n v="1"/>
    <n v="4"/>
    <n v="4"/>
    <x v="1"/>
    <s v="Feedback Form"/>
    <s v="Needs improvement"/>
    <x v="2"/>
    <n v="26"/>
    <d v="2024-09-22T00:00:00"/>
    <x v="3"/>
    <x v="10"/>
    <x v="0"/>
  </r>
  <r>
    <n v="170"/>
    <n v="74069"/>
    <s v="Barbara Turner"/>
    <x v="0"/>
    <x v="3"/>
    <x v="148"/>
    <d v="2023-10-07T00:00:00"/>
    <n v="3"/>
    <x v="2"/>
    <x v="1"/>
    <n v="4"/>
    <n v="1"/>
    <n v="4"/>
    <n v="5"/>
    <n v="5"/>
    <x v="2"/>
    <n v="3"/>
    <n v="2"/>
    <n v="4"/>
    <n v="3"/>
    <x v="1"/>
    <s v="In-person"/>
    <s v="Great stay"/>
    <x v="2"/>
    <n v="59"/>
    <d v="2024-06-24T00:00:00"/>
    <x v="2"/>
    <x v="1"/>
    <x v="0"/>
  </r>
  <r>
    <n v="171"/>
    <n v="65352"/>
    <s v="Jeffery Brooks"/>
    <x v="4"/>
    <x v="0"/>
    <x v="149"/>
    <d v="2024-02-29T00:00:00"/>
    <n v="11"/>
    <x v="0"/>
    <x v="0"/>
    <n v="3"/>
    <n v="3"/>
    <n v="2"/>
    <n v="3"/>
    <n v="5"/>
    <x v="3"/>
    <n v="2"/>
    <n v="4"/>
    <n v="5"/>
    <n v="2"/>
    <x v="0"/>
    <s v="Feedback Form"/>
    <s v="Average"/>
    <x v="2"/>
    <n v="21"/>
    <d v="2024-04-15T00:00:00"/>
    <x v="0"/>
    <x v="1"/>
    <x v="0"/>
  </r>
  <r>
    <n v="172"/>
    <n v="25768"/>
    <s v="Katherine Cervantes"/>
    <x v="1"/>
    <x v="0"/>
    <x v="64"/>
    <d v="2025-01-10T00:00:00"/>
    <n v="5"/>
    <x v="1"/>
    <x v="4"/>
    <n v="2"/>
    <n v="5"/>
    <n v="5"/>
    <n v="3"/>
    <n v="5"/>
    <x v="2"/>
    <n v="3"/>
    <n v="5"/>
    <n v="3"/>
    <n v="3"/>
    <x v="1"/>
    <s v="App Review"/>
    <s v="Great stay"/>
    <x v="2"/>
    <n v="47"/>
    <d v="2025-01-10T00:00:00"/>
    <x v="1"/>
    <x v="11"/>
    <x v="0"/>
  </r>
  <r>
    <n v="173"/>
    <n v="76113"/>
    <s v="Timothy Henry"/>
    <x v="3"/>
    <x v="0"/>
    <x v="150"/>
    <d v="2024-01-25T00:00:00"/>
    <n v="12"/>
    <x v="1"/>
    <x v="1"/>
    <n v="3"/>
    <n v="3"/>
    <n v="4"/>
    <n v="1"/>
    <n v="2"/>
    <x v="3"/>
    <n v="5"/>
    <n v="3"/>
    <n v="3"/>
    <n v="3"/>
    <x v="1"/>
    <s v="Email"/>
    <s v="Average"/>
    <x v="0"/>
    <n v="45"/>
    <d v="2024-01-25T00:00:00"/>
    <x v="1"/>
    <x v="0"/>
    <x v="0"/>
  </r>
  <r>
    <n v="174"/>
    <n v="34463"/>
    <s v="Edward Carey"/>
    <x v="4"/>
    <x v="4"/>
    <x v="151"/>
    <d v="2023-12-12T00:00:00"/>
    <n v="2"/>
    <x v="0"/>
    <x v="0"/>
    <n v="1"/>
    <n v="3"/>
    <n v="1"/>
    <n v="2"/>
    <n v="3"/>
    <x v="3"/>
    <n v="1"/>
    <n v="2"/>
    <n v="4"/>
    <n v="3"/>
    <x v="0"/>
    <s v="Online Survey"/>
    <s v="Poor service"/>
    <x v="2"/>
    <n v="38"/>
    <d v="2024-11-10T00:00:00"/>
    <x v="1"/>
    <x v="8"/>
    <x v="1"/>
  </r>
  <r>
    <n v="175"/>
    <n v="88905"/>
    <s v="Dr. James Anderson"/>
    <x v="1"/>
    <x v="1"/>
    <x v="152"/>
    <d v="2024-10-12T00:00:00"/>
    <n v="14"/>
    <x v="1"/>
    <x v="3"/>
    <n v="2"/>
    <n v="4"/>
    <n v="2"/>
    <n v="1"/>
    <n v="5"/>
    <x v="2"/>
    <n v="3"/>
    <n v="1"/>
    <n v="3"/>
    <n v="4"/>
    <x v="0"/>
    <s v="Online Survey"/>
    <s v="Poor service"/>
    <x v="1"/>
    <n v="29"/>
    <d v="2024-11-04T00:00:00"/>
    <x v="3"/>
    <x v="5"/>
    <x v="1"/>
  </r>
  <r>
    <n v="176"/>
    <n v="40836"/>
    <s v="Andre Owen"/>
    <x v="2"/>
    <x v="4"/>
    <x v="153"/>
    <d v="2024-04-12T00:00:00"/>
    <n v="12"/>
    <x v="1"/>
    <x v="0"/>
    <n v="3"/>
    <n v="1"/>
    <n v="5"/>
    <n v="5"/>
    <n v="4"/>
    <x v="3"/>
    <n v="1"/>
    <n v="4"/>
    <n v="1"/>
    <n v="2"/>
    <x v="1"/>
    <s v="Online Survey"/>
    <s v="Great stay"/>
    <x v="0"/>
    <n v="30"/>
    <d v="2024-05-24T00:00:00"/>
    <x v="3"/>
    <x v="2"/>
    <x v="0"/>
  </r>
  <r>
    <n v="177"/>
    <n v="21688"/>
    <s v="Elizabeth Day"/>
    <x v="3"/>
    <x v="3"/>
    <x v="154"/>
    <d v="2023-07-09T00:00:00"/>
    <n v="13"/>
    <x v="0"/>
    <x v="2"/>
    <n v="1"/>
    <n v="1"/>
    <n v="3"/>
    <n v="4"/>
    <n v="1"/>
    <x v="0"/>
    <n v="3"/>
    <n v="2"/>
    <n v="3"/>
    <n v="1"/>
    <x v="1"/>
    <s v="App Review"/>
    <s v="Needs improvement"/>
    <x v="1"/>
    <n v="67"/>
    <d v="2024-08-13T00:00:00"/>
    <x v="2"/>
    <x v="19"/>
    <x v="1"/>
  </r>
  <r>
    <n v="178"/>
    <n v="27202"/>
    <s v="Mr. Nathan Sanchez DDS"/>
    <x v="0"/>
    <x v="0"/>
    <x v="155"/>
    <d v="2024-09-09T00:00:00"/>
    <n v="14"/>
    <x v="2"/>
    <x v="0"/>
    <n v="3"/>
    <n v="1"/>
    <n v="1"/>
    <n v="2"/>
    <n v="2"/>
    <x v="0"/>
    <n v="3"/>
    <n v="3"/>
    <n v="4"/>
    <n v="5"/>
    <x v="1"/>
    <s v="In-person"/>
    <s v="Needs improvement"/>
    <x v="2"/>
    <n v="30"/>
    <d v="2024-09-09T00:00:00"/>
    <x v="3"/>
    <x v="5"/>
    <x v="1"/>
  </r>
  <r>
    <n v="179"/>
    <n v="17188"/>
    <s v="Maria Mercado"/>
    <x v="1"/>
    <x v="0"/>
    <x v="156"/>
    <d v="2024-11-29T00:00:00"/>
    <n v="12"/>
    <x v="3"/>
    <x v="1"/>
    <n v="2"/>
    <n v="3"/>
    <n v="3"/>
    <n v="1"/>
    <n v="3"/>
    <x v="4"/>
    <n v="5"/>
    <n v="5"/>
    <n v="1"/>
    <n v="4"/>
    <x v="1"/>
    <s v="App Review"/>
    <s v="Needs improvement"/>
    <x v="0"/>
    <n v="69"/>
    <d v="2024-11-29T00:00:00"/>
    <x v="2"/>
    <x v="3"/>
    <x v="1"/>
  </r>
  <r>
    <n v="180"/>
    <n v="63326"/>
    <s v="Henry Johnson"/>
    <x v="4"/>
    <x v="1"/>
    <x v="157"/>
    <d v="2024-03-25T00:00:00"/>
    <n v="3"/>
    <x v="3"/>
    <x v="4"/>
    <n v="3"/>
    <n v="3"/>
    <n v="1"/>
    <n v="5"/>
    <n v="1"/>
    <x v="4"/>
    <n v="1"/>
    <n v="2"/>
    <n v="1"/>
    <n v="5"/>
    <x v="1"/>
    <s v="Online Survey"/>
    <s v="Needs improvement"/>
    <x v="1"/>
    <n v="44"/>
    <d v="2024-03-25T00:00:00"/>
    <x v="1"/>
    <x v="9"/>
    <x v="1"/>
  </r>
  <r>
    <n v="181"/>
    <n v="24135"/>
    <s v="Michael Mcclain"/>
    <x v="1"/>
    <x v="2"/>
    <x v="158"/>
    <d v="2023-11-12T00:00:00"/>
    <n v="8"/>
    <x v="3"/>
    <x v="1"/>
    <n v="4"/>
    <n v="2"/>
    <n v="4"/>
    <n v="5"/>
    <n v="1"/>
    <x v="3"/>
    <n v="4"/>
    <n v="4"/>
    <n v="5"/>
    <n v="5"/>
    <x v="0"/>
    <s v="App Review"/>
    <s v="Will visit again"/>
    <x v="2"/>
    <n v="45"/>
    <d v="2023-11-12T00:00:00"/>
    <x v="1"/>
    <x v="21"/>
    <x v="0"/>
  </r>
  <r>
    <n v="182"/>
    <n v="44657"/>
    <s v="Kevin Martinez"/>
    <x v="0"/>
    <x v="0"/>
    <x v="159"/>
    <d v="2023-09-28T00:00:00"/>
    <n v="13"/>
    <x v="2"/>
    <x v="1"/>
    <n v="3"/>
    <n v="5"/>
    <n v="4"/>
    <n v="3"/>
    <n v="1"/>
    <x v="0"/>
    <n v="5"/>
    <n v="2"/>
    <n v="4"/>
    <n v="1"/>
    <x v="1"/>
    <s v="App Review"/>
    <s v="Average"/>
    <x v="0"/>
    <n v="35"/>
    <d v="2024-10-15T00:00:00"/>
    <x v="3"/>
    <x v="0"/>
    <x v="0"/>
  </r>
  <r>
    <n v="183"/>
    <n v="10558"/>
    <s v="Donna Grant"/>
    <x v="2"/>
    <x v="4"/>
    <x v="160"/>
    <d v="2024-10-27T00:00:00"/>
    <n v="6"/>
    <x v="3"/>
    <x v="4"/>
    <n v="2"/>
    <n v="2"/>
    <n v="3"/>
    <n v="1"/>
    <n v="4"/>
    <x v="2"/>
    <n v="1"/>
    <n v="5"/>
    <n v="3"/>
    <n v="3"/>
    <x v="1"/>
    <s v="App Review"/>
    <s v="Poor service"/>
    <x v="2"/>
    <n v="54"/>
    <d v="2024-10-27T00:00:00"/>
    <x v="2"/>
    <x v="7"/>
    <x v="1"/>
  </r>
  <r>
    <n v="184"/>
    <n v="62085"/>
    <s v="Jennifer Stephens"/>
    <x v="1"/>
    <x v="0"/>
    <x v="161"/>
    <d v="2024-02-08T00:00:00"/>
    <n v="12"/>
    <x v="2"/>
    <x v="2"/>
    <n v="5"/>
    <n v="5"/>
    <n v="3"/>
    <n v="1"/>
    <n v="4"/>
    <x v="3"/>
    <n v="1"/>
    <n v="4"/>
    <n v="1"/>
    <n v="1"/>
    <x v="1"/>
    <s v="Email"/>
    <s v="Needs improvement"/>
    <x v="2"/>
    <n v="33"/>
    <d v="2024-09-13T00:00:00"/>
    <x v="3"/>
    <x v="4"/>
    <x v="1"/>
  </r>
  <r>
    <n v="185"/>
    <n v="36195"/>
    <s v="Jordan Mitchell"/>
    <x v="4"/>
    <x v="3"/>
    <x v="162"/>
    <d v="2023-12-20T00:00:00"/>
    <n v="2"/>
    <x v="1"/>
    <x v="1"/>
    <n v="3"/>
    <n v="2"/>
    <n v="3"/>
    <n v="5"/>
    <n v="4"/>
    <x v="2"/>
    <n v="1"/>
    <n v="3"/>
    <n v="4"/>
    <n v="5"/>
    <x v="0"/>
    <s v="App Review"/>
    <s v="Will visit again"/>
    <x v="2"/>
    <n v="38"/>
    <d v="2024-08-20T00:00:00"/>
    <x v="1"/>
    <x v="10"/>
    <x v="0"/>
  </r>
  <r>
    <n v="186"/>
    <n v="24443"/>
    <s v="Marcia Rivera"/>
    <x v="1"/>
    <x v="1"/>
    <x v="38"/>
    <d v="2023-09-30T00:00:00"/>
    <n v="2"/>
    <x v="3"/>
    <x v="4"/>
    <n v="4"/>
    <n v="2"/>
    <n v="5"/>
    <n v="1"/>
    <n v="3"/>
    <x v="1"/>
    <n v="4"/>
    <n v="1"/>
    <n v="5"/>
    <n v="4"/>
    <x v="0"/>
    <s v="In-person"/>
    <s v="Average"/>
    <x v="2"/>
    <n v="27"/>
    <d v="2023-09-30T00:00:00"/>
    <x v="3"/>
    <x v="13"/>
    <x v="0"/>
  </r>
  <r>
    <n v="187"/>
    <n v="74286"/>
    <s v="Natasha Richards"/>
    <x v="2"/>
    <x v="2"/>
    <x v="163"/>
    <d v="2024-12-15T00:00:00"/>
    <n v="1"/>
    <x v="0"/>
    <x v="4"/>
    <n v="2"/>
    <n v="2"/>
    <n v="2"/>
    <n v="3"/>
    <n v="1"/>
    <x v="4"/>
    <n v="5"/>
    <n v="5"/>
    <n v="2"/>
    <n v="5"/>
    <x v="1"/>
    <s v="Email"/>
    <s v="Will visit again"/>
    <x v="1"/>
    <n v="31"/>
    <d v="2024-12-15T00:00:00"/>
    <x v="3"/>
    <x v="3"/>
    <x v="1"/>
  </r>
  <r>
    <n v="188"/>
    <n v="33215"/>
    <s v="Marcus Frye"/>
    <x v="1"/>
    <x v="3"/>
    <x v="164"/>
    <d v="2023-06-10T00:00:00"/>
    <n v="7"/>
    <x v="2"/>
    <x v="1"/>
    <n v="1"/>
    <n v="2"/>
    <n v="3"/>
    <n v="2"/>
    <n v="5"/>
    <x v="3"/>
    <n v="4"/>
    <n v="2"/>
    <n v="2"/>
    <n v="5"/>
    <x v="0"/>
    <s v="App Review"/>
    <s v="Great stay"/>
    <x v="2"/>
    <n v="45"/>
    <d v="2024-02-27T00:00:00"/>
    <x v="1"/>
    <x v="2"/>
    <x v="0"/>
  </r>
  <r>
    <n v="189"/>
    <n v="15949"/>
    <s v="John Cooley"/>
    <x v="2"/>
    <x v="4"/>
    <x v="165"/>
    <d v="2024-10-16T00:00:00"/>
    <n v="6"/>
    <x v="3"/>
    <x v="4"/>
    <n v="5"/>
    <n v="3"/>
    <n v="4"/>
    <n v="5"/>
    <n v="3"/>
    <x v="3"/>
    <n v="3"/>
    <n v="3"/>
    <n v="3"/>
    <n v="1"/>
    <x v="0"/>
    <s v="Feedback Form"/>
    <s v="Great stay"/>
    <x v="0"/>
    <n v="46"/>
    <d v="2024-10-16T00:00:00"/>
    <x v="1"/>
    <x v="13"/>
    <x v="0"/>
  </r>
  <r>
    <n v="190"/>
    <n v="50411"/>
    <s v="Stephen Bowen"/>
    <x v="2"/>
    <x v="3"/>
    <x v="166"/>
    <d v="2024-03-05T00:00:00"/>
    <n v="13"/>
    <x v="0"/>
    <x v="3"/>
    <n v="3"/>
    <n v="5"/>
    <n v="4"/>
    <n v="3"/>
    <n v="4"/>
    <x v="2"/>
    <n v="2"/>
    <n v="4"/>
    <n v="2"/>
    <n v="2"/>
    <x v="1"/>
    <s v="Online Survey"/>
    <s v="Needs improvement"/>
    <x v="1"/>
    <n v="64"/>
    <d v="2024-03-30T00:00:00"/>
    <x v="2"/>
    <x v="0"/>
    <x v="0"/>
  </r>
  <r>
    <n v="191"/>
    <n v="59221"/>
    <s v="Walter Peterson"/>
    <x v="3"/>
    <x v="0"/>
    <x v="167"/>
    <d v="2024-07-30T00:00:00"/>
    <n v="13"/>
    <x v="3"/>
    <x v="1"/>
    <n v="2"/>
    <n v="2"/>
    <n v="3"/>
    <n v="3"/>
    <n v="4"/>
    <x v="4"/>
    <n v="4"/>
    <n v="4"/>
    <n v="1"/>
    <n v="5"/>
    <x v="0"/>
    <s v="Email"/>
    <s v="Great stay"/>
    <x v="2"/>
    <n v="28"/>
    <d v="2024-07-30T00:00:00"/>
    <x v="3"/>
    <x v="4"/>
    <x v="1"/>
  </r>
  <r>
    <n v="192"/>
    <n v="78438"/>
    <s v="Gina Jones"/>
    <x v="3"/>
    <x v="1"/>
    <x v="168"/>
    <d v="2024-08-19T00:00:00"/>
    <n v="6"/>
    <x v="2"/>
    <x v="2"/>
    <n v="4"/>
    <n v="2"/>
    <n v="3"/>
    <n v="4"/>
    <n v="4"/>
    <x v="2"/>
    <n v="3"/>
    <n v="4"/>
    <n v="1"/>
    <n v="2"/>
    <x v="1"/>
    <s v="Feedback Form"/>
    <s v="Average"/>
    <x v="0"/>
    <n v="47"/>
    <d v="2024-08-19T00:00:00"/>
    <x v="1"/>
    <x v="4"/>
    <x v="1"/>
  </r>
  <r>
    <n v="193"/>
    <n v="72521"/>
    <s v="Victoria Grant"/>
    <x v="4"/>
    <x v="0"/>
    <x v="169"/>
    <d v="2024-08-08T00:00:00"/>
    <n v="5"/>
    <x v="2"/>
    <x v="3"/>
    <n v="4"/>
    <n v="1"/>
    <n v="4"/>
    <n v="2"/>
    <n v="2"/>
    <x v="2"/>
    <n v="4"/>
    <n v="2"/>
    <n v="4"/>
    <n v="3"/>
    <x v="1"/>
    <s v="Online Survey"/>
    <s v="Needs improvement"/>
    <x v="0"/>
    <n v="57"/>
    <d v="2024-12-17T00:00:00"/>
    <x v="2"/>
    <x v="3"/>
    <x v="1"/>
  </r>
  <r>
    <n v="194"/>
    <n v="89298"/>
    <s v="Veronica Noble"/>
    <x v="4"/>
    <x v="1"/>
    <x v="170"/>
    <d v="2024-07-26T00:00:00"/>
    <n v="3"/>
    <x v="1"/>
    <x v="2"/>
    <n v="2"/>
    <n v="3"/>
    <n v="5"/>
    <n v="3"/>
    <n v="1"/>
    <x v="4"/>
    <n v="1"/>
    <n v="5"/>
    <n v="3"/>
    <n v="5"/>
    <x v="1"/>
    <s v="In-person"/>
    <s v="Will visit again"/>
    <x v="1"/>
    <n v="44"/>
    <d v="2024-07-26T00:00:00"/>
    <x v="1"/>
    <x v="4"/>
    <x v="1"/>
  </r>
  <r>
    <n v="195"/>
    <n v="30724"/>
    <s v="Brian Bender"/>
    <x v="4"/>
    <x v="4"/>
    <x v="171"/>
    <d v="2024-10-21T00:00:00"/>
    <n v="8"/>
    <x v="2"/>
    <x v="1"/>
    <n v="4"/>
    <n v="4"/>
    <n v="1"/>
    <n v="4"/>
    <n v="5"/>
    <x v="1"/>
    <n v="2"/>
    <n v="3"/>
    <n v="4"/>
    <n v="1"/>
    <x v="0"/>
    <s v="Feedback Form"/>
    <s v="Poor service"/>
    <x v="1"/>
    <n v="66"/>
    <d v="2024-10-21T00:00:00"/>
    <x v="2"/>
    <x v="1"/>
    <x v="0"/>
  </r>
  <r>
    <n v="196"/>
    <n v="86844"/>
    <s v="Jimmy Rios"/>
    <x v="2"/>
    <x v="3"/>
    <x v="172"/>
    <d v="2023-12-18T00:00:00"/>
    <n v="3"/>
    <x v="3"/>
    <x v="0"/>
    <n v="5"/>
    <n v="1"/>
    <n v="4"/>
    <n v="4"/>
    <n v="1"/>
    <x v="0"/>
    <n v="2"/>
    <n v="4"/>
    <n v="4"/>
    <n v="3"/>
    <x v="1"/>
    <s v="In-person"/>
    <s v="Poor service"/>
    <x v="1"/>
    <n v="20"/>
    <d v="2023-12-18T00:00:00"/>
    <x v="0"/>
    <x v="0"/>
    <x v="0"/>
  </r>
  <r>
    <n v="197"/>
    <n v="81431"/>
    <s v="Robert Ware"/>
    <x v="2"/>
    <x v="1"/>
    <x v="173"/>
    <d v="2024-07-05T00:00:00"/>
    <n v="5"/>
    <x v="2"/>
    <x v="4"/>
    <n v="1"/>
    <n v="4"/>
    <n v="1"/>
    <n v="1"/>
    <n v="3"/>
    <x v="0"/>
    <n v="3"/>
    <n v="1"/>
    <n v="3"/>
    <n v="4"/>
    <x v="1"/>
    <s v="In-person"/>
    <s v="Poor service"/>
    <x v="1"/>
    <n v="18"/>
    <d v="2024-07-05T00:00:00"/>
    <x v="0"/>
    <x v="8"/>
    <x v="1"/>
  </r>
  <r>
    <n v="198"/>
    <n v="32081"/>
    <s v="Erica Lowe"/>
    <x v="3"/>
    <x v="3"/>
    <x v="174"/>
    <d v="2025-01-09T00:00:00"/>
    <n v="8"/>
    <x v="0"/>
    <x v="3"/>
    <n v="4"/>
    <n v="2"/>
    <n v="3"/>
    <n v="3"/>
    <n v="2"/>
    <x v="1"/>
    <n v="4"/>
    <n v="5"/>
    <n v="4"/>
    <n v="5"/>
    <x v="1"/>
    <s v="Feedback Form"/>
    <s v="Average"/>
    <x v="2"/>
    <n v="49"/>
    <d v="2025-01-09T00:00:00"/>
    <x v="1"/>
    <x v="16"/>
    <x v="0"/>
  </r>
  <r>
    <n v="199"/>
    <n v="54732"/>
    <s v="Franklin Jones"/>
    <x v="2"/>
    <x v="1"/>
    <x v="172"/>
    <d v="2023-12-07T00:00:00"/>
    <n v="14"/>
    <x v="1"/>
    <x v="1"/>
    <n v="4"/>
    <n v="5"/>
    <n v="2"/>
    <n v="5"/>
    <n v="3"/>
    <x v="4"/>
    <n v="4"/>
    <n v="3"/>
    <n v="2"/>
    <n v="1"/>
    <x v="0"/>
    <s v="Feedback Form"/>
    <s v="Needs improvement"/>
    <x v="1"/>
    <n v="56"/>
    <d v="2024-12-17T00:00:00"/>
    <x v="2"/>
    <x v="2"/>
    <x v="0"/>
  </r>
  <r>
    <n v="200"/>
    <n v="97904"/>
    <s v="Kaitlyn Williams"/>
    <x v="3"/>
    <x v="0"/>
    <x v="175"/>
    <d v="2024-12-23T00:00:00"/>
    <n v="12"/>
    <x v="1"/>
    <x v="4"/>
    <n v="1"/>
    <n v="4"/>
    <n v="3"/>
    <n v="1"/>
    <n v="4"/>
    <x v="3"/>
    <n v="4"/>
    <n v="3"/>
    <n v="5"/>
    <n v="5"/>
    <x v="1"/>
    <s v="Email"/>
    <s v="Great stay"/>
    <x v="1"/>
    <n v="38"/>
    <d v="2024-12-23T00:00:00"/>
    <x v="1"/>
    <x v="13"/>
    <x v="0"/>
  </r>
  <r>
    <n v="201"/>
    <n v="66867"/>
    <s v="Travis Sherman"/>
    <x v="1"/>
    <x v="1"/>
    <x v="6"/>
    <d v="2024-06-17T00:00:00"/>
    <n v="3"/>
    <x v="2"/>
    <x v="0"/>
    <n v="5"/>
    <n v="4"/>
    <n v="3"/>
    <n v="2"/>
    <n v="4"/>
    <x v="4"/>
    <n v="3"/>
    <n v="4"/>
    <n v="4"/>
    <n v="1"/>
    <x v="1"/>
    <s v="In-person"/>
    <s v="Needs improvement"/>
    <x v="0"/>
    <n v="19"/>
    <d v="2024-06-17T00:00:00"/>
    <x v="0"/>
    <x v="0"/>
    <x v="0"/>
  </r>
  <r>
    <n v="202"/>
    <n v="66899"/>
    <s v="Cynthia Walters"/>
    <x v="4"/>
    <x v="1"/>
    <x v="97"/>
    <d v="2024-03-16T00:00:00"/>
    <n v="14"/>
    <x v="3"/>
    <x v="2"/>
    <n v="5"/>
    <n v="4"/>
    <n v="3"/>
    <n v="5"/>
    <n v="5"/>
    <x v="2"/>
    <n v="4"/>
    <n v="1"/>
    <n v="1"/>
    <n v="1"/>
    <x v="0"/>
    <s v="Feedback Form"/>
    <s v="Will visit again"/>
    <x v="1"/>
    <n v="27"/>
    <d v="2024-03-16T00:00:00"/>
    <x v="3"/>
    <x v="0"/>
    <x v="0"/>
  </r>
  <r>
    <n v="203"/>
    <n v="12155"/>
    <s v="Denise Dalton MD"/>
    <x v="4"/>
    <x v="2"/>
    <x v="20"/>
    <d v="2023-11-16T00:00:00"/>
    <n v="5"/>
    <x v="1"/>
    <x v="1"/>
    <n v="5"/>
    <n v="5"/>
    <n v="4"/>
    <n v="5"/>
    <n v="1"/>
    <x v="4"/>
    <n v="2"/>
    <n v="4"/>
    <n v="1"/>
    <n v="2"/>
    <x v="1"/>
    <s v="In-person"/>
    <s v="Poor service"/>
    <x v="0"/>
    <n v="48"/>
    <d v="2023-11-16T00:00:00"/>
    <x v="1"/>
    <x v="2"/>
    <x v="0"/>
  </r>
  <r>
    <n v="204"/>
    <n v="39903"/>
    <s v="Natalie Williams"/>
    <x v="0"/>
    <x v="4"/>
    <x v="176"/>
    <d v="2023-08-20T00:00:00"/>
    <n v="11"/>
    <x v="3"/>
    <x v="1"/>
    <n v="4"/>
    <n v="1"/>
    <n v="4"/>
    <n v="4"/>
    <n v="3"/>
    <x v="0"/>
    <n v="2"/>
    <n v="5"/>
    <n v="2"/>
    <n v="5"/>
    <x v="0"/>
    <s v="App Review"/>
    <s v="Needs improvement"/>
    <x v="2"/>
    <n v="35"/>
    <d v="2023-08-20T00:00:00"/>
    <x v="3"/>
    <x v="1"/>
    <x v="0"/>
  </r>
  <r>
    <n v="205"/>
    <n v="39393"/>
    <s v="Kelly Gilmore"/>
    <x v="3"/>
    <x v="0"/>
    <x v="177"/>
    <d v="2024-10-09T00:00:00"/>
    <n v="6"/>
    <x v="3"/>
    <x v="0"/>
    <n v="4"/>
    <n v="3"/>
    <n v="2"/>
    <n v="3"/>
    <n v="4"/>
    <x v="3"/>
    <n v="5"/>
    <n v="2"/>
    <n v="4"/>
    <n v="1"/>
    <x v="1"/>
    <s v="App Review"/>
    <s v="Needs improvement"/>
    <x v="0"/>
    <n v="24"/>
    <d v="2024-10-09T00:00:00"/>
    <x v="0"/>
    <x v="10"/>
    <x v="0"/>
  </r>
  <r>
    <n v="206"/>
    <n v="56509"/>
    <s v="Thomas Andrews"/>
    <x v="0"/>
    <x v="0"/>
    <x v="178"/>
    <d v="2024-07-11T00:00:00"/>
    <n v="1"/>
    <x v="0"/>
    <x v="2"/>
    <n v="5"/>
    <n v="5"/>
    <n v="1"/>
    <n v="4"/>
    <n v="5"/>
    <x v="1"/>
    <n v="4"/>
    <n v="5"/>
    <n v="4"/>
    <n v="1"/>
    <x v="0"/>
    <s v="App Review"/>
    <s v="Great stay"/>
    <x v="2"/>
    <n v="22"/>
    <d v="2024-07-11T00:00:00"/>
    <x v="0"/>
    <x v="20"/>
    <x v="0"/>
  </r>
  <r>
    <n v="207"/>
    <n v="58234"/>
    <s v="Daniel Beasley"/>
    <x v="4"/>
    <x v="3"/>
    <x v="179"/>
    <d v="2023-10-06T00:00:00"/>
    <n v="2"/>
    <x v="1"/>
    <x v="1"/>
    <n v="4"/>
    <n v="1"/>
    <n v="1"/>
    <n v="4"/>
    <n v="5"/>
    <x v="4"/>
    <n v="4"/>
    <n v="1"/>
    <n v="3"/>
    <n v="3"/>
    <x v="0"/>
    <s v="In-person"/>
    <s v="Will visit again"/>
    <x v="0"/>
    <n v="46"/>
    <d v="2023-12-10T00:00:00"/>
    <x v="1"/>
    <x v="5"/>
    <x v="1"/>
  </r>
  <r>
    <n v="208"/>
    <n v="93835"/>
    <s v="Beverly Sanders"/>
    <x v="0"/>
    <x v="1"/>
    <x v="180"/>
    <d v="2024-09-30T00:00:00"/>
    <n v="7"/>
    <x v="2"/>
    <x v="4"/>
    <n v="3"/>
    <n v="2"/>
    <n v="1"/>
    <n v="3"/>
    <n v="3"/>
    <x v="3"/>
    <n v="2"/>
    <n v="2"/>
    <n v="4"/>
    <n v="5"/>
    <x v="1"/>
    <s v="In-person"/>
    <s v="Poor service"/>
    <x v="0"/>
    <n v="21"/>
    <d v="2024-09-30T00:00:00"/>
    <x v="0"/>
    <x v="4"/>
    <x v="1"/>
  </r>
  <r>
    <n v="209"/>
    <n v="40101"/>
    <s v="Steven Dalton"/>
    <x v="1"/>
    <x v="1"/>
    <x v="34"/>
    <d v="2024-01-14T00:00:00"/>
    <n v="9"/>
    <x v="3"/>
    <x v="0"/>
    <n v="4"/>
    <n v="1"/>
    <n v="3"/>
    <n v="3"/>
    <n v="1"/>
    <x v="3"/>
    <n v="2"/>
    <n v="3"/>
    <n v="4"/>
    <n v="3"/>
    <x v="0"/>
    <s v="Feedback Form"/>
    <s v="Great stay"/>
    <x v="1"/>
    <n v="63"/>
    <d v="2024-07-21T00:00:00"/>
    <x v="2"/>
    <x v="3"/>
    <x v="1"/>
  </r>
  <r>
    <n v="210"/>
    <n v="24213"/>
    <s v="Matthew Gonzalez"/>
    <x v="0"/>
    <x v="1"/>
    <x v="181"/>
    <d v="2023-03-10T00:00:00"/>
    <n v="13"/>
    <x v="1"/>
    <x v="1"/>
    <n v="5"/>
    <n v="4"/>
    <n v="2"/>
    <n v="3"/>
    <n v="2"/>
    <x v="0"/>
    <n v="1"/>
    <n v="4"/>
    <n v="1"/>
    <n v="2"/>
    <x v="1"/>
    <s v="Feedback Form"/>
    <s v="Poor service"/>
    <x v="0"/>
    <n v="20"/>
    <d v="2024-02-09T00:00:00"/>
    <x v="0"/>
    <x v="5"/>
    <x v="1"/>
  </r>
  <r>
    <n v="211"/>
    <n v="14351"/>
    <s v="Susan Gibbs"/>
    <x v="1"/>
    <x v="0"/>
    <x v="182"/>
    <d v="2024-08-03T00:00:00"/>
    <n v="14"/>
    <x v="1"/>
    <x v="2"/>
    <n v="2"/>
    <n v="1"/>
    <n v="3"/>
    <n v="4"/>
    <n v="5"/>
    <x v="2"/>
    <n v="1"/>
    <n v="5"/>
    <n v="3"/>
    <n v="2"/>
    <x v="1"/>
    <s v="Email"/>
    <s v="Great stay"/>
    <x v="2"/>
    <n v="30"/>
    <d v="2024-08-03T00:00:00"/>
    <x v="3"/>
    <x v="3"/>
    <x v="1"/>
  </r>
  <r>
    <n v="212"/>
    <n v="50236"/>
    <s v="Madison Santiago"/>
    <x v="4"/>
    <x v="2"/>
    <x v="58"/>
    <d v="2024-12-11T00:00:00"/>
    <n v="10"/>
    <x v="3"/>
    <x v="3"/>
    <n v="5"/>
    <n v="1"/>
    <n v="2"/>
    <n v="3"/>
    <n v="3"/>
    <x v="3"/>
    <n v="5"/>
    <n v="4"/>
    <n v="4"/>
    <n v="1"/>
    <x v="0"/>
    <s v="Email"/>
    <s v="Great stay"/>
    <x v="0"/>
    <n v="20"/>
    <d v="2024-12-11T00:00:00"/>
    <x v="0"/>
    <x v="10"/>
    <x v="0"/>
  </r>
  <r>
    <n v="213"/>
    <n v="23241"/>
    <s v="William Williams"/>
    <x v="2"/>
    <x v="3"/>
    <x v="183"/>
    <d v="2024-09-12T00:00:00"/>
    <n v="4"/>
    <x v="2"/>
    <x v="1"/>
    <n v="2"/>
    <n v="2"/>
    <n v="5"/>
    <n v="3"/>
    <n v="4"/>
    <x v="3"/>
    <n v="2"/>
    <n v="5"/>
    <n v="2"/>
    <n v="1"/>
    <x v="1"/>
    <s v="Email"/>
    <s v="Poor service"/>
    <x v="1"/>
    <n v="25"/>
    <d v="2024-09-12T00:00:00"/>
    <x v="0"/>
    <x v="2"/>
    <x v="0"/>
  </r>
  <r>
    <n v="214"/>
    <n v="98987"/>
    <s v="Michelle Harris"/>
    <x v="3"/>
    <x v="1"/>
    <x v="168"/>
    <d v="2024-08-19T00:00:00"/>
    <n v="5"/>
    <x v="1"/>
    <x v="2"/>
    <n v="4"/>
    <n v="2"/>
    <n v="4"/>
    <n v="5"/>
    <n v="2"/>
    <x v="4"/>
    <n v="5"/>
    <n v="4"/>
    <n v="4"/>
    <n v="1"/>
    <x v="1"/>
    <s v="Online Survey"/>
    <s v="Will visit again"/>
    <x v="1"/>
    <n v="67"/>
    <d v="2024-08-19T00:00:00"/>
    <x v="2"/>
    <x v="10"/>
    <x v="0"/>
  </r>
  <r>
    <n v="215"/>
    <n v="32179"/>
    <s v="Judith Joseph"/>
    <x v="0"/>
    <x v="2"/>
    <x v="184"/>
    <d v="2024-07-24T00:00:00"/>
    <n v="12"/>
    <x v="1"/>
    <x v="0"/>
    <n v="4"/>
    <n v="1"/>
    <n v="3"/>
    <n v="4"/>
    <n v="2"/>
    <x v="1"/>
    <n v="4"/>
    <n v="2"/>
    <n v="3"/>
    <n v="5"/>
    <x v="1"/>
    <s v="App Review"/>
    <s v="Average"/>
    <x v="2"/>
    <n v="68"/>
    <d v="2024-07-24T00:00:00"/>
    <x v="2"/>
    <x v="1"/>
    <x v="0"/>
  </r>
  <r>
    <n v="216"/>
    <n v="57665"/>
    <s v="Luis Peterson"/>
    <x v="1"/>
    <x v="4"/>
    <x v="185"/>
    <d v="2024-03-27T00:00:00"/>
    <n v="4"/>
    <x v="2"/>
    <x v="2"/>
    <n v="2"/>
    <n v="5"/>
    <n v="5"/>
    <n v="3"/>
    <n v="1"/>
    <x v="4"/>
    <n v="4"/>
    <n v="4"/>
    <n v="2"/>
    <n v="5"/>
    <x v="1"/>
    <s v="In-person"/>
    <s v="Average"/>
    <x v="1"/>
    <n v="21"/>
    <d v="2024-03-27T00:00:00"/>
    <x v="0"/>
    <x v="10"/>
    <x v="0"/>
  </r>
  <r>
    <n v="217"/>
    <n v="71242"/>
    <s v="Richard Crawford PhD"/>
    <x v="4"/>
    <x v="0"/>
    <x v="75"/>
    <d v="2024-07-02T00:00:00"/>
    <n v="11"/>
    <x v="3"/>
    <x v="2"/>
    <n v="5"/>
    <n v="2"/>
    <n v="1"/>
    <n v="4"/>
    <n v="3"/>
    <x v="0"/>
    <n v="2"/>
    <n v="1"/>
    <n v="2"/>
    <n v="4"/>
    <x v="1"/>
    <s v="App Review"/>
    <s v="Needs improvement"/>
    <x v="0"/>
    <n v="59"/>
    <d v="2024-07-02T00:00:00"/>
    <x v="2"/>
    <x v="5"/>
    <x v="1"/>
  </r>
  <r>
    <n v="218"/>
    <n v="14455"/>
    <s v="Alexa Faulkner"/>
    <x v="4"/>
    <x v="4"/>
    <x v="186"/>
    <d v="2024-03-14T00:00:00"/>
    <n v="3"/>
    <x v="3"/>
    <x v="0"/>
    <n v="1"/>
    <n v="4"/>
    <n v="5"/>
    <n v="2"/>
    <n v="1"/>
    <x v="3"/>
    <n v="3"/>
    <n v="1"/>
    <n v="2"/>
    <n v="1"/>
    <x v="0"/>
    <s v="In-person"/>
    <s v="Needs improvement"/>
    <x v="2"/>
    <n v="52"/>
    <d v="2024-03-14T00:00:00"/>
    <x v="2"/>
    <x v="8"/>
    <x v="1"/>
  </r>
  <r>
    <n v="219"/>
    <n v="50459"/>
    <s v="Chris Medina"/>
    <x v="2"/>
    <x v="0"/>
    <x v="187"/>
    <d v="2024-06-12T00:00:00"/>
    <n v="10"/>
    <x v="3"/>
    <x v="3"/>
    <n v="1"/>
    <n v="5"/>
    <n v="4"/>
    <n v="1"/>
    <n v="5"/>
    <x v="2"/>
    <n v="5"/>
    <n v="4"/>
    <n v="1"/>
    <n v="3"/>
    <x v="1"/>
    <s v="Online Survey"/>
    <s v="Will visit again"/>
    <x v="1"/>
    <n v="29"/>
    <d v="2024-09-09T00:00:00"/>
    <x v="3"/>
    <x v="0"/>
    <x v="0"/>
  </r>
  <r>
    <n v="220"/>
    <n v="70899"/>
    <s v="John Payne"/>
    <x v="4"/>
    <x v="3"/>
    <x v="119"/>
    <d v="2023-08-23T00:00:00"/>
    <n v="2"/>
    <x v="3"/>
    <x v="4"/>
    <n v="5"/>
    <n v="1"/>
    <n v="4"/>
    <n v="5"/>
    <n v="5"/>
    <x v="3"/>
    <n v="3"/>
    <n v="3"/>
    <n v="1"/>
    <n v="4"/>
    <x v="0"/>
    <s v="In-person"/>
    <s v="Average"/>
    <x v="0"/>
    <n v="41"/>
    <d v="2023-08-23T00:00:00"/>
    <x v="1"/>
    <x v="18"/>
    <x v="0"/>
  </r>
  <r>
    <n v="221"/>
    <n v="27597"/>
    <s v="Thomas Garcia"/>
    <x v="4"/>
    <x v="4"/>
    <x v="188"/>
    <d v="2024-05-23T00:00:00"/>
    <n v="14"/>
    <x v="2"/>
    <x v="3"/>
    <n v="4"/>
    <n v="4"/>
    <n v="4"/>
    <n v="5"/>
    <n v="3"/>
    <x v="2"/>
    <n v="4"/>
    <n v="1"/>
    <n v="2"/>
    <n v="5"/>
    <x v="1"/>
    <s v="Email"/>
    <s v="Needs improvement"/>
    <x v="1"/>
    <n v="55"/>
    <d v="2024-05-23T00:00:00"/>
    <x v="2"/>
    <x v="13"/>
    <x v="0"/>
  </r>
  <r>
    <n v="222"/>
    <n v="65591"/>
    <s v="John Hamilton"/>
    <x v="2"/>
    <x v="3"/>
    <x v="189"/>
    <d v="2025-01-04T00:00:00"/>
    <n v="3"/>
    <x v="0"/>
    <x v="4"/>
    <n v="2"/>
    <n v="4"/>
    <n v="5"/>
    <n v="4"/>
    <n v="4"/>
    <x v="2"/>
    <n v="5"/>
    <n v="5"/>
    <n v="1"/>
    <n v="5"/>
    <x v="1"/>
    <s v="App Review"/>
    <s v="Average"/>
    <x v="1"/>
    <n v="36"/>
    <d v="2025-01-04T00:00:00"/>
    <x v="1"/>
    <x v="16"/>
    <x v="0"/>
  </r>
  <r>
    <n v="223"/>
    <n v="56209"/>
    <s v="Amber Crosby"/>
    <x v="4"/>
    <x v="3"/>
    <x v="190"/>
    <d v="2023-12-06T00:00:00"/>
    <n v="2"/>
    <x v="2"/>
    <x v="4"/>
    <n v="2"/>
    <n v="5"/>
    <n v="1"/>
    <n v="3"/>
    <n v="5"/>
    <x v="2"/>
    <n v="4"/>
    <n v="4"/>
    <n v="2"/>
    <n v="1"/>
    <x v="0"/>
    <s v="App Review"/>
    <s v="Average"/>
    <x v="2"/>
    <n v="53"/>
    <d v="2024-06-25T00:00:00"/>
    <x v="2"/>
    <x v="4"/>
    <x v="1"/>
  </r>
  <r>
    <n v="224"/>
    <n v="19052"/>
    <s v="Aaron Cook"/>
    <x v="1"/>
    <x v="3"/>
    <x v="148"/>
    <d v="2024-01-23T00:00:00"/>
    <n v="14"/>
    <x v="2"/>
    <x v="4"/>
    <n v="5"/>
    <n v="1"/>
    <n v="3"/>
    <n v="4"/>
    <n v="5"/>
    <x v="1"/>
    <n v="1"/>
    <n v="4"/>
    <n v="2"/>
    <n v="3"/>
    <x v="1"/>
    <s v="App Review"/>
    <s v="Average"/>
    <x v="2"/>
    <n v="52"/>
    <d v="2024-01-23T00:00:00"/>
    <x v="2"/>
    <x v="1"/>
    <x v="0"/>
  </r>
  <r>
    <n v="225"/>
    <n v="45691"/>
    <s v="Joshua Huerta"/>
    <x v="0"/>
    <x v="4"/>
    <x v="88"/>
    <d v="2024-10-26T00:00:00"/>
    <n v="8"/>
    <x v="3"/>
    <x v="1"/>
    <n v="5"/>
    <n v="4"/>
    <n v="1"/>
    <n v="1"/>
    <n v="4"/>
    <x v="4"/>
    <n v="2"/>
    <n v="1"/>
    <n v="5"/>
    <n v="3"/>
    <x v="1"/>
    <s v="Online Survey"/>
    <s v="Needs improvement"/>
    <x v="2"/>
    <n v="35"/>
    <d v="2024-10-26T00:00:00"/>
    <x v="3"/>
    <x v="5"/>
    <x v="1"/>
  </r>
  <r>
    <n v="226"/>
    <n v="27816"/>
    <s v="William Howard"/>
    <x v="0"/>
    <x v="4"/>
    <x v="191"/>
    <d v="2023-06-21T00:00:00"/>
    <n v="1"/>
    <x v="1"/>
    <x v="3"/>
    <n v="3"/>
    <n v="2"/>
    <n v="2"/>
    <n v="5"/>
    <n v="2"/>
    <x v="0"/>
    <n v="1"/>
    <n v="3"/>
    <n v="1"/>
    <n v="2"/>
    <x v="0"/>
    <s v="App Review"/>
    <s v="Needs improvement"/>
    <x v="0"/>
    <n v="57"/>
    <d v="2023-06-21T00:00:00"/>
    <x v="2"/>
    <x v="8"/>
    <x v="1"/>
  </r>
  <r>
    <n v="227"/>
    <n v="75876"/>
    <s v="Kenneth Hall"/>
    <x v="1"/>
    <x v="4"/>
    <x v="192"/>
    <d v="2023-08-05T00:00:00"/>
    <n v="5"/>
    <x v="2"/>
    <x v="2"/>
    <n v="2"/>
    <n v="2"/>
    <n v="2"/>
    <n v="5"/>
    <n v="3"/>
    <x v="1"/>
    <n v="5"/>
    <n v="5"/>
    <n v="5"/>
    <n v="1"/>
    <x v="0"/>
    <s v="Feedback Form"/>
    <s v="Will visit again"/>
    <x v="1"/>
    <n v="51"/>
    <d v="2023-11-22T00:00:00"/>
    <x v="2"/>
    <x v="18"/>
    <x v="0"/>
  </r>
  <r>
    <n v="228"/>
    <n v="66533"/>
    <s v="Renee Gross"/>
    <x v="0"/>
    <x v="1"/>
    <x v="93"/>
    <d v="2024-05-20T00:00:00"/>
    <n v="1"/>
    <x v="3"/>
    <x v="1"/>
    <n v="3"/>
    <n v="5"/>
    <n v="3"/>
    <n v="1"/>
    <n v="2"/>
    <x v="1"/>
    <n v="1"/>
    <n v="1"/>
    <n v="2"/>
    <n v="5"/>
    <x v="0"/>
    <s v="Email"/>
    <s v="Great stay"/>
    <x v="2"/>
    <n v="42"/>
    <d v="2024-06-11T00:00:00"/>
    <x v="1"/>
    <x v="3"/>
    <x v="1"/>
  </r>
  <r>
    <n v="229"/>
    <n v="24206"/>
    <s v="Michael Everett"/>
    <x v="4"/>
    <x v="3"/>
    <x v="193"/>
    <d v="2024-03-29T00:00:00"/>
    <n v="5"/>
    <x v="1"/>
    <x v="0"/>
    <n v="4"/>
    <n v="2"/>
    <n v="4"/>
    <n v="4"/>
    <n v="1"/>
    <x v="2"/>
    <n v="5"/>
    <n v="1"/>
    <n v="2"/>
    <n v="1"/>
    <x v="1"/>
    <s v="Email"/>
    <s v="Needs improvement"/>
    <x v="0"/>
    <n v="24"/>
    <d v="2024-03-29T00:00:00"/>
    <x v="0"/>
    <x v="7"/>
    <x v="1"/>
  </r>
  <r>
    <n v="230"/>
    <n v="41518"/>
    <s v="Shelby Robbins"/>
    <x v="0"/>
    <x v="1"/>
    <x v="194"/>
    <d v="2024-11-18T00:00:00"/>
    <n v="14"/>
    <x v="2"/>
    <x v="0"/>
    <n v="2"/>
    <n v="3"/>
    <n v="3"/>
    <n v="5"/>
    <n v="4"/>
    <x v="1"/>
    <n v="3"/>
    <n v="2"/>
    <n v="5"/>
    <n v="1"/>
    <x v="0"/>
    <s v="In-person"/>
    <s v="Poor service"/>
    <x v="0"/>
    <n v="28"/>
    <d v="2024-11-18T00:00:00"/>
    <x v="3"/>
    <x v="1"/>
    <x v="0"/>
  </r>
  <r>
    <n v="231"/>
    <n v="11198"/>
    <s v="Jennifer Irwin"/>
    <x v="0"/>
    <x v="0"/>
    <x v="7"/>
    <d v="2024-12-26T00:00:00"/>
    <n v="3"/>
    <x v="0"/>
    <x v="4"/>
    <n v="5"/>
    <n v="1"/>
    <n v="5"/>
    <n v="3"/>
    <n v="3"/>
    <x v="0"/>
    <n v="2"/>
    <n v="1"/>
    <n v="3"/>
    <n v="2"/>
    <x v="1"/>
    <s v="Online Survey"/>
    <s v="Great stay"/>
    <x v="0"/>
    <n v="55"/>
    <d v="2024-12-26T00:00:00"/>
    <x v="2"/>
    <x v="3"/>
    <x v="1"/>
  </r>
  <r>
    <n v="232"/>
    <n v="47064"/>
    <s v="Eric Garcia"/>
    <x v="4"/>
    <x v="4"/>
    <x v="195"/>
    <d v="2024-11-22T00:00:00"/>
    <n v="9"/>
    <x v="0"/>
    <x v="1"/>
    <n v="5"/>
    <n v="4"/>
    <n v="4"/>
    <n v="4"/>
    <n v="4"/>
    <x v="0"/>
    <n v="3"/>
    <n v="5"/>
    <n v="2"/>
    <n v="2"/>
    <x v="0"/>
    <s v="In-person"/>
    <s v="Average"/>
    <x v="1"/>
    <n v="36"/>
    <d v="2024-11-22T00:00:00"/>
    <x v="1"/>
    <x v="11"/>
    <x v="0"/>
  </r>
  <r>
    <n v="233"/>
    <n v="58744"/>
    <s v="Joshua Wilson"/>
    <x v="0"/>
    <x v="2"/>
    <x v="144"/>
    <d v="2023-09-16T00:00:00"/>
    <n v="12"/>
    <x v="3"/>
    <x v="1"/>
    <n v="4"/>
    <n v="4"/>
    <n v="3"/>
    <n v="3"/>
    <n v="4"/>
    <x v="3"/>
    <n v="4"/>
    <n v="2"/>
    <n v="1"/>
    <n v="4"/>
    <x v="1"/>
    <s v="In-person"/>
    <s v="Will visit again"/>
    <x v="2"/>
    <n v="52"/>
    <d v="2023-11-26T00:00:00"/>
    <x v="2"/>
    <x v="1"/>
    <x v="0"/>
  </r>
  <r>
    <n v="234"/>
    <n v="88566"/>
    <s v="Amber Peterson"/>
    <x v="4"/>
    <x v="0"/>
    <x v="196"/>
    <d v="2024-08-11T00:00:00"/>
    <n v="1"/>
    <x v="1"/>
    <x v="0"/>
    <n v="1"/>
    <n v="5"/>
    <n v="3"/>
    <n v="2"/>
    <n v="2"/>
    <x v="1"/>
    <n v="2"/>
    <n v="3"/>
    <n v="4"/>
    <n v="1"/>
    <x v="0"/>
    <s v="Email"/>
    <s v="Poor service"/>
    <x v="1"/>
    <n v="62"/>
    <d v="2024-08-11T00:00:00"/>
    <x v="2"/>
    <x v="3"/>
    <x v="1"/>
  </r>
  <r>
    <n v="235"/>
    <n v="30577"/>
    <s v="Renee Black"/>
    <x v="2"/>
    <x v="3"/>
    <x v="155"/>
    <d v="2024-09-09T00:00:00"/>
    <n v="10"/>
    <x v="1"/>
    <x v="2"/>
    <n v="3"/>
    <n v="5"/>
    <n v="5"/>
    <n v="1"/>
    <n v="2"/>
    <x v="3"/>
    <n v="1"/>
    <n v="3"/>
    <n v="4"/>
    <n v="5"/>
    <x v="0"/>
    <s v="Feedback Form"/>
    <s v="Poor service"/>
    <x v="0"/>
    <n v="37"/>
    <d v="2024-09-09T00:00:00"/>
    <x v="1"/>
    <x v="1"/>
    <x v="0"/>
  </r>
  <r>
    <n v="236"/>
    <n v="58230"/>
    <s v="Johnathan Gardner"/>
    <x v="2"/>
    <x v="3"/>
    <x v="197"/>
    <d v="2024-10-19T00:00:00"/>
    <n v="1"/>
    <x v="3"/>
    <x v="3"/>
    <n v="5"/>
    <n v="4"/>
    <n v="5"/>
    <n v="5"/>
    <n v="1"/>
    <x v="0"/>
    <n v="5"/>
    <n v="1"/>
    <n v="4"/>
    <n v="2"/>
    <x v="0"/>
    <s v="Online Survey"/>
    <s v="Great stay"/>
    <x v="1"/>
    <n v="44"/>
    <d v="2024-12-26T00:00:00"/>
    <x v="1"/>
    <x v="18"/>
    <x v="0"/>
  </r>
  <r>
    <n v="237"/>
    <n v="40248"/>
    <s v="Amy Meyer"/>
    <x v="0"/>
    <x v="1"/>
    <x v="198"/>
    <d v="2023-10-26T00:00:00"/>
    <n v="8"/>
    <x v="3"/>
    <x v="3"/>
    <n v="2"/>
    <n v="2"/>
    <n v="1"/>
    <n v="1"/>
    <n v="3"/>
    <x v="1"/>
    <n v="2"/>
    <n v="5"/>
    <n v="5"/>
    <n v="4"/>
    <x v="0"/>
    <s v="Online Survey"/>
    <s v="Will visit again"/>
    <x v="2"/>
    <n v="48"/>
    <d v="2024-11-02T00:00:00"/>
    <x v="1"/>
    <x v="2"/>
    <x v="0"/>
  </r>
  <r>
    <n v="238"/>
    <n v="91046"/>
    <s v="Johnathan Bolton"/>
    <x v="2"/>
    <x v="4"/>
    <x v="199"/>
    <d v="2024-06-10T00:00:00"/>
    <n v="3"/>
    <x v="1"/>
    <x v="4"/>
    <n v="2"/>
    <n v="5"/>
    <n v="2"/>
    <n v="1"/>
    <n v="4"/>
    <x v="2"/>
    <n v="4"/>
    <n v="3"/>
    <n v="2"/>
    <n v="4"/>
    <x v="0"/>
    <s v="Online Survey"/>
    <s v="Great stay"/>
    <x v="0"/>
    <n v="42"/>
    <d v="2024-10-18T00:00:00"/>
    <x v="1"/>
    <x v="4"/>
    <x v="1"/>
  </r>
  <r>
    <n v="239"/>
    <n v="14934"/>
    <s v="Jonathan Farley"/>
    <x v="0"/>
    <x v="4"/>
    <x v="200"/>
    <d v="2023-12-20T00:00:00"/>
    <n v="11"/>
    <x v="0"/>
    <x v="4"/>
    <n v="2"/>
    <n v="3"/>
    <n v="3"/>
    <n v="3"/>
    <n v="1"/>
    <x v="2"/>
    <n v="3"/>
    <n v="5"/>
    <n v="3"/>
    <n v="4"/>
    <x v="0"/>
    <s v="Feedback Form"/>
    <s v="Needs improvement"/>
    <x v="1"/>
    <n v="19"/>
    <d v="2023-12-20T00:00:00"/>
    <x v="0"/>
    <x v="4"/>
    <x v="1"/>
  </r>
  <r>
    <n v="240"/>
    <n v="34927"/>
    <s v="Justin Shelton"/>
    <x v="2"/>
    <x v="0"/>
    <x v="201"/>
    <d v="2024-04-08T00:00:00"/>
    <n v="7"/>
    <x v="0"/>
    <x v="4"/>
    <n v="4"/>
    <n v="5"/>
    <n v="1"/>
    <n v="5"/>
    <n v="4"/>
    <x v="1"/>
    <n v="4"/>
    <n v="5"/>
    <n v="1"/>
    <n v="5"/>
    <x v="1"/>
    <s v="Online Survey"/>
    <s v="Average"/>
    <x v="2"/>
    <n v="46"/>
    <d v="2024-04-08T00:00:00"/>
    <x v="1"/>
    <x v="20"/>
    <x v="0"/>
  </r>
  <r>
    <n v="241"/>
    <n v="35877"/>
    <s v="Lauren Sullivan"/>
    <x v="0"/>
    <x v="0"/>
    <x v="202"/>
    <d v="2024-06-20T00:00:00"/>
    <n v="10"/>
    <x v="2"/>
    <x v="0"/>
    <n v="1"/>
    <n v="2"/>
    <n v="4"/>
    <n v="2"/>
    <n v="1"/>
    <x v="3"/>
    <n v="1"/>
    <n v="2"/>
    <n v="4"/>
    <n v="2"/>
    <x v="1"/>
    <s v="App Review"/>
    <s v="Will visit again"/>
    <x v="2"/>
    <n v="54"/>
    <d v="2024-06-20T00:00:00"/>
    <x v="2"/>
    <x v="9"/>
    <x v="1"/>
  </r>
  <r>
    <n v="242"/>
    <n v="87367"/>
    <s v="Robert Thomas"/>
    <x v="3"/>
    <x v="0"/>
    <x v="203"/>
    <d v="2024-09-16T00:00:00"/>
    <n v="5"/>
    <x v="2"/>
    <x v="0"/>
    <n v="3"/>
    <n v="1"/>
    <n v="4"/>
    <n v="1"/>
    <n v="4"/>
    <x v="3"/>
    <n v="5"/>
    <n v="1"/>
    <n v="4"/>
    <n v="3"/>
    <x v="0"/>
    <s v="Feedback Form"/>
    <s v="Needs improvement"/>
    <x v="2"/>
    <n v="48"/>
    <d v="2024-09-16T00:00:00"/>
    <x v="1"/>
    <x v="2"/>
    <x v="0"/>
  </r>
  <r>
    <n v="243"/>
    <n v="29471"/>
    <s v="Michael Duncan"/>
    <x v="1"/>
    <x v="2"/>
    <x v="204"/>
    <d v="2024-09-16T00:00:00"/>
    <n v="2"/>
    <x v="1"/>
    <x v="3"/>
    <n v="2"/>
    <n v="3"/>
    <n v="2"/>
    <n v="3"/>
    <n v="2"/>
    <x v="2"/>
    <n v="5"/>
    <n v="5"/>
    <n v="1"/>
    <n v="5"/>
    <x v="1"/>
    <s v="In-person"/>
    <s v="Average"/>
    <x v="2"/>
    <n v="64"/>
    <d v="2024-09-16T00:00:00"/>
    <x v="2"/>
    <x v="2"/>
    <x v="0"/>
  </r>
  <r>
    <n v="244"/>
    <n v="48841"/>
    <s v="Dylan Martinez"/>
    <x v="2"/>
    <x v="2"/>
    <x v="205"/>
    <d v="2024-01-12T00:00:00"/>
    <n v="14"/>
    <x v="0"/>
    <x v="4"/>
    <n v="2"/>
    <n v="5"/>
    <n v="4"/>
    <n v="3"/>
    <n v="5"/>
    <x v="3"/>
    <n v="1"/>
    <n v="5"/>
    <n v="4"/>
    <n v="1"/>
    <x v="0"/>
    <s v="App Review"/>
    <s v="Average"/>
    <x v="0"/>
    <n v="59"/>
    <d v="2024-01-12T00:00:00"/>
    <x v="2"/>
    <x v="13"/>
    <x v="0"/>
  </r>
  <r>
    <n v="245"/>
    <n v="92375"/>
    <s v="Ashley Sutton"/>
    <x v="4"/>
    <x v="3"/>
    <x v="143"/>
    <d v="2024-08-22T00:00:00"/>
    <n v="13"/>
    <x v="2"/>
    <x v="1"/>
    <n v="5"/>
    <n v="1"/>
    <n v="2"/>
    <n v="5"/>
    <n v="1"/>
    <x v="2"/>
    <n v="5"/>
    <n v="5"/>
    <n v="5"/>
    <n v="3"/>
    <x v="0"/>
    <s v="In-person"/>
    <s v="Needs improvement"/>
    <x v="0"/>
    <n v="23"/>
    <d v="2024-08-22T00:00:00"/>
    <x v="0"/>
    <x v="13"/>
    <x v="0"/>
  </r>
  <r>
    <n v="246"/>
    <n v="15853"/>
    <s v="Kelly Scott"/>
    <x v="1"/>
    <x v="3"/>
    <x v="206"/>
    <d v="2024-02-10T00:00:00"/>
    <n v="11"/>
    <x v="0"/>
    <x v="2"/>
    <n v="1"/>
    <n v="1"/>
    <n v="4"/>
    <n v="4"/>
    <n v="1"/>
    <x v="4"/>
    <n v="2"/>
    <n v="1"/>
    <n v="2"/>
    <n v="5"/>
    <x v="0"/>
    <s v="Online Survey"/>
    <s v="Will visit again"/>
    <x v="1"/>
    <n v="63"/>
    <d v="2024-10-05T00:00:00"/>
    <x v="2"/>
    <x v="19"/>
    <x v="1"/>
  </r>
  <r>
    <n v="247"/>
    <n v="46018"/>
    <s v="James Brown"/>
    <x v="0"/>
    <x v="3"/>
    <x v="207"/>
    <d v="2024-03-07T00:00:00"/>
    <n v="7"/>
    <x v="0"/>
    <x v="0"/>
    <n v="5"/>
    <n v="4"/>
    <n v="4"/>
    <n v="4"/>
    <n v="5"/>
    <x v="2"/>
    <n v="2"/>
    <n v="2"/>
    <n v="2"/>
    <n v="2"/>
    <x v="0"/>
    <s v="Feedback Form"/>
    <s v="Poor service"/>
    <x v="2"/>
    <n v="38"/>
    <d v="2024-03-07T00:00:00"/>
    <x v="1"/>
    <x v="10"/>
    <x v="0"/>
  </r>
  <r>
    <n v="248"/>
    <n v="68501"/>
    <s v="John Shaw"/>
    <x v="1"/>
    <x v="4"/>
    <x v="208"/>
    <d v="2024-03-27T00:00:00"/>
    <n v="7"/>
    <x v="1"/>
    <x v="4"/>
    <n v="4"/>
    <n v="2"/>
    <n v="3"/>
    <n v="2"/>
    <n v="2"/>
    <x v="4"/>
    <n v="1"/>
    <n v="5"/>
    <n v="3"/>
    <n v="4"/>
    <x v="1"/>
    <s v="App Review"/>
    <s v="Great stay"/>
    <x v="2"/>
    <n v="50"/>
    <d v="2024-03-27T00:00:00"/>
    <x v="1"/>
    <x v="5"/>
    <x v="1"/>
  </r>
  <r>
    <n v="249"/>
    <n v="10257"/>
    <s v="Jonathan Ayers"/>
    <x v="4"/>
    <x v="3"/>
    <x v="176"/>
    <d v="2024-01-26T00:00:00"/>
    <n v="3"/>
    <x v="0"/>
    <x v="4"/>
    <n v="4"/>
    <n v="4"/>
    <n v="5"/>
    <n v="3"/>
    <n v="1"/>
    <x v="1"/>
    <n v="1"/>
    <n v="4"/>
    <n v="5"/>
    <n v="5"/>
    <x v="0"/>
    <s v="Feedback Form"/>
    <s v="Will visit again"/>
    <x v="0"/>
    <n v="26"/>
    <d v="2024-01-26T00:00:00"/>
    <x v="3"/>
    <x v="16"/>
    <x v="0"/>
  </r>
  <r>
    <n v="250"/>
    <n v="39671"/>
    <s v="Brenda Bean"/>
    <x v="4"/>
    <x v="1"/>
    <x v="209"/>
    <d v="2024-09-17T00:00:00"/>
    <n v="6"/>
    <x v="1"/>
    <x v="0"/>
    <n v="3"/>
    <n v="2"/>
    <n v="3"/>
    <n v="4"/>
    <n v="2"/>
    <x v="4"/>
    <n v="4"/>
    <n v="2"/>
    <n v="3"/>
    <n v="1"/>
    <x v="0"/>
    <s v="Feedback Form"/>
    <s v="Poor service"/>
    <x v="1"/>
    <n v="27"/>
    <d v="2024-09-17T00:00:00"/>
    <x v="3"/>
    <x v="14"/>
    <x v="1"/>
  </r>
  <r>
    <n v="251"/>
    <n v="14730"/>
    <s v="Amber Smith"/>
    <x v="0"/>
    <x v="0"/>
    <x v="210"/>
    <d v="2023-12-15T00:00:00"/>
    <n v="5"/>
    <x v="2"/>
    <x v="3"/>
    <n v="4"/>
    <n v="1"/>
    <n v="1"/>
    <n v="1"/>
    <n v="4"/>
    <x v="0"/>
    <n v="5"/>
    <n v="1"/>
    <n v="4"/>
    <n v="1"/>
    <x v="0"/>
    <s v="Feedback Form"/>
    <s v="Poor service"/>
    <x v="1"/>
    <n v="39"/>
    <d v="2023-12-15T00:00:00"/>
    <x v="1"/>
    <x v="14"/>
    <x v="1"/>
  </r>
  <r>
    <n v="252"/>
    <n v="21305"/>
    <s v="Alice Long"/>
    <x v="2"/>
    <x v="4"/>
    <x v="211"/>
    <d v="2024-05-17T00:00:00"/>
    <n v="1"/>
    <x v="3"/>
    <x v="3"/>
    <n v="3"/>
    <n v="5"/>
    <n v="5"/>
    <n v="2"/>
    <n v="4"/>
    <x v="3"/>
    <n v="3"/>
    <n v="3"/>
    <n v="2"/>
    <n v="1"/>
    <x v="1"/>
    <s v="In-person"/>
    <s v="Poor service"/>
    <x v="0"/>
    <n v="48"/>
    <d v="2024-05-17T00:00:00"/>
    <x v="1"/>
    <x v="10"/>
    <x v="0"/>
  </r>
  <r>
    <n v="253"/>
    <n v="60548"/>
    <s v="James Ortiz Jr."/>
    <x v="2"/>
    <x v="2"/>
    <x v="212"/>
    <d v="2023-11-19T00:00:00"/>
    <n v="1"/>
    <x v="0"/>
    <x v="3"/>
    <n v="5"/>
    <n v="2"/>
    <n v="3"/>
    <n v="1"/>
    <n v="5"/>
    <x v="4"/>
    <n v="1"/>
    <n v="5"/>
    <n v="3"/>
    <n v="3"/>
    <x v="0"/>
    <s v="Feedback Form"/>
    <s v="Great stay"/>
    <x v="0"/>
    <n v="28"/>
    <d v="2023-11-19T00:00:00"/>
    <x v="3"/>
    <x v="4"/>
    <x v="1"/>
  </r>
  <r>
    <n v="254"/>
    <n v="42116"/>
    <s v="Erin Stewart"/>
    <x v="3"/>
    <x v="0"/>
    <x v="89"/>
    <d v="2024-06-28T00:00:00"/>
    <n v="2"/>
    <x v="3"/>
    <x v="3"/>
    <n v="2"/>
    <n v="2"/>
    <n v="5"/>
    <n v="4"/>
    <n v="3"/>
    <x v="0"/>
    <n v="4"/>
    <n v="4"/>
    <n v="3"/>
    <n v="4"/>
    <x v="1"/>
    <s v="Online Survey"/>
    <s v="Great stay"/>
    <x v="0"/>
    <n v="36"/>
    <d v="2024-08-16T00:00:00"/>
    <x v="1"/>
    <x v="13"/>
    <x v="0"/>
  </r>
  <r>
    <n v="255"/>
    <n v="98979"/>
    <s v="Marcus Sandoval"/>
    <x v="4"/>
    <x v="3"/>
    <x v="213"/>
    <d v="2024-11-01T00:00:00"/>
    <n v="7"/>
    <x v="3"/>
    <x v="1"/>
    <n v="2"/>
    <n v="1"/>
    <n v="5"/>
    <n v="3"/>
    <n v="2"/>
    <x v="0"/>
    <n v="1"/>
    <n v="3"/>
    <n v="5"/>
    <n v="5"/>
    <x v="1"/>
    <s v="App Review"/>
    <s v="Great stay"/>
    <x v="0"/>
    <n v="58"/>
    <d v="2024-11-01T00:00:00"/>
    <x v="2"/>
    <x v="2"/>
    <x v="0"/>
  </r>
  <r>
    <n v="256"/>
    <n v="32839"/>
    <s v="Jason Ross"/>
    <x v="3"/>
    <x v="2"/>
    <x v="214"/>
    <d v="2023-09-29T00:00:00"/>
    <n v="3"/>
    <x v="1"/>
    <x v="4"/>
    <n v="1"/>
    <n v="3"/>
    <n v="5"/>
    <n v="4"/>
    <n v="3"/>
    <x v="3"/>
    <n v="1"/>
    <n v="3"/>
    <n v="4"/>
    <n v="3"/>
    <x v="0"/>
    <s v="Email"/>
    <s v="Poor service"/>
    <x v="0"/>
    <n v="29"/>
    <d v="2023-12-11T00:00:00"/>
    <x v="3"/>
    <x v="0"/>
    <x v="0"/>
  </r>
  <r>
    <n v="257"/>
    <n v="20818"/>
    <s v="Jessica Anderson"/>
    <x v="4"/>
    <x v="2"/>
    <x v="215"/>
    <d v="2024-06-01T00:00:00"/>
    <n v="9"/>
    <x v="0"/>
    <x v="3"/>
    <n v="4"/>
    <n v="1"/>
    <n v="4"/>
    <n v="2"/>
    <n v="3"/>
    <x v="2"/>
    <n v="2"/>
    <n v="5"/>
    <n v="1"/>
    <n v="5"/>
    <x v="1"/>
    <s v="Feedback Form"/>
    <s v="Needs improvement"/>
    <x v="0"/>
    <n v="69"/>
    <d v="2024-06-01T00:00:00"/>
    <x v="2"/>
    <x v="4"/>
    <x v="1"/>
  </r>
  <r>
    <n v="258"/>
    <n v="16202"/>
    <s v="Adam Schmidt"/>
    <x v="3"/>
    <x v="2"/>
    <x v="216"/>
    <d v="2024-06-28T00:00:00"/>
    <n v="3"/>
    <x v="0"/>
    <x v="3"/>
    <n v="1"/>
    <n v="1"/>
    <n v="5"/>
    <n v="2"/>
    <n v="2"/>
    <x v="0"/>
    <n v="5"/>
    <n v="5"/>
    <n v="5"/>
    <n v="2"/>
    <x v="0"/>
    <s v="App Review"/>
    <s v="Great stay"/>
    <x v="1"/>
    <n v="55"/>
    <d v="2024-06-28T00:00:00"/>
    <x v="2"/>
    <x v="0"/>
    <x v="0"/>
  </r>
  <r>
    <n v="259"/>
    <n v="48946"/>
    <s v="Grace Hines"/>
    <x v="2"/>
    <x v="0"/>
    <x v="159"/>
    <d v="2023-11-27T00:00:00"/>
    <n v="10"/>
    <x v="2"/>
    <x v="2"/>
    <n v="1"/>
    <n v="2"/>
    <n v="4"/>
    <n v="1"/>
    <n v="3"/>
    <x v="4"/>
    <n v="1"/>
    <n v="3"/>
    <n v="5"/>
    <n v="2"/>
    <x v="0"/>
    <s v="In-person"/>
    <s v="Poor service"/>
    <x v="0"/>
    <n v="33"/>
    <d v="2025-01-01T00:00:00"/>
    <x v="3"/>
    <x v="9"/>
    <x v="1"/>
  </r>
  <r>
    <n v="260"/>
    <n v="27031"/>
    <s v="David Chase"/>
    <x v="4"/>
    <x v="4"/>
    <x v="217"/>
    <d v="2024-04-08T00:00:00"/>
    <n v="4"/>
    <x v="3"/>
    <x v="2"/>
    <n v="2"/>
    <n v="1"/>
    <n v="5"/>
    <n v="1"/>
    <n v="1"/>
    <x v="3"/>
    <n v="5"/>
    <n v="4"/>
    <n v="4"/>
    <n v="5"/>
    <x v="0"/>
    <s v="In-person"/>
    <s v="Will visit again"/>
    <x v="0"/>
    <n v="30"/>
    <d v="2024-04-08T00:00:00"/>
    <x v="3"/>
    <x v="10"/>
    <x v="0"/>
  </r>
  <r>
    <n v="261"/>
    <n v="23298"/>
    <s v="Christopher Zimmerman"/>
    <x v="2"/>
    <x v="0"/>
    <x v="175"/>
    <d v="2024-12-23T00:00:00"/>
    <n v="11"/>
    <x v="3"/>
    <x v="4"/>
    <n v="4"/>
    <n v="4"/>
    <n v="4"/>
    <n v="2"/>
    <n v="4"/>
    <x v="4"/>
    <n v="4"/>
    <n v="2"/>
    <n v="1"/>
    <n v="3"/>
    <x v="0"/>
    <s v="Feedback Form"/>
    <s v="Poor service"/>
    <x v="1"/>
    <n v="55"/>
    <d v="2024-12-23T00:00:00"/>
    <x v="2"/>
    <x v="4"/>
    <x v="1"/>
  </r>
  <r>
    <n v="262"/>
    <n v="75311"/>
    <s v="Dr. Victor Torres"/>
    <x v="1"/>
    <x v="1"/>
    <x v="218"/>
    <d v="2024-04-28T00:00:00"/>
    <n v="8"/>
    <x v="1"/>
    <x v="0"/>
    <n v="2"/>
    <n v="1"/>
    <n v="5"/>
    <n v="1"/>
    <n v="5"/>
    <x v="2"/>
    <n v="1"/>
    <n v="5"/>
    <n v="5"/>
    <n v="1"/>
    <x v="1"/>
    <s v="Feedback Form"/>
    <s v="Great stay"/>
    <x v="1"/>
    <n v="30"/>
    <d v="2024-04-28T00:00:00"/>
    <x v="3"/>
    <x v="3"/>
    <x v="1"/>
  </r>
  <r>
    <n v="263"/>
    <n v="69612"/>
    <s v="Rhonda Koch"/>
    <x v="2"/>
    <x v="3"/>
    <x v="219"/>
    <d v="2023-11-05T00:00:00"/>
    <n v="4"/>
    <x v="0"/>
    <x v="3"/>
    <n v="1"/>
    <n v="5"/>
    <n v="1"/>
    <n v="5"/>
    <n v="2"/>
    <x v="3"/>
    <n v="3"/>
    <n v="5"/>
    <n v="3"/>
    <n v="3"/>
    <x v="1"/>
    <s v="Online Survey"/>
    <s v="Great stay"/>
    <x v="2"/>
    <n v="32"/>
    <d v="2024-02-27T00:00:00"/>
    <x v="3"/>
    <x v="10"/>
    <x v="0"/>
  </r>
  <r>
    <n v="264"/>
    <n v="40842"/>
    <s v="Christopher Everett"/>
    <x v="4"/>
    <x v="4"/>
    <x v="31"/>
    <d v="2023-07-10T00:00:00"/>
    <n v="7"/>
    <x v="0"/>
    <x v="1"/>
    <n v="4"/>
    <n v="1"/>
    <n v="3"/>
    <n v="2"/>
    <n v="5"/>
    <x v="0"/>
    <n v="2"/>
    <n v="1"/>
    <n v="3"/>
    <n v="3"/>
    <x v="1"/>
    <s v="Email"/>
    <s v="Great stay"/>
    <x v="2"/>
    <n v="35"/>
    <d v="2023-07-24T00:00:00"/>
    <x v="3"/>
    <x v="5"/>
    <x v="1"/>
  </r>
  <r>
    <n v="265"/>
    <n v="70098"/>
    <s v="William Smith"/>
    <x v="1"/>
    <x v="4"/>
    <x v="220"/>
    <d v="2024-07-26T00:00:00"/>
    <n v="11"/>
    <x v="3"/>
    <x v="2"/>
    <n v="2"/>
    <n v="1"/>
    <n v="5"/>
    <n v="1"/>
    <n v="4"/>
    <x v="4"/>
    <n v="3"/>
    <n v="5"/>
    <n v="3"/>
    <n v="5"/>
    <x v="0"/>
    <s v="Feedback Form"/>
    <s v="Needs improvement"/>
    <x v="1"/>
    <n v="33"/>
    <d v="2024-11-04T00:00:00"/>
    <x v="3"/>
    <x v="2"/>
    <x v="0"/>
  </r>
  <r>
    <n v="266"/>
    <n v="31366"/>
    <s v="Scott Rodriguez"/>
    <x v="3"/>
    <x v="3"/>
    <x v="221"/>
    <d v="2024-05-01T00:00:00"/>
    <n v="5"/>
    <x v="2"/>
    <x v="3"/>
    <n v="3"/>
    <n v="5"/>
    <n v="1"/>
    <n v="4"/>
    <n v="5"/>
    <x v="4"/>
    <n v="2"/>
    <n v="1"/>
    <n v="3"/>
    <n v="3"/>
    <x v="0"/>
    <s v="Feedback Form"/>
    <s v="Average"/>
    <x v="0"/>
    <n v="58"/>
    <d v="2024-06-11T00:00:00"/>
    <x v="2"/>
    <x v="3"/>
    <x v="1"/>
  </r>
  <r>
    <n v="267"/>
    <n v="34057"/>
    <s v="Jason Clark"/>
    <x v="0"/>
    <x v="1"/>
    <x v="222"/>
    <d v="2024-12-19T00:00:00"/>
    <n v="6"/>
    <x v="3"/>
    <x v="0"/>
    <n v="3"/>
    <n v="3"/>
    <n v="3"/>
    <n v="3"/>
    <n v="2"/>
    <x v="0"/>
    <n v="1"/>
    <n v="3"/>
    <n v="1"/>
    <n v="2"/>
    <x v="1"/>
    <s v="Online Survey"/>
    <s v="Needs improvement"/>
    <x v="1"/>
    <n v="67"/>
    <d v="2024-12-19T00:00:00"/>
    <x v="2"/>
    <x v="8"/>
    <x v="1"/>
  </r>
  <r>
    <n v="268"/>
    <n v="16080"/>
    <s v="Scott Miller"/>
    <x v="4"/>
    <x v="2"/>
    <x v="223"/>
    <d v="2024-06-30T00:00:00"/>
    <n v="8"/>
    <x v="0"/>
    <x v="1"/>
    <n v="5"/>
    <n v="3"/>
    <n v="2"/>
    <n v="5"/>
    <n v="5"/>
    <x v="0"/>
    <n v="1"/>
    <n v="4"/>
    <n v="4"/>
    <n v="5"/>
    <x v="0"/>
    <s v="In-person"/>
    <s v="Will visit again"/>
    <x v="0"/>
    <n v="59"/>
    <d v="2024-06-30T00:00:00"/>
    <x v="2"/>
    <x v="16"/>
    <x v="0"/>
  </r>
  <r>
    <n v="269"/>
    <n v="88317"/>
    <s v="Bradley Colon"/>
    <x v="0"/>
    <x v="3"/>
    <x v="224"/>
    <d v="2024-04-09T00:00:00"/>
    <n v="4"/>
    <x v="1"/>
    <x v="2"/>
    <n v="5"/>
    <n v="3"/>
    <n v="5"/>
    <n v="5"/>
    <n v="3"/>
    <x v="2"/>
    <n v="5"/>
    <n v="1"/>
    <n v="4"/>
    <n v="5"/>
    <x v="1"/>
    <s v="Email"/>
    <s v="Great stay"/>
    <x v="0"/>
    <n v="61"/>
    <d v="2024-04-09T00:00:00"/>
    <x v="2"/>
    <x v="21"/>
    <x v="0"/>
  </r>
  <r>
    <n v="270"/>
    <n v="41942"/>
    <s v="Thomas Wright"/>
    <x v="0"/>
    <x v="2"/>
    <x v="225"/>
    <d v="2024-07-22T00:00:00"/>
    <n v="13"/>
    <x v="1"/>
    <x v="0"/>
    <n v="4"/>
    <n v="4"/>
    <n v="2"/>
    <n v="3"/>
    <n v="3"/>
    <x v="2"/>
    <n v="2"/>
    <n v="1"/>
    <n v="1"/>
    <n v="5"/>
    <x v="0"/>
    <s v="In-person"/>
    <s v="Average"/>
    <x v="0"/>
    <n v="22"/>
    <d v="2024-07-22T00:00:00"/>
    <x v="0"/>
    <x v="5"/>
    <x v="1"/>
  </r>
  <r>
    <n v="271"/>
    <n v="27016"/>
    <s v="Danielle Perez"/>
    <x v="1"/>
    <x v="3"/>
    <x v="226"/>
    <d v="2024-03-09T00:00:00"/>
    <n v="6"/>
    <x v="1"/>
    <x v="0"/>
    <n v="5"/>
    <n v="5"/>
    <n v="3"/>
    <n v="3"/>
    <n v="4"/>
    <x v="0"/>
    <n v="4"/>
    <n v="2"/>
    <n v="4"/>
    <n v="3"/>
    <x v="1"/>
    <s v="Feedback Form"/>
    <s v="Will visit again"/>
    <x v="1"/>
    <n v="44"/>
    <d v="2024-03-09T00:00:00"/>
    <x v="1"/>
    <x v="11"/>
    <x v="0"/>
  </r>
  <r>
    <n v="272"/>
    <n v="34232"/>
    <s v="Lori Thomas"/>
    <x v="3"/>
    <x v="0"/>
    <x v="227"/>
    <d v="2024-12-09T00:00:00"/>
    <n v="13"/>
    <x v="0"/>
    <x v="1"/>
    <n v="4"/>
    <n v="4"/>
    <n v="3"/>
    <n v="4"/>
    <n v="3"/>
    <x v="3"/>
    <n v="3"/>
    <n v="3"/>
    <n v="3"/>
    <n v="4"/>
    <x v="0"/>
    <s v="Email"/>
    <s v="Poor service"/>
    <x v="0"/>
    <n v="19"/>
    <d v="2024-12-09T00:00:00"/>
    <x v="0"/>
    <x v="18"/>
    <x v="0"/>
  </r>
  <r>
    <n v="273"/>
    <n v="70928"/>
    <s v="Mrs. Crystal Mendez"/>
    <x v="2"/>
    <x v="1"/>
    <x v="228"/>
    <d v="2024-03-02T00:00:00"/>
    <n v="10"/>
    <x v="0"/>
    <x v="1"/>
    <n v="1"/>
    <n v="4"/>
    <n v="5"/>
    <n v="3"/>
    <n v="5"/>
    <x v="0"/>
    <n v="4"/>
    <n v="1"/>
    <n v="1"/>
    <n v="1"/>
    <x v="1"/>
    <s v="Feedback Form"/>
    <s v="Average"/>
    <x v="1"/>
    <n v="58"/>
    <d v="2024-03-02T00:00:00"/>
    <x v="2"/>
    <x v="3"/>
    <x v="1"/>
  </r>
  <r>
    <n v="274"/>
    <n v="10329"/>
    <s v="Angela Brown"/>
    <x v="1"/>
    <x v="1"/>
    <x v="229"/>
    <d v="2024-08-15T00:00:00"/>
    <n v="2"/>
    <x v="1"/>
    <x v="2"/>
    <n v="3"/>
    <n v="4"/>
    <n v="1"/>
    <n v="5"/>
    <n v="1"/>
    <x v="0"/>
    <n v="2"/>
    <n v="1"/>
    <n v="3"/>
    <n v="1"/>
    <x v="0"/>
    <s v="Online Survey"/>
    <s v="Needs improvement"/>
    <x v="0"/>
    <n v="67"/>
    <d v="2024-08-15T00:00:00"/>
    <x v="2"/>
    <x v="8"/>
    <x v="1"/>
  </r>
  <r>
    <n v="275"/>
    <n v="70363"/>
    <s v="Adam Russell"/>
    <x v="3"/>
    <x v="3"/>
    <x v="16"/>
    <d v="2024-11-26T00:00:00"/>
    <n v="9"/>
    <x v="0"/>
    <x v="1"/>
    <n v="4"/>
    <n v="5"/>
    <n v="5"/>
    <n v="4"/>
    <n v="5"/>
    <x v="1"/>
    <n v="4"/>
    <n v="3"/>
    <n v="4"/>
    <n v="2"/>
    <x v="1"/>
    <s v="Online Survey"/>
    <s v="Great stay"/>
    <x v="0"/>
    <n v="44"/>
    <d v="2024-11-26T00:00:00"/>
    <x v="1"/>
    <x v="23"/>
    <x v="2"/>
  </r>
  <r>
    <n v="276"/>
    <n v="40595"/>
    <s v="Benjamin Murphy"/>
    <x v="2"/>
    <x v="1"/>
    <x v="230"/>
    <d v="2024-02-27T00:00:00"/>
    <n v="12"/>
    <x v="2"/>
    <x v="3"/>
    <n v="1"/>
    <n v="2"/>
    <n v="1"/>
    <n v="3"/>
    <n v="1"/>
    <x v="3"/>
    <n v="2"/>
    <n v="5"/>
    <n v="5"/>
    <n v="5"/>
    <x v="0"/>
    <s v="In-person"/>
    <s v="Average"/>
    <x v="1"/>
    <n v="18"/>
    <d v="2024-06-07T00:00:00"/>
    <x v="0"/>
    <x v="4"/>
    <x v="1"/>
  </r>
  <r>
    <n v="277"/>
    <n v="15446"/>
    <s v="Wendy Clark"/>
    <x v="2"/>
    <x v="2"/>
    <x v="231"/>
    <d v="2025-01-06T00:00:00"/>
    <n v="9"/>
    <x v="1"/>
    <x v="1"/>
    <n v="3"/>
    <n v="2"/>
    <n v="5"/>
    <n v="4"/>
    <n v="5"/>
    <x v="3"/>
    <n v="5"/>
    <n v="4"/>
    <n v="1"/>
    <n v="1"/>
    <x v="0"/>
    <s v="App Review"/>
    <s v="Will visit again"/>
    <x v="1"/>
    <n v="31"/>
    <d v="2025-01-06T00:00:00"/>
    <x v="3"/>
    <x v="13"/>
    <x v="0"/>
  </r>
  <r>
    <n v="278"/>
    <n v="87781"/>
    <s v="Benjamin Swanson"/>
    <x v="3"/>
    <x v="1"/>
    <x v="232"/>
    <d v="2023-06-21T00:00:00"/>
    <n v="12"/>
    <x v="2"/>
    <x v="0"/>
    <n v="2"/>
    <n v="3"/>
    <n v="1"/>
    <n v="4"/>
    <n v="1"/>
    <x v="2"/>
    <n v="5"/>
    <n v="3"/>
    <n v="2"/>
    <n v="3"/>
    <x v="0"/>
    <s v="In-person"/>
    <s v="Needs improvement"/>
    <x v="0"/>
    <n v="52"/>
    <d v="2024-08-03T00:00:00"/>
    <x v="2"/>
    <x v="7"/>
    <x v="1"/>
  </r>
  <r>
    <n v="279"/>
    <n v="76204"/>
    <s v="Sarah Hammond"/>
    <x v="2"/>
    <x v="1"/>
    <x v="233"/>
    <d v="2024-12-11T00:00:00"/>
    <n v="10"/>
    <x v="2"/>
    <x v="1"/>
    <n v="1"/>
    <n v="4"/>
    <n v="4"/>
    <n v="1"/>
    <n v="1"/>
    <x v="2"/>
    <n v="4"/>
    <n v="2"/>
    <n v="2"/>
    <n v="3"/>
    <x v="1"/>
    <s v="Email"/>
    <s v="Will visit again"/>
    <x v="0"/>
    <n v="40"/>
    <d v="2024-12-11T00:00:00"/>
    <x v="1"/>
    <x v="8"/>
    <x v="1"/>
  </r>
  <r>
    <n v="280"/>
    <n v="56094"/>
    <s v="Mrs. Amy Rodgers"/>
    <x v="4"/>
    <x v="1"/>
    <x v="234"/>
    <d v="2024-11-17T00:00:00"/>
    <n v="10"/>
    <x v="0"/>
    <x v="2"/>
    <n v="2"/>
    <n v="3"/>
    <n v="1"/>
    <n v="3"/>
    <n v="2"/>
    <x v="2"/>
    <n v="4"/>
    <n v="2"/>
    <n v="3"/>
    <n v="3"/>
    <x v="0"/>
    <s v="Online Survey"/>
    <s v="Will visit again"/>
    <x v="2"/>
    <n v="60"/>
    <d v="2024-11-17T00:00:00"/>
    <x v="2"/>
    <x v="14"/>
    <x v="1"/>
  </r>
  <r>
    <n v="281"/>
    <n v="24822"/>
    <s v="Joe Campbell"/>
    <x v="4"/>
    <x v="4"/>
    <x v="235"/>
    <d v="2024-09-17T00:00:00"/>
    <n v="6"/>
    <x v="0"/>
    <x v="3"/>
    <n v="5"/>
    <n v="4"/>
    <n v="1"/>
    <n v="1"/>
    <n v="2"/>
    <x v="4"/>
    <n v="2"/>
    <n v="4"/>
    <n v="4"/>
    <n v="2"/>
    <x v="0"/>
    <s v="In-person"/>
    <s v="Great stay"/>
    <x v="1"/>
    <n v="39"/>
    <d v="2024-09-17T00:00:00"/>
    <x v="1"/>
    <x v="7"/>
    <x v="1"/>
  </r>
  <r>
    <n v="282"/>
    <n v="26822"/>
    <s v="Richard Conway"/>
    <x v="1"/>
    <x v="3"/>
    <x v="236"/>
    <d v="2024-04-20T00:00:00"/>
    <n v="6"/>
    <x v="1"/>
    <x v="1"/>
    <n v="4"/>
    <n v="3"/>
    <n v="3"/>
    <n v="5"/>
    <n v="5"/>
    <x v="3"/>
    <n v="5"/>
    <n v="2"/>
    <n v="3"/>
    <n v="5"/>
    <x v="1"/>
    <s v="Online Survey"/>
    <s v="Average"/>
    <x v="2"/>
    <n v="44"/>
    <d v="2024-04-20T00:00:00"/>
    <x v="1"/>
    <x v="20"/>
    <x v="0"/>
  </r>
  <r>
    <n v="283"/>
    <n v="62077"/>
    <s v="Brian Serrano"/>
    <x v="2"/>
    <x v="0"/>
    <x v="237"/>
    <d v="2024-04-28T00:00:00"/>
    <n v="10"/>
    <x v="0"/>
    <x v="3"/>
    <n v="3"/>
    <n v="1"/>
    <n v="2"/>
    <n v="4"/>
    <n v="3"/>
    <x v="1"/>
    <n v="4"/>
    <n v="3"/>
    <n v="2"/>
    <n v="1"/>
    <x v="1"/>
    <s v="App Review"/>
    <s v="Will visit again"/>
    <x v="2"/>
    <n v="67"/>
    <d v="2024-04-28T00:00:00"/>
    <x v="2"/>
    <x v="3"/>
    <x v="1"/>
  </r>
  <r>
    <n v="284"/>
    <n v="14020"/>
    <s v="David Smith"/>
    <x v="2"/>
    <x v="0"/>
    <x v="238"/>
    <d v="2024-01-20T00:00:00"/>
    <n v="7"/>
    <x v="2"/>
    <x v="1"/>
    <n v="5"/>
    <n v="5"/>
    <n v="5"/>
    <n v="5"/>
    <n v="2"/>
    <x v="2"/>
    <n v="2"/>
    <n v="5"/>
    <n v="1"/>
    <n v="5"/>
    <x v="0"/>
    <s v="In-person"/>
    <s v="Needs improvement"/>
    <x v="2"/>
    <n v="42"/>
    <d v="2024-01-20T00:00:00"/>
    <x v="1"/>
    <x v="16"/>
    <x v="0"/>
  </r>
  <r>
    <n v="285"/>
    <n v="32061"/>
    <s v="Lisa Black"/>
    <x v="3"/>
    <x v="4"/>
    <x v="16"/>
    <d v="2024-07-06T00:00:00"/>
    <n v="4"/>
    <x v="0"/>
    <x v="3"/>
    <n v="1"/>
    <n v="4"/>
    <n v="3"/>
    <n v="4"/>
    <n v="1"/>
    <x v="2"/>
    <n v="2"/>
    <n v="2"/>
    <n v="3"/>
    <n v="5"/>
    <x v="1"/>
    <s v="Online Survey"/>
    <s v="Will visit again"/>
    <x v="1"/>
    <n v="51"/>
    <d v="2024-07-06T00:00:00"/>
    <x v="2"/>
    <x v="5"/>
    <x v="1"/>
  </r>
  <r>
    <n v="286"/>
    <n v="34849"/>
    <s v="Jonathan King"/>
    <x v="4"/>
    <x v="4"/>
    <x v="239"/>
    <d v="2024-06-26T00:00:00"/>
    <n v="7"/>
    <x v="1"/>
    <x v="1"/>
    <n v="5"/>
    <n v="4"/>
    <n v="2"/>
    <n v="3"/>
    <n v="5"/>
    <x v="2"/>
    <n v="4"/>
    <n v="3"/>
    <n v="4"/>
    <n v="3"/>
    <x v="1"/>
    <s v="Feedback Form"/>
    <s v="Will visit again"/>
    <x v="0"/>
    <n v="66"/>
    <d v="2024-06-26T00:00:00"/>
    <x v="2"/>
    <x v="18"/>
    <x v="0"/>
  </r>
  <r>
    <n v="287"/>
    <n v="63865"/>
    <s v="Thomas Schmidt"/>
    <x v="0"/>
    <x v="0"/>
    <x v="240"/>
    <d v="2023-09-06T00:00:00"/>
    <n v="10"/>
    <x v="3"/>
    <x v="1"/>
    <n v="2"/>
    <n v="4"/>
    <n v="3"/>
    <n v="2"/>
    <n v="3"/>
    <x v="2"/>
    <n v="3"/>
    <n v="2"/>
    <n v="2"/>
    <n v="1"/>
    <x v="0"/>
    <s v="App Review"/>
    <s v="Needs improvement"/>
    <x v="0"/>
    <n v="44"/>
    <d v="2024-03-23T00:00:00"/>
    <x v="1"/>
    <x v="8"/>
    <x v="1"/>
  </r>
  <r>
    <n v="288"/>
    <n v="35602"/>
    <s v="Randall Shannon"/>
    <x v="1"/>
    <x v="2"/>
    <x v="241"/>
    <d v="2023-11-16T00:00:00"/>
    <n v="1"/>
    <x v="3"/>
    <x v="4"/>
    <n v="2"/>
    <n v="5"/>
    <n v="3"/>
    <n v="3"/>
    <n v="5"/>
    <x v="2"/>
    <n v="1"/>
    <n v="1"/>
    <n v="1"/>
    <n v="2"/>
    <x v="0"/>
    <s v="Feedback Form"/>
    <s v="Poor service"/>
    <x v="1"/>
    <n v="52"/>
    <d v="2023-11-16T00:00:00"/>
    <x v="2"/>
    <x v="14"/>
    <x v="1"/>
  </r>
  <r>
    <n v="289"/>
    <n v="45894"/>
    <s v="Jason Norris"/>
    <x v="4"/>
    <x v="0"/>
    <x v="242"/>
    <d v="2024-12-01T00:00:00"/>
    <n v="13"/>
    <x v="0"/>
    <x v="0"/>
    <n v="4"/>
    <n v="1"/>
    <n v="5"/>
    <n v="4"/>
    <n v="1"/>
    <x v="4"/>
    <n v="2"/>
    <n v="1"/>
    <n v="3"/>
    <n v="5"/>
    <x v="0"/>
    <s v="Email"/>
    <s v="Will visit again"/>
    <x v="2"/>
    <n v="38"/>
    <d v="2024-12-01T00:00:00"/>
    <x v="1"/>
    <x v="5"/>
    <x v="1"/>
  </r>
  <r>
    <n v="290"/>
    <n v="45701"/>
    <s v="Harold Terrell"/>
    <x v="3"/>
    <x v="0"/>
    <x v="243"/>
    <d v="2024-07-08T00:00:00"/>
    <n v="14"/>
    <x v="3"/>
    <x v="2"/>
    <n v="5"/>
    <n v="2"/>
    <n v="4"/>
    <n v="2"/>
    <n v="2"/>
    <x v="1"/>
    <n v="5"/>
    <n v="5"/>
    <n v="1"/>
    <n v="4"/>
    <x v="0"/>
    <s v="App Review"/>
    <s v="Needs improvement"/>
    <x v="1"/>
    <n v="56"/>
    <d v="2024-07-08T00:00:00"/>
    <x v="2"/>
    <x v="18"/>
    <x v="0"/>
  </r>
  <r>
    <n v="291"/>
    <n v="29752"/>
    <s v="Kevin Garcia"/>
    <x v="1"/>
    <x v="3"/>
    <x v="45"/>
    <d v="2024-04-11T00:00:00"/>
    <n v="7"/>
    <x v="2"/>
    <x v="2"/>
    <n v="3"/>
    <n v="5"/>
    <n v="3"/>
    <n v="2"/>
    <n v="2"/>
    <x v="3"/>
    <n v="1"/>
    <n v="1"/>
    <n v="5"/>
    <n v="3"/>
    <x v="1"/>
    <s v="Online Survey"/>
    <s v="Great stay"/>
    <x v="0"/>
    <n v="20"/>
    <d v="2024-04-11T00:00:00"/>
    <x v="0"/>
    <x v="4"/>
    <x v="1"/>
  </r>
  <r>
    <n v="292"/>
    <n v="38269"/>
    <s v="Suzanne Hernandez"/>
    <x v="0"/>
    <x v="0"/>
    <x v="244"/>
    <d v="2024-10-01T00:00:00"/>
    <n v="12"/>
    <x v="3"/>
    <x v="4"/>
    <n v="2"/>
    <n v="1"/>
    <n v="5"/>
    <n v="3"/>
    <n v="4"/>
    <x v="1"/>
    <n v="2"/>
    <n v="1"/>
    <n v="2"/>
    <n v="4"/>
    <x v="0"/>
    <s v="Feedback Form"/>
    <s v="Average"/>
    <x v="1"/>
    <n v="42"/>
    <d v="2024-10-01T00:00:00"/>
    <x v="1"/>
    <x v="4"/>
    <x v="1"/>
  </r>
  <r>
    <n v="293"/>
    <n v="98436"/>
    <s v="Lisa Smith"/>
    <x v="1"/>
    <x v="0"/>
    <x v="245"/>
    <d v="2024-03-13T00:00:00"/>
    <n v="13"/>
    <x v="3"/>
    <x v="1"/>
    <n v="1"/>
    <n v="3"/>
    <n v="1"/>
    <n v="5"/>
    <n v="4"/>
    <x v="0"/>
    <n v="3"/>
    <n v="2"/>
    <n v="3"/>
    <n v="2"/>
    <x v="1"/>
    <s v="Email"/>
    <s v="Needs improvement"/>
    <x v="2"/>
    <n v="64"/>
    <d v="2024-03-13T00:00:00"/>
    <x v="2"/>
    <x v="5"/>
    <x v="1"/>
  </r>
  <r>
    <n v="294"/>
    <n v="39140"/>
    <s v="Jeffrey Miller"/>
    <x v="4"/>
    <x v="1"/>
    <x v="246"/>
    <d v="2024-08-17T00:00:00"/>
    <n v="1"/>
    <x v="2"/>
    <x v="0"/>
    <n v="5"/>
    <n v="4"/>
    <n v="2"/>
    <n v="3"/>
    <n v="5"/>
    <x v="3"/>
    <n v="1"/>
    <n v="2"/>
    <n v="1"/>
    <n v="2"/>
    <x v="1"/>
    <s v="Feedback Form"/>
    <s v="Needs improvement"/>
    <x v="1"/>
    <n v="21"/>
    <d v="2024-08-17T00:00:00"/>
    <x v="0"/>
    <x v="4"/>
    <x v="1"/>
  </r>
  <r>
    <n v="295"/>
    <n v="31639"/>
    <s v="Anthony Galvan"/>
    <x v="0"/>
    <x v="4"/>
    <x v="247"/>
    <d v="2023-11-16T00:00:00"/>
    <n v="11"/>
    <x v="1"/>
    <x v="3"/>
    <n v="3"/>
    <n v="4"/>
    <n v="5"/>
    <n v="4"/>
    <n v="5"/>
    <x v="2"/>
    <n v="5"/>
    <n v="4"/>
    <n v="3"/>
    <n v="2"/>
    <x v="1"/>
    <s v="App Review"/>
    <s v="Average"/>
    <x v="0"/>
    <n v="32"/>
    <d v="2024-12-30T00:00:00"/>
    <x v="3"/>
    <x v="16"/>
    <x v="0"/>
  </r>
  <r>
    <n v="296"/>
    <n v="74320"/>
    <s v="Stephanie Smith"/>
    <x v="3"/>
    <x v="0"/>
    <x v="248"/>
    <d v="2024-12-05T00:00:00"/>
    <n v="14"/>
    <x v="3"/>
    <x v="4"/>
    <n v="3"/>
    <n v="2"/>
    <n v="4"/>
    <n v="5"/>
    <n v="3"/>
    <x v="0"/>
    <n v="1"/>
    <n v="5"/>
    <n v="4"/>
    <n v="2"/>
    <x v="0"/>
    <s v="Feedback Form"/>
    <s v="Needs improvement"/>
    <x v="0"/>
    <n v="20"/>
    <d v="2024-12-05T00:00:00"/>
    <x v="0"/>
    <x v="10"/>
    <x v="0"/>
  </r>
  <r>
    <n v="297"/>
    <n v="18062"/>
    <s v="Joshua King"/>
    <x v="1"/>
    <x v="0"/>
    <x v="249"/>
    <d v="2024-04-23T00:00:00"/>
    <n v="8"/>
    <x v="3"/>
    <x v="2"/>
    <n v="3"/>
    <n v="3"/>
    <n v="5"/>
    <n v="4"/>
    <n v="2"/>
    <x v="0"/>
    <n v="4"/>
    <n v="1"/>
    <n v="4"/>
    <n v="1"/>
    <x v="1"/>
    <s v="Feedback Form"/>
    <s v="Poor service"/>
    <x v="0"/>
    <n v="28"/>
    <d v="2024-04-23T00:00:00"/>
    <x v="3"/>
    <x v="2"/>
    <x v="0"/>
  </r>
  <r>
    <n v="298"/>
    <n v="87045"/>
    <s v="Ashley Meza"/>
    <x v="4"/>
    <x v="2"/>
    <x v="83"/>
    <d v="2024-05-20T00:00:00"/>
    <n v="10"/>
    <x v="3"/>
    <x v="2"/>
    <n v="3"/>
    <n v="1"/>
    <n v="5"/>
    <n v="5"/>
    <n v="2"/>
    <x v="0"/>
    <n v="2"/>
    <n v="4"/>
    <n v="3"/>
    <n v="4"/>
    <x v="0"/>
    <s v="In-person"/>
    <s v="Great stay"/>
    <x v="2"/>
    <n v="45"/>
    <d v="2024-05-20T00:00:00"/>
    <x v="1"/>
    <x v="10"/>
    <x v="0"/>
  </r>
  <r>
    <n v="299"/>
    <n v="18261"/>
    <s v="Scott Moore"/>
    <x v="3"/>
    <x v="0"/>
    <x v="250"/>
    <d v="2024-08-09T00:00:00"/>
    <n v="6"/>
    <x v="1"/>
    <x v="2"/>
    <n v="2"/>
    <n v="3"/>
    <n v="1"/>
    <n v="1"/>
    <n v="4"/>
    <x v="0"/>
    <n v="4"/>
    <n v="2"/>
    <n v="2"/>
    <n v="3"/>
    <x v="0"/>
    <s v="Online Survey"/>
    <s v="Poor service"/>
    <x v="0"/>
    <n v="20"/>
    <d v="2024-08-09T00:00:00"/>
    <x v="0"/>
    <x v="14"/>
    <x v="1"/>
  </r>
  <r>
    <n v="300"/>
    <n v="88304"/>
    <s v="Matthew Mitchell"/>
    <x v="0"/>
    <x v="3"/>
    <x v="251"/>
    <d v="2024-12-20T00:00:00"/>
    <n v="14"/>
    <x v="0"/>
    <x v="1"/>
    <n v="4"/>
    <n v="3"/>
    <n v="2"/>
    <n v="5"/>
    <n v="1"/>
    <x v="2"/>
    <n v="3"/>
    <n v="4"/>
    <n v="3"/>
    <n v="4"/>
    <x v="1"/>
    <s v="Feedback Form"/>
    <s v="Will visit again"/>
    <x v="0"/>
    <n v="69"/>
    <d v="2024-12-20T00:00:00"/>
    <x v="2"/>
    <x v="0"/>
    <x v="0"/>
  </r>
  <r>
    <n v="301"/>
    <n v="14585"/>
    <s v="Gregory Williams"/>
    <x v="1"/>
    <x v="2"/>
    <x v="252"/>
    <d v="2024-12-10T00:00:00"/>
    <n v="14"/>
    <x v="0"/>
    <x v="3"/>
    <n v="5"/>
    <n v="2"/>
    <n v="2"/>
    <n v="1"/>
    <n v="1"/>
    <x v="0"/>
    <n v="1"/>
    <n v="1"/>
    <n v="3"/>
    <n v="1"/>
    <x v="0"/>
    <s v="In-person"/>
    <s v="Great stay"/>
    <x v="1"/>
    <n v="35"/>
    <d v="2024-12-10T00:00:00"/>
    <x v="3"/>
    <x v="15"/>
    <x v="1"/>
  </r>
  <r>
    <n v="302"/>
    <n v="63750"/>
    <s v="Amber Becker"/>
    <x v="2"/>
    <x v="0"/>
    <x v="193"/>
    <d v="2024-04-02T00:00:00"/>
    <n v="1"/>
    <x v="1"/>
    <x v="3"/>
    <n v="2"/>
    <n v="1"/>
    <n v="4"/>
    <n v="4"/>
    <n v="4"/>
    <x v="1"/>
    <n v="4"/>
    <n v="4"/>
    <n v="3"/>
    <n v="5"/>
    <x v="1"/>
    <s v="Online Survey"/>
    <s v="Will visit again"/>
    <x v="1"/>
    <n v="63"/>
    <d v="2024-04-02T00:00:00"/>
    <x v="2"/>
    <x v="11"/>
    <x v="0"/>
  </r>
  <r>
    <n v="303"/>
    <n v="37632"/>
    <s v="Christina Shelton"/>
    <x v="4"/>
    <x v="3"/>
    <x v="126"/>
    <d v="2024-06-13T00:00:00"/>
    <n v="11"/>
    <x v="2"/>
    <x v="3"/>
    <n v="4"/>
    <n v="2"/>
    <n v="2"/>
    <n v="3"/>
    <n v="5"/>
    <x v="2"/>
    <n v="3"/>
    <n v="3"/>
    <n v="3"/>
    <n v="2"/>
    <x v="0"/>
    <s v="App Review"/>
    <s v="Average"/>
    <x v="2"/>
    <n v="26"/>
    <d v="2024-06-13T00:00:00"/>
    <x v="3"/>
    <x v="4"/>
    <x v="1"/>
  </r>
  <r>
    <n v="304"/>
    <n v="48585"/>
    <s v="Debra Russo"/>
    <x v="4"/>
    <x v="4"/>
    <x v="253"/>
    <d v="2024-10-18T00:00:00"/>
    <n v="12"/>
    <x v="0"/>
    <x v="1"/>
    <n v="3"/>
    <n v="1"/>
    <n v="1"/>
    <n v="4"/>
    <n v="2"/>
    <x v="0"/>
    <n v="4"/>
    <n v="5"/>
    <n v="2"/>
    <n v="5"/>
    <x v="0"/>
    <s v="App Review"/>
    <s v="Needs improvement"/>
    <x v="2"/>
    <n v="32"/>
    <d v="2024-10-18T00:00:00"/>
    <x v="3"/>
    <x v="2"/>
    <x v="0"/>
  </r>
  <r>
    <n v="305"/>
    <n v="10116"/>
    <s v="Loretta Ward"/>
    <x v="2"/>
    <x v="0"/>
    <x v="80"/>
    <d v="2023-07-06T00:00:00"/>
    <n v="1"/>
    <x v="1"/>
    <x v="2"/>
    <n v="1"/>
    <n v="5"/>
    <n v="4"/>
    <n v="3"/>
    <n v="2"/>
    <x v="0"/>
    <n v="5"/>
    <n v="1"/>
    <n v="5"/>
    <n v="2"/>
    <x v="1"/>
    <s v="In-person"/>
    <s v="Needs improvement"/>
    <x v="1"/>
    <n v="57"/>
    <d v="2024-02-11T00:00:00"/>
    <x v="2"/>
    <x v="0"/>
    <x v="0"/>
  </r>
  <r>
    <n v="306"/>
    <n v="25616"/>
    <s v="Curtis Walker"/>
    <x v="3"/>
    <x v="4"/>
    <x v="28"/>
    <d v="2024-03-19T00:00:00"/>
    <n v="12"/>
    <x v="1"/>
    <x v="2"/>
    <n v="3"/>
    <n v="5"/>
    <n v="1"/>
    <n v="1"/>
    <n v="2"/>
    <x v="1"/>
    <n v="4"/>
    <n v="3"/>
    <n v="5"/>
    <n v="3"/>
    <x v="1"/>
    <s v="In-person"/>
    <s v="Great stay"/>
    <x v="0"/>
    <n v="25"/>
    <d v="2024-12-23T00:00:00"/>
    <x v="0"/>
    <x v="10"/>
    <x v="0"/>
  </r>
  <r>
    <n v="307"/>
    <n v="93733"/>
    <s v="Maria Best"/>
    <x v="4"/>
    <x v="0"/>
    <x v="254"/>
    <d v="2024-03-17T00:00:00"/>
    <n v="13"/>
    <x v="2"/>
    <x v="1"/>
    <n v="4"/>
    <n v="4"/>
    <n v="1"/>
    <n v="3"/>
    <n v="1"/>
    <x v="4"/>
    <n v="2"/>
    <n v="4"/>
    <n v="1"/>
    <n v="2"/>
    <x v="0"/>
    <s v="App Review"/>
    <s v="Needs improvement"/>
    <x v="1"/>
    <n v="57"/>
    <d v="2024-03-17T00:00:00"/>
    <x v="2"/>
    <x v="9"/>
    <x v="1"/>
  </r>
  <r>
    <n v="308"/>
    <n v="39590"/>
    <s v="Sharon Adams"/>
    <x v="3"/>
    <x v="2"/>
    <x v="244"/>
    <d v="2024-10-01T00:00:00"/>
    <n v="13"/>
    <x v="1"/>
    <x v="0"/>
    <n v="4"/>
    <n v="2"/>
    <n v="5"/>
    <n v="4"/>
    <n v="5"/>
    <x v="4"/>
    <n v="4"/>
    <n v="1"/>
    <n v="2"/>
    <n v="2"/>
    <x v="1"/>
    <s v="Email"/>
    <s v="Needs improvement"/>
    <x v="1"/>
    <n v="31"/>
    <d v="2024-10-01T00:00:00"/>
    <x v="3"/>
    <x v="2"/>
    <x v="0"/>
  </r>
  <r>
    <n v="309"/>
    <n v="75436"/>
    <s v="Amy Harvey"/>
    <x v="0"/>
    <x v="2"/>
    <x v="255"/>
    <d v="2024-11-09T00:00:00"/>
    <n v="4"/>
    <x v="0"/>
    <x v="1"/>
    <n v="1"/>
    <n v="5"/>
    <n v="5"/>
    <n v="4"/>
    <n v="1"/>
    <x v="1"/>
    <n v="4"/>
    <n v="4"/>
    <n v="2"/>
    <n v="5"/>
    <x v="1"/>
    <s v="Online Survey"/>
    <s v="Will visit again"/>
    <x v="0"/>
    <n v="55"/>
    <d v="2024-11-09T00:00:00"/>
    <x v="2"/>
    <x v="11"/>
    <x v="0"/>
  </r>
  <r>
    <n v="310"/>
    <n v="18685"/>
    <s v="Crystal Kirby"/>
    <x v="2"/>
    <x v="3"/>
    <x v="24"/>
    <d v="2024-07-08T00:00:00"/>
    <n v="7"/>
    <x v="0"/>
    <x v="1"/>
    <n v="2"/>
    <n v="3"/>
    <n v="5"/>
    <n v="4"/>
    <n v="5"/>
    <x v="4"/>
    <n v="4"/>
    <n v="5"/>
    <n v="2"/>
    <n v="5"/>
    <x v="0"/>
    <s v="Online Survey"/>
    <s v="Poor service"/>
    <x v="1"/>
    <n v="30"/>
    <d v="2024-08-06T00:00:00"/>
    <x v="3"/>
    <x v="11"/>
    <x v="0"/>
  </r>
  <r>
    <n v="311"/>
    <n v="79394"/>
    <s v="Susan Haynes"/>
    <x v="3"/>
    <x v="1"/>
    <x v="28"/>
    <d v="2024-03-31T00:00:00"/>
    <n v="5"/>
    <x v="1"/>
    <x v="2"/>
    <n v="1"/>
    <n v="3"/>
    <n v="3"/>
    <n v="5"/>
    <n v="4"/>
    <x v="3"/>
    <n v="4"/>
    <n v="5"/>
    <n v="4"/>
    <n v="5"/>
    <x v="0"/>
    <s v="In-person"/>
    <s v="Needs improvement"/>
    <x v="1"/>
    <n v="56"/>
    <d v="2024-08-07T00:00:00"/>
    <x v="2"/>
    <x v="21"/>
    <x v="0"/>
  </r>
  <r>
    <n v="312"/>
    <n v="24138"/>
    <s v="Kristy Davies"/>
    <x v="0"/>
    <x v="3"/>
    <x v="256"/>
    <d v="2025-01-02T00:00:00"/>
    <n v="5"/>
    <x v="1"/>
    <x v="3"/>
    <n v="3"/>
    <n v="5"/>
    <n v="1"/>
    <n v="4"/>
    <n v="5"/>
    <x v="3"/>
    <n v="4"/>
    <n v="2"/>
    <n v="2"/>
    <n v="1"/>
    <x v="1"/>
    <s v="Online Survey"/>
    <s v="Will visit again"/>
    <x v="0"/>
    <n v="64"/>
    <d v="2025-01-02T00:00:00"/>
    <x v="2"/>
    <x v="0"/>
    <x v="0"/>
  </r>
  <r>
    <n v="313"/>
    <n v="29067"/>
    <s v="Adam Rojas"/>
    <x v="1"/>
    <x v="0"/>
    <x v="257"/>
    <d v="2024-10-22T00:00:00"/>
    <n v="8"/>
    <x v="2"/>
    <x v="2"/>
    <n v="5"/>
    <n v="2"/>
    <n v="2"/>
    <n v="5"/>
    <n v="1"/>
    <x v="3"/>
    <n v="1"/>
    <n v="3"/>
    <n v="4"/>
    <n v="2"/>
    <x v="0"/>
    <s v="Email"/>
    <s v="Poor service"/>
    <x v="0"/>
    <n v="27"/>
    <d v="2024-10-22T00:00:00"/>
    <x v="3"/>
    <x v="4"/>
    <x v="1"/>
  </r>
  <r>
    <n v="314"/>
    <n v="63327"/>
    <s v="Thomas Fitzpatrick"/>
    <x v="4"/>
    <x v="4"/>
    <x v="258"/>
    <d v="2023-10-20T00:00:00"/>
    <n v="2"/>
    <x v="2"/>
    <x v="0"/>
    <n v="2"/>
    <n v="4"/>
    <n v="4"/>
    <n v="2"/>
    <n v="2"/>
    <x v="4"/>
    <n v="1"/>
    <n v="5"/>
    <n v="5"/>
    <n v="5"/>
    <x v="0"/>
    <s v="Online Survey"/>
    <s v="Needs improvement"/>
    <x v="2"/>
    <n v="61"/>
    <d v="2024-02-22T00:00:00"/>
    <x v="2"/>
    <x v="0"/>
    <x v="0"/>
  </r>
  <r>
    <n v="315"/>
    <n v="49396"/>
    <s v="Joe Jennings"/>
    <x v="2"/>
    <x v="4"/>
    <x v="259"/>
    <d v="2024-08-23T00:00:00"/>
    <n v="4"/>
    <x v="3"/>
    <x v="4"/>
    <n v="5"/>
    <n v="3"/>
    <n v="3"/>
    <n v="1"/>
    <n v="1"/>
    <x v="3"/>
    <n v="5"/>
    <n v="3"/>
    <n v="5"/>
    <n v="1"/>
    <x v="0"/>
    <s v="In-person"/>
    <s v="Great stay"/>
    <x v="2"/>
    <n v="47"/>
    <d v="2024-08-23T00:00:00"/>
    <x v="1"/>
    <x v="0"/>
    <x v="0"/>
  </r>
  <r>
    <n v="316"/>
    <n v="48211"/>
    <s v="Alexander Smith"/>
    <x v="1"/>
    <x v="0"/>
    <x v="260"/>
    <d v="2023-08-16T00:00:00"/>
    <n v="4"/>
    <x v="1"/>
    <x v="4"/>
    <n v="5"/>
    <n v="4"/>
    <n v="5"/>
    <n v="2"/>
    <n v="4"/>
    <x v="3"/>
    <n v="1"/>
    <n v="4"/>
    <n v="4"/>
    <n v="3"/>
    <x v="0"/>
    <s v="Feedback Form"/>
    <s v="Great stay"/>
    <x v="1"/>
    <n v="22"/>
    <d v="2024-10-28T00:00:00"/>
    <x v="0"/>
    <x v="11"/>
    <x v="0"/>
  </r>
  <r>
    <n v="317"/>
    <n v="83624"/>
    <s v="Robert Murillo DDS"/>
    <x v="1"/>
    <x v="1"/>
    <x v="261"/>
    <d v="2024-06-07T00:00:00"/>
    <n v="11"/>
    <x v="3"/>
    <x v="1"/>
    <n v="2"/>
    <n v="3"/>
    <n v="3"/>
    <n v="2"/>
    <n v="2"/>
    <x v="4"/>
    <n v="3"/>
    <n v="3"/>
    <n v="3"/>
    <n v="3"/>
    <x v="1"/>
    <s v="Feedback Form"/>
    <s v="Great stay"/>
    <x v="2"/>
    <n v="39"/>
    <d v="2024-06-07T00:00:00"/>
    <x v="1"/>
    <x v="14"/>
    <x v="1"/>
  </r>
  <r>
    <n v="318"/>
    <n v="50727"/>
    <s v="James Lopez"/>
    <x v="1"/>
    <x v="1"/>
    <x v="262"/>
    <d v="2024-06-21T00:00:00"/>
    <n v="8"/>
    <x v="3"/>
    <x v="4"/>
    <n v="3"/>
    <n v="1"/>
    <n v="3"/>
    <n v="5"/>
    <n v="1"/>
    <x v="1"/>
    <n v="2"/>
    <n v="1"/>
    <n v="5"/>
    <n v="2"/>
    <x v="1"/>
    <s v="In-person"/>
    <s v="Average"/>
    <x v="0"/>
    <n v="52"/>
    <d v="2024-10-28T00:00:00"/>
    <x v="2"/>
    <x v="3"/>
    <x v="1"/>
  </r>
  <r>
    <n v="319"/>
    <n v="24464"/>
    <s v="Laura Kelly"/>
    <x v="3"/>
    <x v="1"/>
    <x v="263"/>
    <d v="2024-08-27T00:00:00"/>
    <n v="6"/>
    <x v="3"/>
    <x v="3"/>
    <n v="4"/>
    <n v="5"/>
    <n v="1"/>
    <n v="5"/>
    <n v="2"/>
    <x v="2"/>
    <n v="4"/>
    <n v="2"/>
    <n v="3"/>
    <n v="5"/>
    <x v="1"/>
    <s v="Feedback Form"/>
    <s v="Great stay"/>
    <x v="0"/>
    <n v="22"/>
    <d v="2024-08-27T00:00:00"/>
    <x v="0"/>
    <x v="1"/>
    <x v="0"/>
  </r>
  <r>
    <n v="320"/>
    <n v="59777"/>
    <s v="Carol Shelton"/>
    <x v="4"/>
    <x v="0"/>
    <x v="29"/>
    <d v="2023-05-05T00:00:00"/>
    <n v="10"/>
    <x v="3"/>
    <x v="2"/>
    <n v="3"/>
    <n v="2"/>
    <n v="1"/>
    <n v="1"/>
    <n v="4"/>
    <x v="3"/>
    <n v="4"/>
    <n v="3"/>
    <n v="1"/>
    <n v="2"/>
    <x v="1"/>
    <s v="Online Survey"/>
    <s v="Needs improvement"/>
    <x v="2"/>
    <n v="29"/>
    <d v="2023-07-07T00:00:00"/>
    <x v="3"/>
    <x v="14"/>
    <x v="1"/>
  </r>
  <r>
    <n v="321"/>
    <n v="25406"/>
    <s v="Sonya Hines"/>
    <x v="2"/>
    <x v="2"/>
    <x v="259"/>
    <d v="2024-08-16T00:00:00"/>
    <n v="9"/>
    <x v="0"/>
    <x v="0"/>
    <n v="4"/>
    <n v="3"/>
    <n v="2"/>
    <n v="1"/>
    <n v="5"/>
    <x v="4"/>
    <n v="4"/>
    <n v="3"/>
    <n v="4"/>
    <n v="2"/>
    <x v="0"/>
    <s v="In-person"/>
    <s v="Needs improvement"/>
    <x v="0"/>
    <n v="52"/>
    <d v="2024-08-16T00:00:00"/>
    <x v="2"/>
    <x v="4"/>
    <x v="1"/>
  </r>
  <r>
    <n v="322"/>
    <n v="89035"/>
    <s v="Ryan Potter"/>
    <x v="4"/>
    <x v="2"/>
    <x v="187"/>
    <d v="2024-02-11T00:00:00"/>
    <n v="10"/>
    <x v="2"/>
    <x v="0"/>
    <n v="4"/>
    <n v="5"/>
    <n v="4"/>
    <n v="1"/>
    <n v="5"/>
    <x v="2"/>
    <n v="5"/>
    <n v="5"/>
    <n v="1"/>
    <n v="2"/>
    <x v="0"/>
    <s v="In-person"/>
    <s v="Great stay"/>
    <x v="0"/>
    <n v="38"/>
    <d v="2024-02-11T00:00:00"/>
    <x v="1"/>
    <x v="13"/>
    <x v="0"/>
  </r>
  <r>
    <n v="323"/>
    <n v="81698"/>
    <s v="Sarah Barrera"/>
    <x v="4"/>
    <x v="0"/>
    <x v="264"/>
    <d v="2023-12-04T00:00:00"/>
    <n v="9"/>
    <x v="1"/>
    <x v="0"/>
    <n v="2"/>
    <n v="4"/>
    <n v="4"/>
    <n v="4"/>
    <n v="3"/>
    <x v="2"/>
    <n v="5"/>
    <n v="1"/>
    <n v="4"/>
    <n v="1"/>
    <x v="0"/>
    <s v="In-person"/>
    <s v="Great stay"/>
    <x v="1"/>
    <n v="43"/>
    <d v="2023-12-04T00:00:00"/>
    <x v="1"/>
    <x v="2"/>
    <x v="0"/>
  </r>
  <r>
    <n v="324"/>
    <n v="74086"/>
    <s v="Michael Rivera"/>
    <x v="4"/>
    <x v="2"/>
    <x v="265"/>
    <d v="2024-02-26T00:00:00"/>
    <n v="4"/>
    <x v="2"/>
    <x v="2"/>
    <n v="2"/>
    <n v="2"/>
    <n v="5"/>
    <n v="4"/>
    <n v="2"/>
    <x v="0"/>
    <n v="3"/>
    <n v="5"/>
    <n v="1"/>
    <n v="2"/>
    <x v="0"/>
    <s v="Feedback Form"/>
    <s v="Will visit again"/>
    <x v="0"/>
    <n v="18"/>
    <d v="2024-06-06T00:00:00"/>
    <x v="0"/>
    <x v="4"/>
    <x v="1"/>
  </r>
  <r>
    <n v="325"/>
    <n v="16797"/>
    <s v="Ronald Williams"/>
    <x v="0"/>
    <x v="1"/>
    <x v="266"/>
    <d v="2023-09-25T00:00:00"/>
    <n v="10"/>
    <x v="2"/>
    <x v="3"/>
    <n v="1"/>
    <n v="2"/>
    <n v="2"/>
    <n v="1"/>
    <n v="4"/>
    <x v="2"/>
    <n v="4"/>
    <n v="3"/>
    <n v="1"/>
    <n v="3"/>
    <x v="1"/>
    <s v="App Review"/>
    <s v="Poor service"/>
    <x v="1"/>
    <n v="66"/>
    <d v="2023-09-25T00:00:00"/>
    <x v="2"/>
    <x v="9"/>
    <x v="1"/>
  </r>
  <r>
    <n v="326"/>
    <n v="14858"/>
    <s v="Angela Quinn"/>
    <x v="0"/>
    <x v="2"/>
    <x v="258"/>
    <d v="2024-06-05T00:00:00"/>
    <n v="7"/>
    <x v="2"/>
    <x v="0"/>
    <n v="5"/>
    <n v="5"/>
    <n v="4"/>
    <n v="5"/>
    <n v="1"/>
    <x v="3"/>
    <n v="5"/>
    <n v="4"/>
    <n v="2"/>
    <n v="5"/>
    <x v="0"/>
    <s v="Feedback Form"/>
    <s v="Great stay"/>
    <x v="0"/>
    <n v="27"/>
    <d v="2024-06-05T00:00:00"/>
    <x v="3"/>
    <x v="12"/>
    <x v="2"/>
  </r>
  <r>
    <n v="327"/>
    <n v="76373"/>
    <s v="Brandon Castillo"/>
    <x v="0"/>
    <x v="0"/>
    <x v="267"/>
    <d v="2024-09-03T00:00:00"/>
    <n v="3"/>
    <x v="2"/>
    <x v="4"/>
    <n v="5"/>
    <n v="5"/>
    <n v="3"/>
    <n v="2"/>
    <n v="1"/>
    <x v="1"/>
    <n v="4"/>
    <n v="5"/>
    <n v="5"/>
    <n v="4"/>
    <x v="1"/>
    <s v="In-person"/>
    <s v="Will visit again"/>
    <x v="1"/>
    <n v="55"/>
    <d v="2024-09-03T00:00:00"/>
    <x v="2"/>
    <x v="20"/>
    <x v="0"/>
  </r>
  <r>
    <n v="328"/>
    <n v="77551"/>
    <s v="Jamie Clarke"/>
    <x v="0"/>
    <x v="2"/>
    <x v="268"/>
    <d v="2024-07-02T00:00:00"/>
    <n v="6"/>
    <x v="2"/>
    <x v="3"/>
    <n v="5"/>
    <n v="5"/>
    <n v="3"/>
    <n v="1"/>
    <n v="3"/>
    <x v="3"/>
    <n v="1"/>
    <n v="5"/>
    <n v="4"/>
    <n v="4"/>
    <x v="1"/>
    <s v="Online Survey"/>
    <s v="Needs improvement"/>
    <x v="2"/>
    <n v="41"/>
    <d v="2024-07-16T00:00:00"/>
    <x v="1"/>
    <x v="18"/>
    <x v="0"/>
  </r>
  <r>
    <n v="329"/>
    <n v="70796"/>
    <s v="Rebecca Jones"/>
    <x v="4"/>
    <x v="2"/>
    <x v="269"/>
    <d v="2023-10-13T00:00:00"/>
    <n v="13"/>
    <x v="2"/>
    <x v="3"/>
    <n v="5"/>
    <n v="1"/>
    <n v="4"/>
    <n v="1"/>
    <n v="1"/>
    <x v="0"/>
    <n v="4"/>
    <n v="1"/>
    <n v="5"/>
    <n v="4"/>
    <x v="0"/>
    <s v="App Review"/>
    <s v="Great stay"/>
    <x v="1"/>
    <n v="69"/>
    <d v="2024-07-13T00:00:00"/>
    <x v="2"/>
    <x v="4"/>
    <x v="1"/>
  </r>
  <r>
    <n v="330"/>
    <n v="75509"/>
    <s v="Jerry Gonzalez"/>
    <x v="4"/>
    <x v="2"/>
    <x v="268"/>
    <d v="2023-06-01T00:00:00"/>
    <n v="1"/>
    <x v="0"/>
    <x v="3"/>
    <n v="1"/>
    <n v="1"/>
    <n v="3"/>
    <n v="2"/>
    <n v="4"/>
    <x v="2"/>
    <n v="3"/>
    <n v="5"/>
    <n v="2"/>
    <n v="5"/>
    <x v="0"/>
    <s v="In-person"/>
    <s v="Will visit again"/>
    <x v="0"/>
    <n v="48"/>
    <d v="2023-10-08T00:00:00"/>
    <x v="1"/>
    <x v="3"/>
    <x v="1"/>
  </r>
  <r>
    <n v="331"/>
    <n v="58393"/>
    <s v="Sarah Stanley"/>
    <x v="2"/>
    <x v="2"/>
    <x v="29"/>
    <d v="2023-12-05T00:00:00"/>
    <n v="5"/>
    <x v="2"/>
    <x v="0"/>
    <n v="4"/>
    <n v="2"/>
    <n v="3"/>
    <n v="3"/>
    <n v="4"/>
    <x v="0"/>
    <n v="3"/>
    <n v="5"/>
    <n v="5"/>
    <n v="2"/>
    <x v="0"/>
    <s v="Feedback Form"/>
    <s v="Will visit again"/>
    <x v="1"/>
    <n v="62"/>
    <d v="2023-12-05T00:00:00"/>
    <x v="2"/>
    <x v="13"/>
    <x v="0"/>
  </r>
  <r>
    <n v="332"/>
    <n v="17234"/>
    <s v="Lori Lopez"/>
    <x v="2"/>
    <x v="0"/>
    <x v="38"/>
    <d v="2024-12-26T00:00:00"/>
    <n v="6"/>
    <x v="1"/>
    <x v="3"/>
    <n v="1"/>
    <n v="5"/>
    <n v="5"/>
    <n v="1"/>
    <n v="5"/>
    <x v="3"/>
    <n v="5"/>
    <n v="2"/>
    <n v="4"/>
    <n v="5"/>
    <x v="0"/>
    <s v="Email"/>
    <s v="Poor service"/>
    <x v="1"/>
    <n v="64"/>
    <d v="2024-12-26T00:00:00"/>
    <x v="2"/>
    <x v="16"/>
    <x v="0"/>
  </r>
  <r>
    <n v="333"/>
    <n v="80284"/>
    <s v="Michael Conway"/>
    <x v="2"/>
    <x v="3"/>
    <x v="270"/>
    <d v="2024-06-16T00:00:00"/>
    <n v="12"/>
    <x v="1"/>
    <x v="0"/>
    <n v="2"/>
    <n v="1"/>
    <n v="3"/>
    <n v="1"/>
    <n v="2"/>
    <x v="3"/>
    <n v="4"/>
    <n v="3"/>
    <n v="2"/>
    <n v="5"/>
    <x v="0"/>
    <s v="In-person"/>
    <s v="Needs improvement"/>
    <x v="1"/>
    <n v="40"/>
    <d v="2024-06-16T00:00:00"/>
    <x v="1"/>
    <x v="5"/>
    <x v="1"/>
  </r>
  <r>
    <n v="334"/>
    <n v="38454"/>
    <s v="Carlos Garcia"/>
    <x v="2"/>
    <x v="2"/>
    <x v="271"/>
    <d v="2024-12-30T00:00:00"/>
    <n v="12"/>
    <x v="3"/>
    <x v="4"/>
    <n v="3"/>
    <n v="2"/>
    <n v="4"/>
    <n v="4"/>
    <n v="2"/>
    <x v="3"/>
    <n v="3"/>
    <n v="1"/>
    <n v="3"/>
    <n v="1"/>
    <x v="0"/>
    <s v="Online Survey"/>
    <s v="Poor service"/>
    <x v="2"/>
    <n v="38"/>
    <d v="2024-12-30T00:00:00"/>
    <x v="1"/>
    <x v="5"/>
    <x v="1"/>
  </r>
  <r>
    <n v="335"/>
    <n v="75599"/>
    <s v="Matthew Gentry"/>
    <x v="2"/>
    <x v="3"/>
    <x v="171"/>
    <d v="2024-10-21T00:00:00"/>
    <n v="12"/>
    <x v="3"/>
    <x v="4"/>
    <n v="4"/>
    <n v="3"/>
    <n v="1"/>
    <n v="2"/>
    <n v="1"/>
    <x v="1"/>
    <n v="1"/>
    <n v="5"/>
    <n v="2"/>
    <n v="5"/>
    <x v="1"/>
    <s v="Email"/>
    <s v="Poor service"/>
    <x v="0"/>
    <n v="19"/>
    <d v="2024-10-21T00:00:00"/>
    <x v="0"/>
    <x v="4"/>
    <x v="1"/>
  </r>
  <r>
    <n v="336"/>
    <n v="50989"/>
    <s v="Scott Richard"/>
    <x v="0"/>
    <x v="0"/>
    <x v="272"/>
    <d v="2024-12-31T00:00:00"/>
    <n v="5"/>
    <x v="2"/>
    <x v="4"/>
    <n v="4"/>
    <n v="5"/>
    <n v="3"/>
    <n v="1"/>
    <n v="2"/>
    <x v="3"/>
    <n v="5"/>
    <n v="3"/>
    <n v="4"/>
    <n v="1"/>
    <x v="0"/>
    <s v="Email"/>
    <s v="Poor service"/>
    <x v="1"/>
    <n v="48"/>
    <d v="2024-12-31T00:00:00"/>
    <x v="1"/>
    <x v="10"/>
    <x v="0"/>
  </r>
  <r>
    <n v="337"/>
    <n v="38547"/>
    <s v="James Rodriguez"/>
    <x v="4"/>
    <x v="4"/>
    <x v="117"/>
    <d v="2024-08-31T00:00:00"/>
    <n v="14"/>
    <x v="3"/>
    <x v="4"/>
    <n v="1"/>
    <n v="1"/>
    <n v="4"/>
    <n v="1"/>
    <n v="3"/>
    <x v="3"/>
    <n v="1"/>
    <n v="1"/>
    <n v="1"/>
    <n v="3"/>
    <x v="1"/>
    <s v="Feedback Form"/>
    <s v="Needs improvement"/>
    <x v="2"/>
    <n v="19"/>
    <d v="2024-11-22T00:00:00"/>
    <x v="0"/>
    <x v="15"/>
    <x v="1"/>
  </r>
  <r>
    <n v="338"/>
    <n v="63804"/>
    <s v="Anthony Vasquez"/>
    <x v="2"/>
    <x v="3"/>
    <x v="273"/>
    <d v="2024-05-26T00:00:00"/>
    <n v="7"/>
    <x v="3"/>
    <x v="3"/>
    <n v="2"/>
    <n v="2"/>
    <n v="3"/>
    <n v="3"/>
    <n v="2"/>
    <x v="2"/>
    <n v="3"/>
    <n v="5"/>
    <n v="5"/>
    <n v="1"/>
    <x v="1"/>
    <s v="Feedback Form"/>
    <s v="Great stay"/>
    <x v="1"/>
    <n v="47"/>
    <d v="2024-05-26T00:00:00"/>
    <x v="1"/>
    <x v="3"/>
    <x v="1"/>
  </r>
  <r>
    <n v="339"/>
    <n v="65941"/>
    <s v="Vincent Cooley"/>
    <x v="3"/>
    <x v="0"/>
    <x v="274"/>
    <d v="2024-07-16T00:00:00"/>
    <n v="12"/>
    <x v="2"/>
    <x v="3"/>
    <n v="2"/>
    <n v="5"/>
    <n v="2"/>
    <n v="2"/>
    <n v="1"/>
    <x v="1"/>
    <n v="5"/>
    <n v="4"/>
    <n v="1"/>
    <n v="4"/>
    <x v="1"/>
    <s v="App Review"/>
    <s v="Poor service"/>
    <x v="1"/>
    <n v="42"/>
    <d v="2024-07-16T00:00:00"/>
    <x v="1"/>
    <x v="0"/>
    <x v="0"/>
  </r>
  <r>
    <n v="340"/>
    <n v="33567"/>
    <s v="Adrian Murphy"/>
    <x v="2"/>
    <x v="4"/>
    <x v="53"/>
    <d v="2024-04-02T00:00:00"/>
    <n v="4"/>
    <x v="3"/>
    <x v="0"/>
    <n v="4"/>
    <n v="2"/>
    <n v="5"/>
    <n v="1"/>
    <n v="2"/>
    <x v="2"/>
    <n v="4"/>
    <n v="2"/>
    <n v="3"/>
    <n v="1"/>
    <x v="1"/>
    <s v="In-person"/>
    <s v="Average"/>
    <x v="0"/>
    <n v="66"/>
    <d v="2024-11-03T00:00:00"/>
    <x v="2"/>
    <x v="7"/>
    <x v="1"/>
  </r>
  <r>
    <n v="341"/>
    <n v="12325"/>
    <s v="Jesus Rodriguez"/>
    <x v="2"/>
    <x v="2"/>
    <x v="98"/>
    <d v="2024-07-09T00:00:00"/>
    <n v="5"/>
    <x v="1"/>
    <x v="4"/>
    <n v="1"/>
    <n v="3"/>
    <n v="1"/>
    <n v="3"/>
    <n v="4"/>
    <x v="0"/>
    <n v="2"/>
    <n v="1"/>
    <n v="1"/>
    <n v="3"/>
    <x v="1"/>
    <s v="App Review"/>
    <s v="Needs improvement"/>
    <x v="2"/>
    <n v="36"/>
    <d v="2024-07-09T00:00:00"/>
    <x v="1"/>
    <x v="19"/>
    <x v="1"/>
  </r>
  <r>
    <n v="342"/>
    <n v="81386"/>
    <s v="Ebony Cantrell"/>
    <x v="4"/>
    <x v="0"/>
    <x v="275"/>
    <d v="2024-06-15T00:00:00"/>
    <n v="4"/>
    <x v="2"/>
    <x v="1"/>
    <n v="5"/>
    <n v="2"/>
    <n v="3"/>
    <n v="1"/>
    <n v="4"/>
    <x v="4"/>
    <n v="4"/>
    <n v="4"/>
    <n v="5"/>
    <n v="5"/>
    <x v="0"/>
    <s v="App Review"/>
    <s v="Will visit again"/>
    <x v="1"/>
    <n v="18"/>
    <d v="2024-06-15T00:00:00"/>
    <x v="0"/>
    <x v="13"/>
    <x v="0"/>
  </r>
  <r>
    <n v="343"/>
    <n v="79908"/>
    <s v="Barbara Williams"/>
    <x v="0"/>
    <x v="1"/>
    <x v="276"/>
    <d v="2024-07-15T00:00:00"/>
    <n v="14"/>
    <x v="1"/>
    <x v="4"/>
    <n v="4"/>
    <n v="2"/>
    <n v="4"/>
    <n v="5"/>
    <n v="5"/>
    <x v="2"/>
    <n v="4"/>
    <n v="1"/>
    <n v="1"/>
    <n v="4"/>
    <x v="0"/>
    <s v="Email"/>
    <s v="Will visit again"/>
    <x v="0"/>
    <n v="54"/>
    <d v="2024-10-22T00:00:00"/>
    <x v="2"/>
    <x v="10"/>
    <x v="0"/>
  </r>
  <r>
    <n v="344"/>
    <n v="65516"/>
    <s v="Michael Moss"/>
    <x v="1"/>
    <x v="4"/>
    <x v="277"/>
    <d v="2024-12-26T00:00:00"/>
    <n v="9"/>
    <x v="1"/>
    <x v="2"/>
    <n v="5"/>
    <n v="3"/>
    <n v="1"/>
    <n v="3"/>
    <n v="5"/>
    <x v="1"/>
    <n v="1"/>
    <n v="1"/>
    <n v="2"/>
    <n v="1"/>
    <x v="0"/>
    <s v="Feedback Form"/>
    <s v="Needs improvement"/>
    <x v="1"/>
    <n v="45"/>
    <d v="2024-12-26T00:00:00"/>
    <x v="1"/>
    <x v="5"/>
    <x v="1"/>
  </r>
  <r>
    <n v="345"/>
    <n v="31149"/>
    <s v="Eric Joyce"/>
    <x v="4"/>
    <x v="1"/>
    <x v="278"/>
    <d v="2024-06-14T00:00:00"/>
    <n v="2"/>
    <x v="0"/>
    <x v="1"/>
    <n v="3"/>
    <n v="4"/>
    <n v="3"/>
    <n v="5"/>
    <n v="5"/>
    <x v="2"/>
    <n v="4"/>
    <n v="2"/>
    <n v="4"/>
    <n v="2"/>
    <x v="1"/>
    <s v="Email"/>
    <s v="Will visit again"/>
    <x v="0"/>
    <n v="37"/>
    <d v="2024-06-14T00:00:00"/>
    <x v="1"/>
    <x v="13"/>
    <x v="0"/>
  </r>
  <r>
    <n v="346"/>
    <n v="99111"/>
    <s v="Lisa Wagner"/>
    <x v="0"/>
    <x v="2"/>
    <x v="106"/>
    <d v="2024-10-08T00:00:00"/>
    <n v="1"/>
    <x v="0"/>
    <x v="2"/>
    <n v="2"/>
    <n v="5"/>
    <n v="2"/>
    <n v="1"/>
    <n v="5"/>
    <x v="4"/>
    <n v="2"/>
    <n v="4"/>
    <n v="1"/>
    <n v="5"/>
    <x v="1"/>
    <s v="In-person"/>
    <s v="Needs improvement"/>
    <x v="2"/>
    <n v="65"/>
    <d v="2024-10-08T00:00:00"/>
    <x v="2"/>
    <x v="3"/>
    <x v="1"/>
  </r>
  <r>
    <n v="347"/>
    <n v="12879"/>
    <s v="Brittany Figueroa"/>
    <x v="3"/>
    <x v="2"/>
    <x v="199"/>
    <d v="2024-06-10T00:00:00"/>
    <n v="4"/>
    <x v="3"/>
    <x v="1"/>
    <n v="4"/>
    <n v="3"/>
    <n v="4"/>
    <n v="3"/>
    <n v="2"/>
    <x v="2"/>
    <n v="5"/>
    <n v="5"/>
    <n v="4"/>
    <n v="4"/>
    <x v="1"/>
    <s v="App Review"/>
    <s v="Great stay"/>
    <x v="2"/>
    <n v="22"/>
    <d v="2024-06-10T00:00:00"/>
    <x v="0"/>
    <x v="11"/>
    <x v="0"/>
  </r>
  <r>
    <n v="348"/>
    <n v="94701"/>
    <s v="Robert Smith"/>
    <x v="1"/>
    <x v="3"/>
    <x v="68"/>
    <d v="2023-10-16T00:00:00"/>
    <n v="14"/>
    <x v="1"/>
    <x v="0"/>
    <n v="3"/>
    <n v="3"/>
    <n v="5"/>
    <n v="2"/>
    <n v="1"/>
    <x v="4"/>
    <n v="5"/>
    <n v="3"/>
    <n v="4"/>
    <n v="4"/>
    <x v="0"/>
    <s v="App Review"/>
    <s v="Needs improvement"/>
    <x v="2"/>
    <n v="47"/>
    <d v="2024-05-06T00:00:00"/>
    <x v="1"/>
    <x v="0"/>
    <x v="0"/>
  </r>
  <r>
    <n v="349"/>
    <n v="87849"/>
    <s v="Michael Perez"/>
    <x v="0"/>
    <x v="2"/>
    <x v="279"/>
    <d v="2024-01-29T00:00:00"/>
    <n v="14"/>
    <x v="3"/>
    <x v="3"/>
    <n v="5"/>
    <n v="5"/>
    <n v="3"/>
    <n v="4"/>
    <n v="2"/>
    <x v="1"/>
    <n v="2"/>
    <n v="4"/>
    <n v="4"/>
    <n v="1"/>
    <x v="0"/>
    <s v="In-person"/>
    <s v="Great stay"/>
    <x v="1"/>
    <n v="40"/>
    <d v="2024-10-07T00:00:00"/>
    <x v="1"/>
    <x v="18"/>
    <x v="0"/>
  </r>
  <r>
    <n v="350"/>
    <n v="94065"/>
    <s v="Billy Evans"/>
    <x v="0"/>
    <x v="3"/>
    <x v="280"/>
    <d v="2024-11-06T00:00:00"/>
    <n v="12"/>
    <x v="2"/>
    <x v="0"/>
    <n v="4"/>
    <n v="2"/>
    <n v="4"/>
    <n v="1"/>
    <n v="1"/>
    <x v="2"/>
    <n v="1"/>
    <n v="1"/>
    <n v="2"/>
    <n v="5"/>
    <x v="0"/>
    <s v="App Review"/>
    <s v="Needs improvement"/>
    <x v="2"/>
    <n v="59"/>
    <d v="2024-11-06T00:00:00"/>
    <x v="2"/>
    <x v="9"/>
    <x v="1"/>
  </r>
  <r>
    <n v="351"/>
    <n v="92195"/>
    <s v="Brian Sharp"/>
    <x v="4"/>
    <x v="4"/>
    <x v="281"/>
    <d v="2024-09-12T00:00:00"/>
    <n v="12"/>
    <x v="1"/>
    <x v="1"/>
    <n v="3"/>
    <n v="1"/>
    <n v="3"/>
    <n v="3"/>
    <n v="1"/>
    <x v="1"/>
    <n v="2"/>
    <n v="4"/>
    <n v="4"/>
    <n v="5"/>
    <x v="0"/>
    <s v="Feedback Form"/>
    <s v="Poor service"/>
    <x v="2"/>
    <n v="44"/>
    <d v="2024-09-12T00:00:00"/>
    <x v="1"/>
    <x v="0"/>
    <x v="0"/>
  </r>
  <r>
    <n v="352"/>
    <n v="24908"/>
    <s v="Omar Jackson"/>
    <x v="0"/>
    <x v="1"/>
    <x v="282"/>
    <d v="2024-06-02T00:00:00"/>
    <n v="12"/>
    <x v="3"/>
    <x v="4"/>
    <n v="4"/>
    <n v="5"/>
    <n v="5"/>
    <n v="5"/>
    <n v="1"/>
    <x v="1"/>
    <n v="5"/>
    <n v="3"/>
    <n v="1"/>
    <n v="2"/>
    <x v="0"/>
    <s v="Feedback Form"/>
    <s v="Average"/>
    <x v="0"/>
    <n v="59"/>
    <d v="2024-12-02T00:00:00"/>
    <x v="2"/>
    <x v="11"/>
    <x v="0"/>
  </r>
  <r>
    <n v="353"/>
    <n v="27650"/>
    <s v="Paige Gay"/>
    <x v="2"/>
    <x v="4"/>
    <x v="283"/>
    <d v="2024-07-31T00:00:00"/>
    <n v="13"/>
    <x v="1"/>
    <x v="0"/>
    <n v="3"/>
    <n v="3"/>
    <n v="2"/>
    <n v="3"/>
    <n v="1"/>
    <x v="0"/>
    <n v="2"/>
    <n v="4"/>
    <n v="4"/>
    <n v="2"/>
    <x v="0"/>
    <s v="App Review"/>
    <s v="Great stay"/>
    <x v="2"/>
    <n v="18"/>
    <d v="2024-07-31T00:00:00"/>
    <x v="0"/>
    <x v="5"/>
    <x v="1"/>
  </r>
  <r>
    <n v="354"/>
    <n v="82112"/>
    <s v="James Brown"/>
    <x v="0"/>
    <x v="1"/>
    <x v="284"/>
    <d v="2024-09-25T00:00:00"/>
    <n v="6"/>
    <x v="3"/>
    <x v="1"/>
    <n v="3"/>
    <n v="2"/>
    <n v="5"/>
    <n v="2"/>
    <n v="4"/>
    <x v="0"/>
    <n v="1"/>
    <n v="3"/>
    <n v="2"/>
    <n v="4"/>
    <x v="0"/>
    <s v="In-person"/>
    <s v="Average"/>
    <x v="0"/>
    <n v="26"/>
    <d v="2024-09-25T00:00:00"/>
    <x v="3"/>
    <x v="4"/>
    <x v="1"/>
  </r>
  <r>
    <n v="355"/>
    <n v="46872"/>
    <s v="Melissa Webb"/>
    <x v="1"/>
    <x v="0"/>
    <x v="285"/>
    <d v="2023-11-17T00:00:00"/>
    <n v="10"/>
    <x v="2"/>
    <x v="4"/>
    <n v="5"/>
    <n v="4"/>
    <n v="5"/>
    <n v="3"/>
    <n v="1"/>
    <x v="2"/>
    <n v="4"/>
    <n v="2"/>
    <n v="4"/>
    <n v="4"/>
    <x v="0"/>
    <s v="Email"/>
    <s v="Will visit again"/>
    <x v="2"/>
    <n v="67"/>
    <d v="2024-03-07T00:00:00"/>
    <x v="2"/>
    <x v="13"/>
    <x v="0"/>
  </r>
  <r>
    <n v="356"/>
    <n v="77855"/>
    <s v="Kevin Parker"/>
    <x v="0"/>
    <x v="4"/>
    <x v="286"/>
    <d v="2024-04-24T00:00:00"/>
    <n v="13"/>
    <x v="0"/>
    <x v="3"/>
    <n v="2"/>
    <n v="2"/>
    <n v="5"/>
    <n v="5"/>
    <n v="2"/>
    <x v="2"/>
    <n v="4"/>
    <n v="1"/>
    <n v="1"/>
    <n v="3"/>
    <x v="0"/>
    <s v="App Review"/>
    <s v="Great stay"/>
    <x v="1"/>
    <n v="24"/>
    <d v="2024-04-24T00:00:00"/>
    <x v="0"/>
    <x v="5"/>
    <x v="1"/>
  </r>
  <r>
    <n v="357"/>
    <n v="91951"/>
    <s v="Sarah Gray"/>
    <x v="3"/>
    <x v="0"/>
    <x v="287"/>
    <d v="2024-11-21T00:00:00"/>
    <n v="13"/>
    <x v="1"/>
    <x v="1"/>
    <n v="1"/>
    <n v="1"/>
    <n v="1"/>
    <n v="1"/>
    <n v="1"/>
    <x v="1"/>
    <n v="5"/>
    <n v="5"/>
    <n v="2"/>
    <n v="4"/>
    <x v="0"/>
    <s v="Online Survey"/>
    <s v="Will visit again"/>
    <x v="1"/>
    <n v="68"/>
    <d v="2024-11-21T00:00:00"/>
    <x v="2"/>
    <x v="7"/>
    <x v="1"/>
  </r>
  <r>
    <n v="358"/>
    <n v="65022"/>
    <s v="Wendy Jackson"/>
    <x v="2"/>
    <x v="1"/>
    <x v="288"/>
    <d v="2024-12-23T00:00:00"/>
    <n v="14"/>
    <x v="3"/>
    <x v="2"/>
    <n v="3"/>
    <n v="2"/>
    <n v="4"/>
    <n v="5"/>
    <n v="4"/>
    <x v="0"/>
    <n v="1"/>
    <n v="4"/>
    <n v="3"/>
    <n v="2"/>
    <x v="1"/>
    <s v="Feedback Form"/>
    <s v="Poor service"/>
    <x v="2"/>
    <n v="43"/>
    <d v="2024-12-23T00:00:00"/>
    <x v="1"/>
    <x v="0"/>
    <x v="0"/>
  </r>
  <r>
    <n v="359"/>
    <n v="85792"/>
    <s v="Beverly Foster"/>
    <x v="1"/>
    <x v="3"/>
    <x v="289"/>
    <d v="2024-01-27T00:00:00"/>
    <n v="8"/>
    <x v="0"/>
    <x v="2"/>
    <n v="2"/>
    <n v="1"/>
    <n v="3"/>
    <n v="5"/>
    <n v="2"/>
    <x v="2"/>
    <n v="4"/>
    <n v="2"/>
    <n v="3"/>
    <n v="1"/>
    <x v="1"/>
    <s v="Online Survey"/>
    <s v="Poor service"/>
    <x v="0"/>
    <n v="33"/>
    <d v="2024-01-27T00:00:00"/>
    <x v="3"/>
    <x v="14"/>
    <x v="1"/>
  </r>
  <r>
    <n v="360"/>
    <n v="50488"/>
    <s v="Kevin Caldwell"/>
    <x v="1"/>
    <x v="4"/>
    <x v="227"/>
    <d v="2024-11-13T00:00:00"/>
    <n v="4"/>
    <x v="2"/>
    <x v="2"/>
    <n v="1"/>
    <n v="4"/>
    <n v="2"/>
    <n v="5"/>
    <n v="3"/>
    <x v="2"/>
    <n v="4"/>
    <n v="4"/>
    <n v="1"/>
    <n v="3"/>
    <x v="1"/>
    <s v="Online Survey"/>
    <s v="Great stay"/>
    <x v="1"/>
    <n v="23"/>
    <d v="2024-11-13T00:00:00"/>
    <x v="0"/>
    <x v="4"/>
    <x v="1"/>
  </r>
  <r>
    <n v="361"/>
    <n v="87272"/>
    <s v="Jennifer Jackson"/>
    <x v="4"/>
    <x v="4"/>
    <x v="290"/>
    <d v="2024-02-17T00:00:00"/>
    <n v="1"/>
    <x v="0"/>
    <x v="4"/>
    <n v="5"/>
    <n v="4"/>
    <n v="3"/>
    <n v="4"/>
    <n v="2"/>
    <x v="2"/>
    <n v="4"/>
    <n v="2"/>
    <n v="5"/>
    <n v="4"/>
    <x v="0"/>
    <s v="Online Survey"/>
    <s v="Great stay"/>
    <x v="1"/>
    <n v="59"/>
    <d v="2024-02-17T00:00:00"/>
    <x v="2"/>
    <x v="18"/>
    <x v="0"/>
  </r>
  <r>
    <n v="362"/>
    <n v="54819"/>
    <s v="Joseph Wade"/>
    <x v="4"/>
    <x v="3"/>
    <x v="144"/>
    <d v="2023-09-16T00:00:00"/>
    <n v="14"/>
    <x v="2"/>
    <x v="4"/>
    <n v="4"/>
    <n v="2"/>
    <n v="1"/>
    <n v="1"/>
    <n v="4"/>
    <x v="0"/>
    <n v="3"/>
    <n v="3"/>
    <n v="4"/>
    <n v="2"/>
    <x v="0"/>
    <s v="App Review"/>
    <s v="Average"/>
    <x v="1"/>
    <n v="54"/>
    <d v="2024-06-13T00:00:00"/>
    <x v="2"/>
    <x v="5"/>
    <x v="1"/>
  </r>
  <r>
    <n v="363"/>
    <n v="71481"/>
    <s v="Steve Duffy"/>
    <x v="2"/>
    <x v="3"/>
    <x v="291"/>
    <d v="2024-07-31T00:00:00"/>
    <n v="9"/>
    <x v="3"/>
    <x v="0"/>
    <n v="2"/>
    <n v="5"/>
    <n v="2"/>
    <n v="4"/>
    <n v="4"/>
    <x v="2"/>
    <n v="4"/>
    <n v="2"/>
    <n v="5"/>
    <n v="3"/>
    <x v="0"/>
    <s v="App Review"/>
    <s v="Will visit again"/>
    <x v="0"/>
    <n v="62"/>
    <d v="2024-07-31T00:00:00"/>
    <x v="2"/>
    <x v="1"/>
    <x v="0"/>
  </r>
  <r>
    <n v="364"/>
    <n v="73241"/>
    <s v="Lauren Smith"/>
    <x v="1"/>
    <x v="2"/>
    <x v="292"/>
    <d v="2024-08-04T00:00:00"/>
    <n v="3"/>
    <x v="2"/>
    <x v="4"/>
    <n v="4"/>
    <n v="5"/>
    <n v="1"/>
    <n v="3"/>
    <n v="5"/>
    <x v="1"/>
    <n v="3"/>
    <n v="3"/>
    <n v="2"/>
    <n v="1"/>
    <x v="0"/>
    <s v="Online Survey"/>
    <s v="Average"/>
    <x v="2"/>
    <n v="29"/>
    <d v="2024-08-04T00:00:00"/>
    <x v="3"/>
    <x v="10"/>
    <x v="0"/>
  </r>
  <r>
    <n v="365"/>
    <n v="65347"/>
    <s v="Matthew Nelson"/>
    <x v="3"/>
    <x v="2"/>
    <x v="293"/>
    <d v="2024-11-30T00:00:00"/>
    <n v="6"/>
    <x v="0"/>
    <x v="1"/>
    <n v="4"/>
    <n v="5"/>
    <n v="3"/>
    <n v="1"/>
    <n v="3"/>
    <x v="2"/>
    <n v="2"/>
    <n v="2"/>
    <n v="4"/>
    <n v="1"/>
    <x v="1"/>
    <s v="App Review"/>
    <s v="Great stay"/>
    <x v="1"/>
    <n v="41"/>
    <d v="2024-11-30T00:00:00"/>
    <x v="1"/>
    <x v="5"/>
    <x v="1"/>
  </r>
  <r>
    <n v="366"/>
    <n v="81599"/>
    <s v="Kevin Gonzalez"/>
    <x v="0"/>
    <x v="1"/>
    <x v="294"/>
    <d v="2024-12-12T00:00:00"/>
    <n v="10"/>
    <x v="3"/>
    <x v="2"/>
    <n v="1"/>
    <n v="4"/>
    <n v="2"/>
    <n v="1"/>
    <n v="1"/>
    <x v="3"/>
    <n v="5"/>
    <n v="4"/>
    <n v="5"/>
    <n v="2"/>
    <x v="0"/>
    <s v="Online Survey"/>
    <s v="Average"/>
    <x v="1"/>
    <n v="34"/>
    <d v="2024-12-12T00:00:00"/>
    <x v="3"/>
    <x v="4"/>
    <x v="1"/>
  </r>
  <r>
    <n v="367"/>
    <n v="71216"/>
    <s v="Peter Lopez"/>
    <x v="0"/>
    <x v="4"/>
    <x v="295"/>
    <d v="2023-10-22T00:00:00"/>
    <n v="14"/>
    <x v="3"/>
    <x v="3"/>
    <n v="2"/>
    <n v="1"/>
    <n v="3"/>
    <n v="3"/>
    <n v="4"/>
    <x v="4"/>
    <n v="5"/>
    <n v="5"/>
    <n v="1"/>
    <n v="5"/>
    <x v="0"/>
    <s v="Online Survey"/>
    <s v="Great stay"/>
    <x v="1"/>
    <n v="19"/>
    <d v="2023-10-22T00:00:00"/>
    <x v="0"/>
    <x v="2"/>
    <x v="0"/>
  </r>
  <r>
    <n v="368"/>
    <n v="79098"/>
    <s v="Barry Hill"/>
    <x v="0"/>
    <x v="3"/>
    <x v="296"/>
    <d v="2024-12-19T00:00:00"/>
    <n v="8"/>
    <x v="1"/>
    <x v="2"/>
    <n v="3"/>
    <n v="3"/>
    <n v="4"/>
    <n v="3"/>
    <n v="5"/>
    <x v="1"/>
    <n v="3"/>
    <n v="1"/>
    <n v="2"/>
    <n v="2"/>
    <x v="1"/>
    <s v="Email"/>
    <s v="Needs improvement"/>
    <x v="1"/>
    <n v="48"/>
    <d v="2024-12-19T00:00:00"/>
    <x v="1"/>
    <x v="0"/>
    <x v="0"/>
  </r>
  <r>
    <n v="369"/>
    <n v="62350"/>
    <s v="Jacob Rodriguez"/>
    <x v="4"/>
    <x v="3"/>
    <x v="297"/>
    <d v="2024-12-06T00:00:00"/>
    <n v="11"/>
    <x v="3"/>
    <x v="1"/>
    <n v="1"/>
    <n v="2"/>
    <n v="1"/>
    <n v="5"/>
    <n v="5"/>
    <x v="2"/>
    <n v="1"/>
    <n v="5"/>
    <n v="4"/>
    <n v="2"/>
    <x v="1"/>
    <s v="Email"/>
    <s v="Will visit again"/>
    <x v="1"/>
    <n v="54"/>
    <d v="2024-12-06T00:00:00"/>
    <x v="2"/>
    <x v="3"/>
    <x v="1"/>
  </r>
  <r>
    <n v="370"/>
    <n v="75228"/>
    <s v="Christian Taylor"/>
    <x v="1"/>
    <x v="0"/>
    <x v="188"/>
    <d v="2024-05-23T00:00:00"/>
    <n v="5"/>
    <x v="3"/>
    <x v="3"/>
    <n v="2"/>
    <n v="1"/>
    <n v="4"/>
    <n v="1"/>
    <n v="1"/>
    <x v="3"/>
    <n v="3"/>
    <n v="2"/>
    <n v="3"/>
    <n v="2"/>
    <x v="0"/>
    <s v="Email"/>
    <s v="Poor service"/>
    <x v="1"/>
    <n v="59"/>
    <d v="2024-05-23T00:00:00"/>
    <x v="2"/>
    <x v="9"/>
    <x v="1"/>
  </r>
  <r>
    <n v="371"/>
    <n v="80040"/>
    <s v="Travis Wilson"/>
    <x v="1"/>
    <x v="2"/>
    <x v="55"/>
    <d v="2024-08-20T00:00:00"/>
    <n v="11"/>
    <x v="3"/>
    <x v="0"/>
    <n v="3"/>
    <n v="3"/>
    <n v="4"/>
    <n v="2"/>
    <n v="2"/>
    <x v="0"/>
    <n v="4"/>
    <n v="3"/>
    <n v="4"/>
    <n v="5"/>
    <x v="0"/>
    <s v="In-person"/>
    <s v="Poor service"/>
    <x v="2"/>
    <n v="46"/>
    <d v="2024-08-20T00:00:00"/>
    <x v="1"/>
    <x v="1"/>
    <x v="0"/>
  </r>
  <r>
    <n v="372"/>
    <n v="22631"/>
    <s v="Paul Shelton"/>
    <x v="3"/>
    <x v="0"/>
    <x v="195"/>
    <d v="2024-11-22T00:00:00"/>
    <n v="7"/>
    <x v="1"/>
    <x v="4"/>
    <n v="4"/>
    <n v="4"/>
    <n v="3"/>
    <n v="5"/>
    <n v="3"/>
    <x v="1"/>
    <n v="1"/>
    <n v="4"/>
    <n v="2"/>
    <n v="4"/>
    <x v="1"/>
    <s v="Feedback Form"/>
    <s v="Average"/>
    <x v="1"/>
    <n v="18"/>
    <d v="2024-11-22T00:00:00"/>
    <x v="0"/>
    <x v="18"/>
    <x v="0"/>
  </r>
  <r>
    <n v="373"/>
    <n v="91861"/>
    <s v="Mary Juarez"/>
    <x v="4"/>
    <x v="3"/>
    <x v="298"/>
    <d v="2024-10-14T00:00:00"/>
    <n v="11"/>
    <x v="2"/>
    <x v="1"/>
    <n v="5"/>
    <n v="3"/>
    <n v="3"/>
    <n v="1"/>
    <n v="1"/>
    <x v="1"/>
    <n v="5"/>
    <n v="1"/>
    <n v="3"/>
    <n v="4"/>
    <x v="1"/>
    <s v="App Review"/>
    <s v="Poor service"/>
    <x v="1"/>
    <n v="61"/>
    <d v="2024-11-07T00:00:00"/>
    <x v="2"/>
    <x v="0"/>
    <x v="0"/>
  </r>
  <r>
    <n v="374"/>
    <n v="33118"/>
    <s v="Gordon Hunt"/>
    <x v="3"/>
    <x v="4"/>
    <x v="10"/>
    <d v="2024-07-18T00:00:00"/>
    <n v="14"/>
    <x v="0"/>
    <x v="4"/>
    <n v="5"/>
    <n v="4"/>
    <n v="5"/>
    <n v="3"/>
    <n v="1"/>
    <x v="2"/>
    <n v="2"/>
    <n v="1"/>
    <n v="1"/>
    <n v="1"/>
    <x v="1"/>
    <s v="Email"/>
    <s v="Needs improvement"/>
    <x v="1"/>
    <n v="31"/>
    <d v="2024-07-22T00:00:00"/>
    <x v="3"/>
    <x v="14"/>
    <x v="1"/>
  </r>
  <r>
    <n v="375"/>
    <n v="56774"/>
    <s v="Susan Brown"/>
    <x v="1"/>
    <x v="4"/>
    <x v="3"/>
    <d v="2024-09-14T00:00:00"/>
    <n v="11"/>
    <x v="3"/>
    <x v="0"/>
    <n v="1"/>
    <n v="4"/>
    <n v="5"/>
    <n v="3"/>
    <n v="2"/>
    <x v="0"/>
    <n v="2"/>
    <n v="4"/>
    <n v="4"/>
    <n v="4"/>
    <x v="1"/>
    <s v="Feedback Form"/>
    <s v="Needs improvement"/>
    <x v="2"/>
    <n v="57"/>
    <d v="2024-09-14T00:00:00"/>
    <x v="2"/>
    <x v="10"/>
    <x v="0"/>
  </r>
  <r>
    <n v="376"/>
    <n v="70513"/>
    <s v="Samantha Sandoval"/>
    <x v="0"/>
    <x v="0"/>
    <x v="299"/>
    <d v="2024-09-02T00:00:00"/>
    <n v="10"/>
    <x v="0"/>
    <x v="3"/>
    <n v="3"/>
    <n v="1"/>
    <n v="2"/>
    <n v="2"/>
    <n v="2"/>
    <x v="2"/>
    <n v="3"/>
    <n v="2"/>
    <n v="5"/>
    <n v="2"/>
    <x v="0"/>
    <s v="Feedback Form"/>
    <s v="Average"/>
    <x v="0"/>
    <n v="66"/>
    <d v="2024-11-01T00:00:00"/>
    <x v="2"/>
    <x v="8"/>
    <x v="1"/>
  </r>
  <r>
    <n v="377"/>
    <n v="66141"/>
    <s v="Donna Payne"/>
    <x v="4"/>
    <x v="2"/>
    <x v="20"/>
    <d v="2023-11-16T00:00:00"/>
    <n v="14"/>
    <x v="0"/>
    <x v="1"/>
    <n v="3"/>
    <n v="5"/>
    <n v="3"/>
    <n v="1"/>
    <n v="4"/>
    <x v="3"/>
    <n v="3"/>
    <n v="1"/>
    <n v="5"/>
    <n v="4"/>
    <x v="0"/>
    <s v="App Review"/>
    <s v="Poor service"/>
    <x v="0"/>
    <n v="28"/>
    <d v="2024-06-18T00:00:00"/>
    <x v="3"/>
    <x v="1"/>
    <x v="0"/>
  </r>
  <r>
    <n v="378"/>
    <n v="79659"/>
    <s v="Clinton Kelly"/>
    <x v="4"/>
    <x v="1"/>
    <x v="300"/>
    <d v="2024-01-31T00:00:00"/>
    <n v="9"/>
    <x v="3"/>
    <x v="3"/>
    <n v="5"/>
    <n v="5"/>
    <n v="1"/>
    <n v="4"/>
    <n v="2"/>
    <x v="4"/>
    <n v="3"/>
    <n v="4"/>
    <n v="1"/>
    <n v="5"/>
    <x v="0"/>
    <s v="In-person"/>
    <s v="Poor service"/>
    <x v="1"/>
    <n v="49"/>
    <d v="2024-09-10T00:00:00"/>
    <x v="1"/>
    <x v="0"/>
    <x v="0"/>
  </r>
  <r>
    <n v="379"/>
    <n v="21292"/>
    <s v="Jennifer Thomas"/>
    <x v="4"/>
    <x v="4"/>
    <x v="232"/>
    <d v="2023-06-29T00:00:00"/>
    <n v="1"/>
    <x v="0"/>
    <x v="1"/>
    <n v="3"/>
    <n v="1"/>
    <n v="3"/>
    <n v="5"/>
    <n v="2"/>
    <x v="0"/>
    <n v="3"/>
    <n v="2"/>
    <n v="2"/>
    <n v="4"/>
    <x v="1"/>
    <s v="Online Survey"/>
    <s v="Great stay"/>
    <x v="2"/>
    <n v="37"/>
    <d v="2024-09-05T00:00:00"/>
    <x v="1"/>
    <x v="3"/>
    <x v="1"/>
  </r>
  <r>
    <n v="380"/>
    <n v="71265"/>
    <s v="John Tyler"/>
    <x v="0"/>
    <x v="1"/>
    <x v="301"/>
    <d v="2024-09-05T00:00:00"/>
    <n v="11"/>
    <x v="2"/>
    <x v="0"/>
    <n v="2"/>
    <n v="2"/>
    <n v="3"/>
    <n v="1"/>
    <n v="3"/>
    <x v="4"/>
    <n v="5"/>
    <n v="4"/>
    <n v="1"/>
    <n v="2"/>
    <x v="0"/>
    <s v="Email"/>
    <s v="Average"/>
    <x v="2"/>
    <n v="19"/>
    <d v="2024-09-05T00:00:00"/>
    <x v="0"/>
    <x v="8"/>
    <x v="1"/>
  </r>
  <r>
    <n v="381"/>
    <n v="55689"/>
    <s v="Mrs. Elizabeth Shepard"/>
    <x v="4"/>
    <x v="2"/>
    <x v="302"/>
    <d v="2024-03-14T00:00:00"/>
    <n v="14"/>
    <x v="0"/>
    <x v="0"/>
    <n v="2"/>
    <n v="4"/>
    <n v="4"/>
    <n v="4"/>
    <n v="3"/>
    <x v="3"/>
    <n v="4"/>
    <n v="1"/>
    <n v="2"/>
    <n v="4"/>
    <x v="0"/>
    <s v="In-person"/>
    <s v="Great stay"/>
    <x v="0"/>
    <n v="48"/>
    <d v="2024-03-14T00:00:00"/>
    <x v="1"/>
    <x v="10"/>
    <x v="0"/>
  </r>
  <r>
    <n v="382"/>
    <n v="38883"/>
    <s v="Jessica Romero"/>
    <x v="2"/>
    <x v="0"/>
    <x v="303"/>
    <d v="2024-04-20T00:00:00"/>
    <n v="8"/>
    <x v="0"/>
    <x v="0"/>
    <n v="5"/>
    <n v="2"/>
    <n v="4"/>
    <n v="3"/>
    <n v="3"/>
    <x v="1"/>
    <n v="5"/>
    <n v="5"/>
    <n v="3"/>
    <n v="1"/>
    <x v="1"/>
    <s v="App Review"/>
    <s v="Needs improvement"/>
    <x v="0"/>
    <n v="22"/>
    <d v="2024-04-20T00:00:00"/>
    <x v="0"/>
    <x v="11"/>
    <x v="0"/>
  </r>
  <r>
    <n v="383"/>
    <n v="31167"/>
    <s v="Meghan Hernandez"/>
    <x v="4"/>
    <x v="2"/>
    <x v="304"/>
    <d v="2024-09-26T00:00:00"/>
    <n v="2"/>
    <x v="1"/>
    <x v="4"/>
    <n v="4"/>
    <n v="4"/>
    <n v="5"/>
    <n v="3"/>
    <n v="1"/>
    <x v="3"/>
    <n v="2"/>
    <n v="1"/>
    <n v="2"/>
    <n v="4"/>
    <x v="0"/>
    <s v="In-person"/>
    <s v="Average"/>
    <x v="2"/>
    <n v="49"/>
    <d v="2024-09-26T00:00:00"/>
    <x v="1"/>
    <x v="2"/>
    <x v="0"/>
  </r>
  <r>
    <n v="384"/>
    <n v="87416"/>
    <s v="Leah Finley"/>
    <x v="0"/>
    <x v="3"/>
    <x v="305"/>
    <d v="2024-07-10T00:00:00"/>
    <n v="1"/>
    <x v="2"/>
    <x v="2"/>
    <n v="4"/>
    <n v="4"/>
    <n v="2"/>
    <n v="4"/>
    <n v="3"/>
    <x v="4"/>
    <n v="2"/>
    <n v="1"/>
    <n v="3"/>
    <n v="1"/>
    <x v="1"/>
    <s v="Feedback Form"/>
    <s v="Great stay"/>
    <x v="1"/>
    <n v="67"/>
    <d v="2024-07-10T00:00:00"/>
    <x v="2"/>
    <x v="14"/>
    <x v="1"/>
  </r>
  <r>
    <n v="385"/>
    <n v="10071"/>
    <s v="Michele Cox"/>
    <x v="4"/>
    <x v="2"/>
    <x v="306"/>
    <d v="2024-12-29T00:00:00"/>
    <n v="4"/>
    <x v="0"/>
    <x v="3"/>
    <n v="4"/>
    <n v="5"/>
    <n v="2"/>
    <n v="4"/>
    <n v="3"/>
    <x v="0"/>
    <n v="2"/>
    <n v="5"/>
    <n v="4"/>
    <n v="3"/>
    <x v="1"/>
    <s v="In-person"/>
    <s v="Needs improvement"/>
    <x v="2"/>
    <n v="26"/>
    <d v="2024-12-29T00:00:00"/>
    <x v="3"/>
    <x v="18"/>
    <x v="0"/>
  </r>
  <r>
    <n v="386"/>
    <n v="42234"/>
    <s v="Gabrielle Gordon"/>
    <x v="2"/>
    <x v="0"/>
    <x v="139"/>
    <d v="2024-04-25T00:00:00"/>
    <n v="6"/>
    <x v="3"/>
    <x v="1"/>
    <n v="5"/>
    <n v="5"/>
    <n v="3"/>
    <n v="2"/>
    <n v="5"/>
    <x v="2"/>
    <n v="4"/>
    <n v="2"/>
    <n v="4"/>
    <n v="5"/>
    <x v="0"/>
    <s v="Email"/>
    <s v="Poor service"/>
    <x v="0"/>
    <n v="58"/>
    <d v="2024-04-25T00:00:00"/>
    <x v="2"/>
    <x v="16"/>
    <x v="0"/>
  </r>
  <r>
    <n v="387"/>
    <n v="15516"/>
    <s v="Vanessa Morris"/>
    <x v="2"/>
    <x v="0"/>
    <x v="282"/>
    <d v="2024-06-02T00:00:00"/>
    <n v="14"/>
    <x v="0"/>
    <x v="3"/>
    <n v="1"/>
    <n v="4"/>
    <n v="1"/>
    <n v="1"/>
    <n v="3"/>
    <x v="4"/>
    <n v="4"/>
    <n v="4"/>
    <n v="1"/>
    <n v="1"/>
    <x v="0"/>
    <s v="In-person"/>
    <s v="Average"/>
    <x v="2"/>
    <n v="27"/>
    <d v="2024-06-02T00:00:00"/>
    <x v="3"/>
    <x v="17"/>
    <x v="1"/>
  </r>
  <r>
    <n v="388"/>
    <n v="88055"/>
    <s v="Amber Wagner"/>
    <x v="4"/>
    <x v="2"/>
    <x v="124"/>
    <d v="2023-11-21T00:00:00"/>
    <n v="8"/>
    <x v="3"/>
    <x v="2"/>
    <n v="3"/>
    <n v="5"/>
    <n v="4"/>
    <n v="3"/>
    <n v="1"/>
    <x v="0"/>
    <n v="1"/>
    <n v="2"/>
    <n v="1"/>
    <n v="3"/>
    <x v="0"/>
    <s v="In-person"/>
    <s v="Great stay"/>
    <x v="1"/>
    <n v="53"/>
    <d v="2024-02-12T00:00:00"/>
    <x v="2"/>
    <x v="7"/>
    <x v="1"/>
  </r>
  <r>
    <n v="389"/>
    <n v="55037"/>
    <s v="Andrea Cooper"/>
    <x v="1"/>
    <x v="0"/>
    <x v="307"/>
    <d v="2023-07-17T00:00:00"/>
    <n v="1"/>
    <x v="2"/>
    <x v="4"/>
    <n v="2"/>
    <n v="5"/>
    <n v="1"/>
    <n v="5"/>
    <n v="5"/>
    <x v="4"/>
    <n v="4"/>
    <n v="2"/>
    <n v="4"/>
    <n v="3"/>
    <x v="1"/>
    <s v="Feedback Form"/>
    <s v="Will visit again"/>
    <x v="1"/>
    <n v="66"/>
    <d v="2023-12-25T00:00:00"/>
    <x v="2"/>
    <x v="10"/>
    <x v="0"/>
  </r>
  <r>
    <n v="390"/>
    <n v="18234"/>
    <s v="Carrie West"/>
    <x v="1"/>
    <x v="3"/>
    <x v="210"/>
    <d v="2023-04-22T00:00:00"/>
    <n v="1"/>
    <x v="2"/>
    <x v="4"/>
    <n v="2"/>
    <n v="3"/>
    <n v="4"/>
    <n v="3"/>
    <n v="1"/>
    <x v="1"/>
    <n v="2"/>
    <n v="4"/>
    <n v="5"/>
    <n v="2"/>
    <x v="1"/>
    <s v="In-person"/>
    <s v="Poor service"/>
    <x v="0"/>
    <n v="43"/>
    <d v="2024-09-13T00:00:00"/>
    <x v="1"/>
    <x v="0"/>
    <x v="0"/>
  </r>
  <r>
    <n v="391"/>
    <n v="14360"/>
    <s v="Ashley Morales"/>
    <x v="3"/>
    <x v="1"/>
    <x v="305"/>
    <d v="2024-10-11T00:00:00"/>
    <n v="10"/>
    <x v="1"/>
    <x v="2"/>
    <n v="1"/>
    <n v="3"/>
    <n v="3"/>
    <n v="1"/>
    <n v="1"/>
    <x v="1"/>
    <n v="4"/>
    <n v="2"/>
    <n v="3"/>
    <n v="3"/>
    <x v="1"/>
    <s v="Feedback Form"/>
    <s v="Great stay"/>
    <x v="2"/>
    <n v="61"/>
    <d v="2024-10-11T00:00:00"/>
    <x v="2"/>
    <x v="7"/>
    <x v="1"/>
  </r>
  <r>
    <n v="392"/>
    <n v="91965"/>
    <s v="Kaitlyn Jackson"/>
    <x v="2"/>
    <x v="2"/>
    <x v="37"/>
    <d v="2024-07-05T00:00:00"/>
    <n v="2"/>
    <x v="3"/>
    <x v="1"/>
    <n v="3"/>
    <n v="4"/>
    <n v="2"/>
    <n v="4"/>
    <n v="5"/>
    <x v="2"/>
    <n v="4"/>
    <n v="3"/>
    <n v="4"/>
    <n v="5"/>
    <x v="0"/>
    <s v="Email"/>
    <s v="Great stay"/>
    <x v="2"/>
    <n v="20"/>
    <d v="2024-09-25T00:00:00"/>
    <x v="0"/>
    <x v="11"/>
    <x v="0"/>
  </r>
  <r>
    <n v="393"/>
    <n v="50160"/>
    <s v="Barbara Hernandez"/>
    <x v="1"/>
    <x v="0"/>
    <x v="52"/>
    <d v="2024-11-28T00:00:00"/>
    <n v="9"/>
    <x v="3"/>
    <x v="2"/>
    <n v="4"/>
    <n v="5"/>
    <n v="3"/>
    <n v="2"/>
    <n v="5"/>
    <x v="1"/>
    <n v="4"/>
    <n v="1"/>
    <n v="5"/>
    <n v="5"/>
    <x v="1"/>
    <s v="Email"/>
    <s v="Average"/>
    <x v="1"/>
    <n v="53"/>
    <d v="2024-11-28T00:00:00"/>
    <x v="2"/>
    <x v="20"/>
    <x v="0"/>
  </r>
  <r>
    <n v="394"/>
    <n v="93595"/>
    <s v="Lauren Roberts"/>
    <x v="3"/>
    <x v="1"/>
    <x v="115"/>
    <d v="2024-12-25T00:00:00"/>
    <n v="12"/>
    <x v="2"/>
    <x v="4"/>
    <n v="2"/>
    <n v="3"/>
    <n v="4"/>
    <n v="3"/>
    <n v="5"/>
    <x v="3"/>
    <n v="3"/>
    <n v="3"/>
    <n v="2"/>
    <n v="5"/>
    <x v="1"/>
    <s v="Online Survey"/>
    <s v="Will visit again"/>
    <x v="2"/>
    <n v="40"/>
    <d v="2024-12-25T00:00:00"/>
    <x v="1"/>
    <x v="13"/>
    <x v="0"/>
  </r>
  <r>
    <n v="395"/>
    <n v="21544"/>
    <s v="Ms. Kelly Mcfarland"/>
    <x v="1"/>
    <x v="3"/>
    <x v="103"/>
    <d v="2024-11-03T00:00:00"/>
    <n v="4"/>
    <x v="3"/>
    <x v="4"/>
    <n v="4"/>
    <n v="2"/>
    <n v="2"/>
    <n v="2"/>
    <n v="5"/>
    <x v="2"/>
    <n v="4"/>
    <n v="4"/>
    <n v="4"/>
    <n v="5"/>
    <x v="1"/>
    <s v="Online Survey"/>
    <s v="Poor service"/>
    <x v="1"/>
    <n v="47"/>
    <d v="2024-12-25T00:00:00"/>
    <x v="1"/>
    <x v="13"/>
    <x v="0"/>
  </r>
  <r>
    <n v="396"/>
    <n v="16381"/>
    <s v="Andre Thomas"/>
    <x v="4"/>
    <x v="2"/>
    <x v="308"/>
    <d v="2024-07-30T00:00:00"/>
    <n v="7"/>
    <x v="3"/>
    <x v="3"/>
    <n v="4"/>
    <n v="4"/>
    <n v="1"/>
    <n v="4"/>
    <n v="1"/>
    <x v="4"/>
    <n v="3"/>
    <n v="5"/>
    <n v="5"/>
    <n v="2"/>
    <x v="0"/>
    <s v="Feedback Form"/>
    <s v="Poor service"/>
    <x v="1"/>
    <n v="56"/>
    <d v="2024-07-30T00:00:00"/>
    <x v="2"/>
    <x v="2"/>
    <x v="0"/>
  </r>
  <r>
    <n v="397"/>
    <n v="33128"/>
    <s v="Charlotte Joseph"/>
    <x v="2"/>
    <x v="0"/>
    <x v="309"/>
    <d v="2024-04-29T00:00:00"/>
    <n v="3"/>
    <x v="0"/>
    <x v="1"/>
    <n v="5"/>
    <n v="4"/>
    <n v="1"/>
    <n v="1"/>
    <n v="5"/>
    <x v="3"/>
    <n v="2"/>
    <n v="5"/>
    <n v="4"/>
    <n v="4"/>
    <x v="1"/>
    <s v="Online Survey"/>
    <s v="Average"/>
    <x v="2"/>
    <n v="40"/>
    <d v="2024-04-29T00:00:00"/>
    <x v="1"/>
    <x v="18"/>
    <x v="0"/>
  </r>
  <r>
    <n v="398"/>
    <n v="16834"/>
    <s v="Becky Nicholson"/>
    <x v="1"/>
    <x v="1"/>
    <x v="238"/>
    <d v="2024-02-22T00:00:00"/>
    <n v="11"/>
    <x v="1"/>
    <x v="1"/>
    <n v="5"/>
    <n v="2"/>
    <n v="5"/>
    <n v="3"/>
    <n v="2"/>
    <x v="0"/>
    <n v="1"/>
    <n v="4"/>
    <n v="2"/>
    <n v="1"/>
    <x v="1"/>
    <s v="Online Survey"/>
    <s v="Average"/>
    <x v="0"/>
    <n v="40"/>
    <d v="2024-02-22T00:00:00"/>
    <x v="1"/>
    <x v="3"/>
    <x v="1"/>
  </r>
  <r>
    <n v="399"/>
    <n v="62175"/>
    <s v="Megan Martinez"/>
    <x v="4"/>
    <x v="3"/>
    <x v="276"/>
    <d v="2023-12-29T00:00:00"/>
    <n v="1"/>
    <x v="0"/>
    <x v="4"/>
    <n v="3"/>
    <n v="4"/>
    <n v="1"/>
    <n v="1"/>
    <n v="3"/>
    <x v="4"/>
    <n v="5"/>
    <n v="4"/>
    <n v="2"/>
    <n v="2"/>
    <x v="1"/>
    <s v="App Review"/>
    <s v="Average"/>
    <x v="2"/>
    <n v="60"/>
    <d v="2023-12-29T00:00:00"/>
    <x v="2"/>
    <x v="7"/>
    <x v="1"/>
  </r>
  <r>
    <n v="400"/>
    <n v="94710"/>
    <s v="Dr. Ashley Mendoza DDS"/>
    <x v="3"/>
    <x v="4"/>
    <x v="159"/>
    <d v="2023-12-13T00:00:00"/>
    <n v="1"/>
    <x v="2"/>
    <x v="2"/>
    <n v="2"/>
    <n v="5"/>
    <n v="5"/>
    <n v="5"/>
    <n v="3"/>
    <x v="1"/>
    <n v="1"/>
    <n v="2"/>
    <n v="3"/>
    <n v="2"/>
    <x v="0"/>
    <s v="Online Survey"/>
    <s v="Will visit again"/>
    <x v="2"/>
    <n v="53"/>
    <d v="2024-08-26T00:00:00"/>
    <x v="2"/>
    <x v="1"/>
    <x v="0"/>
  </r>
  <r>
    <n v="401"/>
    <n v="70514"/>
    <s v="Katelyn Munoz"/>
    <x v="4"/>
    <x v="0"/>
    <x v="310"/>
    <d v="2023-11-17T00:00:00"/>
    <n v="9"/>
    <x v="3"/>
    <x v="4"/>
    <n v="5"/>
    <n v="3"/>
    <n v="2"/>
    <n v="1"/>
    <n v="2"/>
    <x v="4"/>
    <n v="5"/>
    <n v="1"/>
    <n v="2"/>
    <n v="1"/>
    <x v="0"/>
    <s v="In-person"/>
    <s v="Average"/>
    <x v="0"/>
    <n v="42"/>
    <d v="2024-08-25T00:00:00"/>
    <x v="1"/>
    <x v="9"/>
    <x v="1"/>
  </r>
  <r>
    <n v="402"/>
    <n v="39398"/>
    <s v="Alex Dunlap"/>
    <x v="3"/>
    <x v="3"/>
    <x v="12"/>
    <d v="2024-12-17T00:00:00"/>
    <n v="14"/>
    <x v="3"/>
    <x v="3"/>
    <n v="3"/>
    <n v="1"/>
    <n v="3"/>
    <n v="4"/>
    <n v="1"/>
    <x v="1"/>
    <n v="2"/>
    <n v="3"/>
    <n v="2"/>
    <n v="1"/>
    <x v="0"/>
    <s v="Email"/>
    <s v="Will visit again"/>
    <x v="2"/>
    <n v="37"/>
    <d v="2024-12-17T00:00:00"/>
    <x v="1"/>
    <x v="14"/>
    <x v="1"/>
  </r>
  <r>
    <n v="403"/>
    <n v="32727"/>
    <s v="Thomas Wade"/>
    <x v="1"/>
    <x v="1"/>
    <x v="311"/>
    <d v="2023-03-09T00:00:00"/>
    <n v="4"/>
    <x v="2"/>
    <x v="2"/>
    <n v="1"/>
    <n v="3"/>
    <n v="3"/>
    <n v="4"/>
    <n v="1"/>
    <x v="3"/>
    <n v="3"/>
    <n v="4"/>
    <n v="3"/>
    <n v="4"/>
    <x v="1"/>
    <s v="Online Survey"/>
    <s v="Will visit again"/>
    <x v="1"/>
    <n v="55"/>
    <d v="2023-07-29T00:00:00"/>
    <x v="2"/>
    <x v="2"/>
    <x v="0"/>
  </r>
  <r>
    <n v="404"/>
    <n v="90308"/>
    <s v="Benjamin Sawyer"/>
    <x v="0"/>
    <x v="2"/>
    <x v="312"/>
    <d v="2024-06-01T00:00:00"/>
    <n v="13"/>
    <x v="3"/>
    <x v="4"/>
    <n v="4"/>
    <n v="2"/>
    <n v="2"/>
    <n v="5"/>
    <n v="3"/>
    <x v="3"/>
    <n v="4"/>
    <n v="5"/>
    <n v="4"/>
    <n v="4"/>
    <x v="0"/>
    <s v="Feedback Form"/>
    <s v="Needs improvement"/>
    <x v="2"/>
    <n v="50"/>
    <d v="2024-12-07T00:00:00"/>
    <x v="1"/>
    <x v="16"/>
    <x v="0"/>
  </r>
  <r>
    <n v="405"/>
    <n v="96509"/>
    <s v="Juan Walker"/>
    <x v="4"/>
    <x v="1"/>
    <x v="94"/>
    <d v="2023-05-07T00:00:00"/>
    <n v="11"/>
    <x v="2"/>
    <x v="1"/>
    <n v="2"/>
    <n v="1"/>
    <n v="2"/>
    <n v="1"/>
    <n v="4"/>
    <x v="3"/>
    <n v="3"/>
    <n v="1"/>
    <n v="4"/>
    <n v="5"/>
    <x v="0"/>
    <s v="App Review"/>
    <s v="Average"/>
    <x v="1"/>
    <n v="50"/>
    <d v="2024-01-23T00:00:00"/>
    <x v="1"/>
    <x v="5"/>
    <x v="1"/>
  </r>
  <r>
    <n v="406"/>
    <n v="62659"/>
    <s v="Shane Morgan"/>
    <x v="0"/>
    <x v="2"/>
    <x v="153"/>
    <d v="2024-08-11T00:00:00"/>
    <n v="3"/>
    <x v="1"/>
    <x v="3"/>
    <n v="2"/>
    <n v="5"/>
    <n v="4"/>
    <n v="4"/>
    <n v="2"/>
    <x v="2"/>
    <n v="5"/>
    <n v="1"/>
    <n v="3"/>
    <n v="4"/>
    <x v="0"/>
    <s v="App Review"/>
    <s v="Average"/>
    <x v="0"/>
    <n v="55"/>
    <d v="2024-08-11T00:00:00"/>
    <x v="2"/>
    <x v="10"/>
    <x v="0"/>
  </r>
  <r>
    <n v="407"/>
    <n v="17530"/>
    <s v="Troy Ochoa"/>
    <x v="2"/>
    <x v="3"/>
    <x v="313"/>
    <d v="2023-09-12T00:00:00"/>
    <n v="5"/>
    <x v="3"/>
    <x v="4"/>
    <n v="3"/>
    <n v="5"/>
    <n v="1"/>
    <n v="4"/>
    <n v="2"/>
    <x v="1"/>
    <n v="4"/>
    <n v="2"/>
    <n v="4"/>
    <n v="4"/>
    <x v="1"/>
    <s v="Email"/>
    <s v="Poor service"/>
    <x v="2"/>
    <n v="18"/>
    <d v="2024-04-13T00:00:00"/>
    <x v="0"/>
    <x v="13"/>
    <x v="0"/>
  </r>
  <r>
    <n v="408"/>
    <n v="85733"/>
    <s v="Christopher Nguyen"/>
    <x v="0"/>
    <x v="3"/>
    <x v="258"/>
    <d v="2024-08-10T00:00:00"/>
    <n v="1"/>
    <x v="0"/>
    <x v="4"/>
    <n v="5"/>
    <n v="3"/>
    <n v="1"/>
    <n v="4"/>
    <n v="3"/>
    <x v="4"/>
    <n v="5"/>
    <n v="5"/>
    <n v="4"/>
    <n v="1"/>
    <x v="0"/>
    <s v="Email"/>
    <s v="Average"/>
    <x v="2"/>
    <n v="64"/>
    <d v="2024-08-10T00:00:00"/>
    <x v="2"/>
    <x v="10"/>
    <x v="0"/>
  </r>
  <r>
    <n v="409"/>
    <n v="41509"/>
    <s v="Donald Salazar"/>
    <x v="2"/>
    <x v="1"/>
    <x v="314"/>
    <d v="2024-05-01T00:00:00"/>
    <n v="3"/>
    <x v="0"/>
    <x v="0"/>
    <n v="4"/>
    <n v="4"/>
    <n v="1"/>
    <n v="4"/>
    <n v="5"/>
    <x v="4"/>
    <n v="5"/>
    <n v="1"/>
    <n v="5"/>
    <n v="3"/>
    <x v="0"/>
    <s v="Feedback Form"/>
    <s v="Will visit again"/>
    <x v="0"/>
    <n v="50"/>
    <d v="2024-05-01T00:00:00"/>
    <x v="1"/>
    <x v="1"/>
    <x v="0"/>
  </r>
  <r>
    <n v="410"/>
    <n v="39409"/>
    <s v="Laura Harris"/>
    <x v="1"/>
    <x v="1"/>
    <x v="315"/>
    <d v="2023-07-19T00:00:00"/>
    <n v="4"/>
    <x v="1"/>
    <x v="2"/>
    <n v="4"/>
    <n v="4"/>
    <n v="5"/>
    <n v="2"/>
    <n v="4"/>
    <x v="4"/>
    <n v="4"/>
    <n v="5"/>
    <n v="3"/>
    <n v="5"/>
    <x v="1"/>
    <s v="Feedback Form"/>
    <s v="Average"/>
    <x v="0"/>
    <n v="55"/>
    <d v="2024-12-13T00:00:00"/>
    <x v="2"/>
    <x v="16"/>
    <x v="0"/>
  </r>
  <r>
    <n v="411"/>
    <n v="94095"/>
    <s v="Kristin Wright"/>
    <x v="1"/>
    <x v="2"/>
    <x v="315"/>
    <d v="2023-11-19T00:00:00"/>
    <n v="13"/>
    <x v="2"/>
    <x v="0"/>
    <n v="2"/>
    <n v="2"/>
    <n v="1"/>
    <n v="3"/>
    <n v="1"/>
    <x v="2"/>
    <n v="1"/>
    <n v="3"/>
    <n v="3"/>
    <n v="5"/>
    <x v="1"/>
    <s v="Feedback Form"/>
    <s v="Great stay"/>
    <x v="1"/>
    <n v="41"/>
    <d v="2023-12-30T00:00:00"/>
    <x v="1"/>
    <x v="9"/>
    <x v="1"/>
  </r>
  <r>
    <n v="412"/>
    <n v="55598"/>
    <s v="Tyler Williams"/>
    <x v="4"/>
    <x v="0"/>
    <x v="316"/>
    <d v="2024-11-18T00:00:00"/>
    <n v="12"/>
    <x v="3"/>
    <x v="1"/>
    <n v="2"/>
    <n v="4"/>
    <n v="4"/>
    <n v="2"/>
    <n v="1"/>
    <x v="2"/>
    <n v="1"/>
    <n v="5"/>
    <n v="1"/>
    <n v="2"/>
    <x v="0"/>
    <s v="App Review"/>
    <s v="Poor service"/>
    <x v="0"/>
    <n v="26"/>
    <d v="2024-11-18T00:00:00"/>
    <x v="3"/>
    <x v="8"/>
    <x v="1"/>
  </r>
  <r>
    <n v="413"/>
    <n v="69130"/>
    <s v="Crystal Price"/>
    <x v="0"/>
    <x v="1"/>
    <x v="317"/>
    <d v="2024-03-29T00:00:00"/>
    <n v="6"/>
    <x v="3"/>
    <x v="2"/>
    <n v="4"/>
    <n v="5"/>
    <n v="3"/>
    <n v="4"/>
    <n v="1"/>
    <x v="1"/>
    <n v="5"/>
    <n v="1"/>
    <n v="5"/>
    <n v="4"/>
    <x v="1"/>
    <s v="App Review"/>
    <s v="Great stay"/>
    <x v="1"/>
    <n v="48"/>
    <d v="2024-05-03T00:00:00"/>
    <x v="1"/>
    <x v="16"/>
    <x v="0"/>
  </r>
  <r>
    <n v="414"/>
    <n v="54089"/>
    <s v="Chelsea Gutierrez"/>
    <x v="2"/>
    <x v="0"/>
    <x v="318"/>
    <d v="2024-03-04T00:00:00"/>
    <n v="9"/>
    <x v="0"/>
    <x v="3"/>
    <n v="1"/>
    <n v="1"/>
    <n v="3"/>
    <n v="1"/>
    <n v="1"/>
    <x v="2"/>
    <n v="2"/>
    <n v="5"/>
    <n v="4"/>
    <n v="4"/>
    <x v="1"/>
    <s v="Feedback Form"/>
    <s v="Will visit again"/>
    <x v="0"/>
    <n v="55"/>
    <d v="2024-10-17T00:00:00"/>
    <x v="2"/>
    <x v="8"/>
    <x v="1"/>
  </r>
  <r>
    <n v="415"/>
    <n v="61524"/>
    <s v="Aaron Brown"/>
    <x v="2"/>
    <x v="0"/>
    <x v="161"/>
    <d v="2024-11-11T00:00:00"/>
    <n v="3"/>
    <x v="2"/>
    <x v="2"/>
    <n v="3"/>
    <n v="3"/>
    <n v="5"/>
    <n v="2"/>
    <n v="2"/>
    <x v="3"/>
    <n v="3"/>
    <n v="5"/>
    <n v="1"/>
    <n v="1"/>
    <x v="1"/>
    <s v="Online Survey"/>
    <s v="Great stay"/>
    <x v="1"/>
    <n v="66"/>
    <d v="2024-11-11T00:00:00"/>
    <x v="2"/>
    <x v="4"/>
    <x v="1"/>
  </r>
  <r>
    <n v="416"/>
    <n v="65954"/>
    <s v="Robert Fitzpatrick"/>
    <x v="0"/>
    <x v="0"/>
    <x v="319"/>
    <d v="2024-09-22T00:00:00"/>
    <n v="4"/>
    <x v="2"/>
    <x v="4"/>
    <n v="1"/>
    <n v="3"/>
    <n v="4"/>
    <n v="5"/>
    <n v="2"/>
    <x v="4"/>
    <n v="1"/>
    <n v="5"/>
    <n v="5"/>
    <n v="4"/>
    <x v="1"/>
    <s v="Online Survey"/>
    <s v="Will visit again"/>
    <x v="0"/>
    <n v="45"/>
    <d v="2024-09-22T00:00:00"/>
    <x v="1"/>
    <x v="0"/>
    <x v="0"/>
  </r>
  <r>
    <n v="417"/>
    <n v="48996"/>
    <s v="Kenneth Romero"/>
    <x v="1"/>
    <x v="3"/>
    <x v="310"/>
    <d v="2023-11-19T00:00:00"/>
    <n v="5"/>
    <x v="3"/>
    <x v="4"/>
    <n v="5"/>
    <n v="3"/>
    <n v="2"/>
    <n v="3"/>
    <n v="5"/>
    <x v="3"/>
    <n v="4"/>
    <n v="1"/>
    <n v="4"/>
    <n v="2"/>
    <x v="0"/>
    <s v="Feedback Form"/>
    <s v="Poor service"/>
    <x v="1"/>
    <n v="40"/>
    <d v="2024-10-15T00:00:00"/>
    <x v="1"/>
    <x v="1"/>
    <x v="0"/>
  </r>
  <r>
    <n v="418"/>
    <n v="31505"/>
    <s v="Mario Roberts"/>
    <x v="1"/>
    <x v="3"/>
    <x v="320"/>
    <d v="2023-12-03T00:00:00"/>
    <n v="8"/>
    <x v="3"/>
    <x v="4"/>
    <n v="1"/>
    <n v="4"/>
    <n v="3"/>
    <n v="1"/>
    <n v="2"/>
    <x v="2"/>
    <n v="5"/>
    <n v="3"/>
    <n v="5"/>
    <n v="1"/>
    <x v="1"/>
    <s v="Feedback Form"/>
    <s v="Needs improvement"/>
    <x v="1"/>
    <n v="47"/>
    <d v="2024-03-11T00:00:00"/>
    <x v="1"/>
    <x v="5"/>
    <x v="1"/>
  </r>
  <r>
    <n v="419"/>
    <n v="40132"/>
    <s v="Scott Graham"/>
    <x v="2"/>
    <x v="0"/>
    <x v="321"/>
    <d v="2024-09-29T00:00:00"/>
    <n v="9"/>
    <x v="0"/>
    <x v="2"/>
    <n v="1"/>
    <n v="1"/>
    <n v="4"/>
    <n v="2"/>
    <n v="5"/>
    <x v="4"/>
    <n v="3"/>
    <n v="5"/>
    <n v="2"/>
    <n v="5"/>
    <x v="0"/>
    <s v="App Review"/>
    <s v="Great stay"/>
    <x v="2"/>
    <n v="35"/>
    <d v="2024-09-29T00:00:00"/>
    <x v="3"/>
    <x v="4"/>
    <x v="1"/>
  </r>
  <r>
    <n v="420"/>
    <n v="42558"/>
    <s v="Kimberly Stewart"/>
    <x v="4"/>
    <x v="0"/>
    <x v="322"/>
    <d v="2023-06-21T00:00:00"/>
    <n v="3"/>
    <x v="2"/>
    <x v="4"/>
    <n v="5"/>
    <n v="4"/>
    <n v="2"/>
    <n v="3"/>
    <n v="5"/>
    <x v="0"/>
    <n v="3"/>
    <n v="3"/>
    <n v="4"/>
    <n v="4"/>
    <x v="0"/>
    <s v="Online Survey"/>
    <s v="Poor service"/>
    <x v="1"/>
    <n v="43"/>
    <d v="2024-11-17T00:00:00"/>
    <x v="1"/>
    <x v="11"/>
    <x v="0"/>
  </r>
  <r>
    <n v="421"/>
    <n v="67202"/>
    <s v="Jonathan Simpson"/>
    <x v="1"/>
    <x v="3"/>
    <x v="294"/>
    <d v="2024-12-12T00:00:00"/>
    <n v="3"/>
    <x v="3"/>
    <x v="4"/>
    <n v="3"/>
    <n v="4"/>
    <n v="5"/>
    <n v="2"/>
    <n v="1"/>
    <x v="3"/>
    <n v="5"/>
    <n v="1"/>
    <n v="5"/>
    <n v="4"/>
    <x v="1"/>
    <s v="Email"/>
    <s v="Needs improvement"/>
    <x v="2"/>
    <n v="69"/>
    <d v="2024-12-12T00:00:00"/>
    <x v="2"/>
    <x v="13"/>
    <x v="0"/>
  </r>
  <r>
    <n v="422"/>
    <n v="34116"/>
    <s v="Mallory Thompson"/>
    <x v="3"/>
    <x v="2"/>
    <x v="121"/>
    <d v="2024-11-11T00:00:00"/>
    <n v="7"/>
    <x v="3"/>
    <x v="0"/>
    <n v="4"/>
    <n v="5"/>
    <n v="1"/>
    <n v="5"/>
    <n v="1"/>
    <x v="0"/>
    <n v="3"/>
    <n v="4"/>
    <n v="5"/>
    <n v="2"/>
    <x v="0"/>
    <s v="Email"/>
    <s v="Will visit again"/>
    <x v="2"/>
    <n v="50"/>
    <d v="2024-11-11T00:00:00"/>
    <x v="1"/>
    <x v="1"/>
    <x v="0"/>
  </r>
  <r>
    <n v="423"/>
    <n v="86769"/>
    <s v="Sara Martin"/>
    <x v="2"/>
    <x v="4"/>
    <x v="293"/>
    <d v="2024-11-30T00:00:00"/>
    <n v="9"/>
    <x v="0"/>
    <x v="4"/>
    <n v="1"/>
    <n v="5"/>
    <n v="4"/>
    <n v="4"/>
    <n v="2"/>
    <x v="1"/>
    <n v="2"/>
    <n v="5"/>
    <n v="1"/>
    <n v="2"/>
    <x v="1"/>
    <s v="In-person"/>
    <s v="Will visit again"/>
    <x v="0"/>
    <n v="33"/>
    <d v="2024-11-30T00:00:00"/>
    <x v="3"/>
    <x v="0"/>
    <x v="0"/>
  </r>
  <r>
    <n v="424"/>
    <n v="97064"/>
    <s v="Matthew Olson"/>
    <x v="0"/>
    <x v="1"/>
    <x v="286"/>
    <d v="2024-02-02T00:00:00"/>
    <n v="1"/>
    <x v="0"/>
    <x v="0"/>
    <n v="3"/>
    <n v="4"/>
    <n v="3"/>
    <n v="5"/>
    <n v="2"/>
    <x v="3"/>
    <n v="5"/>
    <n v="3"/>
    <n v="5"/>
    <n v="1"/>
    <x v="0"/>
    <s v="Email"/>
    <s v="Needs improvement"/>
    <x v="2"/>
    <n v="46"/>
    <d v="2024-10-15T00:00:00"/>
    <x v="1"/>
    <x v="18"/>
    <x v="0"/>
  </r>
  <r>
    <n v="425"/>
    <n v="19250"/>
    <s v="Dakota Kim"/>
    <x v="0"/>
    <x v="0"/>
    <x v="323"/>
    <d v="2024-08-27T00:00:00"/>
    <n v="1"/>
    <x v="3"/>
    <x v="1"/>
    <n v="5"/>
    <n v="2"/>
    <n v="5"/>
    <n v="4"/>
    <n v="5"/>
    <x v="4"/>
    <n v="3"/>
    <n v="5"/>
    <n v="2"/>
    <n v="5"/>
    <x v="1"/>
    <s v="Online Survey"/>
    <s v="Poor service"/>
    <x v="1"/>
    <n v="33"/>
    <d v="2024-08-27T00:00:00"/>
    <x v="3"/>
    <x v="16"/>
    <x v="0"/>
  </r>
  <r>
    <n v="426"/>
    <n v="35547"/>
    <s v="Brandon Wallace"/>
    <x v="2"/>
    <x v="3"/>
    <x v="324"/>
    <d v="2023-11-27T00:00:00"/>
    <n v="14"/>
    <x v="1"/>
    <x v="2"/>
    <n v="3"/>
    <n v="2"/>
    <n v="4"/>
    <n v="3"/>
    <n v="3"/>
    <x v="4"/>
    <n v="3"/>
    <n v="2"/>
    <n v="2"/>
    <n v="2"/>
    <x v="1"/>
    <s v="App Review"/>
    <s v="Needs improvement"/>
    <x v="0"/>
    <n v="50"/>
    <d v="2023-11-27T00:00:00"/>
    <x v="1"/>
    <x v="14"/>
    <x v="1"/>
  </r>
  <r>
    <n v="427"/>
    <n v="69734"/>
    <s v="Cassandra Hicks"/>
    <x v="2"/>
    <x v="0"/>
    <x v="74"/>
    <d v="2024-11-25T00:00:00"/>
    <n v="12"/>
    <x v="0"/>
    <x v="0"/>
    <n v="1"/>
    <n v="2"/>
    <n v="5"/>
    <n v="2"/>
    <n v="1"/>
    <x v="0"/>
    <n v="1"/>
    <n v="2"/>
    <n v="5"/>
    <n v="2"/>
    <x v="0"/>
    <s v="Online Survey"/>
    <s v="Great stay"/>
    <x v="1"/>
    <n v="56"/>
    <d v="2024-11-25T00:00:00"/>
    <x v="2"/>
    <x v="8"/>
    <x v="1"/>
  </r>
  <r>
    <n v="428"/>
    <n v="83360"/>
    <s v="Stacy Lee"/>
    <x v="1"/>
    <x v="0"/>
    <x v="294"/>
    <d v="2024-12-12T00:00:00"/>
    <n v="2"/>
    <x v="3"/>
    <x v="2"/>
    <n v="4"/>
    <n v="4"/>
    <n v="2"/>
    <n v="2"/>
    <n v="4"/>
    <x v="4"/>
    <n v="3"/>
    <n v="1"/>
    <n v="4"/>
    <n v="5"/>
    <x v="1"/>
    <s v="Online Survey"/>
    <s v="Needs improvement"/>
    <x v="2"/>
    <n v="63"/>
    <d v="2024-12-12T00:00:00"/>
    <x v="2"/>
    <x v="2"/>
    <x v="0"/>
  </r>
  <r>
    <n v="429"/>
    <n v="15455"/>
    <s v="Alex Miranda"/>
    <x v="2"/>
    <x v="0"/>
    <x v="325"/>
    <d v="2025-01-08T00:00:00"/>
    <n v="6"/>
    <x v="1"/>
    <x v="2"/>
    <n v="5"/>
    <n v="1"/>
    <n v="4"/>
    <n v="5"/>
    <n v="3"/>
    <x v="3"/>
    <n v="3"/>
    <n v="3"/>
    <n v="1"/>
    <n v="3"/>
    <x v="1"/>
    <s v="Email"/>
    <s v="Average"/>
    <x v="2"/>
    <n v="64"/>
    <d v="2025-01-08T00:00:00"/>
    <x v="2"/>
    <x v="10"/>
    <x v="0"/>
  </r>
  <r>
    <n v="430"/>
    <n v="58560"/>
    <s v="Derek Perez"/>
    <x v="2"/>
    <x v="0"/>
    <x v="298"/>
    <d v="2024-04-23T00:00:00"/>
    <n v="3"/>
    <x v="3"/>
    <x v="3"/>
    <n v="5"/>
    <n v="2"/>
    <n v="1"/>
    <n v="1"/>
    <n v="1"/>
    <x v="2"/>
    <n v="1"/>
    <n v="3"/>
    <n v="4"/>
    <n v="1"/>
    <x v="0"/>
    <s v="Feedback Form"/>
    <s v="Great stay"/>
    <x v="2"/>
    <n v="55"/>
    <d v="2024-09-01T00:00:00"/>
    <x v="2"/>
    <x v="17"/>
    <x v="1"/>
  </r>
  <r>
    <n v="431"/>
    <n v="94424"/>
    <s v="Deborah Cruz"/>
    <x v="3"/>
    <x v="2"/>
    <x v="326"/>
    <d v="2024-11-29T00:00:00"/>
    <n v="12"/>
    <x v="2"/>
    <x v="0"/>
    <n v="1"/>
    <n v="5"/>
    <n v="2"/>
    <n v="3"/>
    <n v="1"/>
    <x v="2"/>
    <n v="5"/>
    <n v="5"/>
    <n v="5"/>
    <n v="3"/>
    <x v="1"/>
    <s v="In-person"/>
    <s v="Poor service"/>
    <x v="2"/>
    <n v="40"/>
    <d v="2024-11-29T00:00:00"/>
    <x v="1"/>
    <x v="10"/>
    <x v="0"/>
  </r>
  <r>
    <n v="432"/>
    <n v="35474"/>
    <s v="Brandon Robinson"/>
    <x v="0"/>
    <x v="1"/>
    <x v="327"/>
    <d v="2024-08-20T00:00:00"/>
    <n v="8"/>
    <x v="1"/>
    <x v="4"/>
    <n v="3"/>
    <n v="3"/>
    <n v="1"/>
    <n v="4"/>
    <n v="2"/>
    <x v="4"/>
    <n v="1"/>
    <n v="2"/>
    <n v="2"/>
    <n v="5"/>
    <x v="1"/>
    <s v="Email"/>
    <s v="Great stay"/>
    <x v="1"/>
    <n v="43"/>
    <d v="2024-08-20T00:00:00"/>
    <x v="1"/>
    <x v="8"/>
    <x v="1"/>
  </r>
  <r>
    <n v="433"/>
    <n v="52773"/>
    <s v="Natasha Gray"/>
    <x v="1"/>
    <x v="1"/>
    <x v="196"/>
    <d v="2024-08-11T00:00:00"/>
    <n v="5"/>
    <x v="2"/>
    <x v="3"/>
    <n v="4"/>
    <n v="3"/>
    <n v="5"/>
    <n v="3"/>
    <n v="4"/>
    <x v="1"/>
    <n v="4"/>
    <n v="5"/>
    <n v="3"/>
    <n v="4"/>
    <x v="1"/>
    <s v="Email"/>
    <s v="Will visit again"/>
    <x v="1"/>
    <n v="66"/>
    <d v="2024-08-11T00:00:00"/>
    <x v="2"/>
    <x v="12"/>
    <x v="2"/>
  </r>
  <r>
    <n v="434"/>
    <n v="11502"/>
    <s v="Kevin Franklin"/>
    <x v="4"/>
    <x v="3"/>
    <x v="328"/>
    <d v="2024-10-17T00:00:00"/>
    <n v="3"/>
    <x v="3"/>
    <x v="0"/>
    <n v="5"/>
    <n v="4"/>
    <n v="1"/>
    <n v="5"/>
    <n v="4"/>
    <x v="3"/>
    <n v="4"/>
    <n v="5"/>
    <n v="1"/>
    <n v="1"/>
    <x v="0"/>
    <s v="Email"/>
    <s v="Will visit again"/>
    <x v="0"/>
    <n v="34"/>
    <d v="2024-10-17T00:00:00"/>
    <x v="3"/>
    <x v="13"/>
    <x v="0"/>
  </r>
  <r>
    <n v="435"/>
    <n v="41117"/>
    <s v="Derek Foster"/>
    <x v="1"/>
    <x v="2"/>
    <x v="74"/>
    <d v="2024-11-25T00:00:00"/>
    <n v="14"/>
    <x v="1"/>
    <x v="0"/>
    <n v="1"/>
    <n v="3"/>
    <n v="2"/>
    <n v="2"/>
    <n v="1"/>
    <x v="1"/>
    <n v="2"/>
    <n v="1"/>
    <n v="4"/>
    <n v="5"/>
    <x v="0"/>
    <s v="In-person"/>
    <s v="Will visit again"/>
    <x v="0"/>
    <n v="55"/>
    <d v="2024-11-25T00:00:00"/>
    <x v="2"/>
    <x v="7"/>
    <x v="1"/>
  </r>
  <r>
    <n v="436"/>
    <n v="17042"/>
    <s v="Zachary Williams"/>
    <x v="0"/>
    <x v="2"/>
    <x v="55"/>
    <d v="2024-08-25T00:00:00"/>
    <n v="8"/>
    <x v="2"/>
    <x v="1"/>
    <n v="1"/>
    <n v="4"/>
    <n v="2"/>
    <n v="4"/>
    <n v="5"/>
    <x v="0"/>
    <n v="3"/>
    <n v="4"/>
    <n v="2"/>
    <n v="5"/>
    <x v="1"/>
    <s v="App Review"/>
    <s v="Great stay"/>
    <x v="1"/>
    <n v="62"/>
    <d v="2024-08-25T00:00:00"/>
    <x v="2"/>
    <x v="1"/>
    <x v="0"/>
  </r>
  <r>
    <n v="437"/>
    <n v="40501"/>
    <s v="Chelsea Day"/>
    <x v="4"/>
    <x v="1"/>
    <x v="329"/>
    <d v="2023-09-26T00:00:00"/>
    <n v="8"/>
    <x v="0"/>
    <x v="4"/>
    <n v="2"/>
    <n v="3"/>
    <n v="2"/>
    <n v="4"/>
    <n v="4"/>
    <x v="4"/>
    <n v="4"/>
    <n v="1"/>
    <n v="4"/>
    <n v="1"/>
    <x v="1"/>
    <s v="Email"/>
    <s v="Will visit again"/>
    <x v="1"/>
    <n v="41"/>
    <d v="2024-06-10T00:00:00"/>
    <x v="1"/>
    <x v="7"/>
    <x v="1"/>
  </r>
  <r>
    <n v="438"/>
    <n v="30244"/>
    <s v="Patricia Scott"/>
    <x v="2"/>
    <x v="3"/>
    <x v="330"/>
    <d v="2023-09-18T00:00:00"/>
    <n v="2"/>
    <x v="1"/>
    <x v="1"/>
    <n v="2"/>
    <n v="1"/>
    <n v="5"/>
    <n v="4"/>
    <n v="3"/>
    <x v="0"/>
    <n v="5"/>
    <n v="1"/>
    <n v="5"/>
    <n v="3"/>
    <x v="1"/>
    <s v="App Review"/>
    <s v="Poor service"/>
    <x v="2"/>
    <n v="60"/>
    <d v="2024-02-10T00:00:00"/>
    <x v="2"/>
    <x v="10"/>
    <x v="0"/>
  </r>
  <r>
    <n v="439"/>
    <n v="34242"/>
    <s v="Catherine Wood"/>
    <x v="3"/>
    <x v="2"/>
    <x v="25"/>
    <d v="2024-10-03T00:00:00"/>
    <n v="5"/>
    <x v="0"/>
    <x v="2"/>
    <n v="3"/>
    <n v="1"/>
    <n v="3"/>
    <n v="4"/>
    <n v="5"/>
    <x v="1"/>
    <n v="5"/>
    <n v="1"/>
    <n v="4"/>
    <n v="4"/>
    <x v="0"/>
    <s v="App Review"/>
    <s v="Poor service"/>
    <x v="2"/>
    <n v="36"/>
    <d v="2024-10-03T00:00:00"/>
    <x v="1"/>
    <x v="18"/>
    <x v="0"/>
  </r>
  <r>
    <n v="440"/>
    <n v="66671"/>
    <s v="Elizabeth Smith"/>
    <x v="3"/>
    <x v="3"/>
    <x v="331"/>
    <d v="2024-03-21T00:00:00"/>
    <n v="3"/>
    <x v="0"/>
    <x v="4"/>
    <n v="1"/>
    <n v="1"/>
    <n v="5"/>
    <n v="3"/>
    <n v="2"/>
    <x v="3"/>
    <n v="4"/>
    <n v="5"/>
    <n v="1"/>
    <n v="3"/>
    <x v="0"/>
    <s v="Online Survey"/>
    <s v="Great stay"/>
    <x v="0"/>
    <n v="59"/>
    <d v="2024-03-21T00:00:00"/>
    <x v="2"/>
    <x v="4"/>
    <x v="1"/>
  </r>
  <r>
    <n v="441"/>
    <n v="94780"/>
    <s v="Sergio Jones"/>
    <x v="0"/>
    <x v="1"/>
    <x v="332"/>
    <d v="2023-11-08T00:00:00"/>
    <n v="7"/>
    <x v="2"/>
    <x v="1"/>
    <n v="3"/>
    <n v="1"/>
    <n v="2"/>
    <n v="3"/>
    <n v="1"/>
    <x v="1"/>
    <n v="1"/>
    <n v="5"/>
    <n v="3"/>
    <n v="2"/>
    <x v="1"/>
    <s v="Feedback Form"/>
    <s v="Needs improvement"/>
    <x v="0"/>
    <n v="44"/>
    <d v="2023-11-08T00:00:00"/>
    <x v="1"/>
    <x v="7"/>
    <x v="1"/>
  </r>
  <r>
    <n v="442"/>
    <n v="66235"/>
    <s v="Rhonda George"/>
    <x v="0"/>
    <x v="0"/>
    <x v="333"/>
    <d v="2024-04-19T00:00:00"/>
    <n v="2"/>
    <x v="3"/>
    <x v="1"/>
    <n v="3"/>
    <n v="2"/>
    <n v="5"/>
    <n v="5"/>
    <n v="1"/>
    <x v="2"/>
    <n v="2"/>
    <n v="5"/>
    <n v="3"/>
    <n v="3"/>
    <x v="0"/>
    <s v="In-person"/>
    <s v="Needs improvement"/>
    <x v="0"/>
    <n v="19"/>
    <d v="2024-04-19T00:00:00"/>
    <x v="0"/>
    <x v="0"/>
    <x v="0"/>
  </r>
  <r>
    <n v="443"/>
    <n v="40766"/>
    <s v="Andrew Henry"/>
    <x v="3"/>
    <x v="2"/>
    <x v="334"/>
    <d v="2024-01-10T00:00:00"/>
    <n v="9"/>
    <x v="2"/>
    <x v="4"/>
    <n v="4"/>
    <n v="5"/>
    <n v="4"/>
    <n v="2"/>
    <n v="3"/>
    <x v="1"/>
    <n v="1"/>
    <n v="5"/>
    <n v="5"/>
    <n v="2"/>
    <x v="0"/>
    <s v="Feedback Form"/>
    <s v="Poor service"/>
    <x v="1"/>
    <n v="69"/>
    <d v="2024-05-01T00:00:00"/>
    <x v="2"/>
    <x v="11"/>
    <x v="0"/>
  </r>
  <r>
    <n v="444"/>
    <n v="68552"/>
    <s v="Erika Reed"/>
    <x v="4"/>
    <x v="3"/>
    <x v="335"/>
    <d v="2025-01-01T00:00:00"/>
    <n v="2"/>
    <x v="3"/>
    <x v="0"/>
    <n v="2"/>
    <n v="1"/>
    <n v="4"/>
    <n v="2"/>
    <n v="3"/>
    <x v="1"/>
    <n v="2"/>
    <n v="2"/>
    <n v="1"/>
    <n v="1"/>
    <x v="0"/>
    <s v="App Review"/>
    <s v="Great stay"/>
    <x v="0"/>
    <n v="25"/>
    <d v="2025-01-01T00:00:00"/>
    <x v="0"/>
    <x v="9"/>
    <x v="1"/>
  </r>
  <r>
    <n v="445"/>
    <n v="15012"/>
    <s v="John Hunt"/>
    <x v="4"/>
    <x v="0"/>
    <x v="336"/>
    <d v="2025-01-01T00:00:00"/>
    <n v="11"/>
    <x v="2"/>
    <x v="2"/>
    <n v="3"/>
    <n v="2"/>
    <n v="3"/>
    <n v="3"/>
    <n v="2"/>
    <x v="1"/>
    <n v="4"/>
    <n v="3"/>
    <n v="3"/>
    <n v="2"/>
    <x v="1"/>
    <s v="App Review"/>
    <s v="Poor service"/>
    <x v="1"/>
    <n v="32"/>
    <d v="2025-01-01T00:00:00"/>
    <x v="3"/>
    <x v="2"/>
    <x v="0"/>
  </r>
  <r>
    <n v="446"/>
    <n v="32146"/>
    <s v="Debbie Harris"/>
    <x v="1"/>
    <x v="1"/>
    <x v="119"/>
    <d v="2024-04-30T00:00:00"/>
    <n v="2"/>
    <x v="2"/>
    <x v="3"/>
    <n v="4"/>
    <n v="4"/>
    <n v="5"/>
    <n v="5"/>
    <n v="2"/>
    <x v="1"/>
    <n v="1"/>
    <n v="2"/>
    <n v="2"/>
    <n v="5"/>
    <x v="0"/>
    <s v="In-person"/>
    <s v="Will visit again"/>
    <x v="1"/>
    <n v="58"/>
    <d v="2024-04-30T00:00:00"/>
    <x v="2"/>
    <x v="18"/>
    <x v="0"/>
  </r>
  <r>
    <n v="447"/>
    <n v="44907"/>
    <s v="Harry Brown"/>
    <x v="2"/>
    <x v="4"/>
    <x v="337"/>
    <d v="2023-03-30T00:00:00"/>
    <n v="6"/>
    <x v="1"/>
    <x v="3"/>
    <n v="4"/>
    <n v="3"/>
    <n v="5"/>
    <n v="1"/>
    <n v="4"/>
    <x v="3"/>
    <n v="4"/>
    <n v="3"/>
    <n v="4"/>
    <n v="2"/>
    <x v="0"/>
    <s v="Feedback Form"/>
    <s v="Will visit again"/>
    <x v="0"/>
    <n v="30"/>
    <d v="2023-09-20T00:00:00"/>
    <x v="3"/>
    <x v="13"/>
    <x v="0"/>
  </r>
  <r>
    <n v="448"/>
    <n v="75161"/>
    <s v="Richard Mack"/>
    <x v="4"/>
    <x v="2"/>
    <x v="58"/>
    <d v="2024-11-04T00:00:00"/>
    <n v="3"/>
    <x v="3"/>
    <x v="3"/>
    <n v="2"/>
    <n v="3"/>
    <n v="4"/>
    <n v="4"/>
    <n v="5"/>
    <x v="4"/>
    <n v="2"/>
    <n v="5"/>
    <n v="5"/>
    <n v="5"/>
    <x v="1"/>
    <s v="Online Survey"/>
    <s v="Poor service"/>
    <x v="1"/>
    <n v="44"/>
    <d v="2024-11-04T00:00:00"/>
    <x v="1"/>
    <x v="11"/>
    <x v="0"/>
  </r>
  <r>
    <n v="449"/>
    <n v="67900"/>
    <s v="Jade Jackson"/>
    <x v="2"/>
    <x v="2"/>
    <x v="338"/>
    <d v="2024-10-05T00:00:00"/>
    <n v="3"/>
    <x v="0"/>
    <x v="2"/>
    <n v="2"/>
    <n v="2"/>
    <n v="2"/>
    <n v="2"/>
    <n v="1"/>
    <x v="3"/>
    <n v="5"/>
    <n v="2"/>
    <n v="2"/>
    <n v="5"/>
    <x v="1"/>
    <s v="Feedback Form"/>
    <s v="Will visit again"/>
    <x v="1"/>
    <n v="39"/>
    <d v="2024-10-05T00:00:00"/>
    <x v="1"/>
    <x v="5"/>
    <x v="1"/>
  </r>
  <r>
    <n v="450"/>
    <n v="65270"/>
    <s v="Benjamin Wolfe"/>
    <x v="0"/>
    <x v="3"/>
    <x v="257"/>
    <d v="2024-10-22T00:00:00"/>
    <n v="10"/>
    <x v="3"/>
    <x v="4"/>
    <n v="1"/>
    <n v="3"/>
    <n v="1"/>
    <n v="4"/>
    <n v="4"/>
    <x v="0"/>
    <n v="1"/>
    <n v="3"/>
    <n v="5"/>
    <n v="3"/>
    <x v="1"/>
    <s v="Email"/>
    <s v="Average"/>
    <x v="0"/>
    <n v="64"/>
    <d v="2024-10-22T00:00:00"/>
    <x v="2"/>
    <x v="3"/>
    <x v="1"/>
  </r>
  <r>
    <n v="451"/>
    <n v="23960"/>
    <s v="Dustin Mann"/>
    <x v="4"/>
    <x v="1"/>
    <x v="246"/>
    <d v="2024-08-17T00:00:00"/>
    <n v="2"/>
    <x v="3"/>
    <x v="4"/>
    <n v="3"/>
    <n v="1"/>
    <n v="2"/>
    <n v="2"/>
    <n v="2"/>
    <x v="2"/>
    <n v="4"/>
    <n v="4"/>
    <n v="1"/>
    <n v="4"/>
    <x v="1"/>
    <s v="Feedback Form"/>
    <s v="Average"/>
    <x v="0"/>
    <n v="64"/>
    <d v="2024-08-17T00:00:00"/>
    <x v="2"/>
    <x v="14"/>
    <x v="1"/>
  </r>
  <r>
    <n v="452"/>
    <n v="71030"/>
    <s v="Kevin Goodman"/>
    <x v="4"/>
    <x v="1"/>
    <x v="339"/>
    <d v="2024-04-15T00:00:00"/>
    <n v="14"/>
    <x v="2"/>
    <x v="4"/>
    <n v="4"/>
    <n v="3"/>
    <n v="3"/>
    <n v="1"/>
    <n v="3"/>
    <x v="4"/>
    <n v="2"/>
    <n v="1"/>
    <n v="5"/>
    <n v="3"/>
    <x v="1"/>
    <s v="App Review"/>
    <s v="Average"/>
    <x v="0"/>
    <n v="18"/>
    <d v="2024-04-15T00:00:00"/>
    <x v="0"/>
    <x v="7"/>
    <x v="1"/>
  </r>
  <r>
    <n v="453"/>
    <n v="46512"/>
    <s v="Mary Hernandez"/>
    <x v="4"/>
    <x v="2"/>
    <x v="340"/>
    <d v="2024-11-18T00:00:00"/>
    <n v="13"/>
    <x v="0"/>
    <x v="3"/>
    <n v="1"/>
    <n v="1"/>
    <n v="1"/>
    <n v="2"/>
    <n v="4"/>
    <x v="2"/>
    <n v="5"/>
    <n v="3"/>
    <n v="3"/>
    <n v="3"/>
    <x v="0"/>
    <s v="In-person"/>
    <s v="Needs improvement"/>
    <x v="0"/>
    <n v="22"/>
    <d v="2024-11-18T00:00:00"/>
    <x v="0"/>
    <x v="14"/>
    <x v="1"/>
  </r>
  <r>
    <n v="454"/>
    <n v="30005"/>
    <s v="Cody Holloway"/>
    <x v="1"/>
    <x v="2"/>
    <x v="341"/>
    <d v="2024-08-18T00:00:00"/>
    <n v="5"/>
    <x v="1"/>
    <x v="0"/>
    <n v="3"/>
    <n v="1"/>
    <n v="2"/>
    <n v="1"/>
    <n v="3"/>
    <x v="2"/>
    <n v="1"/>
    <n v="2"/>
    <n v="1"/>
    <n v="5"/>
    <x v="0"/>
    <s v="Email"/>
    <s v="Needs improvement"/>
    <x v="2"/>
    <n v="46"/>
    <d v="2024-08-18T00:00:00"/>
    <x v="1"/>
    <x v="17"/>
    <x v="1"/>
  </r>
  <r>
    <n v="455"/>
    <n v="74056"/>
    <s v="Timothy Valentine"/>
    <x v="0"/>
    <x v="3"/>
    <x v="169"/>
    <d v="2024-08-08T00:00:00"/>
    <n v="12"/>
    <x v="2"/>
    <x v="1"/>
    <n v="3"/>
    <n v="3"/>
    <n v="5"/>
    <n v="2"/>
    <n v="5"/>
    <x v="4"/>
    <n v="2"/>
    <n v="2"/>
    <n v="5"/>
    <n v="4"/>
    <x v="0"/>
    <s v="App Review"/>
    <s v="Great stay"/>
    <x v="2"/>
    <n v="32"/>
    <d v="2024-08-08T00:00:00"/>
    <x v="3"/>
    <x v="10"/>
    <x v="0"/>
  </r>
  <r>
    <n v="456"/>
    <n v="23472"/>
    <s v="Jennifer Rodgers"/>
    <x v="3"/>
    <x v="3"/>
    <x v="283"/>
    <d v="2024-08-22T00:00:00"/>
    <n v="11"/>
    <x v="1"/>
    <x v="3"/>
    <n v="1"/>
    <n v="2"/>
    <n v="5"/>
    <n v="3"/>
    <n v="3"/>
    <x v="4"/>
    <n v="1"/>
    <n v="4"/>
    <n v="2"/>
    <n v="5"/>
    <x v="1"/>
    <s v="Feedback Form"/>
    <s v="Needs improvement"/>
    <x v="2"/>
    <n v="47"/>
    <d v="2024-08-22T00:00:00"/>
    <x v="1"/>
    <x v="5"/>
    <x v="1"/>
  </r>
  <r>
    <n v="457"/>
    <n v="73663"/>
    <s v="Robert Harrington"/>
    <x v="1"/>
    <x v="4"/>
    <x v="342"/>
    <d v="2024-12-27T00:00:00"/>
    <n v="5"/>
    <x v="1"/>
    <x v="2"/>
    <n v="4"/>
    <n v="4"/>
    <n v="4"/>
    <n v="4"/>
    <n v="1"/>
    <x v="0"/>
    <n v="1"/>
    <n v="3"/>
    <n v="1"/>
    <n v="4"/>
    <x v="0"/>
    <s v="In-person"/>
    <s v="Poor service"/>
    <x v="0"/>
    <n v="63"/>
    <d v="2024-12-27T00:00:00"/>
    <x v="2"/>
    <x v="4"/>
    <x v="1"/>
  </r>
  <r>
    <n v="458"/>
    <n v="68316"/>
    <s v="Angela Turner"/>
    <x v="1"/>
    <x v="0"/>
    <x v="343"/>
    <d v="2024-08-04T00:00:00"/>
    <n v="7"/>
    <x v="3"/>
    <x v="4"/>
    <n v="1"/>
    <n v="2"/>
    <n v="5"/>
    <n v="5"/>
    <n v="5"/>
    <x v="3"/>
    <n v="3"/>
    <n v="1"/>
    <n v="1"/>
    <n v="2"/>
    <x v="1"/>
    <s v="Email"/>
    <s v="Great stay"/>
    <x v="2"/>
    <n v="23"/>
    <d v="2024-08-04T00:00:00"/>
    <x v="0"/>
    <x v="4"/>
    <x v="1"/>
  </r>
  <r>
    <n v="459"/>
    <n v="79443"/>
    <s v="Robert Williams"/>
    <x v="4"/>
    <x v="3"/>
    <x v="344"/>
    <d v="2023-10-18T00:00:00"/>
    <n v="8"/>
    <x v="0"/>
    <x v="1"/>
    <n v="3"/>
    <n v="5"/>
    <n v="5"/>
    <n v="5"/>
    <n v="3"/>
    <x v="4"/>
    <n v="4"/>
    <n v="2"/>
    <n v="5"/>
    <n v="5"/>
    <x v="1"/>
    <s v="Feedback Form"/>
    <s v="Great stay"/>
    <x v="0"/>
    <n v="23"/>
    <d v="2024-12-29T00:00:00"/>
    <x v="0"/>
    <x v="21"/>
    <x v="0"/>
  </r>
  <r>
    <n v="460"/>
    <n v="88761"/>
    <s v="Lisa Farley"/>
    <x v="1"/>
    <x v="0"/>
    <x v="345"/>
    <d v="2023-08-12T00:00:00"/>
    <n v="8"/>
    <x v="3"/>
    <x v="4"/>
    <n v="1"/>
    <n v="5"/>
    <n v="3"/>
    <n v="2"/>
    <n v="4"/>
    <x v="0"/>
    <n v="3"/>
    <n v="5"/>
    <n v="5"/>
    <n v="3"/>
    <x v="0"/>
    <s v="Email"/>
    <s v="Poor service"/>
    <x v="2"/>
    <n v="40"/>
    <d v="2024-10-14T00:00:00"/>
    <x v="1"/>
    <x v="13"/>
    <x v="0"/>
  </r>
  <r>
    <n v="461"/>
    <n v="99667"/>
    <s v="Stephen Wilkerson"/>
    <x v="3"/>
    <x v="2"/>
    <x v="71"/>
    <d v="2024-11-20T00:00:00"/>
    <n v="12"/>
    <x v="0"/>
    <x v="4"/>
    <n v="1"/>
    <n v="1"/>
    <n v="1"/>
    <n v="5"/>
    <n v="1"/>
    <x v="1"/>
    <n v="1"/>
    <n v="5"/>
    <n v="1"/>
    <n v="5"/>
    <x v="1"/>
    <s v="Online Survey"/>
    <s v="Average"/>
    <x v="1"/>
    <n v="69"/>
    <d v="2024-11-20T00:00:00"/>
    <x v="2"/>
    <x v="7"/>
    <x v="1"/>
  </r>
  <r>
    <n v="462"/>
    <n v="21603"/>
    <s v="Amber Powell"/>
    <x v="1"/>
    <x v="4"/>
    <x v="211"/>
    <d v="2023-10-13T00:00:00"/>
    <n v="14"/>
    <x v="1"/>
    <x v="4"/>
    <n v="3"/>
    <n v="1"/>
    <n v="2"/>
    <n v="4"/>
    <n v="1"/>
    <x v="4"/>
    <n v="2"/>
    <n v="3"/>
    <n v="4"/>
    <n v="1"/>
    <x v="0"/>
    <s v="Online Survey"/>
    <s v="Needs improvement"/>
    <x v="0"/>
    <n v="22"/>
    <d v="2023-10-13T00:00:00"/>
    <x v="0"/>
    <x v="19"/>
    <x v="1"/>
  </r>
  <r>
    <n v="463"/>
    <n v="52251"/>
    <s v="Morgan Washington"/>
    <x v="1"/>
    <x v="4"/>
    <x v="346"/>
    <d v="2023-06-27T00:00:00"/>
    <n v="3"/>
    <x v="3"/>
    <x v="0"/>
    <n v="2"/>
    <n v="2"/>
    <n v="2"/>
    <n v="3"/>
    <n v="2"/>
    <x v="3"/>
    <n v="4"/>
    <n v="4"/>
    <n v="4"/>
    <n v="1"/>
    <x v="0"/>
    <s v="In-person"/>
    <s v="Great stay"/>
    <x v="2"/>
    <n v="39"/>
    <d v="2023-06-27T00:00:00"/>
    <x v="1"/>
    <x v="3"/>
    <x v="1"/>
  </r>
  <r>
    <n v="464"/>
    <n v="10163"/>
    <s v="Jason Kaiser"/>
    <x v="4"/>
    <x v="4"/>
    <x v="347"/>
    <d v="2025-01-03T00:00:00"/>
    <n v="6"/>
    <x v="1"/>
    <x v="1"/>
    <n v="4"/>
    <n v="2"/>
    <n v="3"/>
    <n v="3"/>
    <n v="2"/>
    <x v="1"/>
    <n v="2"/>
    <n v="1"/>
    <n v="3"/>
    <n v="1"/>
    <x v="0"/>
    <s v="Online Survey"/>
    <s v="Average"/>
    <x v="2"/>
    <n v="58"/>
    <d v="2025-01-03T00:00:00"/>
    <x v="2"/>
    <x v="7"/>
    <x v="1"/>
  </r>
  <r>
    <n v="465"/>
    <n v="78998"/>
    <s v="Selena Lawson"/>
    <x v="0"/>
    <x v="1"/>
    <x v="348"/>
    <d v="2024-03-17T00:00:00"/>
    <n v="12"/>
    <x v="2"/>
    <x v="3"/>
    <n v="3"/>
    <n v="1"/>
    <n v="1"/>
    <n v="1"/>
    <n v="4"/>
    <x v="1"/>
    <n v="2"/>
    <n v="3"/>
    <n v="1"/>
    <n v="3"/>
    <x v="0"/>
    <s v="App Review"/>
    <s v="Will visit again"/>
    <x v="0"/>
    <n v="37"/>
    <d v="2024-03-17T00:00:00"/>
    <x v="1"/>
    <x v="8"/>
    <x v="1"/>
  </r>
  <r>
    <n v="466"/>
    <n v="20287"/>
    <s v="Kathryn Fisher"/>
    <x v="3"/>
    <x v="2"/>
    <x v="227"/>
    <d v="2024-07-29T00:00:00"/>
    <n v="5"/>
    <x v="0"/>
    <x v="0"/>
    <n v="2"/>
    <n v="4"/>
    <n v="5"/>
    <n v="5"/>
    <n v="2"/>
    <x v="1"/>
    <n v="5"/>
    <n v="3"/>
    <n v="4"/>
    <n v="3"/>
    <x v="0"/>
    <s v="Feedback Form"/>
    <s v="Average"/>
    <x v="1"/>
    <n v="37"/>
    <d v="2024-07-29T00:00:00"/>
    <x v="1"/>
    <x v="21"/>
    <x v="0"/>
  </r>
  <r>
    <n v="467"/>
    <n v="64465"/>
    <s v="Kristen Rogers"/>
    <x v="4"/>
    <x v="1"/>
    <x v="275"/>
    <d v="2024-06-15T00:00:00"/>
    <n v="4"/>
    <x v="1"/>
    <x v="2"/>
    <n v="1"/>
    <n v="4"/>
    <n v="3"/>
    <n v="4"/>
    <n v="3"/>
    <x v="1"/>
    <n v="1"/>
    <n v="1"/>
    <n v="2"/>
    <n v="1"/>
    <x v="0"/>
    <s v="Email"/>
    <s v="Average"/>
    <x v="2"/>
    <n v="56"/>
    <d v="2024-12-12T00:00:00"/>
    <x v="2"/>
    <x v="14"/>
    <x v="1"/>
  </r>
  <r>
    <n v="468"/>
    <n v="68144"/>
    <s v="Kenneth Barr"/>
    <x v="1"/>
    <x v="1"/>
    <x v="309"/>
    <d v="2024-04-29T00:00:00"/>
    <n v="10"/>
    <x v="1"/>
    <x v="2"/>
    <n v="2"/>
    <n v="5"/>
    <n v="5"/>
    <n v="5"/>
    <n v="2"/>
    <x v="2"/>
    <n v="2"/>
    <n v="2"/>
    <n v="1"/>
    <n v="3"/>
    <x v="0"/>
    <s v="Email"/>
    <s v="Needs improvement"/>
    <x v="0"/>
    <n v="47"/>
    <d v="2024-04-29T00:00:00"/>
    <x v="1"/>
    <x v="4"/>
    <x v="1"/>
  </r>
  <r>
    <n v="469"/>
    <n v="70109"/>
    <s v="Tina Wilson MD"/>
    <x v="3"/>
    <x v="4"/>
    <x v="349"/>
    <d v="2024-03-10T00:00:00"/>
    <n v="6"/>
    <x v="0"/>
    <x v="3"/>
    <n v="3"/>
    <n v="4"/>
    <n v="2"/>
    <n v="4"/>
    <n v="1"/>
    <x v="3"/>
    <n v="1"/>
    <n v="5"/>
    <n v="4"/>
    <n v="3"/>
    <x v="0"/>
    <s v="Online Survey"/>
    <s v="Will visit again"/>
    <x v="2"/>
    <n v="65"/>
    <d v="2024-03-10T00:00:00"/>
    <x v="2"/>
    <x v="0"/>
    <x v="0"/>
  </r>
  <r>
    <n v="470"/>
    <n v="16227"/>
    <s v="Brittany Morrow"/>
    <x v="2"/>
    <x v="1"/>
    <x v="350"/>
    <d v="2024-05-08T00:00:00"/>
    <n v="4"/>
    <x v="1"/>
    <x v="1"/>
    <n v="3"/>
    <n v="3"/>
    <n v="3"/>
    <n v="1"/>
    <n v="4"/>
    <x v="0"/>
    <n v="3"/>
    <n v="2"/>
    <n v="5"/>
    <n v="3"/>
    <x v="0"/>
    <s v="Email"/>
    <s v="Great stay"/>
    <x v="1"/>
    <n v="34"/>
    <d v="2024-05-08T00:00:00"/>
    <x v="3"/>
    <x v="2"/>
    <x v="0"/>
  </r>
  <r>
    <n v="471"/>
    <n v="94580"/>
    <s v="Scott Wilson"/>
    <x v="1"/>
    <x v="2"/>
    <x v="236"/>
    <d v="2024-08-09T00:00:00"/>
    <n v="14"/>
    <x v="2"/>
    <x v="3"/>
    <n v="1"/>
    <n v="1"/>
    <n v="3"/>
    <n v="5"/>
    <n v="3"/>
    <x v="4"/>
    <n v="3"/>
    <n v="4"/>
    <n v="2"/>
    <n v="1"/>
    <x v="0"/>
    <s v="Email"/>
    <s v="Poor service"/>
    <x v="0"/>
    <n v="40"/>
    <d v="2024-08-09T00:00:00"/>
    <x v="1"/>
    <x v="8"/>
    <x v="1"/>
  </r>
  <r>
    <n v="472"/>
    <n v="60842"/>
    <s v="Christopher Thompson"/>
    <x v="0"/>
    <x v="2"/>
    <x v="351"/>
    <d v="2023-12-13T00:00:00"/>
    <n v="8"/>
    <x v="1"/>
    <x v="0"/>
    <n v="3"/>
    <n v="2"/>
    <n v="3"/>
    <n v="3"/>
    <n v="1"/>
    <x v="0"/>
    <n v="2"/>
    <n v="1"/>
    <n v="3"/>
    <n v="2"/>
    <x v="1"/>
    <s v="Feedback Form"/>
    <s v="Great stay"/>
    <x v="2"/>
    <n v="57"/>
    <d v="2024-03-28T00:00:00"/>
    <x v="2"/>
    <x v="9"/>
    <x v="1"/>
  </r>
  <r>
    <n v="473"/>
    <n v="41790"/>
    <s v="Linda Johnson"/>
    <x v="1"/>
    <x v="1"/>
    <x v="352"/>
    <d v="2024-08-25T00:00:00"/>
    <n v="9"/>
    <x v="1"/>
    <x v="1"/>
    <n v="5"/>
    <n v="1"/>
    <n v="2"/>
    <n v="1"/>
    <n v="1"/>
    <x v="2"/>
    <n v="1"/>
    <n v="2"/>
    <n v="4"/>
    <n v="2"/>
    <x v="1"/>
    <s v="In-person"/>
    <s v="Needs improvement"/>
    <x v="2"/>
    <n v="67"/>
    <d v="2024-08-25T00:00:00"/>
    <x v="2"/>
    <x v="17"/>
    <x v="1"/>
  </r>
  <r>
    <n v="474"/>
    <n v="43001"/>
    <s v="Mary Stewart"/>
    <x v="0"/>
    <x v="2"/>
    <x v="353"/>
    <d v="2024-04-11T00:00:00"/>
    <n v="1"/>
    <x v="0"/>
    <x v="2"/>
    <n v="2"/>
    <n v="3"/>
    <n v="2"/>
    <n v="5"/>
    <n v="5"/>
    <x v="1"/>
    <n v="5"/>
    <n v="3"/>
    <n v="5"/>
    <n v="4"/>
    <x v="0"/>
    <s v="Email"/>
    <s v="Great stay"/>
    <x v="0"/>
    <n v="69"/>
    <d v="2024-04-11T00:00:00"/>
    <x v="2"/>
    <x v="20"/>
    <x v="0"/>
  </r>
  <r>
    <n v="475"/>
    <n v="44644"/>
    <s v="Raymond Allen"/>
    <x v="2"/>
    <x v="0"/>
    <x v="354"/>
    <d v="2024-10-03T00:00:00"/>
    <n v="12"/>
    <x v="0"/>
    <x v="1"/>
    <n v="5"/>
    <n v="4"/>
    <n v="4"/>
    <n v="3"/>
    <n v="2"/>
    <x v="4"/>
    <n v="4"/>
    <n v="3"/>
    <n v="2"/>
    <n v="5"/>
    <x v="1"/>
    <s v="Online Survey"/>
    <s v="Needs improvement"/>
    <x v="1"/>
    <n v="30"/>
    <d v="2024-10-03T00:00:00"/>
    <x v="3"/>
    <x v="1"/>
    <x v="0"/>
  </r>
  <r>
    <n v="476"/>
    <n v="51921"/>
    <s v="David Dickerson"/>
    <x v="4"/>
    <x v="1"/>
    <x v="355"/>
    <d v="2024-02-06T00:00:00"/>
    <n v="1"/>
    <x v="2"/>
    <x v="1"/>
    <n v="5"/>
    <n v="1"/>
    <n v="2"/>
    <n v="3"/>
    <n v="3"/>
    <x v="3"/>
    <n v="3"/>
    <n v="4"/>
    <n v="2"/>
    <n v="2"/>
    <x v="0"/>
    <s v="Online Survey"/>
    <s v="Needs improvement"/>
    <x v="2"/>
    <n v="63"/>
    <d v="2024-02-06T00:00:00"/>
    <x v="2"/>
    <x v="4"/>
    <x v="1"/>
  </r>
  <r>
    <n v="477"/>
    <n v="95290"/>
    <s v="Nancy Walker"/>
    <x v="4"/>
    <x v="4"/>
    <x v="123"/>
    <d v="2024-07-15T00:00:00"/>
    <n v="4"/>
    <x v="1"/>
    <x v="1"/>
    <n v="2"/>
    <n v="3"/>
    <n v="2"/>
    <n v="4"/>
    <n v="4"/>
    <x v="4"/>
    <n v="3"/>
    <n v="4"/>
    <n v="3"/>
    <n v="4"/>
    <x v="0"/>
    <s v="In-person"/>
    <s v="Great stay"/>
    <x v="1"/>
    <n v="53"/>
    <d v="2024-07-15T00:00:00"/>
    <x v="2"/>
    <x v="2"/>
    <x v="0"/>
  </r>
  <r>
    <n v="478"/>
    <n v="57951"/>
    <s v="Jacqueline Welch"/>
    <x v="4"/>
    <x v="4"/>
    <x v="356"/>
    <d v="2024-08-21T00:00:00"/>
    <n v="6"/>
    <x v="3"/>
    <x v="3"/>
    <n v="3"/>
    <n v="4"/>
    <n v="5"/>
    <n v="3"/>
    <n v="4"/>
    <x v="4"/>
    <n v="5"/>
    <n v="1"/>
    <n v="5"/>
    <n v="2"/>
    <x v="0"/>
    <s v="Email"/>
    <s v="Poor service"/>
    <x v="0"/>
    <n v="59"/>
    <d v="2024-08-21T00:00:00"/>
    <x v="2"/>
    <x v="1"/>
    <x v="0"/>
  </r>
  <r>
    <n v="479"/>
    <n v="81875"/>
    <s v="Lisa Franklin"/>
    <x v="3"/>
    <x v="2"/>
    <x v="357"/>
    <d v="2024-04-30T00:00:00"/>
    <n v="8"/>
    <x v="2"/>
    <x v="4"/>
    <n v="2"/>
    <n v="5"/>
    <n v="2"/>
    <n v="2"/>
    <n v="4"/>
    <x v="0"/>
    <n v="2"/>
    <n v="2"/>
    <n v="4"/>
    <n v="1"/>
    <x v="1"/>
    <s v="Email"/>
    <s v="Poor service"/>
    <x v="2"/>
    <n v="27"/>
    <d v="2024-09-20T00:00:00"/>
    <x v="3"/>
    <x v="5"/>
    <x v="1"/>
  </r>
  <r>
    <n v="480"/>
    <n v="97029"/>
    <s v="William Barrett"/>
    <x v="0"/>
    <x v="2"/>
    <x v="203"/>
    <d v="2024-10-18T00:00:00"/>
    <n v="12"/>
    <x v="3"/>
    <x v="0"/>
    <n v="1"/>
    <n v="5"/>
    <n v="1"/>
    <n v="5"/>
    <n v="5"/>
    <x v="1"/>
    <n v="3"/>
    <n v="3"/>
    <n v="1"/>
    <n v="4"/>
    <x v="1"/>
    <s v="Email"/>
    <s v="Great stay"/>
    <x v="2"/>
    <n v="55"/>
    <d v="2024-10-18T00:00:00"/>
    <x v="2"/>
    <x v="1"/>
    <x v="0"/>
  </r>
  <r>
    <n v="481"/>
    <n v="60197"/>
    <s v="Matthew Page"/>
    <x v="1"/>
    <x v="4"/>
    <x v="160"/>
    <d v="2024-10-27T00:00:00"/>
    <n v="12"/>
    <x v="1"/>
    <x v="1"/>
    <n v="5"/>
    <n v="5"/>
    <n v="5"/>
    <n v="5"/>
    <n v="3"/>
    <x v="3"/>
    <n v="3"/>
    <n v="1"/>
    <n v="2"/>
    <n v="1"/>
    <x v="1"/>
    <s v="In-person"/>
    <s v="Will visit again"/>
    <x v="1"/>
    <n v="56"/>
    <d v="2024-10-27T00:00:00"/>
    <x v="2"/>
    <x v="13"/>
    <x v="0"/>
  </r>
  <r>
    <n v="482"/>
    <n v="48859"/>
    <s v="Michael Morales"/>
    <x v="3"/>
    <x v="0"/>
    <x v="49"/>
    <d v="2024-09-19T00:00:00"/>
    <n v="1"/>
    <x v="1"/>
    <x v="1"/>
    <n v="5"/>
    <n v="3"/>
    <n v="4"/>
    <n v="4"/>
    <n v="1"/>
    <x v="4"/>
    <n v="4"/>
    <n v="1"/>
    <n v="4"/>
    <n v="1"/>
    <x v="0"/>
    <s v="Online Survey"/>
    <s v="Average"/>
    <x v="1"/>
    <n v="56"/>
    <d v="2024-09-19T00:00:00"/>
    <x v="2"/>
    <x v="3"/>
    <x v="1"/>
  </r>
  <r>
    <n v="483"/>
    <n v="41937"/>
    <s v="Sierra Little"/>
    <x v="3"/>
    <x v="4"/>
    <x v="10"/>
    <d v="2024-07-18T00:00:00"/>
    <n v="3"/>
    <x v="0"/>
    <x v="3"/>
    <n v="3"/>
    <n v="3"/>
    <n v="1"/>
    <n v="3"/>
    <n v="5"/>
    <x v="2"/>
    <n v="5"/>
    <n v="3"/>
    <n v="1"/>
    <n v="4"/>
    <x v="0"/>
    <s v="Email"/>
    <s v="Poor service"/>
    <x v="1"/>
    <n v="21"/>
    <d v="2024-12-19T00:00:00"/>
    <x v="0"/>
    <x v="2"/>
    <x v="0"/>
  </r>
  <r>
    <n v="484"/>
    <n v="14481"/>
    <s v="Christine Wyatt"/>
    <x v="1"/>
    <x v="1"/>
    <x v="358"/>
    <d v="2024-04-26T00:00:00"/>
    <n v="12"/>
    <x v="2"/>
    <x v="0"/>
    <n v="2"/>
    <n v="2"/>
    <n v="4"/>
    <n v="4"/>
    <n v="2"/>
    <x v="2"/>
    <n v="5"/>
    <n v="2"/>
    <n v="4"/>
    <n v="4"/>
    <x v="1"/>
    <s v="Email"/>
    <s v="Needs improvement"/>
    <x v="0"/>
    <n v="36"/>
    <d v="2024-12-31T00:00:00"/>
    <x v="1"/>
    <x v="0"/>
    <x v="0"/>
  </r>
  <r>
    <n v="485"/>
    <n v="89848"/>
    <s v="Theresa Taylor"/>
    <x v="2"/>
    <x v="4"/>
    <x v="359"/>
    <d v="2024-11-30T00:00:00"/>
    <n v="4"/>
    <x v="3"/>
    <x v="0"/>
    <n v="4"/>
    <n v="2"/>
    <n v="3"/>
    <n v="2"/>
    <n v="1"/>
    <x v="1"/>
    <n v="1"/>
    <n v="5"/>
    <n v="4"/>
    <n v="2"/>
    <x v="1"/>
    <s v="App Review"/>
    <s v="Poor service"/>
    <x v="1"/>
    <n v="69"/>
    <d v="2024-11-30T00:00:00"/>
    <x v="2"/>
    <x v="4"/>
    <x v="1"/>
  </r>
  <r>
    <n v="486"/>
    <n v="47227"/>
    <s v="Angelica Odonnell"/>
    <x v="4"/>
    <x v="3"/>
    <x v="131"/>
    <d v="2024-04-05T00:00:00"/>
    <n v="10"/>
    <x v="1"/>
    <x v="2"/>
    <n v="3"/>
    <n v="5"/>
    <n v="3"/>
    <n v="4"/>
    <n v="4"/>
    <x v="4"/>
    <n v="5"/>
    <n v="4"/>
    <n v="2"/>
    <n v="2"/>
    <x v="0"/>
    <s v="Feedback Form"/>
    <s v="Will visit again"/>
    <x v="2"/>
    <n v="58"/>
    <d v="2024-04-05T00:00:00"/>
    <x v="2"/>
    <x v="1"/>
    <x v="0"/>
  </r>
  <r>
    <n v="487"/>
    <n v="27791"/>
    <s v="Robert Cole"/>
    <x v="2"/>
    <x v="0"/>
    <x v="360"/>
    <d v="2024-07-20T00:00:00"/>
    <n v="2"/>
    <x v="1"/>
    <x v="0"/>
    <n v="3"/>
    <n v="1"/>
    <n v="3"/>
    <n v="5"/>
    <n v="2"/>
    <x v="1"/>
    <n v="4"/>
    <n v="2"/>
    <n v="2"/>
    <n v="5"/>
    <x v="0"/>
    <s v="In-person"/>
    <s v="Great stay"/>
    <x v="0"/>
    <n v="45"/>
    <d v="2024-07-25T00:00:00"/>
    <x v="1"/>
    <x v="10"/>
    <x v="0"/>
  </r>
  <r>
    <n v="488"/>
    <n v="10207"/>
    <s v="Erin Phillips"/>
    <x v="2"/>
    <x v="0"/>
    <x v="361"/>
    <d v="2024-03-10T00:00:00"/>
    <n v="13"/>
    <x v="0"/>
    <x v="0"/>
    <n v="3"/>
    <n v="4"/>
    <n v="2"/>
    <n v="4"/>
    <n v="3"/>
    <x v="4"/>
    <n v="5"/>
    <n v="5"/>
    <n v="4"/>
    <n v="2"/>
    <x v="0"/>
    <s v="Feedback Form"/>
    <s v="Will visit again"/>
    <x v="0"/>
    <n v="44"/>
    <d v="2024-10-26T00:00:00"/>
    <x v="1"/>
    <x v="1"/>
    <x v="0"/>
  </r>
  <r>
    <n v="489"/>
    <n v="47138"/>
    <s v="Patricia Clark"/>
    <x v="4"/>
    <x v="4"/>
    <x v="362"/>
    <d v="2023-07-11T00:00:00"/>
    <n v="9"/>
    <x v="0"/>
    <x v="1"/>
    <n v="2"/>
    <n v="2"/>
    <n v="2"/>
    <n v="5"/>
    <n v="3"/>
    <x v="3"/>
    <n v="1"/>
    <n v="5"/>
    <n v="4"/>
    <n v="4"/>
    <x v="1"/>
    <s v="In-person"/>
    <s v="Average"/>
    <x v="0"/>
    <n v="40"/>
    <d v="2024-07-19T00:00:00"/>
    <x v="1"/>
    <x v="10"/>
    <x v="0"/>
  </r>
  <r>
    <n v="490"/>
    <n v="99070"/>
    <s v="Katie Tran"/>
    <x v="2"/>
    <x v="3"/>
    <x v="29"/>
    <d v="2023-05-05T00:00:00"/>
    <n v="3"/>
    <x v="0"/>
    <x v="4"/>
    <n v="3"/>
    <n v="4"/>
    <n v="5"/>
    <n v="1"/>
    <n v="5"/>
    <x v="2"/>
    <n v="4"/>
    <n v="3"/>
    <n v="3"/>
    <n v="2"/>
    <x v="1"/>
    <s v="Feedback Form"/>
    <s v="Poor service"/>
    <x v="2"/>
    <n v="36"/>
    <d v="2024-02-15T00:00:00"/>
    <x v="1"/>
    <x v="10"/>
    <x v="0"/>
  </r>
  <r>
    <n v="491"/>
    <n v="19944"/>
    <s v="Erica Hernandez"/>
    <x v="3"/>
    <x v="1"/>
    <x v="207"/>
    <d v="2024-12-26T00:00:00"/>
    <n v="4"/>
    <x v="2"/>
    <x v="1"/>
    <n v="1"/>
    <n v="1"/>
    <n v="1"/>
    <n v="2"/>
    <n v="3"/>
    <x v="0"/>
    <n v="3"/>
    <n v="5"/>
    <n v="1"/>
    <n v="4"/>
    <x v="1"/>
    <s v="App Review"/>
    <s v="Needs improvement"/>
    <x v="1"/>
    <n v="33"/>
    <d v="2024-12-26T00:00:00"/>
    <x v="3"/>
    <x v="8"/>
    <x v="1"/>
  </r>
  <r>
    <n v="492"/>
    <n v="84223"/>
    <s v="Drew Mccann"/>
    <x v="1"/>
    <x v="4"/>
    <x v="161"/>
    <d v="2024-03-28T00:00:00"/>
    <n v="4"/>
    <x v="2"/>
    <x v="3"/>
    <n v="1"/>
    <n v="5"/>
    <n v="1"/>
    <n v="2"/>
    <n v="4"/>
    <x v="1"/>
    <n v="2"/>
    <n v="4"/>
    <n v="5"/>
    <n v="5"/>
    <x v="1"/>
    <s v="Feedback Form"/>
    <s v="Needs improvement"/>
    <x v="0"/>
    <n v="52"/>
    <d v="2024-06-30T00:00:00"/>
    <x v="2"/>
    <x v="13"/>
    <x v="0"/>
  </r>
  <r>
    <n v="493"/>
    <n v="27285"/>
    <s v="Daniel Benitez"/>
    <x v="3"/>
    <x v="1"/>
    <x v="363"/>
    <d v="2024-02-08T00:00:00"/>
    <n v="1"/>
    <x v="1"/>
    <x v="0"/>
    <n v="5"/>
    <n v="4"/>
    <n v="3"/>
    <n v="5"/>
    <n v="5"/>
    <x v="3"/>
    <n v="3"/>
    <n v="1"/>
    <n v="5"/>
    <n v="4"/>
    <x v="1"/>
    <s v="Email"/>
    <s v="Will visit again"/>
    <x v="0"/>
    <n v="22"/>
    <d v="2024-11-22T00:00:00"/>
    <x v="0"/>
    <x v="20"/>
    <x v="0"/>
  </r>
  <r>
    <n v="494"/>
    <n v="54558"/>
    <s v="Douglas Ward"/>
    <x v="3"/>
    <x v="3"/>
    <x v="36"/>
    <d v="2023-11-19T00:00:00"/>
    <n v="5"/>
    <x v="3"/>
    <x v="4"/>
    <n v="5"/>
    <n v="5"/>
    <n v="3"/>
    <n v="1"/>
    <n v="5"/>
    <x v="2"/>
    <n v="1"/>
    <n v="2"/>
    <n v="3"/>
    <n v="5"/>
    <x v="0"/>
    <s v="Feedback Form"/>
    <s v="Great stay"/>
    <x v="2"/>
    <n v="41"/>
    <d v="2024-03-29T00:00:00"/>
    <x v="1"/>
    <x v="10"/>
    <x v="0"/>
  </r>
  <r>
    <n v="495"/>
    <n v="36782"/>
    <s v="Reginald Blevins"/>
    <x v="0"/>
    <x v="4"/>
    <x v="194"/>
    <d v="2023-12-09T00:00:00"/>
    <n v="5"/>
    <x v="2"/>
    <x v="1"/>
    <n v="2"/>
    <n v="4"/>
    <n v="2"/>
    <n v="3"/>
    <n v="4"/>
    <x v="3"/>
    <n v="4"/>
    <n v="4"/>
    <n v="4"/>
    <n v="5"/>
    <x v="0"/>
    <s v="Feedback Form"/>
    <s v="Average"/>
    <x v="2"/>
    <n v="22"/>
    <d v="2024-04-27T00:00:00"/>
    <x v="0"/>
    <x v="11"/>
    <x v="0"/>
  </r>
  <r>
    <n v="496"/>
    <n v="99003"/>
    <s v="Joshua Robinson"/>
    <x v="4"/>
    <x v="4"/>
    <x v="345"/>
    <d v="2023-11-13T00:00:00"/>
    <n v="2"/>
    <x v="0"/>
    <x v="2"/>
    <n v="4"/>
    <n v="1"/>
    <n v="4"/>
    <n v="4"/>
    <n v="3"/>
    <x v="0"/>
    <n v="3"/>
    <n v="5"/>
    <n v="4"/>
    <n v="5"/>
    <x v="0"/>
    <s v="Online Survey"/>
    <s v="Great stay"/>
    <x v="1"/>
    <n v="46"/>
    <d v="2023-11-13T00:00:00"/>
    <x v="1"/>
    <x v="11"/>
    <x v="0"/>
  </r>
  <r>
    <n v="497"/>
    <n v="93669"/>
    <s v="Shelby Evans"/>
    <x v="4"/>
    <x v="1"/>
    <x v="364"/>
    <d v="2023-08-03T00:00:00"/>
    <n v="1"/>
    <x v="0"/>
    <x v="3"/>
    <n v="5"/>
    <n v="2"/>
    <n v="1"/>
    <n v="3"/>
    <n v="2"/>
    <x v="4"/>
    <n v="1"/>
    <n v="1"/>
    <n v="3"/>
    <n v="1"/>
    <x v="1"/>
    <s v="In-person"/>
    <s v="Poor service"/>
    <x v="1"/>
    <n v="23"/>
    <d v="2024-10-16T00:00:00"/>
    <x v="0"/>
    <x v="15"/>
    <x v="1"/>
  </r>
  <r>
    <n v="498"/>
    <n v="67803"/>
    <s v="Theresa White"/>
    <x v="3"/>
    <x v="4"/>
    <x v="365"/>
    <d v="2024-06-29T00:00:00"/>
    <n v="5"/>
    <x v="2"/>
    <x v="3"/>
    <n v="5"/>
    <n v="3"/>
    <n v="1"/>
    <n v="1"/>
    <n v="5"/>
    <x v="4"/>
    <n v="3"/>
    <n v="1"/>
    <n v="5"/>
    <n v="3"/>
    <x v="1"/>
    <s v="Feedback Form"/>
    <s v="Will visit again"/>
    <x v="1"/>
    <n v="58"/>
    <d v="2024-06-29T00:00:00"/>
    <x v="2"/>
    <x v="3"/>
    <x v="1"/>
  </r>
  <r>
    <n v="499"/>
    <n v="14489"/>
    <s v="Andrea Wright"/>
    <x v="4"/>
    <x v="3"/>
    <x v="334"/>
    <d v="2024-03-25T00:00:00"/>
    <n v="5"/>
    <x v="1"/>
    <x v="3"/>
    <n v="5"/>
    <n v="5"/>
    <n v="4"/>
    <n v="2"/>
    <n v="2"/>
    <x v="3"/>
    <n v="2"/>
    <n v="5"/>
    <n v="2"/>
    <n v="4"/>
    <x v="1"/>
    <s v="Email"/>
    <s v="Will visit again"/>
    <x v="2"/>
    <n v="58"/>
    <d v="2024-11-03T00:00:00"/>
    <x v="2"/>
    <x v="18"/>
    <x v="0"/>
  </r>
  <r>
    <n v="500"/>
    <n v="19108"/>
    <s v="Todd Alvarez"/>
    <x v="0"/>
    <x v="4"/>
    <x v="366"/>
    <d v="2023-12-03T00:00:00"/>
    <n v="7"/>
    <x v="1"/>
    <x v="1"/>
    <n v="5"/>
    <n v="2"/>
    <n v="1"/>
    <n v="3"/>
    <n v="2"/>
    <x v="3"/>
    <n v="3"/>
    <n v="4"/>
    <n v="2"/>
    <n v="2"/>
    <x v="1"/>
    <s v="Email"/>
    <s v="Needs improvement"/>
    <x v="0"/>
    <n v="61"/>
    <d v="2024-09-24T00:00:00"/>
    <x v="2"/>
    <x v="3"/>
    <x v="1"/>
  </r>
  <r>
    <n v="501"/>
    <n v="74430"/>
    <s v="Ashley Garner"/>
    <x v="1"/>
    <x v="2"/>
    <x v="191"/>
    <d v="2024-07-15T00:00:00"/>
    <n v="11"/>
    <x v="1"/>
    <x v="4"/>
    <n v="3"/>
    <n v="4"/>
    <n v="1"/>
    <n v="1"/>
    <n v="2"/>
    <x v="1"/>
    <n v="3"/>
    <n v="5"/>
    <n v="4"/>
    <n v="3"/>
    <x v="1"/>
    <s v="In-person"/>
    <s v="Poor service"/>
    <x v="0"/>
    <n v="65"/>
    <d v="2024-12-21T00:00:00"/>
    <x v="2"/>
    <x v="0"/>
    <x v="0"/>
  </r>
  <r>
    <n v="502"/>
    <n v="82118"/>
    <s v="Justin Watkins"/>
    <x v="2"/>
    <x v="3"/>
    <x v="367"/>
    <d v="2023-12-11T00:00:00"/>
    <n v="10"/>
    <x v="1"/>
    <x v="4"/>
    <n v="5"/>
    <n v="2"/>
    <n v="2"/>
    <n v="2"/>
    <n v="2"/>
    <x v="3"/>
    <n v="3"/>
    <n v="2"/>
    <n v="1"/>
    <n v="3"/>
    <x v="0"/>
    <s v="App Review"/>
    <s v="Needs improvement"/>
    <x v="2"/>
    <n v="65"/>
    <d v="2024-11-14T00:00:00"/>
    <x v="2"/>
    <x v="7"/>
    <x v="1"/>
  </r>
  <r>
    <n v="503"/>
    <n v="91274"/>
    <s v="Tammy May"/>
    <x v="4"/>
    <x v="0"/>
    <x v="368"/>
    <d v="2024-07-28T00:00:00"/>
    <n v="10"/>
    <x v="0"/>
    <x v="0"/>
    <n v="2"/>
    <n v="3"/>
    <n v="1"/>
    <n v="3"/>
    <n v="4"/>
    <x v="4"/>
    <n v="1"/>
    <n v="1"/>
    <n v="5"/>
    <n v="1"/>
    <x v="1"/>
    <s v="In-person"/>
    <s v="Great stay"/>
    <x v="1"/>
    <n v="54"/>
    <d v="2024-07-28T00:00:00"/>
    <x v="2"/>
    <x v="19"/>
    <x v="1"/>
  </r>
  <r>
    <n v="504"/>
    <n v="18030"/>
    <s v="Andrew Obrien"/>
    <x v="3"/>
    <x v="1"/>
    <x v="369"/>
    <d v="2024-02-15T00:00:00"/>
    <n v="2"/>
    <x v="2"/>
    <x v="4"/>
    <n v="3"/>
    <n v="5"/>
    <n v="3"/>
    <n v="2"/>
    <n v="1"/>
    <x v="3"/>
    <n v="4"/>
    <n v="3"/>
    <n v="1"/>
    <n v="4"/>
    <x v="1"/>
    <s v="Email"/>
    <s v="Will visit again"/>
    <x v="0"/>
    <n v="46"/>
    <d v="2024-02-15T00:00:00"/>
    <x v="1"/>
    <x v="2"/>
    <x v="0"/>
  </r>
  <r>
    <n v="505"/>
    <n v="71603"/>
    <s v="Jennifer Lee"/>
    <x v="4"/>
    <x v="3"/>
    <x v="194"/>
    <d v="2024-12-18T00:00:00"/>
    <n v="14"/>
    <x v="0"/>
    <x v="2"/>
    <n v="3"/>
    <n v="5"/>
    <n v="3"/>
    <n v="5"/>
    <n v="3"/>
    <x v="2"/>
    <n v="5"/>
    <n v="1"/>
    <n v="4"/>
    <n v="4"/>
    <x v="0"/>
    <s v="App Review"/>
    <s v="Will visit again"/>
    <x v="0"/>
    <n v="50"/>
    <d v="2024-12-18T00:00:00"/>
    <x v="1"/>
    <x v="18"/>
    <x v="0"/>
  </r>
  <r>
    <n v="506"/>
    <n v="31118"/>
    <s v="Caitlyn Williams"/>
    <x v="3"/>
    <x v="0"/>
    <x v="370"/>
    <d v="2024-10-23T00:00:00"/>
    <n v="13"/>
    <x v="3"/>
    <x v="3"/>
    <n v="2"/>
    <n v="2"/>
    <n v="5"/>
    <n v="2"/>
    <n v="1"/>
    <x v="2"/>
    <n v="1"/>
    <n v="5"/>
    <n v="5"/>
    <n v="2"/>
    <x v="1"/>
    <s v="App Review"/>
    <s v="Average"/>
    <x v="2"/>
    <n v="44"/>
    <d v="2024-10-23T00:00:00"/>
    <x v="1"/>
    <x v="5"/>
    <x v="1"/>
  </r>
  <r>
    <n v="507"/>
    <n v="21593"/>
    <s v="Katie Woodward"/>
    <x v="2"/>
    <x v="0"/>
    <x v="371"/>
    <d v="2023-10-19T00:00:00"/>
    <n v="12"/>
    <x v="1"/>
    <x v="1"/>
    <n v="4"/>
    <n v="1"/>
    <n v="2"/>
    <n v="2"/>
    <n v="1"/>
    <x v="4"/>
    <n v="5"/>
    <n v="5"/>
    <n v="2"/>
    <n v="1"/>
    <x v="1"/>
    <s v="Online Survey"/>
    <s v="Great stay"/>
    <x v="1"/>
    <n v="52"/>
    <d v="2023-10-19T00:00:00"/>
    <x v="2"/>
    <x v="8"/>
    <x v="1"/>
  </r>
  <r>
    <n v="508"/>
    <n v="96585"/>
    <s v="Michelle Hill"/>
    <x v="4"/>
    <x v="3"/>
    <x v="245"/>
    <d v="2024-03-13T00:00:00"/>
    <n v="14"/>
    <x v="1"/>
    <x v="3"/>
    <n v="5"/>
    <n v="4"/>
    <n v="2"/>
    <n v="1"/>
    <n v="5"/>
    <x v="3"/>
    <n v="5"/>
    <n v="3"/>
    <n v="2"/>
    <n v="3"/>
    <x v="0"/>
    <s v="Feedback Form"/>
    <s v="Poor service"/>
    <x v="0"/>
    <n v="55"/>
    <d v="2024-10-30T00:00:00"/>
    <x v="2"/>
    <x v="13"/>
    <x v="0"/>
  </r>
  <r>
    <n v="509"/>
    <n v="77730"/>
    <s v="David Peters"/>
    <x v="2"/>
    <x v="0"/>
    <x v="372"/>
    <d v="2024-01-13T00:00:00"/>
    <n v="8"/>
    <x v="3"/>
    <x v="3"/>
    <n v="1"/>
    <n v="2"/>
    <n v="3"/>
    <n v="1"/>
    <n v="1"/>
    <x v="3"/>
    <n v="3"/>
    <n v="3"/>
    <n v="1"/>
    <n v="4"/>
    <x v="0"/>
    <s v="Online Survey"/>
    <s v="Average"/>
    <x v="1"/>
    <n v="57"/>
    <d v="2024-03-07T00:00:00"/>
    <x v="2"/>
    <x v="9"/>
    <x v="1"/>
  </r>
  <r>
    <n v="510"/>
    <n v="92879"/>
    <s v="Sharon Taylor"/>
    <x v="3"/>
    <x v="0"/>
    <x v="373"/>
    <d v="2024-05-06T00:00:00"/>
    <n v="5"/>
    <x v="3"/>
    <x v="2"/>
    <n v="4"/>
    <n v="1"/>
    <n v="2"/>
    <n v="4"/>
    <n v="1"/>
    <x v="3"/>
    <n v="2"/>
    <n v="1"/>
    <n v="5"/>
    <n v="1"/>
    <x v="1"/>
    <s v="Feedback Form"/>
    <s v="Will visit again"/>
    <x v="2"/>
    <n v="65"/>
    <d v="2024-10-20T00:00:00"/>
    <x v="2"/>
    <x v="14"/>
    <x v="1"/>
  </r>
  <r>
    <n v="511"/>
    <n v="39439"/>
    <s v="Dylan Rios"/>
    <x v="0"/>
    <x v="2"/>
    <x v="184"/>
    <d v="2023-02-23T00:00:00"/>
    <n v="5"/>
    <x v="0"/>
    <x v="3"/>
    <n v="5"/>
    <n v="5"/>
    <n v="2"/>
    <n v="1"/>
    <n v="4"/>
    <x v="2"/>
    <n v="5"/>
    <n v="5"/>
    <n v="4"/>
    <n v="5"/>
    <x v="0"/>
    <s v="Online Survey"/>
    <s v="Poor service"/>
    <x v="2"/>
    <n v="23"/>
    <d v="2024-10-10T00:00:00"/>
    <x v="0"/>
    <x v="21"/>
    <x v="0"/>
  </r>
  <r>
    <n v="512"/>
    <n v="54592"/>
    <s v="Nicholas Smith"/>
    <x v="0"/>
    <x v="4"/>
    <x v="15"/>
    <d v="2024-01-06T00:00:00"/>
    <n v="9"/>
    <x v="3"/>
    <x v="3"/>
    <n v="1"/>
    <n v="4"/>
    <n v="5"/>
    <n v="5"/>
    <n v="2"/>
    <x v="4"/>
    <n v="5"/>
    <n v="1"/>
    <n v="3"/>
    <n v="4"/>
    <x v="0"/>
    <s v="App Review"/>
    <s v="Needs improvement"/>
    <x v="1"/>
    <n v="63"/>
    <d v="2024-08-06T00:00:00"/>
    <x v="2"/>
    <x v="0"/>
    <x v="0"/>
  </r>
  <r>
    <n v="513"/>
    <n v="56261"/>
    <s v="Krystal Jordan"/>
    <x v="1"/>
    <x v="2"/>
    <x v="94"/>
    <d v="2023-11-28T00:00:00"/>
    <n v="2"/>
    <x v="1"/>
    <x v="2"/>
    <n v="3"/>
    <n v="5"/>
    <n v="4"/>
    <n v="5"/>
    <n v="1"/>
    <x v="1"/>
    <n v="3"/>
    <n v="4"/>
    <n v="3"/>
    <n v="3"/>
    <x v="0"/>
    <s v="Feedback Form"/>
    <s v="Great stay"/>
    <x v="0"/>
    <n v="27"/>
    <d v="2024-01-04T00:00:00"/>
    <x v="3"/>
    <x v="11"/>
    <x v="0"/>
  </r>
  <r>
    <n v="514"/>
    <n v="56652"/>
    <s v="Jennifer Davis"/>
    <x v="3"/>
    <x v="4"/>
    <x v="374"/>
    <d v="2024-01-19T00:00:00"/>
    <n v="10"/>
    <x v="3"/>
    <x v="2"/>
    <n v="3"/>
    <n v="3"/>
    <n v="1"/>
    <n v="2"/>
    <n v="1"/>
    <x v="2"/>
    <n v="2"/>
    <n v="5"/>
    <n v="3"/>
    <n v="5"/>
    <x v="0"/>
    <s v="Email"/>
    <s v="Needs improvement"/>
    <x v="0"/>
    <n v="53"/>
    <d v="2024-01-19T00:00:00"/>
    <x v="2"/>
    <x v="5"/>
    <x v="1"/>
  </r>
  <r>
    <n v="515"/>
    <n v="14538"/>
    <s v="Sheila Rush"/>
    <x v="3"/>
    <x v="0"/>
    <x v="375"/>
    <d v="2023-12-27T00:00:00"/>
    <n v="11"/>
    <x v="0"/>
    <x v="4"/>
    <n v="3"/>
    <n v="1"/>
    <n v="5"/>
    <n v="1"/>
    <n v="5"/>
    <x v="4"/>
    <n v="3"/>
    <n v="1"/>
    <n v="4"/>
    <n v="5"/>
    <x v="1"/>
    <s v="App Review"/>
    <s v="Will visit again"/>
    <x v="0"/>
    <n v="61"/>
    <d v="2024-04-26T00:00:00"/>
    <x v="2"/>
    <x v="4"/>
    <x v="1"/>
  </r>
  <r>
    <n v="516"/>
    <n v="30442"/>
    <s v="Mrs. Lori Hurst DVM"/>
    <x v="3"/>
    <x v="4"/>
    <x v="376"/>
    <d v="2024-03-26T00:00:00"/>
    <n v="2"/>
    <x v="3"/>
    <x v="3"/>
    <n v="5"/>
    <n v="3"/>
    <n v="4"/>
    <n v="4"/>
    <n v="3"/>
    <x v="4"/>
    <n v="5"/>
    <n v="5"/>
    <n v="3"/>
    <n v="5"/>
    <x v="0"/>
    <s v="In-person"/>
    <s v="Average"/>
    <x v="1"/>
    <n v="24"/>
    <d v="2024-03-26T00:00:00"/>
    <x v="0"/>
    <x v="21"/>
    <x v="0"/>
  </r>
  <r>
    <n v="517"/>
    <n v="14842"/>
    <s v="Derek Garcia"/>
    <x v="0"/>
    <x v="2"/>
    <x v="261"/>
    <d v="2024-06-07T00:00:00"/>
    <n v="5"/>
    <x v="3"/>
    <x v="0"/>
    <n v="2"/>
    <n v="3"/>
    <n v="1"/>
    <n v="1"/>
    <n v="5"/>
    <x v="1"/>
    <n v="1"/>
    <n v="5"/>
    <n v="1"/>
    <n v="3"/>
    <x v="0"/>
    <s v="App Review"/>
    <s v="Needs improvement"/>
    <x v="1"/>
    <n v="24"/>
    <d v="2024-06-07T00:00:00"/>
    <x v="0"/>
    <x v="5"/>
    <x v="1"/>
  </r>
  <r>
    <n v="518"/>
    <n v="60951"/>
    <s v="Natalie Rivera"/>
    <x v="0"/>
    <x v="1"/>
    <x v="4"/>
    <d v="2024-12-08T00:00:00"/>
    <n v="1"/>
    <x v="0"/>
    <x v="0"/>
    <n v="3"/>
    <n v="3"/>
    <n v="3"/>
    <n v="4"/>
    <n v="3"/>
    <x v="0"/>
    <n v="5"/>
    <n v="2"/>
    <n v="2"/>
    <n v="1"/>
    <x v="0"/>
    <s v="Email"/>
    <s v="Will visit again"/>
    <x v="0"/>
    <n v="46"/>
    <d v="2024-12-08T00:00:00"/>
    <x v="1"/>
    <x v="4"/>
    <x v="1"/>
  </r>
  <r>
    <n v="519"/>
    <n v="50338"/>
    <s v="Nathan Sparks"/>
    <x v="0"/>
    <x v="1"/>
    <x v="377"/>
    <d v="2024-06-16T00:00:00"/>
    <n v="11"/>
    <x v="0"/>
    <x v="0"/>
    <n v="3"/>
    <n v="1"/>
    <n v="4"/>
    <n v="2"/>
    <n v="3"/>
    <x v="1"/>
    <n v="1"/>
    <n v="1"/>
    <n v="3"/>
    <n v="4"/>
    <x v="0"/>
    <s v="Online Survey"/>
    <s v="Needs improvement"/>
    <x v="2"/>
    <n v="33"/>
    <d v="2024-06-16T00:00:00"/>
    <x v="3"/>
    <x v="5"/>
    <x v="1"/>
  </r>
  <r>
    <n v="520"/>
    <n v="51464"/>
    <s v="Andrew Harrison"/>
    <x v="4"/>
    <x v="4"/>
    <x v="79"/>
    <d v="2024-02-16T00:00:00"/>
    <n v="5"/>
    <x v="0"/>
    <x v="2"/>
    <n v="3"/>
    <n v="4"/>
    <n v="1"/>
    <n v="5"/>
    <n v="3"/>
    <x v="1"/>
    <n v="4"/>
    <n v="5"/>
    <n v="2"/>
    <n v="1"/>
    <x v="0"/>
    <s v="Feedback Form"/>
    <s v="Great stay"/>
    <x v="2"/>
    <n v="18"/>
    <d v="2024-02-16T00:00:00"/>
    <x v="0"/>
    <x v="1"/>
    <x v="0"/>
  </r>
  <r>
    <n v="521"/>
    <n v="92639"/>
    <s v="William Crawford"/>
    <x v="4"/>
    <x v="1"/>
    <x v="378"/>
    <d v="2024-05-17T00:00:00"/>
    <n v="5"/>
    <x v="1"/>
    <x v="3"/>
    <n v="5"/>
    <n v="5"/>
    <n v="5"/>
    <n v="1"/>
    <n v="4"/>
    <x v="4"/>
    <n v="2"/>
    <n v="3"/>
    <n v="1"/>
    <n v="3"/>
    <x v="1"/>
    <s v="Online Survey"/>
    <s v="Needs improvement"/>
    <x v="0"/>
    <n v="65"/>
    <d v="2024-05-17T00:00:00"/>
    <x v="2"/>
    <x v="2"/>
    <x v="0"/>
  </r>
  <r>
    <n v="522"/>
    <n v="15773"/>
    <s v="Deborah Dennis"/>
    <x v="0"/>
    <x v="3"/>
    <x v="379"/>
    <d v="2024-05-20T00:00:00"/>
    <n v="8"/>
    <x v="1"/>
    <x v="4"/>
    <n v="1"/>
    <n v="4"/>
    <n v="1"/>
    <n v="1"/>
    <n v="4"/>
    <x v="0"/>
    <n v="4"/>
    <n v="3"/>
    <n v="5"/>
    <n v="2"/>
    <x v="1"/>
    <s v="Online Survey"/>
    <s v="Great stay"/>
    <x v="1"/>
    <n v="52"/>
    <d v="2024-05-20T00:00:00"/>
    <x v="2"/>
    <x v="3"/>
    <x v="1"/>
  </r>
  <r>
    <n v="523"/>
    <n v="68218"/>
    <s v="Mrs. Jean Robinson"/>
    <x v="2"/>
    <x v="1"/>
    <x v="142"/>
    <d v="2023-08-16T00:00:00"/>
    <n v="6"/>
    <x v="3"/>
    <x v="3"/>
    <n v="4"/>
    <n v="4"/>
    <n v="2"/>
    <n v="5"/>
    <n v="2"/>
    <x v="0"/>
    <n v="3"/>
    <n v="2"/>
    <n v="5"/>
    <n v="4"/>
    <x v="0"/>
    <s v="Feedback Form"/>
    <s v="Great stay"/>
    <x v="0"/>
    <n v="64"/>
    <d v="2024-01-03T00:00:00"/>
    <x v="2"/>
    <x v="13"/>
    <x v="0"/>
  </r>
  <r>
    <n v="524"/>
    <n v="45646"/>
    <s v="Mitchell Edwards"/>
    <x v="4"/>
    <x v="4"/>
    <x v="142"/>
    <d v="2023-08-16T00:00:00"/>
    <n v="11"/>
    <x v="1"/>
    <x v="0"/>
    <n v="3"/>
    <n v="4"/>
    <n v="1"/>
    <n v="5"/>
    <n v="3"/>
    <x v="3"/>
    <n v="5"/>
    <n v="5"/>
    <n v="4"/>
    <n v="4"/>
    <x v="0"/>
    <s v="Online Survey"/>
    <s v="Poor service"/>
    <x v="2"/>
    <n v="46"/>
    <d v="2023-10-29T00:00:00"/>
    <x v="1"/>
    <x v="21"/>
    <x v="0"/>
  </r>
  <r>
    <n v="525"/>
    <n v="55337"/>
    <s v="Paul Holt"/>
    <x v="4"/>
    <x v="0"/>
    <x v="380"/>
    <d v="2023-12-08T00:00:00"/>
    <n v="6"/>
    <x v="2"/>
    <x v="1"/>
    <n v="4"/>
    <n v="5"/>
    <n v="3"/>
    <n v="3"/>
    <n v="4"/>
    <x v="1"/>
    <n v="4"/>
    <n v="1"/>
    <n v="2"/>
    <n v="2"/>
    <x v="0"/>
    <s v="Email"/>
    <s v="Average"/>
    <x v="2"/>
    <n v="55"/>
    <d v="2023-12-08T00:00:00"/>
    <x v="2"/>
    <x v="1"/>
    <x v="0"/>
  </r>
  <r>
    <n v="526"/>
    <n v="25586"/>
    <s v="Steven Lopez"/>
    <x v="4"/>
    <x v="2"/>
    <x v="38"/>
    <d v="2024-08-19T00:00:00"/>
    <n v="5"/>
    <x v="0"/>
    <x v="0"/>
    <n v="2"/>
    <n v="5"/>
    <n v="5"/>
    <n v="3"/>
    <n v="4"/>
    <x v="1"/>
    <n v="2"/>
    <n v="1"/>
    <n v="4"/>
    <n v="5"/>
    <x v="1"/>
    <s v="In-person"/>
    <s v="Needs improvement"/>
    <x v="2"/>
    <n v="30"/>
    <d v="2024-08-19T00:00:00"/>
    <x v="3"/>
    <x v="11"/>
    <x v="0"/>
  </r>
  <r>
    <n v="527"/>
    <n v="92928"/>
    <s v="Sandra Jones"/>
    <x v="4"/>
    <x v="1"/>
    <x v="300"/>
    <d v="2024-01-31T00:00:00"/>
    <n v="5"/>
    <x v="2"/>
    <x v="2"/>
    <n v="2"/>
    <n v="1"/>
    <n v="4"/>
    <n v="3"/>
    <n v="1"/>
    <x v="0"/>
    <n v="1"/>
    <n v="3"/>
    <n v="3"/>
    <n v="4"/>
    <x v="0"/>
    <s v="Feedback Form"/>
    <s v="Will visit again"/>
    <x v="0"/>
    <n v="69"/>
    <d v="2024-06-18T00:00:00"/>
    <x v="2"/>
    <x v="14"/>
    <x v="1"/>
  </r>
  <r>
    <n v="528"/>
    <n v="53293"/>
    <s v="Nicole Stanton"/>
    <x v="1"/>
    <x v="4"/>
    <x v="29"/>
    <d v="2024-10-17T00:00:00"/>
    <n v="8"/>
    <x v="0"/>
    <x v="3"/>
    <n v="2"/>
    <n v="2"/>
    <n v="1"/>
    <n v="5"/>
    <n v="3"/>
    <x v="0"/>
    <n v="1"/>
    <n v="4"/>
    <n v="4"/>
    <n v="4"/>
    <x v="0"/>
    <s v="Online Survey"/>
    <s v="Poor service"/>
    <x v="0"/>
    <n v="57"/>
    <d v="2024-10-17T00:00:00"/>
    <x v="2"/>
    <x v="4"/>
    <x v="1"/>
  </r>
  <r>
    <n v="529"/>
    <n v="54182"/>
    <s v="Benjamin Davis"/>
    <x v="4"/>
    <x v="2"/>
    <x v="381"/>
    <d v="2024-04-05T00:00:00"/>
    <n v="14"/>
    <x v="3"/>
    <x v="2"/>
    <n v="3"/>
    <n v="5"/>
    <n v="5"/>
    <n v="3"/>
    <n v="5"/>
    <x v="0"/>
    <n v="3"/>
    <n v="5"/>
    <n v="1"/>
    <n v="4"/>
    <x v="0"/>
    <s v="Feedback Form"/>
    <s v="Average"/>
    <x v="2"/>
    <n v="29"/>
    <d v="2024-04-05T00:00:00"/>
    <x v="3"/>
    <x v="16"/>
    <x v="0"/>
  </r>
  <r>
    <n v="530"/>
    <n v="98153"/>
    <s v="Dr. Ana Morgan MD"/>
    <x v="2"/>
    <x v="3"/>
    <x v="382"/>
    <d v="2024-12-22T00:00:00"/>
    <n v="1"/>
    <x v="0"/>
    <x v="4"/>
    <n v="4"/>
    <n v="5"/>
    <n v="3"/>
    <n v="1"/>
    <n v="1"/>
    <x v="4"/>
    <n v="3"/>
    <n v="2"/>
    <n v="4"/>
    <n v="3"/>
    <x v="1"/>
    <s v="Online Survey"/>
    <s v="Poor service"/>
    <x v="2"/>
    <n v="40"/>
    <d v="2024-12-22T00:00:00"/>
    <x v="1"/>
    <x v="5"/>
    <x v="1"/>
  </r>
  <r>
    <n v="531"/>
    <n v="86918"/>
    <s v="Kent Swanson"/>
    <x v="1"/>
    <x v="0"/>
    <x v="383"/>
    <d v="2023-06-23T00:00:00"/>
    <n v="9"/>
    <x v="1"/>
    <x v="3"/>
    <n v="1"/>
    <n v="2"/>
    <n v="4"/>
    <n v="5"/>
    <n v="4"/>
    <x v="4"/>
    <n v="5"/>
    <n v="2"/>
    <n v="3"/>
    <n v="2"/>
    <x v="0"/>
    <s v="Email"/>
    <s v="Needs improvement"/>
    <x v="2"/>
    <n v="63"/>
    <d v="2024-05-30T00:00:00"/>
    <x v="2"/>
    <x v="4"/>
    <x v="1"/>
  </r>
  <r>
    <n v="532"/>
    <n v="68039"/>
    <s v="Kevin Bowman"/>
    <x v="4"/>
    <x v="2"/>
    <x v="312"/>
    <d v="2023-11-23T00:00:00"/>
    <n v="6"/>
    <x v="3"/>
    <x v="3"/>
    <n v="5"/>
    <n v="5"/>
    <n v="1"/>
    <n v="1"/>
    <n v="4"/>
    <x v="4"/>
    <n v="4"/>
    <n v="5"/>
    <n v="3"/>
    <n v="4"/>
    <x v="0"/>
    <s v="App Review"/>
    <s v="Needs improvement"/>
    <x v="2"/>
    <n v="33"/>
    <d v="2024-02-18T00:00:00"/>
    <x v="3"/>
    <x v="1"/>
    <x v="0"/>
  </r>
  <r>
    <n v="533"/>
    <n v="54807"/>
    <s v="Larry Garcia"/>
    <x v="3"/>
    <x v="2"/>
    <x v="384"/>
    <d v="2024-10-18T00:00:00"/>
    <n v="9"/>
    <x v="0"/>
    <x v="3"/>
    <n v="4"/>
    <n v="4"/>
    <n v="3"/>
    <n v="5"/>
    <n v="4"/>
    <x v="1"/>
    <n v="5"/>
    <n v="5"/>
    <n v="1"/>
    <n v="2"/>
    <x v="1"/>
    <s v="In-person"/>
    <s v="Needs improvement"/>
    <x v="1"/>
    <n v="31"/>
    <d v="2024-10-18T00:00:00"/>
    <x v="3"/>
    <x v="21"/>
    <x v="0"/>
  </r>
  <r>
    <n v="534"/>
    <n v="37740"/>
    <s v="Pamela Tyler"/>
    <x v="1"/>
    <x v="4"/>
    <x v="385"/>
    <d v="2023-07-31T00:00:00"/>
    <n v="2"/>
    <x v="3"/>
    <x v="1"/>
    <n v="5"/>
    <n v="5"/>
    <n v="2"/>
    <n v="2"/>
    <n v="4"/>
    <x v="0"/>
    <n v="1"/>
    <n v="2"/>
    <n v="2"/>
    <n v="5"/>
    <x v="1"/>
    <s v="In-person"/>
    <s v="Average"/>
    <x v="0"/>
    <n v="33"/>
    <d v="2023-08-13T00:00:00"/>
    <x v="3"/>
    <x v="0"/>
    <x v="0"/>
  </r>
  <r>
    <n v="535"/>
    <n v="16772"/>
    <s v="Amanda Shaw"/>
    <x v="4"/>
    <x v="3"/>
    <x v="74"/>
    <d v="2024-11-25T00:00:00"/>
    <n v="3"/>
    <x v="3"/>
    <x v="3"/>
    <n v="4"/>
    <n v="1"/>
    <n v="5"/>
    <n v="1"/>
    <n v="5"/>
    <x v="4"/>
    <n v="1"/>
    <n v="2"/>
    <n v="5"/>
    <n v="4"/>
    <x v="0"/>
    <s v="Feedback Form"/>
    <s v="Poor service"/>
    <x v="1"/>
    <n v="23"/>
    <d v="2024-11-25T00:00:00"/>
    <x v="0"/>
    <x v="4"/>
    <x v="1"/>
  </r>
  <r>
    <n v="536"/>
    <n v="49358"/>
    <s v="Kirsten Reilly"/>
    <x v="2"/>
    <x v="1"/>
    <x v="386"/>
    <d v="2024-11-16T00:00:00"/>
    <n v="1"/>
    <x v="3"/>
    <x v="1"/>
    <n v="3"/>
    <n v="5"/>
    <n v="5"/>
    <n v="5"/>
    <n v="2"/>
    <x v="3"/>
    <n v="4"/>
    <n v="1"/>
    <n v="1"/>
    <n v="1"/>
    <x v="1"/>
    <s v="In-person"/>
    <s v="Will visit again"/>
    <x v="2"/>
    <n v="53"/>
    <d v="2024-11-16T00:00:00"/>
    <x v="2"/>
    <x v="0"/>
    <x v="0"/>
  </r>
  <r>
    <n v="537"/>
    <n v="24647"/>
    <s v="Kimberly Dodson"/>
    <x v="0"/>
    <x v="3"/>
    <x v="387"/>
    <d v="2024-02-12T00:00:00"/>
    <n v="5"/>
    <x v="2"/>
    <x v="3"/>
    <n v="1"/>
    <n v="2"/>
    <n v="1"/>
    <n v="4"/>
    <n v="2"/>
    <x v="0"/>
    <n v="5"/>
    <n v="2"/>
    <n v="5"/>
    <n v="1"/>
    <x v="0"/>
    <s v="Online Survey"/>
    <s v="Poor service"/>
    <x v="2"/>
    <n v="69"/>
    <d v="2024-06-13T00:00:00"/>
    <x v="2"/>
    <x v="7"/>
    <x v="1"/>
  </r>
  <r>
    <n v="538"/>
    <n v="26504"/>
    <s v="Paul Serrano"/>
    <x v="4"/>
    <x v="0"/>
    <x v="388"/>
    <d v="2024-06-25T00:00:00"/>
    <n v="2"/>
    <x v="1"/>
    <x v="0"/>
    <n v="3"/>
    <n v="4"/>
    <n v="3"/>
    <n v="5"/>
    <n v="3"/>
    <x v="0"/>
    <n v="3"/>
    <n v="3"/>
    <n v="1"/>
    <n v="1"/>
    <x v="0"/>
    <s v="Email"/>
    <s v="Average"/>
    <x v="1"/>
    <n v="41"/>
    <d v="2024-06-25T00:00:00"/>
    <x v="1"/>
    <x v="4"/>
    <x v="1"/>
  </r>
  <r>
    <n v="539"/>
    <n v="16460"/>
    <s v="Luis Webb"/>
    <x v="3"/>
    <x v="1"/>
    <x v="282"/>
    <d v="2024-06-02T00:00:00"/>
    <n v="11"/>
    <x v="3"/>
    <x v="4"/>
    <n v="2"/>
    <n v="2"/>
    <n v="4"/>
    <n v="2"/>
    <n v="4"/>
    <x v="0"/>
    <n v="4"/>
    <n v="2"/>
    <n v="1"/>
    <n v="1"/>
    <x v="0"/>
    <s v="Email"/>
    <s v="Great stay"/>
    <x v="1"/>
    <n v="68"/>
    <d v="2024-06-02T00:00:00"/>
    <x v="2"/>
    <x v="14"/>
    <x v="1"/>
  </r>
  <r>
    <n v="540"/>
    <n v="16281"/>
    <s v="Mark Reed"/>
    <x v="2"/>
    <x v="3"/>
    <x v="361"/>
    <d v="2024-07-16T00:00:00"/>
    <n v="1"/>
    <x v="1"/>
    <x v="3"/>
    <n v="1"/>
    <n v="5"/>
    <n v="4"/>
    <n v="5"/>
    <n v="3"/>
    <x v="4"/>
    <n v="3"/>
    <n v="2"/>
    <n v="4"/>
    <n v="3"/>
    <x v="0"/>
    <s v="Feedback Form"/>
    <s v="Great stay"/>
    <x v="1"/>
    <n v="44"/>
    <d v="2024-09-29T00:00:00"/>
    <x v="1"/>
    <x v="0"/>
    <x v="0"/>
  </r>
  <r>
    <n v="541"/>
    <n v="32246"/>
    <s v="Erika Kemp"/>
    <x v="1"/>
    <x v="0"/>
    <x v="13"/>
    <d v="2024-03-09T00:00:00"/>
    <n v="9"/>
    <x v="0"/>
    <x v="2"/>
    <n v="4"/>
    <n v="5"/>
    <n v="4"/>
    <n v="2"/>
    <n v="5"/>
    <x v="2"/>
    <n v="4"/>
    <n v="3"/>
    <n v="4"/>
    <n v="5"/>
    <x v="0"/>
    <s v="Online Survey"/>
    <s v="Great stay"/>
    <x v="2"/>
    <n v="42"/>
    <d v="2024-12-11T00:00:00"/>
    <x v="1"/>
    <x v="21"/>
    <x v="0"/>
  </r>
  <r>
    <n v="542"/>
    <n v="46499"/>
    <s v="Gail Huynh"/>
    <x v="2"/>
    <x v="2"/>
    <x v="149"/>
    <d v="2024-07-14T00:00:00"/>
    <n v="11"/>
    <x v="3"/>
    <x v="0"/>
    <n v="3"/>
    <n v="1"/>
    <n v="4"/>
    <n v="3"/>
    <n v="3"/>
    <x v="3"/>
    <n v="3"/>
    <n v="3"/>
    <n v="4"/>
    <n v="4"/>
    <x v="0"/>
    <s v="In-person"/>
    <s v="Will visit again"/>
    <x v="0"/>
    <n v="57"/>
    <d v="2024-09-07T00:00:00"/>
    <x v="2"/>
    <x v="10"/>
    <x v="0"/>
  </r>
  <r>
    <n v="543"/>
    <n v="56733"/>
    <s v="Anita Walker"/>
    <x v="4"/>
    <x v="2"/>
    <x v="233"/>
    <d v="2024-05-23T00:00:00"/>
    <n v="9"/>
    <x v="1"/>
    <x v="2"/>
    <n v="5"/>
    <n v="4"/>
    <n v="1"/>
    <n v="1"/>
    <n v="2"/>
    <x v="3"/>
    <n v="2"/>
    <n v="5"/>
    <n v="1"/>
    <n v="5"/>
    <x v="1"/>
    <s v="Online Survey"/>
    <s v="Average"/>
    <x v="0"/>
    <n v="53"/>
    <d v="2024-05-23T00:00:00"/>
    <x v="2"/>
    <x v="2"/>
    <x v="0"/>
  </r>
  <r>
    <n v="544"/>
    <n v="38491"/>
    <s v="Carl Jordan"/>
    <x v="3"/>
    <x v="2"/>
    <x v="389"/>
    <d v="2023-11-12T00:00:00"/>
    <n v="6"/>
    <x v="3"/>
    <x v="2"/>
    <n v="3"/>
    <n v="5"/>
    <n v="1"/>
    <n v="2"/>
    <n v="2"/>
    <x v="2"/>
    <n v="1"/>
    <n v="2"/>
    <n v="4"/>
    <n v="1"/>
    <x v="0"/>
    <s v="In-person"/>
    <s v="Average"/>
    <x v="1"/>
    <n v="46"/>
    <d v="2023-11-12T00:00:00"/>
    <x v="1"/>
    <x v="9"/>
    <x v="1"/>
  </r>
  <r>
    <n v="545"/>
    <n v="95511"/>
    <s v="Traci Patel"/>
    <x v="2"/>
    <x v="2"/>
    <x v="271"/>
    <d v="2024-12-30T00:00:00"/>
    <n v="11"/>
    <x v="2"/>
    <x v="1"/>
    <n v="3"/>
    <n v="1"/>
    <n v="5"/>
    <n v="4"/>
    <n v="2"/>
    <x v="3"/>
    <n v="4"/>
    <n v="3"/>
    <n v="1"/>
    <n v="5"/>
    <x v="1"/>
    <s v="Online Survey"/>
    <s v="Great stay"/>
    <x v="1"/>
    <n v="48"/>
    <d v="2024-12-30T00:00:00"/>
    <x v="1"/>
    <x v="10"/>
    <x v="0"/>
  </r>
  <r>
    <n v="546"/>
    <n v="54536"/>
    <s v="Cindy Glover"/>
    <x v="2"/>
    <x v="1"/>
    <x v="61"/>
    <d v="2024-11-10T00:00:00"/>
    <n v="11"/>
    <x v="0"/>
    <x v="4"/>
    <n v="4"/>
    <n v="1"/>
    <n v="3"/>
    <n v="1"/>
    <n v="3"/>
    <x v="4"/>
    <n v="2"/>
    <n v="1"/>
    <n v="4"/>
    <n v="5"/>
    <x v="1"/>
    <s v="In-person"/>
    <s v="Average"/>
    <x v="1"/>
    <n v="20"/>
    <d v="2024-11-10T00:00:00"/>
    <x v="0"/>
    <x v="14"/>
    <x v="1"/>
  </r>
  <r>
    <n v="547"/>
    <n v="57872"/>
    <s v="Elizabeth Larson"/>
    <x v="0"/>
    <x v="2"/>
    <x v="338"/>
    <d v="2024-10-05T00:00:00"/>
    <n v="8"/>
    <x v="2"/>
    <x v="2"/>
    <n v="4"/>
    <n v="2"/>
    <n v="2"/>
    <n v="5"/>
    <n v="4"/>
    <x v="0"/>
    <n v="4"/>
    <n v="4"/>
    <n v="5"/>
    <n v="3"/>
    <x v="0"/>
    <s v="In-person"/>
    <s v="Average"/>
    <x v="2"/>
    <n v="30"/>
    <d v="2024-10-05T00:00:00"/>
    <x v="3"/>
    <x v="11"/>
    <x v="0"/>
  </r>
  <r>
    <n v="548"/>
    <n v="61566"/>
    <s v="John Martin"/>
    <x v="0"/>
    <x v="1"/>
    <x v="390"/>
    <d v="2024-08-17T00:00:00"/>
    <n v="13"/>
    <x v="3"/>
    <x v="0"/>
    <n v="2"/>
    <n v="4"/>
    <n v="1"/>
    <n v="5"/>
    <n v="1"/>
    <x v="2"/>
    <n v="1"/>
    <n v="3"/>
    <n v="2"/>
    <n v="1"/>
    <x v="0"/>
    <s v="Email"/>
    <s v="Needs improvement"/>
    <x v="1"/>
    <n v="21"/>
    <d v="2024-11-16T00:00:00"/>
    <x v="0"/>
    <x v="19"/>
    <x v="1"/>
  </r>
  <r>
    <n v="549"/>
    <n v="35416"/>
    <s v="Tara Solomon"/>
    <x v="4"/>
    <x v="1"/>
    <x v="391"/>
    <d v="2024-07-29T00:00:00"/>
    <n v="11"/>
    <x v="1"/>
    <x v="4"/>
    <n v="1"/>
    <n v="3"/>
    <n v="4"/>
    <n v="2"/>
    <n v="2"/>
    <x v="0"/>
    <n v="1"/>
    <n v="4"/>
    <n v="4"/>
    <n v="2"/>
    <x v="0"/>
    <s v="App Review"/>
    <s v="Will visit again"/>
    <x v="2"/>
    <n v="28"/>
    <d v="2024-07-29T00:00:00"/>
    <x v="3"/>
    <x v="7"/>
    <x v="1"/>
  </r>
  <r>
    <n v="550"/>
    <n v="16635"/>
    <s v="Kathryn Clark"/>
    <x v="1"/>
    <x v="3"/>
    <x v="391"/>
    <d v="2024-01-02T00:00:00"/>
    <n v="12"/>
    <x v="3"/>
    <x v="0"/>
    <n v="3"/>
    <n v="1"/>
    <n v="2"/>
    <n v="4"/>
    <n v="3"/>
    <x v="3"/>
    <n v="3"/>
    <n v="2"/>
    <n v="3"/>
    <n v="5"/>
    <x v="0"/>
    <s v="App Review"/>
    <s v="Average"/>
    <x v="0"/>
    <n v="65"/>
    <d v="2024-01-02T00:00:00"/>
    <x v="2"/>
    <x v="2"/>
    <x v="0"/>
  </r>
  <r>
    <n v="551"/>
    <n v="29189"/>
    <s v="Meghan Carroll"/>
    <x v="1"/>
    <x v="2"/>
    <x v="392"/>
    <d v="2023-08-03T00:00:00"/>
    <n v="9"/>
    <x v="3"/>
    <x v="2"/>
    <n v="5"/>
    <n v="3"/>
    <n v="5"/>
    <n v="2"/>
    <n v="1"/>
    <x v="1"/>
    <n v="1"/>
    <n v="1"/>
    <n v="2"/>
    <n v="5"/>
    <x v="1"/>
    <s v="Feedback Form"/>
    <s v="Great stay"/>
    <x v="2"/>
    <n v="32"/>
    <d v="2023-08-27T00:00:00"/>
    <x v="3"/>
    <x v="2"/>
    <x v="0"/>
  </r>
  <r>
    <n v="552"/>
    <n v="72929"/>
    <s v="Spencer George"/>
    <x v="3"/>
    <x v="4"/>
    <x v="345"/>
    <d v="2024-10-04T00:00:00"/>
    <n v="5"/>
    <x v="3"/>
    <x v="4"/>
    <n v="4"/>
    <n v="2"/>
    <n v="4"/>
    <n v="4"/>
    <n v="2"/>
    <x v="3"/>
    <n v="1"/>
    <n v="1"/>
    <n v="3"/>
    <n v="1"/>
    <x v="0"/>
    <s v="App Review"/>
    <s v="Poor service"/>
    <x v="1"/>
    <n v="19"/>
    <d v="2024-10-04T00:00:00"/>
    <x v="0"/>
    <x v="7"/>
    <x v="1"/>
  </r>
  <r>
    <n v="553"/>
    <n v="21498"/>
    <s v="Kenneth Clark"/>
    <x v="4"/>
    <x v="2"/>
    <x v="121"/>
    <d v="2023-11-23T00:00:00"/>
    <n v="2"/>
    <x v="2"/>
    <x v="3"/>
    <n v="4"/>
    <n v="1"/>
    <n v="3"/>
    <n v="2"/>
    <n v="2"/>
    <x v="3"/>
    <n v="1"/>
    <n v="5"/>
    <n v="2"/>
    <n v="3"/>
    <x v="0"/>
    <s v="Feedback Form"/>
    <s v="Poor service"/>
    <x v="2"/>
    <n v="32"/>
    <d v="2024-10-08T00:00:00"/>
    <x v="3"/>
    <x v="5"/>
    <x v="1"/>
  </r>
  <r>
    <n v="554"/>
    <n v="70777"/>
    <s v="Seth Brown"/>
    <x v="1"/>
    <x v="4"/>
    <x v="292"/>
    <d v="2024-08-31T00:00:00"/>
    <n v="4"/>
    <x v="2"/>
    <x v="2"/>
    <n v="2"/>
    <n v="4"/>
    <n v="2"/>
    <n v="3"/>
    <n v="5"/>
    <x v="2"/>
    <n v="5"/>
    <n v="5"/>
    <n v="4"/>
    <n v="4"/>
    <x v="1"/>
    <s v="Email"/>
    <s v="Will visit again"/>
    <x v="2"/>
    <n v="23"/>
    <d v="2024-08-31T00:00:00"/>
    <x v="0"/>
    <x v="11"/>
    <x v="0"/>
  </r>
  <r>
    <n v="555"/>
    <n v="98585"/>
    <s v="James Johnson"/>
    <x v="2"/>
    <x v="2"/>
    <x v="121"/>
    <d v="2024-02-12T00:00:00"/>
    <n v="3"/>
    <x v="1"/>
    <x v="2"/>
    <n v="1"/>
    <n v="3"/>
    <n v="5"/>
    <n v="3"/>
    <n v="2"/>
    <x v="0"/>
    <n v="5"/>
    <n v="2"/>
    <n v="5"/>
    <n v="1"/>
    <x v="0"/>
    <s v="Feedback Form"/>
    <s v="Average"/>
    <x v="2"/>
    <n v="64"/>
    <d v="2024-07-17T00:00:00"/>
    <x v="2"/>
    <x v="2"/>
    <x v="0"/>
  </r>
  <r>
    <n v="556"/>
    <n v="60617"/>
    <s v="Jonathan Walker"/>
    <x v="4"/>
    <x v="1"/>
    <x v="362"/>
    <d v="2023-07-11T00:00:00"/>
    <n v="10"/>
    <x v="0"/>
    <x v="1"/>
    <n v="2"/>
    <n v="4"/>
    <n v="1"/>
    <n v="3"/>
    <n v="1"/>
    <x v="2"/>
    <n v="1"/>
    <n v="3"/>
    <n v="4"/>
    <n v="4"/>
    <x v="0"/>
    <s v="App Review"/>
    <s v="Needs improvement"/>
    <x v="2"/>
    <n v="30"/>
    <d v="2024-03-13T00:00:00"/>
    <x v="3"/>
    <x v="14"/>
    <x v="1"/>
  </r>
  <r>
    <n v="557"/>
    <n v="69200"/>
    <s v="Gregory Pope"/>
    <x v="2"/>
    <x v="2"/>
    <x v="364"/>
    <d v="2024-04-12T00:00:00"/>
    <n v="7"/>
    <x v="0"/>
    <x v="0"/>
    <n v="4"/>
    <n v="3"/>
    <n v="3"/>
    <n v="2"/>
    <n v="1"/>
    <x v="4"/>
    <n v="5"/>
    <n v="1"/>
    <n v="1"/>
    <n v="2"/>
    <x v="0"/>
    <s v="In-person"/>
    <s v="Average"/>
    <x v="2"/>
    <n v="52"/>
    <d v="2024-04-12T00:00:00"/>
    <x v="2"/>
    <x v="9"/>
    <x v="1"/>
  </r>
  <r>
    <n v="558"/>
    <n v="20427"/>
    <s v="Jamie Spears"/>
    <x v="3"/>
    <x v="2"/>
    <x v="172"/>
    <d v="2023-12-11T00:00:00"/>
    <n v="10"/>
    <x v="1"/>
    <x v="3"/>
    <n v="5"/>
    <n v="2"/>
    <n v="4"/>
    <n v="1"/>
    <n v="4"/>
    <x v="0"/>
    <n v="4"/>
    <n v="2"/>
    <n v="3"/>
    <n v="4"/>
    <x v="1"/>
    <s v="Feedback Form"/>
    <s v="Great stay"/>
    <x v="2"/>
    <n v="68"/>
    <d v="2024-07-28T00:00:00"/>
    <x v="2"/>
    <x v="10"/>
    <x v="0"/>
  </r>
  <r>
    <n v="559"/>
    <n v="59555"/>
    <s v="Karen Murphy"/>
    <x v="4"/>
    <x v="2"/>
    <x v="272"/>
    <d v="2024-12-31T00:00:00"/>
    <n v="10"/>
    <x v="3"/>
    <x v="4"/>
    <n v="2"/>
    <n v="1"/>
    <n v="2"/>
    <n v="5"/>
    <n v="1"/>
    <x v="4"/>
    <n v="2"/>
    <n v="2"/>
    <n v="2"/>
    <n v="5"/>
    <x v="0"/>
    <s v="App Review"/>
    <s v="Average"/>
    <x v="0"/>
    <n v="61"/>
    <d v="2024-12-31T00:00:00"/>
    <x v="2"/>
    <x v="9"/>
    <x v="1"/>
  </r>
  <r>
    <n v="560"/>
    <n v="16570"/>
    <s v="Michelle Chung"/>
    <x v="3"/>
    <x v="2"/>
    <x v="211"/>
    <d v="2023-09-04T00:00:00"/>
    <n v="10"/>
    <x v="0"/>
    <x v="2"/>
    <n v="3"/>
    <n v="1"/>
    <n v="5"/>
    <n v="1"/>
    <n v="3"/>
    <x v="4"/>
    <n v="2"/>
    <n v="3"/>
    <n v="5"/>
    <n v="3"/>
    <x v="1"/>
    <s v="App Review"/>
    <s v="Poor service"/>
    <x v="0"/>
    <n v="61"/>
    <d v="2023-09-04T00:00:00"/>
    <x v="2"/>
    <x v="5"/>
    <x v="1"/>
  </r>
  <r>
    <n v="561"/>
    <n v="34988"/>
    <s v="Katherine Gilbert"/>
    <x v="0"/>
    <x v="3"/>
    <x v="142"/>
    <d v="2023-08-16T00:00:00"/>
    <n v="8"/>
    <x v="2"/>
    <x v="2"/>
    <n v="4"/>
    <n v="2"/>
    <n v="2"/>
    <n v="5"/>
    <n v="3"/>
    <x v="2"/>
    <n v="5"/>
    <n v="1"/>
    <n v="3"/>
    <n v="2"/>
    <x v="0"/>
    <s v="In-person"/>
    <s v="Poor service"/>
    <x v="0"/>
    <n v="66"/>
    <d v="2024-12-14T00:00:00"/>
    <x v="2"/>
    <x v="4"/>
    <x v="1"/>
  </r>
  <r>
    <n v="562"/>
    <n v="68881"/>
    <s v="Sandra Schultz"/>
    <x v="3"/>
    <x v="3"/>
    <x v="393"/>
    <d v="2024-05-09T00:00:00"/>
    <n v="13"/>
    <x v="1"/>
    <x v="3"/>
    <n v="4"/>
    <n v="5"/>
    <n v="3"/>
    <n v="4"/>
    <n v="2"/>
    <x v="3"/>
    <n v="2"/>
    <n v="1"/>
    <n v="5"/>
    <n v="3"/>
    <x v="0"/>
    <s v="Online Survey"/>
    <s v="Will visit again"/>
    <x v="1"/>
    <n v="57"/>
    <d v="2024-10-01T00:00:00"/>
    <x v="2"/>
    <x v="1"/>
    <x v="0"/>
  </r>
  <r>
    <n v="563"/>
    <n v="63401"/>
    <s v="Brian Robinson"/>
    <x v="0"/>
    <x v="1"/>
    <x v="205"/>
    <d v="2024-10-04T00:00:00"/>
    <n v="5"/>
    <x v="1"/>
    <x v="2"/>
    <n v="2"/>
    <n v="3"/>
    <n v="1"/>
    <n v="3"/>
    <n v="4"/>
    <x v="1"/>
    <n v="5"/>
    <n v="1"/>
    <n v="3"/>
    <n v="3"/>
    <x v="1"/>
    <s v="App Review"/>
    <s v="Great stay"/>
    <x v="0"/>
    <n v="30"/>
    <d v="2024-10-04T00:00:00"/>
    <x v="3"/>
    <x v="2"/>
    <x v="0"/>
  </r>
  <r>
    <n v="564"/>
    <n v="49114"/>
    <s v="Christopher Cooper"/>
    <x v="4"/>
    <x v="1"/>
    <x v="194"/>
    <d v="2023-10-29T00:00:00"/>
    <n v="2"/>
    <x v="3"/>
    <x v="0"/>
    <n v="5"/>
    <n v="3"/>
    <n v="1"/>
    <n v="3"/>
    <n v="2"/>
    <x v="3"/>
    <n v="3"/>
    <n v="5"/>
    <n v="4"/>
    <n v="4"/>
    <x v="0"/>
    <s v="Email"/>
    <s v="Will visit again"/>
    <x v="1"/>
    <n v="29"/>
    <d v="2024-09-25T00:00:00"/>
    <x v="3"/>
    <x v="13"/>
    <x v="0"/>
  </r>
  <r>
    <n v="565"/>
    <n v="18408"/>
    <s v="Michael Orr"/>
    <x v="2"/>
    <x v="4"/>
    <x v="394"/>
    <d v="2024-11-09T00:00:00"/>
    <n v="12"/>
    <x v="0"/>
    <x v="4"/>
    <n v="2"/>
    <n v="5"/>
    <n v="3"/>
    <n v="5"/>
    <n v="4"/>
    <x v="3"/>
    <n v="1"/>
    <n v="1"/>
    <n v="1"/>
    <n v="3"/>
    <x v="0"/>
    <s v="In-person"/>
    <s v="Average"/>
    <x v="0"/>
    <n v="33"/>
    <d v="2024-11-09T00:00:00"/>
    <x v="3"/>
    <x v="4"/>
    <x v="1"/>
  </r>
  <r>
    <n v="566"/>
    <n v="91210"/>
    <s v="Randall Tucker"/>
    <x v="2"/>
    <x v="1"/>
    <x v="208"/>
    <d v="2024-11-11T00:00:00"/>
    <n v="9"/>
    <x v="0"/>
    <x v="3"/>
    <n v="5"/>
    <n v="2"/>
    <n v="4"/>
    <n v="3"/>
    <n v="5"/>
    <x v="0"/>
    <n v="2"/>
    <n v="4"/>
    <n v="3"/>
    <n v="2"/>
    <x v="0"/>
    <s v="Online Survey"/>
    <s v="Needs improvement"/>
    <x v="2"/>
    <n v="60"/>
    <d v="2024-11-11T00:00:00"/>
    <x v="2"/>
    <x v="1"/>
    <x v="0"/>
  </r>
  <r>
    <n v="567"/>
    <n v="94733"/>
    <s v="Daniel King"/>
    <x v="2"/>
    <x v="3"/>
    <x v="308"/>
    <d v="2024-01-01T00:00:00"/>
    <n v="14"/>
    <x v="3"/>
    <x v="3"/>
    <n v="4"/>
    <n v="4"/>
    <n v="2"/>
    <n v="1"/>
    <n v="4"/>
    <x v="2"/>
    <n v="1"/>
    <n v="3"/>
    <n v="5"/>
    <n v="3"/>
    <x v="1"/>
    <s v="In-person"/>
    <s v="Will visit again"/>
    <x v="2"/>
    <n v="69"/>
    <d v="2024-02-24T00:00:00"/>
    <x v="2"/>
    <x v="4"/>
    <x v="1"/>
  </r>
  <r>
    <n v="568"/>
    <n v="57606"/>
    <s v="Jennifer Jackson"/>
    <x v="3"/>
    <x v="1"/>
    <x v="395"/>
    <d v="2024-01-19T00:00:00"/>
    <n v="1"/>
    <x v="1"/>
    <x v="1"/>
    <n v="2"/>
    <n v="4"/>
    <n v="4"/>
    <n v="2"/>
    <n v="5"/>
    <x v="0"/>
    <n v="2"/>
    <n v="1"/>
    <n v="4"/>
    <n v="2"/>
    <x v="1"/>
    <s v="Feedback Form"/>
    <s v="Poor service"/>
    <x v="0"/>
    <n v="58"/>
    <d v="2024-01-19T00:00:00"/>
    <x v="2"/>
    <x v="4"/>
    <x v="1"/>
  </r>
  <r>
    <n v="569"/>
    <n v="55854"/>
    <s v="Douglas Mccarty"/>
    <x v="4"/>
    <x v="4"/>
    <x v="183"/>
    <d v="2024-09-12T00:00:00"/>
    <n v="5"/>
    <x v="1"/>
    <x v="4"/>
    <n v="1"/>
    <n v="2"/>
    <n v="5"/>
    <n v="3"/>
    <n v="5"/>
    <x v="1"/>
    <n v="4"/>
    <n v="3"/>
    <n v="2"/>
    <n v="5"/>
    <x v="0"/>
    <s v="App Review"/>
    <s v="Great stay"/>
    <x v="0"/>
    <n v="68"/>
    <d v="2024-09-12T00:00:00"/>
    <x v="2"/>
    <x v="18"/>
    <x v="0"/>
  </r>
  <r>
    <n v="570"/>
    <n v="43573"/>
    <s v="Laura Thomas"/>
    <x v="4"/>
    <x v="4"/>
    <x v="396"/>
    <d v="2024-07-30T00:00:00"/>
    <n v="12"/>
    <x v="1"/>
    <x v="3"/>
    <n v="2"/>
    <n v="4"/>
    <n v="4"/>
    <n v="3"/>
    <n v="2"/>
    <x v="2"/>
    <n v="4"/>
    <n v="3"/>
    <n v="2"/>
    <n v="5"/>
    <x v="0"/>
    <s v="App Review"/>
    <s v="Average"/>
    <x v="1"/>
    <n v="37"/>
    <d v="2024-09-12T00:00:00"/>
    <x v="1"/>
    <x v="0"/>
    <x v="0"/>
  </r>
  <r>
    <n v="571"/>
    <n v="61968"/>
    <s v="Jon Jones"/>
    <x v="0"/>
    <x v="3"/>
    <x v="247"/>
    <d v="2024-06-29T00:00:00"/>
    <n v="12"/>
    <x v="1"/>
    <x v="2"/>
    <n v="2"/>
    <n v="2"/>
    <n v="3"/>
    <n v="4"/>
    <n v="3"/>
    <x v="3"/>
    <n v="5"/>
    <n v="4"/>
    <n v="4"/>
    <n v="4"/>
    <x v="1"/>
    <s v="In-person"/>
    <s v="Great stay"/>
    <x v="1"/>
    <n v="57"/>
    <d v="2024-06-29T00:00:00"/>
    <x v="2"/>
    <x v="18"/>
    <x v="0"/>
  </r>
  <r>
    <n v="572"/>
    <n v="37385"/>
    <s v="Joan Obrien"/>
    <x v="4"/>
    <x v="1"/>
    <x v="397"/>
    <d v="2024-11-13T00:00:00"/>
    <n v="3"/>
    <x v="2"/>
    <x v="4"/>
    <n v="1"/>
    <n v="3"/>
    <n v="1"/>
    <n v="2"/>
    <n v="4"/>
    <x v="4"/>
    <n v="1"/>
    <n v="1"/>
    <n v="2"/>
    <n v="1"/>
    <x v="0"/>
    <s v="Feedback Form"/>
    <s v="Great stay"/>
    <x v="1"/>
    <n v="30"/>
    <d v="2024-11-13T00:00:00"/>
    <x v="3"/>
    <x v="24"/>
    <x v="1"/>
  </r>
  <r>
    <n v="573"/>
    <n v="35842"/>
    <s v="Shelly Archer"/>
    <x v="2"/>
    <x v="4"/>
    <x v="398"/>
    <d v="2024-10-09T00:00:00"/>
    <n v="8"/>
    <x v="2"/>
    <x v="0"/>
    <n v="1"/>
    <n v="3"/>
    <n v="3"/>
    <n v="5"/>
    <n v="2"/>
    <x v="3"/>
    <n v="5"/>
    <n v="3"/>
    <n v="5"/>
    <n v="5"/>
    <x v="1"/>
    <s v="In-person"/>
    <s v="Great stay"/>
    <x v="2"/>
    <n v="51"/>
    <d v="2024-10-09T00:00:00"/>
    <x v="2"/>
    <x v="11"/>
    <x v="0"/>
  </r>
  <r>
    <n v="574"/>
    <n v="65383"/>
    <s v="Vanessa Johnson"/>
    <x v="4"/>
    <x v="1"/>
    <x v="338"/>
    <d v="2024-10-05T00:00:00"/>
    <n v="8"/>
    <x v="1"/>
    <x v="3"/>
    <n v="3"/>
    <n v="5"/>
    <n v="3"/>
    <n v="2"/>
    <n v="5"/>
    <x v="3"/>
    <n v="3"/>
    <n v="1"/>
    <n v="1"/>
    <n v="1"/>
    <x v="0"/>
    <s v="Email"/>
    <s v="Poor service"/>
    <x v="0"/>
    <n v="36"/>
    <d v="2024-10-05T00:00:00"/>
    <x v="1"/>
    <x v="3"/>
    <x v="1"/>
  </r>
  <r>
    <n v="575"/>
    <n v="17420"/>
    <s v="Charles Hall"/>
    <x v="0"/>
    <x v="1"/>
    <x v="399"/>
    <d v="2023-03-03T00:00:00"/>
    <n v="13"/>
    <x v="1"/>
    <x v="0"/>
    <n v="1"/>
    <n v="2"/>
    <n v="2"/>
    <n v="2"/>
    <n v="5"/>
    <x v="2"/>
    <n v="5"/>
    <n v="4"/>
    <n v="4"/>
    <n v="2"/>
    <x v="1"/>
    <s v="App Review"/>
    <s v="Needs improvement"/>
    <x v="1"/>
    <n v="62"/>
    <d v="2023-12-14T00:00:00"/>
    <x v="2"/>
    <x v="4"/>
    <x v="1"/>
  </r>
  <r>
    <n v="576"/>
    <n v="52147"/>
    <s v="Frank Stone"/>
    <x v="4"/>
    <x v="3"/>
    <x v="400"/>
    <d v="2024-02-07T00:00:00"/>
    <n v="12"/>
    <x v="1"/>
    <x v="3"/>
    <n v="5"/>
    <n v="4"/>
    <n v="3"/>
    <n v="5"/>
    <n v="1"/>
    <x v="3"/>
    <n v="5"/>
    <n v="5"/>
    <n v="1"/>
    <n v="1"/>
    <x v="0"/>
    <s v="App Review"/>
    <s v="Will visit again"/>
    <x v="0"/>
    <n v="44"/>
    <d v="2024-02-07T00:00:00"/>
    <x v="1"/>
    <x v="13"/>
    <x v="0"/>
  </r>
  <r>
    <n v="577"/>
    <n v="23806"/>
    <s v="Zachary Smith"/>
    <x v="4"/>
    <x v="3"/>
    <x v="401"/>
    <d v="2024-09-28T00:00:00"/>
    <n v="12"/>
    <x v="2"/>
    <x v="2"/>
    <n v="3"/>
    <n v="2"/>
    <n v="5"/>
    <n v="2"/>
    <n v="1"/>
    <x v="1"/>
    <n v="5"/>
    <n v="5"/>
    <n v="1"/>
    <n v="3"/>
    <x v="1"/>
    <s v="Email"/>
    <s v="Poor service"/>
    <x v="0"/>
    <n v="46"/>
    <d v="2024-09-28T00:00:00"/>
    <x v="1"/>
    <x v="10"/>
    <x v="0"/>
  </r>
  <r>
    <n v="578"/>
    <n v="14257"/>
    <s v="Stacey Barber"/>
    <x v="2"/>
    <x v="1"/>
    <x v="402"/>
    <d v="2024-03-02T00:00:00"/>
    <n v="1"/>
    <x v="3"/>
    <x v="1"/>
    <n v="5"/>
    <n v="1"/>
    <n v="2"/>
    <n v="4"/>
    <n v="4"/>
    <x v="3"/>
    <n v="2"/>
    <n v="5"/>
    <n v="4"/>
    <n v="2"/>
    <x v="0"/>
    <s v="Online Survey"/>
    <s v="Needs improvement"/>
    <x v="0"/>
    <n v="36"/>
    <d v="2024-03-02T00:00:00"/>
    <x v="1"/>
    <x v="1"/>
    <x v="0"/>
  </r>
  <r>
    <n v="579"/>
    <n v="28696"/>
    <s v="Christopher Gonzalez"/>
    <x v="4"/>
    <x v="2"/>
    <x v="0"/>
    <d v="2024-02-13T00:00:00"/>
    <n v="4"/>
    <x v="0"/>
    <x v="2"/>
    <n v="3"/>
    <n v="5"/>
    <n v="2"/>
    <n v="1"/>
    <n v="3"/>
    <x v="4"/>
    <n v="2"/>
    <n v="5"/>
    <n v="3"/>
    <n v="3"/>
    <x v="0"/>
    <s v="App Review"/>
    <s v="Average"/>
    <x v="2"/>
    <n v="60"/>
    <d v="2024-02-13T00:00:00"/>
    <x v="2"/>
    <x v="3"/>
    <x v="1"/>
  </r>
  <r>
    <n v="580"/>
    <n v="44763"/>
    <s v="Steven Ray"/>
    <x v="3"/>
    <x v="2"/>
    <x v="205"/>
    <d v="2023-08-06T00:00:00"/>
    <n v="12"/>
    <x v="2"/>
    <x v="0"/>
    <n v="3"/>
    <n v="1"/>
    <n v="4"/>
    <n v="2"/>
    <n v="1"/>
    <x v="2"/>
    <n v="3"/>
    <n v="2"/>
    <n v="5"/>
    <n v="1"/>
    <x v="1"/>
    <s v="In-person"/>
    <s v="Will visit again"/>
    <x v="2"/>
    <n v="44"/>
    <d v="2023-08-06T00:00:00"/>
    <x v="1"/>
    <x v="8"/>
    <x v="1"/>
  </r>
  <r>
    <n v="581"/>
    <n v="80531"/>
    <s v="Sally Torres"/>
    <x v="0"/>
    <x v="0"/>
    <x v="208"/>
    <d v="2024-09-24T00:00:00"/>
    <n v="10"/>
    <x v="1"/>
    <x v="4"/>
    <n v="5"/>
    <n v="5"/>
    <n v="3"/>
    <n v="1"/>
    <n v="5"/>
    <x v="1"/>
    <n v="1"/>
    <n v="3"/>
    <n v="4"/>
    <n v="3"/>
    <x v="1"/>
    <s v="Online Survey"/>
    <s v="Needs improvement"/>
    <x v="1"/>
    <n v="19"/>
    <d v="2024-09-24T00:00:00"/>
    <x v="0"/>
    <x v="18"/>
    <x v="0"/>
  </r>
  <r>
    <n v="582"/>
    <n v="28126"/>
    <s v="Steven Wagner"/>
    <x v="0"/>
    <x v="0"/>
    <x v="299"/>
    <d v="2024-09-02T00:00:00"/>
    <n v="8"/>
    <x v="1"/>
    <x v="0"/>
    <n v="4"/>
    <n v="5"/>
    <n v="4"/>
    <n v="4"/>
    <n v="2"/>
    <x v="2"/>
    <n v="4"/>
    <n v="2"/>
    <n v="5"/>
    <n v="2"/>
    <x v="0"/>
    <s v="Online Survey"/>
    <s v="Average"/>
    <x v="0"/>
    <n v="57"/>
    <d v="2024-09-02T00:00:00"/>
    <x v="2"/>
    <x v="13"/>
    <x v="0"/>
  </r>
  <r>
    <n v="583"/>
    <n v="43923"/>
    <s v="David Taylor"/>
    <x v="0"/>
    <x v="0"/>
    <x v="120"/>
    <d v="2024-12-05T00:00:00"/>
    <n v="9"/>
    <x v="1"/>
    <x v="1"/>
    <n v="4"/>
    <n v="5"/>
    <n v="4"/>
    <n v="4"/>
    <n v="3"/>
    <x v="4"/>
    <n v="1"/>
    <n v="1"/>
    <n v="1"/>
    <n v="3"/>
    <x v="0"/>
    <s v="In-person"/>
    <s v="Will visit again"/>
    <x v="1"/>
    <n v="56"/>
    <d v="2024-12-05T00:00:00"/>
    <x v="2"/>
    <x v="5"/>
    <x v="1"/>
  </r>
  <r>
    <n v="584"/>
    <n v="51353"/>
    <s v="Ariel Baird"/>
    <x v="4"/>
    <x v="3"/>
    <x v="80"/>
    <d v="2023-07-07T00:00:00"/>
    <n v="9"/>
    <x v="1"/>
    <x v="3"/>
    <n v="2"/>
    <n v="1"/>
    <n v="2"/>
    <n v="2"/>
    <n v="4"/>
    <x v="0"/>
    <n v="4"/>
    <n v="5"/>
    <n v="1"/>
    <n v="1"/>
    <x v="1"/>
    <s v="Email"/>
    <s v="Average"/>
    <x v="0"/>
    <n v="18"/>
    <d v="2023-10-01T00:00:00"/>
    <x v="0"/>
    <x v="14"/>
    <x v="1"/>
  </r>
  <r>
    <n v="585"/>
    <n v="98683"/>
    <s v="Maria Miller DDS"/>
    <x v="3"/>
    <x v="1"/>
    <x v="277"/>
    <d v="2024-12-26T00:00:00"/>
    <n v="2"/>
    <x v="3"/>
    <x v="3"/>
    <n v="4"/>
    <n v="5"/>
    <n v="4"/>
    <n v="3"/>
    <n v="2"/>
    <x v="1"/>
    <n v="2"/>
    <n v="1"/>
    <n v="3"/>
    <n v="3"/>
    <x v="0"/>
    <s v="Online Survey"/>
    <s v="Poor service"/>
    <x v="0"/>
    <n v="31"/>
    <d v="2024-12-26T00:00:00"/>
    <x v="3"/>
    <x v="10"/>
    <x v="0"/>
  </r>
  <r>
    <n v="586"/>
    <n v="90423"/>
    <s v="Erica Crane"/>
    <x v="0"/>
    <x v="4"/>
    <x v="403"/>
    <d v="2024-11-10T00:00:00"/>
    <n v="9"/>
    <x v="2"/>
    <x v="0"/>
    <n v="2"/>
    <n v="2"/>
    <n v="4"/>
    <n v="2"/>
    <n v="4"/>
    <x v="4"/>
    <n v="5"/>
    <n v="4"/>
    <n v="1"/>
    <n v="3"/>
    <x v="0"/>
    <s v="App Review"/>
    <s v="Average"/>
    <x v="0"/>
    <n v="25"/>
    <d v="2024-12-31T00:00:00"/>
    <x v="0"/>
    <x v="3"/>
    <x v="1"/>
  </r>
  <r>
    <n v="587"/>
    <n v="98867"/>
    <s v="George Griffin"/>
    <x v="1"/>
    <x v="1"/>
    <x v="404"/>
    <d v="2023-07-12T00:00:00"/>
    <n v="8"/>
    <x v="0"/>
    <x v="4"/>
    <n v="4"/>
    <n v="2"/>
    <n v="2"/>
    <n v="1"/>
    <n v="2"/>
    <x v="0"/>
    <n v="3"/>
    <n v="3"/>
    <n v="4"/>
    <n v="4"/>
    <x v="0"/>
    <s v="Feedback Form"/>
    <s v="Great stay"/>
    <x v="2"/>
    <n v="44"/>
    <d v="2023-07-12T00:00:00"/>
    <x v="1"/>
    <x v="3"/>
    <x v="1"/>
  </r>
  <r>
    <n v="588"/>
    <n v="17202"/>
    <s v="Kevin Reed"/>
    <x v="2"/>
    <x v="1"/>
    <x v="262"/>
    <d v="2024-08-29T00:00:00"/>
    <n v="11"/>
    <x v="1"/>
    <x v="3"/>
    <n v="2"/>
    <n v="1"/>
    <n v="2"/>
    <n v="4"/>
    <n v="2"/>
    <x v="4"/>
    <n v="3"/>
    <n v="4"/>
    <n v="5"/>
    <n v="2"/>
    <x v="1"/>
    <s v="Online Survey"/>
    <s v="Poor service"/>
    <x v="2"/>
    <n v="50"/>
    <d v="2024-08-29T00:00:00"/>
    <x v="1"/>
    <x v="7"/>
    <x v="1"/>
  </r>
  <r>
    <n v="589"/>
    <n v="73168"/>
    <s v="Samantha Giles"/>
    <x v="1"/>
    <x v="0"/>
    <x v="242"/>
    <d v="2023-07-04T00:00:00"/>
    <n v="14"/>
    <x v="3"/>
    <x v="3"/>
    <n v="2"/>
    <n v="3"/>
    <n v="1"/>
    <n v="1"/>
    <n v="3"/>
    <x v="0"/>
    <n v="3"/>
    <n v="3"/>
    <n v="3"/>
    <n v="4"/>
    <x v="1"/>
    <s v="Email"/>
    <s v="Average"/>
    <x v="0"/>
    <n v="48"/>
    <d v="2023-07-04T00:00:00"/>
    <x v="1"/>
    <x v="7"/>
    <x v="1"/>
  </r>
  <r>
    <n v="590"/>
    <n v="72835"/>
    <s v="Dawn Williams"/>
    <x v="1"/>
    <x v="1"/>
    <x v="405"/>
    <d v="2024-06-21T00:00:00"/>
    <n v="11"/>
    <x v="3"/>
    <x v="1"/>
    <n v="1"/>
    <n v="3"/>
    <n v="3"/>
    <n v="1"/>
    <n v="4"/>
    <x v="0"/>
    <n v="1"/>
    <n v="4"/>
    <n v="4"/>
    <n v="1"/>
    <x v="1"/>
    <s v="In-person"/>
    <s v="Poor service"/>
    <x v="1"/>
    <n v="47"/>
    <d v="2024-10-27T00:00:00"/>
    <x v="1"/>
    <x v="14"/>
    <x v="1"/>
  </r>
  <r>
    <n v="591"/>
    <n v="93960"/>
    <s v="Joshua Snyder"/>
    <x v="0"/>
    <x v="0"/>
    <x v="18"/>
    <d v="2023-05-23T00:00:00"/>
    <n v="13"/>
    <x v="1"/>
    <x v="1"/>
    <n v="2"/>
    <n v="1"/>
    <n v="1"/>
    <n v="5"/>
    <n v="1"/>
    <x v="2"/>
    <n v="2"/>
    <n v="4"/>
    <n v="5"/>
    <n v="5"/>
    <x v="1"/>
    <s v="App Review"/>
    <s v="Will visit again"/>
    <x v="1"/>
    <n v="42"/>
    <d v="2024-04-03T00:00:00"/>
    <x v="1"/>
    <x v="3"/>
    <x v="1"/>
  </r>
  <r>
    <n v="592"/>
    <n v="58809"/>
    <s v="Adam Warner"/>
    <x v="1"/>
    <x v="1"/>
    <x v="86"/>
    <d v="2024-11-26T00:00:00"/>
    <n v="14"/>
    <x v="1"/>
    <x v="4"/>
    <n v="5"/>
    <n v="5"/>
    <n v="2"/>
    <n v="4"/>
    <n v="2"/>
    <x v="3"/>
    <n v="2"/>
    <n v="3"/>
    <n v="5"/>
    <n v="1"/>
    <x v="1"/>
    <s v="Feedback Form"/>
    <s v="Great stay"/>
    <x v="2"/>
    <n v="66"/>
    <d v="2024-11-26T00:00:00"/>
    <x v="2"/>
    <x v="1"/>
    <x v="0"/>
  </r>
  <r>
    <n v="593"/>
    <n v="23341"/>
    <s v="Lee Lee"/>
    <x v="1"/>
    <x v="4"/>
    <x v="168"/>
    <d v="2024-08-19T00:00:00"/>
    <n v="9"/>
    <x v="0"/>
    <x v="3"/>
    <n v="5"/>
    <n v="5"/>
    <n v="5"/>
    <n v="4"/>
    <n v="2"/>
    <x v="3"/>
    <n v="5"/>
    <n v="1"/>
    <n v="2"/>
    <n v="1"/>
    <x v="0"/>
    <s v="Online Survey"/>
    <s v="Great stay"/>
    <x v="0"/>
    <n v="53"/>
    <d v="2024-08-19T00:00:00"/>
    <x v="2"/>
    <x v="13"/>
    <x v="0"/>
  </r>
  <r>
    <n v="594"/>
    <n v="75410"/>
    <s v="Gina Weaver"/>
    <x v="3"/>
    <x v="2"/>
    <x v="176"/>
    <d v="2023-08-20T00:00:00"/>
    <n v="9"/>
    <x v="2"/>
    <x v="2"/>
    <n v="2"/>
    <n v="5"/>
    <n v="4"/>
    <n v="1"/>
    <n v="1"/>
    <x v="4"/>
    <n v="1"/>
    <n v="4"/>
    <n v="2"/>
    <n v="1"/>
    <x v="0"/>
    <s v="Email"/>
    <s v="Average"/>
    <x v="2"/>
    <n v="55"/>
    <d v="2024-11-19T00:00:00"/>
    <x v="2"/>
    <x v="19"/>
    <x v="1"/>
  </r>
  <r>
    <n v="595"/>
    <n v="30640"/>
    <s v="Anthony Castro"/>
    <x v="2"/>
    <x v="2"/>
    <x v="406"/>
    <d v="2024-09-21T00:00:00"/>
    <n v="3"/>
    <x v="0"/>
    <x v="0"/>
    <n v="5"/>
    <n v="1"/>
    <n v="4"/>
    <n v="4"/>
    <n v="3"/>
    <x v="0"/>
    <n v="5"/>
    <n v="3"/>
    <n v="4"/>
    <n v="1"/>
    <x v="0"/>
    <s v="Feedback Form"/>
    <s v="Will visit again"/>
    <x v="1"/>
    <n v="18"/>
    <d v="2024-09-21T00:00:00"/>
    <x v="0"/>
    <x v="1"/>
    <x v="0"/>
  </r>
  <r>
    <n v="596"/>
    <n v="35905"/>
    <s v="Willie Li"/>
    <x v="4"/>
    <x v="3"/>
    <x v="407"/>
    <d v="2024-01-24T00:00:00"/>
    <n v="5"/>
    <x v="2"/>
    <x v="3"/>
    <n v="4"/>
    <n v="5"/>
    <n v="2"/>
    <n v="2"/>
    <n v="3"/>
    <x v="3"/>
    <n v="4"/>
    <n v="3"/>
    <n v="3"/>
    <n v="4"/>
    <x v="1"/>
    <s v="Feedback Form"/>
    <s v="Poor service"/>
    <x v="1"/>
    <n v="48"/>
    <d v="2024-01-24T00:00:00"/>
    <x v="1"/>
    <x v="13"/>
    <x v="0"/>
  </r>
  <r>
    <n v="597"/>
    <n v="19838"/>
    <s v="Anthony Baldwin"/>
    <x v="0"/>
    <x v="4"/>
    <x v="174"/>
    <d v="2024-03-09T00:00:00"/>
    <n v="13"/>
    <x v="3"/>
    <x v="0"/>
    <n v="5"/>
    <n v="2"/>
    <n v="4"/>
    <n v="5"/>
    <n v="3"/>
    <x v="4"/>
    <n v="2"/>
    <n v="4"/>
    <n v="5"/>
    <n v="1"/>
    <x v="0"/>
    <s v="App Review"/>
    <s v="Average"/>
    <x v="2"/>
    <n v="52"/>
    <d v="2024-04-27T00:00:00"/>
    <x v="2"/>
    <x v="10"/>
    <x v="0"/>
  </r>
  <r>
    <n v="598"/>
    <n v="34275"/>
    <s v="Destiny Bradley"/>
    <x v="0"/>
    <x v="1"/>
    <x v="408"/>
    <d v="2024-09-03T00:00:00"/>
    <n v="11"/>
    <x v="3"/>
    <x v="3"/>
    <n v="1"/>
    <n v="5"/>
    <n v="1"/>
    <n v="2"/>
    <n v="5"/>
    <x v="4"/>
    <n v="3"/>
    <n v="1"/>
    <n v="5"/>
    <n v="3"/>
    <x v="1"/>
    <s v="App Review"/>
    <s v="Needs improvement"/>
    <x v="0"/>
    <n v="38"/>
    <d v="2024-09-03T00:00:00"/>
    <x v="1"/>
    <x v="5"/>
    <x v="1"/>
  </r>
  <r>
    <n v="599"/>
    <n v="16339"/>
    <s v="Michelle Hill"/>
    <x v="1"/>
    <x v="4"/>
    <x v="409"/>
    <d v="2024-05-02T00:00:00"/>
    <n v="3"/>
    <x v="1"/>
    <x v="1"/>
    <n v="5"/>
    <n v="1"/>
    <n v="4"/>
    <n v="3"/>
    <n v="5"/>
    <x v="1"/>
    <n v="5"/>
    <n v="5"/>
    <n v="4"/>
    <n v="1"/>
    <x v="0"/>
    <s v="Online Survey"/>
    <s v="Average"/>
    <x v="2"/>
    <n v="51"/>
    <d v="2024-05-02T00:00:00"/>
    <x v="2"/>
    <x v="21"/>
    <x v="0"/>
  </r>
  <r>
    <n v="600"/>
    <n v="69999"/>
    <s v="Patrick Jimenez DDS"/>
    <x v="4"/>
    <x v="1"/>
    <x v="410"/>
    <d v="2024-02-26T00:00:00"/>
    <n v="6"/>
    <x v="0"/>
    <x v="4"/>
    <n v="4"/>
    <n v="5"/>
    <n v="5"/>
    <n v="3"/>
    <n v="3"/>
    <x v="2"/>
    <n v="4"/>
    <n v="2"/>
    <n v="3"/>
    <n v="5"/>
    <x v="0"/>
    <s v="Online Survey"/>
    <s v="Needs improvement"/>
    <x v="2"/>
    <n v="34"/>
    <d v="2024-02-26T00:00:00"/>
    <x v="3"/>
    <x v="11"/>
    <x v="0"/>
  </r>
  <r>
    <n v="601"/>
    <n v="23449"/>
    <s v="William Short"/>
    <x v="4"/>
    <x v="4"/>
    <x v="241"/>
    <d v="2024-10-29T00:00:00"/>
    <n v="10"/>
    <x v="0"/>
    <x v="2"/>
    <n v="4"/>
    <n v="2"/>
    <n v="3"/>
    <n v="1"/>
    <n v="3"/>
    <x v="2"/>
    <n v="3"/>
    <n v="5"/>
    <n v="1"/>
    <n v="2"/>
    <x v="0"/>
    <s v="Feedback Form"/>
    <s v="Great stay"/>
    <x v="2"/>
    <n v="26"/>
    <d v="2024-10-29T00:00:00"/>
    <x v="3"/>
    <x v="7"/>
    <x v="1"/>
  </r>
  <r>
    <n v="602"/>
    <n v="86565"/>
    <s v="John Waters"/>
    <x v="4"/>
    <x v="4"/>
    <x v="72"/>
    <d v="2024-08-20T00:00:00"/>
    <n v="13"/>
    <x v="1"/>
    <x v="1"/>
    <n v="2"/>
    <n v="1"/>
    <n v="1"/>
    <n v="3"/>
    <n v="1"/>
    <x v="0"/>
    <n v="3"/>
    <n v="4"/>
    <n v="3"/>
    <n v="4"/>
    <x v="1"/>
    <s v="Email"/>
    <s v="Average"/>
    <x v="0"/>
    <n v="46"/>
    <d v="2024-08-31T00:00:00"/>
    <x v="1"/>
    <x v="14"/>
    <x v="1"/>
  </r>
  <r>
    <n v="603"/>
    <n v="57550"/>
    <s v="Erika Bradley"/>
    <x v="0"/>
    <x v="2"/>
    <x v="291"/>
    <d v="2024-07-31T00:00:00"/>
    <n v="5"/>
    <x v="0"/>
    <x v="4"/>
    <n v="3"/>
    <n v="3"/>
    <n v="3"/>
    <n v="2"/>
    <n v="5"/>
    <x v="3"/>
    <n v="5"/>
    <n v="4"/>
    <n v="1"/>
    <n v="4"/>
    <x v="1"/>
    <s v="Feedback Form"/>
    <s v="Average"/>
    <x v="0"/>
    <n v="25"/>
    <d v="2024-07-31T00:00:00"/>
    <x v="0"/>
    <x v="13"/>
    <x v="0"/>
  </r>
  <r>
    <n v="604"/>
    <n v="31813"/>
    <s v="Cheryl Ford"/>
    <x v="0"/>
    <x v="4"/>
    <x v="411"/>
    <d v="2023-12-02T00:00:00"/>
    <n v="2"/>
    <x v="3"/>
    <x v="1"/>
    <n v="4"/>
    <n v="1"/>
    <n v="3"/>
    <n v="3"/>
    <n v="4"/>
    <x v="0"/>
    <n v="5"/>
    <n v="3"/>
    <n v="5"/>
    <n v="4"/>
    <x v="0"/>
    <s v="Email"/>
    <s v="Great stay"/>
    <x v="1"/>
    <n v="36"/>
    <d v="2023-12-02T00:00:00"/>
    <x v="1"/>
    <x v="18"/>
    <x v="0"/>
  </r>
  <r>
    <n v="605"/>
    <n v="88160"/>
    <s v="Ronald Collier"/>
    <x v="3"/>
    <x v="3"/>
    <x v="412"/>
    <d v="2024-05-21T00:00:00"/>
    <n v="3"/>
    <x v="3"/>
    <x v="0"/>
    <n v="2"/>
    <n v="4"/>
    <n v="5"/>
    <n v="1"/>
    <n v="3"/>
    <x v="3"/>
    <n v="5"/>
    <n v="1"/>
    <n v="2"/>
    <n v="4"/>
    <x v="1"/>
    <s v="App Review"/>
    <s v="Poor service"/>
    <x v="0"/>
    <n v="64"/>
    <d v="2024-05-23T00:00:00"/>
    <x v="2"/>
    <x v="0"/>
    <x v="0"/>
  </r>
  <r>
    <n v="606"/>
    <n v="32659"/>
    <s v="Teresa Johnson"/>
    <x v="0"/>
    <x v="1"/>
    <x v="413"/>
    <d v="2024-04-08T00:00:00"/>
    <n v="7"/>
    <x v="1"/>
    <x v="3"/>
    <n v="2"/>
    <n v="3"/>
    <n v="5"/>
    <n v="4"/>
    <n v="3"/>
    <x v="3"/>
    <n v="2"/>
    <n v="1"/>
    <n v="2"/>
    <n v="1"/>
    <x v="1"/>
    <s v="Email"/>
    <s v="Average"/>
    <x v="0"/>
    <n v="23"/>
    <d v="2024-04-08T00:00:00"/>
    <x v="0"/>
    <x v="5"/>
    <x v="1"/>
  </r>
  <r>
    <n v="607"/>
    <n v="98312"/>
    <s v="Jennifer Lewis"/>
    <x v="0"/>
    <x v="0"/>
    <x v="398"/>
    <d v="2024-10-09T00:00:00"/>
    <n v="10"/>
    <x v="1"/>
    <x v="1"/>
    <n v="5"/>
    <n v="3"/>
    <n v="5"/>
    <n v="5"/>
    <n v="3"/>
    <x v="3"/>
    <n v="1"/>
    <n v="4"/>
    <n v="4"/>
    <n v="5"/>
    <x v="0"/>
    <s v="Email"/>
    <s v="Will visit again"/>
    <x v="0"/>
    <n v="41"/>
    <d v="2024-10-09T00:00:00"/>
    <x v="1"/>
    <x v="20"/>
    <x v="0"/>
  </r>
  <r>
    <n v="608"/>
    <n v="22068"/>
    <s v="Amber Ho"/>
    <x v="3"/>
    <x v="4"/>
    <x v="414"/>
    <d v="2024-10-31T00:00:00"/>
    <n v="10"/>
    <x v="2"/>
    <x v="4"/>
    <n v="5"/>
    <n v="1"/>
    <n v="5"/>
    <n v="1"/>
    <n v="2"/>
    <x v="3"/>
    <n v="5"/>
    <n v="1"/>
    <n v="3"/>
    <n v="1"/>
    <x v="1"/>
    <s v="App Review"/>
    <s v="Great stay"/>
    <x v="2"/>
    <n v="23"/>
    <d v="2024-10-31T00:00:00"/>
    <x v="0"/>
    <x v="3"/>
    <x v="1"/>
  </r>
  <r>
    <n v="609"/>
    <n v="98562"/>
    <s v="Amy Williams"/>
    <x v="0"/>
    <x v="0"/>
    <x v="415"/>
    <d v="2024-11-05T00:00:00"/>
    <n v="12"/>
    <x v="3"/>
    <x v="3"/>
    <n v="2"/>
    <n v="4"/>
    <n v="1"/>
    <n v="1"/>
    <n v="5"/>
    <x v="3"/>
    <n v="2"/>
    <n v="2"/>
    <n v="3"/>
    <n v="2"/>
    <x v="1"/>
    <s v="In-person"/>
    <s v="Poor service"/>
    <x v="1"/>
    <n v="57"/>
    <d v="2024-11-05T00:00:00"/>
    <x v="2"/>
    <x v="7"/>
    <x v="1"/>
  </r>
  <r>
    <n v="610"/>
    <n v="87886"/>
    <s v="Aaron Silva"/>
    <x v="1"/>
    <x v="2"/>
    <x v="117"/>
    <d v="2024-08-31T00:00:00"/>
    <n v="5"/>
    <x v="3"/>
    <x v="0"/>
    <n v="1"/>
    <n v="3"/>
    <n v="5"/>
    <n v="1"/>
    <n v="4"/>
    <x v="1"/>
    <n v="1"/>
    <n v="1"/>
    <n v="1"/>
    <n v="2"/>
    <x v="0"/>
    <s v="Feedback Form"/>
    <s v="Great stay"/>
    <x v="1"/>
    <n v="20"/>
    <d v="2024-08-31T00:00:00"/>
    <x v="0"/>
    <x v="8"/>
    <x v="1"/>
  </r>
  <r>
    <n v="611"/>
    <n v="56471"/>
    <s v="Melissa Rodriguez"/>
    <x v="1"/>
    <x v="0"/>
    <x v="93"/>
    <d v="2024-06-17T00:00:00"/>
    <n v="3"/>
    <x v="3"/>
    <x v="0"/>
    <n v="2"/>
    <n v="5"/>
    <n v="1"/>
    <n v="2"/>
    <n v="2"/>
    <x v="1"/>
    <n v="4"/>
    <n v="1"/>
    <n v="4"/>
    <n v="1"/>
    <x v="1"/>
    <s v="Online Survey"/>
    <s v="Great stay"/>
    <x v="2"/>
    <n v="48"/>
    <d v="2024-06-17T00:00:00"/>
    <x v="1"/>
    <x v="5"/>
    <x v="1"/>
  </r>
  <r>
    <n v="612"/>
    <n v="36880"/>
    <s v="Brandon Mcclure"/>
    <x v="3"/>
    <x v="3"/>
    <x v="416"/>
    <d v="2023-10-26T00:00:00"/>
    <n v="4"/>
    <x v="3"/>
    <x v="2"/>
    <n v="5"/>
    <n v="4"/>
    <n v="4"/>
    <n v="4"/>
    <n v="2"/>
    <x v="3"/>
    <n v="1"/>
    <n v="3"/>
    <n v="3"/>
    <n v="1"/>
    <x v="0"/>
    <s v="Email"/>
    <s v="Poor service"/>
    <x v="1"/>
    <n v="48"/>
    <d v="2023-10-26T00:00:00"/>
    <x v="1"/>
    <x v="0"/>
    <x v="0"/>
  </r>
  <r>
    <n v="613"/>
    <n v="35847"/>
    <s v="Kimberly Ballard"/>
    <x v="3"/>
    <x v="3"/>
    <x v="266"/>
    <d v="2023-09-25T00:00:00"/>
    <n v="6"/>
    <x v="3"/>
    <x v="3"/>
    <n v="4"/>
    <n v="4"/>
    <n v="3"/>
    <n v="1"/>
    <n v="4"/>
    <x v="4"/>
    <n v="2"/>
    <n v="4"/>
    <n v="4"/>
    <n v="1"/>
    <x v="0"/>
    <s v="Online Survey"/>
    <s v="Poor service"/>
    <x v="2"/>
    <n v="29"/>
    <d v="2023-09-25T00:00:00"/>
    <x v="3"/>
    <x v="3"/>
    <x v="1"/>
  </r>
  <r>
    <n v="614"/>
    <n v="44055"/>
    <s v="Laura Jenkins PhD"/>
    <x v="1"/>
    <x v="2"/>
    <x v="417"/>
    <d v="2024-10-04T00:00:00"/>
    <n v="8"/>
    <x v="2"/>
    <x v="0"/>
    <n v="1"/>
    <n v="1"/>
    <n v="4"/>
    <n v="4"/>
    <n v="4"/>
    <x v="4"/>
    <n v="2"/>
    <n v="1"/>
    <n v="1"/>
    <n v="5"/>
    <x v="1"/>
    <s v="Online Survey"/>
    <s v="Poor service"/>
    <x v="2"/>
    <n v="69"/>
    <d v="2024-10-04T00:00:00"/>
    <x v="2"/>
    <x v="8"/>
    <x v="1"/>
  </r>
  <r>
    <n v="615"/>
    <n v="24802"/>
    <s v="Richard Larson"/>
    <x v="4"/>
    <x v="3"/>
    <x v="331"/>
    <d v="2023-07-26T00:00:00"/>
    <n v="12"/>
    <x v="1"/>
    <x v="1"/>
    <n v="3"/>
    <n v="1"/>
    <n v="4"/>
    <n v="1"/>
    <n v="4"/>
    <x v="2"/>
    <n v="1"/>
    <n v="4"/>
    <n v="5"/>
    <n v="4"/>
    <x v="0"/>
    <s v="Feedback Form"/>
    <s v="Will visit again"/>
    <x v="0"/>
    <n v="25"/>
    <d v="2024-09-11T00:00:00"/>
    <x v="0"/>
    <x v="4"/>
    <x v="1"/>
  </r>
  <r>
    <n v="616"/>
    <n v="14944"/>
    <s v="Brandon Snyder"/>
    <x v="0"/>
    <x v="1"/>
    <x v="231"/>
    <d v="2024-12-10T00:00:00"/>
    <n v="7"/>
    <x v="1"/>
    <x v="0"/>
    <n v="4"/>
    <n v="1"/>
    <n v="2"/>
    <n v="2"/>
    <n v="4"/>
    <x v="3"/>
    <n v="1"/>
    <n v="1"/>
    <n v="4"/>
    <n v="2"/>
    <x v="0"/>
    <s v="In-person"/>
    <s v="Needs improvement"/>
    <x v="0"/>
    <n v="60"/>
    <d v="2024-12-10T00:00:00"/>
    <x v="2"/>
    <x v="14"/>
    <x v="1"/>
  </r>
  <r>
    <n v="617"/>
    <n v="10360"/>
    <s v="Tina Martinez"/>
    <x v="2"/>
    <x v="3"/>
    <x v="418"/>
    <d v="2023-05-24T00:00:00"/>
    <n v="12"/>
    <x v="0"/>
    <x v="0"/>
    <n v="5"/>
    <n v="4"/>
    <n v="4"/>
    <n v="1"/>
    <n v="4"/>
    <x v="4"/>
    <n v="2"/>
    <n v="1"/>
    <n v="2"/>
    <n v="2"/>
    <x v="0"/>
    <s v="In-person"/>
    <s v="Great stay"/>
    <x v="0"/>
    <n v="43"/>
    <d v="2024-12-10T00:00:00"/>
    <x v="1"/>
    <x v="7"/>
    <x v="1"/>
  </r>
  <r>
    <n v="618"/>
    <n v="73475"/>
    <s v="Mr. James Kramer"/>
    <x v="2"/>
    <x v="4"/>
    <x v="419"/>
    <d v="2024-10-29T00:00:00"/>
    <n v="3"/>
    <x v="3"/>
    <x v="0"/>
    <n v="4"/>
    <n v="2"/>
    <n v="4"/>
    <n v="3"/>
    <n v="3"/>
    <x v="2"/>
    <n v="2"/>
    <n v="1"/>
    <n v="5"/>
    <n v="4"/>
    <x v="1"/>
    <s v="In-person"/>
    <s v="Average"/>
    <x v="1"/>
    <n v="43"/>
    <d v="2024-10-29T00:00:00"/>
    <x v="1"/>
    <x v="2"/>
    <x v="0"/>
  </r>
  <r>
    <n v="619"/>
    <n v="93894"/>
    <s v="Annette Koch"/>
    <x v="3"/>
    <x v="3"/>
    <x v="420"/>
    <d v="2023-07-27T00:00:00"/>
    <n v="2"/>
    <x v="3"/>
    <x v="2"/>
    <n v="4"/>
    <n v="1"/>
    <n v="2"/>
    <n v="2"/>
    <n v="4"/>
    <x v="4"/>
    <n v="4"/>
    <n v="3"/>
    <n v="3"/>
    <n v="4"/>
    <x v="0"/>
    <s v="In-person"/>
    <s v="Needs improvement"/>
    <x v="0"/>
    <n v="32"/>
    <d v="2023-07-27T00:00:00"/>
    <x v="3"/>
    <x v="3"/>
    <x v="1"/>
  </r>
  <r>
    <n v="620"/>
    <n v="13464"/>
    <s v="Lisa Knight"/>
    <x v="2"/>
    <x v="1"/>
    <x v="166"/>
    <d v="2024-03-05T00:00:00"/>
    <n v="3"/>
    <x v="1"/>
    <x v="4"/>
    <n v="5"/>
    <n v="2"/>
    <n v="4"/>
    <n v="1"/>
    <n v="4"/>
    <x v="2"/>
    <n v="2"/>
    <n v="1"/>
    <n v="1"/>
    <n v="2"/>
    <x v="0"/>
    <s v="App Review"/>
    <s v="Average"/>
    <x v="1"/>
    <n v="30"/>
    <d v="2024-03-05T00:00:00"/>
    <x v="3"/>
    <x v="8"/>
    <x v="1"/>
  </r>
  <r>
    <n v="621"/>
    <n v="28610"/>
    <s v="Raymond Wu"/>
    <x v="4"/>
    <x v="2"/>
    <x v="421"/>
    <d v="2024-03-04T00:00:00"/>
    <n v="5"/>
    <x v="3"/>
    <x v="0"/>
    <n v="4"/>
    <n v="3"/>
    <n v="2"/>
    <n v="1"/>
    <n v="5"/>
    <x v="0"/>
    <n v="2"/>
    <n v="5"/>
    <n v="1"/>
    <n v="2"/>
    <x v="1"/>
    <s v="Online Survey"/>
    <s v="Average"/>
    <x v="0"/>
    <n v="39"/>
    <d v="2024-07-30T00:00:00"/>
    <x v="1"/>
    <x v="3"/>
    <x v="1"/>
  </r>
  <r>
    <n v="622"/>
    <n v="40607"/>
    <s v="Gregory Johnson"/>
    <x v="2"/>
    <x v="3"/>
    <x v="330"/>
    <d v="2023-09-18T00:00:00"/>
    <n v="14"/>
    <x v="3"/>
    <x v="4"/>
    <n v="2"/>
    <n v="5"/>
    <n v="1"/>
    <n v="1"/>
    <n v="3"/>
    <x v="4"/>
    <n v="3"/>
    <n v="2"/>
    <n v="2"/>
    <n v="5"/>
    <x v="0"/>
    <s v="Online Survey"/>
    <s v="Average"/>
    <x v="0"/>
    <n v="30"/>
    <d v="2024-08-14T00:00:00"/>
    <x v="3"/>
    <x v="14"/>
    <x v="1"/>
  </r>
  <r>
    <n v="623"/>
    <n v="15044"/>
    <s v="Nicholas Chavez"/>
    <x v="1"/>
    <x v="1"/>
    <x v="422"/>
    <d v="2024-11-16T00:00:00"/>
    <n v="7"/>
    <x v="3"/>
    <x v="3"/>
    <n v="1"/>
    <n v="5"/>
    <n v="3"/>
    <n v="3"/>
    <n v="2"/>
    <x v="3"/>
    <n v="3"/>
    <n v="1"/>
    <n v="4"/>
    <n v="2"/>
    <x v="0"/>
    <s v="App Review"/>
    <s v="Will visit again"/>
    <x v="1"/>
    <n v="63"/>
    <d v="2024-11-16T00:00:00"/>
    <x v="2"/>
    <x v="3"/>
    <x v="1"/>
  </r>
  <r>
    <n v="624"/>
    <n v="97545"/>
    <s v="Tina Copeland"/>
    <x v="3"/>
    <x v="4"/>
    <x v="423"/>
    <d v="2024-01-30T00:00:00"/>
    <n v="14"/>
    <x v="1"/>
    <x v="4"/>
    <n v="5"/>
    <n v="2"/>
    <n v="5"/>
    <n v="3"/>
    <n v="3"/>
    <x v="3"/>
    <n v="3"/>
    <n v="5"/>
    <n v="2"/>
    <n v="1"/>
    <x v="1"/>
    <s v="Feedback Form"/>
    <s v="Will visit again"/>
    <x v="1"/>
    <n v="26"/>
    <d v="2024-07-10T00:00:00"/>
    <x v="3"/>
    <x v="1"/>
    <x v="0"/>
  </r>
  <r>
    <n v="625"/>
    <n v="48700"/>
    <s v="Robert Marquez"/>
    <x v="2"/>
    <x v="0"/>
    <x v="424"/>
    <d v="2023-07-28T00:00:00"/>
    <n v="8"/>
    <x v="0"/>
    <x v="3"/>
    <n v="1"/>
    <n v="4"/>
    <n v="4"/>
    <n v="1"/>
    <n v="1"/>
    <x v="1"/>
    <n v="5"/>
    <n v="4"/>
    <n v="4"/>
    <n v="1"/>
    <x v="0"/>
    <s v="Email"/>
    <s v="Needs improvement"/>
    <x v="0"/>
    <n v="41"/>
    <d v="2024-04-17T00:00:00"/>
    <x v="1"/>
    <x v="2"/>
    <x v="0"/>
  </r>
  <r>
    <n v="626"/>
    <n v="69890"/>
    <s v="Dr. Jacob Kane DDS"/>
    <x v="0"/>
    <x v="0"/>
    <x v="64"/>
    <d v="2024-10-03T00:00:00"/>
    <n v="6"/>
    <x v="1"/>
    <x v="2"/>
    <n v="2"/>
    <n v="5"/>
    <n v="1"/>
    <n v="3"/>
    <n v="4"/>
    <x v="0"/>
    <n v="5"/>
    <n v="3"/>
    <n v="2"/>
    <n v="4"/>
    <x v="1"/>
    <s v="In-person"/>
    <s v="Poor service"/>
    <x v="2"/>
    <n v="20"/>
    <d v="2024-10-03T00:00:00"/>
    <x v="0"/>
    <x v="10"/>
    <x v="0"/>
  </r>
  <r>
    <n v="627"/>
    <n v="20916"/>
    <s v="Ryan Allen"/>
    <x v="3"/>
    <x v="2"/>
    <x v="425"/>
    <d v="2024-07-29T00:00:00"/>
    <n v="13"/>
    <x v="3"/>
    <x v="3"/>
    <n v="5"/>
    <n v="2"/>
    <n v="3"/>
    <n v="1"/>
    <n v="2"/>
    <x v="0"/>
    <n v="2"/>
    <n v="4"/>
    <n v="2"/>
    <n v="4"/>
    <x v="0"/>
    <s v="In-person"/>
    <s v="Will visit again"/>
    <x v="1"/>
    <n v="40"/>
    <d v="2024-10-12T00:00:00"/>
    <x v="1"/>
    <x v="3"/>
    <x v="1"/>
  </r>
  <r>
    <n v="628"/>
    <n v="95825"/>
    <s v="Dr. Sara Clark"/>
    <x v="4"/>
    <x v="2"/>
    <x v="2"/>
    <d v="2024-03-15T00:00:00"/>
    <n v="2"/>
    <x v="1"/>
    <x v="3"/>
    <n v="2"/>
    <n v="1"/>
    <n v="1"/>
    <n v="3"/>
    <n v="1"/>
    <x v="4"/>
    <n v="3"/>
    <n v="3"/>
    <n v="1"/>
    <n v="1"/>
    <x v="1"/>
    <s v="App Review"/>
    <s v="Great stay"/>
    <x v="1"/>
    <n v="29"/>
    <d v="2024-07-22T00:00:00"/>
    <x v="3"/>
    <x v="24"/>
    <x v="1"/>
  </r>
  <r>
    <n v="629"/>
    <n v="79311"/>
    <s v="Martha King"/>
    <x v="1"/>
    <x v="0"/>
    <x v="322"/>
    <d v="2023-12-09T00:00:00"/>
    <n v="11"/>
    <x v="2"/>
    <x v="1"/>
    <n v="3"/>
    <n v="2"/>
    <n v="2"/>
    <n v="4"/>
    <n v="2"/>
    <x v="2"/>
    <n v="4"/>
    <n v="4"/>
    <n v="4"/>
    <n v="4"/>
    <x v="0"/>
    <s v="In-person"/>
    <s v="Needs improvement"/>
    <x v="0"/>
    <n v="58"/>
    <d v="2023-12-09T00:00:00"/>
    <x v="2"/>
    <x v="0"/>
    <x v="0"/>
  </r>
  <r>
    <n v="630"/>
    <n v="55347"/>
    <s v="Danny Adams"/>
    <x v="2"/>
    <x v="0"/>
    <x v="410"/>
    <d v="2024-08-12T00:00:00"/>
    <n v="2"/>
    <x v="3"/>
    <x v="2"/>
    <n v="3"/>
    <n v="3"/>
    <n v="1"/>
    <n v="1"/>
    <n v="3"/>
    <x v="1"/>
    <n v="4"/>
    <n v="4"/>
    <n v="2"/>
    <n v="1"/>
    <x v="1"/>
    <s v="App Review"/>
    <s v="Great stay"/>
    <x v="0"/>
    <n v="61"/>
    <d v="2024-08-12T00:00:00"/>
    <x v="2"/>
    <x v="5"/>
    <x v="1"/>
  </r>
  <r>
    <n v="631"/>
    <n v="10817"/>
    <s v="Matthew Wilson"/>
    <x v="1"/>
    <x v="2"/>
    <x v="426"/>
    <d v="2024-12-07T00:00:00"/>
    <n v="10"/>
    <x v="1"/>
    <x v="0"/>
    <n v="3"/>
    <n v="2"/>
    <n v="4"/>
    <n v="1"/>
    <n v="1"/>
    <x v="0"/>
    <n v="4"/>
    <n v="2"/>
    <n v="3"/>
    <n v="5"/>
    <x v="1"/>
    <s v="Email"/>
    <s v="Average"/>
    <x v="1"/>
    <n v="28"/>
    <d v="2024-12-07T00:00:00"/>
    <x v="3"/>
    <x v="3"/>
    <x v="1"/>
  </r>
  <r>
    <n v="632"/>
    <n v="12146"/>
    <s v="Ronald Mclean"/>
    <x v="4"/>
    <x v="0"/>
    <x v="427"/>
    <d v="2024-02-16T00:00:00"/>
    <n v="11"/>
    <x v="1"/>
    <x v="2"/>
    <n v="1"/>
    <n v="1"/>
    <n v="4"/>
    <n v="5"/>
    <n v="4"/>
    <x v="0"/>
    <n v="2"/>
    <n v="2"/>
    <n v="1"/>
    <n v="4"/>
    <x v="1"/>
    <s v="Online Survey"/>
    <s v="Great stay"/>
    <x v="0"/>
    <n v="36"/>
    <d v="2024-02-16T00:00:00"/>
    <x v="1"/>
    <x v="5"/>
    <x v="1"/>
  </r>
  <r>
    <n v="633"/>
    <n v="99694"/>
    <s v="Angela Blair"/>
    <x v="2"/>
    <x v="3"/>
    <x v="63"/>
    <d v="2024-06-11T00:00:00"/>
    <n v="5"/>
    <x v="0"/>
    <x v="1"/>
    <n v="3"/>
    <n v="2"/>
    <n v="5"/>
    <n v="5"/>
    <n v="4"/>
    <x v="3"/>
    <n v="3"/>
    <n v="2"/>
    <n v="1"/>
    <n v="3"/>
    <x v="0"/>
    <s v="In-person"/>
    <s v="Will visit again"/>
    <x v="2"/>
    <n v="26"/>
    <d v="2024-07-03T00:00:00"/>
    <x v="3"/>
    <x v="10"/>
    <x v="0"/>
  </r>
  <r>
    <n v="634"/>
    <n v="33480"/>
    <s v="Ray Parsons"/>
    <x v="3"/>
    <x v="1"/>
    <x v="428"/>
    <d v="2024-01-19T00:00:00"/>
    <n v="11"/>
    <x v="3"/>
    <x v="3"/>
    <n v="3"/>
    <n v="1"/>
    <n v="5"/>
    <n v="2"/>
    <n v="1"/>
    <x v="3"/>
    <n v="2"/>
    <n v="4"/>
    <n v="1"/>
    <n v="2"/>
    <x v="1"/>
    <s v="Feedback Form"/>
    <s v="Great stay"/>
    <x v="1"/>
    <n v="54"/>
    <d v="2024-01-19T00:00:00"/>
    <x v="2"/>
    <x v="14"/>
    <x v="1"/>
  </r>
  <r>
    <n v="635"/>
    <n v="42146"/>
    <s v="Ricardo Jordan"/>
    <x v="3"/>
    <x v="2"/>
    <x v="429"/>
    <d v="2024-04-10T00:00:00"/>
    <n v="14"/>
    <x v="2"/>
    <x v="2"/>
    <n v="2"/>
    <n v="1"/>
    <n v="4"/>
    <n v="4"/>
    <n v="3"/>
    <x v="2"/>
    <n v="2"/>
    <n v="3"/>
    <n v="1"/>
    <n v="1"/>
    <x v="1"/>
    <s v="App Review"/>
    <s v="Average"/>
    <x v="2"/>
    <n v="27"/>
    <d v="2024-07-16T00:00:00"/>
    <x v="3"/>
    <x v="9"/>
    <x v="1"/>
  </r>
  <r>
    <n v="636"/>
    <n v="42612"/>
    <s v="Chase Bailey"/>
    <x v="0"/>
    <x v="1"/>
    <x v="324"/>
    <d v="2024-01-29T00:00:00"/>
    <n v="5"/>
    <x v="2"/>
    <x v="1"/>
    <n v="4"/>
    <n v="3"/>
    <n v="1"/>
    <n v="4"/>
    <n v="1"/>
    <x v="4"/>
    <n v="4"/>
    <n v="2"/>
    <n v="2"/>
    <n v="2"/>
    <x v="0"/>
    <s v="Email"/>
    <s v="Average"/>
    <x v="1"/>
    <n v="26"/>
    <d v="2024-02-06T00:00:00"/>
    <x v="3"/>
    <x v="8"/>
    <x v="1"/>
  </r>
  <r>
    <n v="637"/>
    <n v="97875"/>
    <s v="Mike Maldonado"/>
    <x v="4"/>
    <x v="4"/>
    <x v="315"/>
    <d v="2024-07-25T00:00:00"/>
    <n v="1"/>
    <x v="3"/>
    <x v="0"/>
    <n v="4"/>
    <n v="3"/>
    <n v="4"/>
    <n v="2"/>
    <n v="3"/>
    <x v="2"/>
    <n v="3"/>
    <n v="3"/>
    <n v="2"/>
    <n v="2"/>
    <x v="0"/>
    <s v="Feedback Form"/>
    <s v="Will visit again"/>
    <x v="2"/>
    <n v="50"/>
    <d v="2024-07-25T00:00:00"/>
    <x v="1"/>
    <x v="3"/>
    <x v="1"/>
  </r>
  <r>
    <n v="638"/>
    <n v="96639"/>
    <s v="Jessica Williams"/>
    <x v="2"/>
    <x v="4"/>
    <x v="47"/>
    <d v="2023-06-01T00:00:00"/>
    <n v="1"/>
    <x v="1"/>
    <x v="3"/>
    <n v="3"/>
    <n v="5"/>
    <n v="1"/>
    <n v="5"/>
    <n v="2"/>
    <x v="4"/>
    <n v="5"/>
    <n v="3"/>
    <n v="1"/>
    <n v="4"/>
    <x v="1"/>
    <s v="Online Survey"/>
    <s v="Needs improvement"/>
    <x v="0"/>
    <n v="30"/>
    <d v="2024-10-27T00:00:00"/>
    <x v="3"/>
    <x v="2"/>
    <x v="0"/>
  </r>
  <r>
    <n v="639"/>
    <n v="34234"/>
    <s v="Mark Watts"/>
    <x v="1"/>
    <x v="3"/>
    <x v="430"/>
    <d v="2024-09-12T00:00:00"/>
    <n v="9"/>
    <x v="2"/>
    <x v="2"/>
    <n v="4"/>
    <n v="1"/>
    <n v="4"/>
    <n v="2"/>
    <n v="3"/>
    <x v="1"/>
    <n v="1"/>
    <n v="1"/>
    <n v="2"/>
    <n v="2"/>
    <x v="0"/>
    <s v="Feedback Form"/>
    <s v="Poor service"/>
    <x v="0"/>
    <n v="37"/>
    <d v="2024-09-12T00:00:00"/>
    <x v="1"/>
    <x v="14"/>
    <x v="1"/>
  </r>
  <r>
    <n v="640"/>
    <n v="14958"/>
    <s v="Lynn Henry"/>
    <x v="1"/>
    <x v="4"/>
    <x v="431"/>
    <d v="2024-01-07T00:00:00"/>
    <n v="14"/>
    <x v="3"/>
    <x v="2"/>
    <n v="3"/>
    <n v="1"/>
    <n v="3"/>
    <n v="5"/>
    <n v="1"/>
    <x v="0"/>
    <n v="2"/>
    <n v="5"/>
    <n v="2"/>
    <n v="3"/>
    <x v="1"/>
    <s v="App Review"/>
    <s v="Needs improvement"/>
    <x v="1"/>
    <n v="61"/>
    <d v="2024-04-23T00:00:00"/>
    <x v="2"/>
    <x v="3"/>
    <x v="1"/>
  </r>
  <r>
    <n v="641"/>
    <n v="65412"/>
    <s v="Brenda Gutierrez"/>
    <x v="2"/>
    <x v="2"/>
    <x v="432"/>
    <d v="2023-04-18T00:00:00"/>
    <n v="7"/>
    <x v="2"/>
    <x v="3"/>
    <n v="3"/>
    <n v="1"/>
    <n v="1"/>
    <n v="1"/>
    <n v="1"/>
    <x v="2"/>
    <n v="3"/>
    <n v="4"/>
    <n v="4"/>
    <n v="4"/>
    <x v="1"/>
    <s v="In-person"/>
    <s v="Poor service"/>
    <x v="1"/>
    <n v="28"/>
    <d v="2023-07-29T00:00:00"/>
    <x v="3"/>
    <x v="8"/>
    <x v="1"/>
  </r>
  <r>
    <n v="642"/>
    <n v="26825"/>
    <s v="David Santos"/>
    <x v="4"/>
    <x v="3"/>
    <x v="433"/>
    <d v="2024-03-11T00:00:00"/>
    <n v="8"/>
    <x v="3"/>
    <x v="2"/>
    <n v="1"/>
    <n v="5"/>
    <n v="2"/>
    <n v="2"/>
    <n v="2"/>
    <x v="4"/>
    <n v="1"/>
    <n v="5"/>
    <n v="3"/>
    <n v="1"/>
    <x v="1"/>
    <s v="Online Survey"/>
    <s v="Will visit again"/>
    <x v="2"/>
    <n v="58"/>
    <d v="2024-04-08T00:00:00"/>
    <x v="2"/>
    <x v="9"/>
    <x v="1"/>
  </r>
  <r>
    <n v="643"/>
    <n v="67036"/>
    <s v="Stephanie Mitchell"/>
    <x v="4"/>
    <x v="3"/>
    <x v="152"/>
    <d v="2024-10-12T00:00:00"/>
    <n v="12"/>
    <x v="2"/>
    <x v="3"/>
    <n v="5"/>
    <n v="4"/>
    <n v="2"/>
    <n v="3"/>
    <n v="1"/>
    <x v="1"/>
    <n v="1"/>
    <n v="4"/>
    <n v="4"/>
    <n v="2"/>
    <x v="1"/>
    <s v="App Review"/>
    <s v="Will visit again"/>
    <x v="0"/>
    <n v="46"/>
    <d v="2024-10-12T00:00:00"/>
    <x v="1"/>
    <x v="0"/>
    <x v="0"/>
  </r>
  <r>
    <n v="644"/>
    <n v="69006"/>
    <s v="Julia Evans"/>
    <x v="1"/>
    <x v="2"/>
    <x v="237"/>
    <d v="2024-01-17T00:00:00"/>
    <n v="13"/>
    <x v="0"/>
    <x v="1"/>
    <n v="4"/>
    <n v="3"/>
    <n v="5"/>
    <n v="5"/>
    <n v="5"/>
    <x v="2"/>
    <n v="5"/>
    <n v="3"/>
    <n v="5"/>
    <n v="2"/>
    <x v="1"/>
    <s v="Email"/>
    <s v="Will visit again"/>
    <x v="0"/>
    <n v="64"/>
    <d v="2024-03-04T00:00:00"/>
    <x v="2"/>
    <x v="20"/>
    <x v="0"/>
  </r>
  <r>
    <n v="645"/>
    <n v="68214"/>
    <s v="Nicholas Barrera"/>
    <x v="2"/>
    <x v="0"/>
    <x v="333"/>
    <d v="2024-09-15T00:00:00"/>
    <n v="5"/>
    <x v="3"/>
    <x v="3"/>
    <n v="3"/>
    <n v="3"/>
    <n v="3"/>
    <n v="1"/>
    <n v="1"/>
    <x v="0"/>
    <n v="5"/>
    <n v="5"/>
    <n v="4"/>
    <n v="5"/>
    <x v="0"/>
    <s v="Feedback Form"/>
    <s v="Average"/>
    <x v="2"/>
    <n v="30"/>
    <d v="2024-09-15T00:00:00"/>
    <x v="3"/>
    <x v="1"/>
    <x v="0"/>
  </r>
  <r>
    <n v="646"/>
    <n v="37450"/>
    <s v="Patricia Hanson"/>
    <x v="2"/>
    <x v="1"/>
    <x v="352"/>
    <d v="2024-08-02T00:00:00"/>
    <n v="3"/>
    <x v="0"/>
    <x v="0"/>
    <n v="4"/>
    <n v="1"/>
    <n v="2"/>
    <n v="3"/>
    <n v="5"/>
    <x v="1"/>
    <n v="2"/>
    <n v="1"/>
    <n v="3"/>
    <n v="1"/>
    <x v="1"/>
    <s v="Feedback Form"/>
    <s v="Needs improvement"/>
    <x v="1"/>
    <n v="61"/>
    <d v="2024-08-02T00:00:00"/>
    <x v="2"/>
    <x v="5"/>
    <x v="1"/>
  </r>
  <r>
    <n v="647"/>
    <n v="74557"/>
    <s v="Debbie Green"/>
    <x v="1"/>
    <x v="2"/>
    <x v="159"/>
    <d v="2025-01-08T00:00:00"/>
    <n v="13"/>
    <x v="3"/>
    <x v="3"/>
    <n v="1"/>
    <n v="5"/>
    <n v="4"/>
    <n v="3"/>
    <n v="1"/>
    <x v="3"/>
    <n v="2"/>
    <n v="5"/>
    <n v="3"/>
    <n v="5"/>
    <x v="0"/>
    <s v="Online Survey"/>
    <s v="Poor service"/>
    <x v="2"/>
    <n v="31"/>
    <d v="2025-01-08T00:00:00"/>
    <x v="3"/>
    <x v="1"/>
    <x v="0"/>
  </r>
  <r>
    <n v="648"/>
    <n v="86227"/>
    <s v="Ashley Martinez"/>
    <x v="2"/>
    <x v="0"/>
    <x v="172"/>
    <d v="2023-04-17T00:00:00"/>
    <n v="3"/>
    <x v="2"/>
    <x v="2"/>
    <n v="1"/>
    <n v="1"/>
    <n v="2"/>
    <n v="4"/>
    <n v="1"/>
    <x v="0"/>
    <n v="3"/>
    <n v="5"/>
    <n v="4"/>
    <n v="1"/>
    <x v="1"/>
    <s v="Online Survey"/>
    <s v="Needs improvement"/>
    <x v="2"/>
    <n v="26"/>
    <d v="2024-01-26T00:00:00"/>
    <x v="3"/>
    <x v="14"/>
    <x v="1"/>
  </r>
  <r>
    <n v="649"/>
    <n v="90167"/>
    <s v="Melissa Estes"/>
    <x v="2"/>
    <x v="0"/>
    <x v="308"/>
    <d v="2024-05-16T00:00:00"/>
    <n v="12"/>
    <x v="2"/>
    <x v="3"/>
    <n v="3"/>
    <n v="3"/>
    <n v="4"/>
    <n v="5"/>
    <n v="2"/>
    <x v="3"/>
    <n v="5"/>
    <n v="1"/>
    <n v="4"/>
    <n v="2"/>
    <x v="1"/>
    <s v="Email"/>
    <s v="Poor service"/>
    <x v="2"/>
    <n v="59"/>
    <d v="2024-11-08T00:00:00"/>
    <x v="2"/>
    <x v="1"/>
    <x v="0"/>
  </r>
  <r>
    <n v="650"/>
    <n v="73211"/>
    <s v="Tammy Brown"/>
    <x v="3"/>
    <x v="4"/>
    <x v="318"/>
    <d v="2023-06-30T00:00:00"/>
    <n v="3"/>
    <x v="1"/>
    <x v="3"/>
    <n v="4"/>
    <n v="5"/>
    <n v="3"/>
    <n v="1"/>
    <n v="5"/>
    <x v="1"/>
    <n v="5"/>
    <n v="1"/>
    <n v="5"/>
    <n v="2"/>
    <x v="1"/>
    <s v="Email"/>
    <s v="Great stay"/>
    <x v="2"/>
    <n v="55"/>
    <d v="2023-06-30T00:00:00"/>
    <x v="2"/>
    <x v="11"/>
    <x v="0"/>
  </r>
  <r>
    <n v="651"/>
    <n v="29596"/>
    <s v="Amanda Perez"/>
    <x v="3"/>
    <x v="3"/>
    <x v="181"/>
    <d v="2023-05-31T00:00:00"/>
    <n v="1"/>
    <x v="2"/>
    <x v="3"/>
    <n v="4"/>
    <n v="2"/>
    <n v="5"/>
    <n v="5"/>
    <n v="2"/>
    <x v="1"/>
    <n v="3"/>
    <n v="2"/>
    <n v="1"/>
    <n v="3"/>
    <x v="1"/>
    <s v="Online Survey"/>
    <s v="Needs improvement"/>
    <x v="1"/>
    <n v="36"/>
    <d v="2023-05-31T00:00:00"/>
    <x v="1"/>
    <x v="10"/>
    <x v="0"/>
  </r>
  <r>
    <n v="652"/>
    <n v="69000"/>
    <s v="Christopher Freeman"/>
    <x v="0"/>
    <x v="3"/>
    <x v="37"/>
    <d v="2023-04-26T00:00:00"/>
    <n v="11"/>
    <x v="0"/>
    <x v="0"/>
    <n v="4"/>
    <n v="3"/>
    <n v="2"/>
    <n v="1"/>
    <n v="5"/>
    <x v="3"/>
    <n v="5"/>
    <n v="4"/>
    <n v="3"/>
    <n v="4"/>
    <x v="0"/>
    <s v="App Review"/>
    <s v="Great stay"/>
    <x v="2"/>
    <n v="59"/>
    <d v="2023-10-12T00:00:00"/>
    <x v="2"/>
    <x v="18"/>
    <x v="0"/>
  </r>
  <r>
    <n v="653"/>
    <n v="77432"/>
    <s v="Brian Young"/>
    <x v="0"/>
    <x v="4"/>
    <x v="343"/>
    <d v="2023-01-27T00:00:00"/>
    <n v="11"/>
    <x v="1"/>
    <x v="0"/>
    <n v="1"/>
    <n v="2"/>
    <n v="5"/>
    <n v="5"/>
    <n v="5"/>
    <x v="4"/>
    <n v="4"/>
    <n v="3"/>
    <n v="1"/>
    <n v="3"/>
    <x v="1"/>
    <s v="App Review"/>
    <s v="Will visit again"/>
    <x v="0"/>
    <n v="64"/>
    <d v="2023-03-28T00:00:00"/>
    <x v="2"/>
    <x v="2"/>
    <x v="0"/>
  </r>
  <r>
    <n v="654"/>
    <n v="43857"/>
    <s v="Jason Anderson"/>
    <x v="4"/>
    <x v="4"/>
    <x v="434"/>
    <d v="2024-10-01T00:00:00"/>
    <n v="3"/>
    <x v="0"/>
    <x v="2"/>
    <n v="2"/>
    <n v="4"/>
    <n v="3"/>
    <n v="3"/>
    <n v="4"/>
    <x v="1"/>
    <n v="1"/>
    <n v="5"/>
    <n v="5"/>
    <n v="1"/>
    <x v="0"/>
    <s v="Online Survey"/>
    <s v="Average"/>
    <x v="1"/>
    <n v="25"/>
    <d v="2024-10-01T00:00:00"/>
    <x v="0"/>
    <x v="1"/>
    <x v="0"/>
  </r>
  <r>
    <n v="655"/>
    <n v="10308"/>
    <s v="Michael Mcclure"/>
    <x v="3"/>
    <x v="3"/>
    <x v="420"/>
    <d v="2023-10-01T00:00:00"/>
    <n v="13"/>
    <x v="0"/>
    <x v="2"/>
    <n v="2"/>
    <n v="2"/>
    <n v="1"/>
    <n v="4"/>
    <n v="5"/>
    <x v="2"/>
    <n v="4"/>
    <n v="5"/>
    <n v="2"/>
    <n v="1"/>
    <x v="0"/>
    <s v="Feedback Form"/>
    <s v="Average"/>
    <x v="2"/>
    <n v="35"/>
    <d v="2023-10-01T00:00:00"/>
    <x v="3"/>
    <x v="3"/>
    <x v="1"/>
  </r>
  <r>
    <n v="656"/>
    <n v="35168"/>
    <s v="Curtis Bush"/>
    <x v="3"/>
    <x v="2"/>
    <x v="87"/>
    <d v="2023-12-05T00:00:00"/>
    <n v="2"/>
    <x v="0"/>
    <x v="3"/>
    <n v="4"/>
    <n v="5"/>
    <n v="3"/>
    <n v="2"/>
    <n v="2"/>
    <x v="2"/>
    <n v="1"/>
    <n v="3"/>
    <n v="2"/>
    <n v="1"/>
    <x v="0"/>
    <s v="In-person"/>
    <s v="Needs improvement"/>
    <x v="2"/>
    <n v="51"/>
    <d v="2024-09-16T00:00:00"/>
    <x v="2"/>
    <x v="14"/>
    <x v="1"/>
  </r>
  <r>
    <n v="657"/>
    <n v="38419"/>
    <s v="Jonathan Holmes"/>
    <x v="3"/>
    <x v="2"/>
    <x v="435"/>
    <d v="2023-09-17T00:00:00"/>
    <n v="8"/>
    <x v="0"/>
    <x v="4"/>
    <n v="4"/>
    <n v="2"/>
    <n v="3"/>
    <n v="5"/>
    <n v="2"/>
    <x v="1"/>
    <n v="3"/>
    <n v="1"/>
    <n v="1"/>
    <n v="1"/>
    <x v="1"/>
    <s v="Email"/>
    <s v="Great stay"/>
    <x v="0"/>
    <n v="53"/>
    <d v="2023-09-17T00:00:00"/>
    <x v="2"/>
    <x v="5"/>
    <x v="1"/>
  </r>
  <r>
    <n v="658"/>
    <n v="80029"/>
    <s v="Dr. Mary Barrera MD"/>
    <x v="3"/>
    <x v="2"/>
    <x v="436"/>
    <d v="2024-01-22T00:00:00"/>
    <n v="10"/>
    <x v="0"/>
    <x v="1"/>
    <n v="5"/>
    <n v="4"/>
    <n v="3"/>
    <n v="3"/>
    <n v="3"/>
    <x v="3"/>
    <n v="3"/>
    <n v="1"/>
    <n v="4"/>
    <n v="4"/>
    <x v="0"/>
    <s v="App Review"/>
    <s v="Great stay"/>
    <x v="2"/>
    <n v="26"/>
    <d v="2024-01-22T00:00:00"/>
    <x v="3"/>
    <x v="13"/>
    <x v="0"/>
  </r>
  <r>
    <n v="659"/>
    <n v="22756"/>
    <s v="Zachary Smith"/>
    <x v="4"/>
    <x v="2"/>
    <x v="437"/>
    <d v="2024-12-30T00:00:00"/>
    <n v="14"/>
    <x v="3"/>
    <x v="3"/>
    <n v="3"/>
    <n v="3"/>
    <n v="1"/>
    <n v="2"/>
    <n v="1"/>
    <x v="3"/>
    <n v="1"/>
    <n v="5"/>
    <n v="3"/>
    <n v="2"/>
    <x v="0"/>
    <s v="In-person"/>
    <s v="Poor service"/>
    <x v="0"/>
    <n v="33"/>
    <d v="2024-12-30T00:00:00"/>
    <x v="3"/>
    <x v="14"/>
    <x v="1"/>
  </r>
  <r>
    <n v="660"/>
    <n v="39288"/>
    <s v="Victoria Randall"/>
    <x v="1"/>
    <x v="4"/>
    <x v="410"/>
    <d v="2024-04-11T00:00:00"/>
    <n v="10"/>
    <x v="3"/>
    <x v="1"/>
    <n v="1"/>
    <n v="4"/>
    <n v="1"/>
    <n v="2"/>
    <n v="4"/>
    <x v="0"/>
    <n v="1"/>
    <n v="5"/>
    <n v="1"/>
    <n v="3"/>
    <x v="1"/>
    <s v="Feedback Form"/>
    <s v="Needs improvement"/>
    <x v="0"/>
    <n v="22"/>
    <d v="2024-04-11T00:00:00"/>
    <x v="0"/>
    <x v="14"/>
    <x v="1"/>
  </r>
  <r>
    <n v="661"/>
    <n v="22384"/>
    <s v="Samantha Bell"/>
    <x v="4"/>
    <x v="1"/>
    <x v="412"/>
    <d v="2023-03-21T00:00:00"/>
    <n v="6"/>
    <x v="1"/>
    <x v="0"/>
    <n v="5"/>
    <n v="5"/>
    <n v="3"/>
    <n v="2"/>
    <n v="1"/>
    <x v="3"/>
    <n v="1"/>
    <n v="3"/>
    <n v="4"/>
    <n v="2"/>
    <x v="1"/>
    <s v="Email"/>
    <s v="Needs improvement"/>
    <x v="2"/>
    <n v="68"/>
    <d v="2023-04-03T00:00:00"/>
    <x v="2"/>
    <x v="2"/>
    <x v="0"/>
  </r>
  <r>
    <n v="662"/>
    <n v="49852"/>
    <s v="Hannah Chen"/>
    <x v="1"/>
    <x v="1"/>
    <x v="438"/>
    <d v="2024-08-28T00:00:00"/>
    <n v="5"/>
    <x v="0"/>
    <x v="2"/>
    <n v="4"/>
    <n v="2"/>
    <n v="1"/>
    <n v="3"/>
    <n v="2"/>
    <x v="4"/>
    <n v="1"/>
    <n v="3"/>
    <n v="5"/>
    <n v="5"/>
    <x v="1"/>
    <s v="App Review"/>
    <s v="Great stay"/>
    <x v="1"/>
    <n v="32"/>
    <d v="2024-12-06T00:00:00"/>
    <x v="3"/>
    <x v="5"/>
    <x v="1"/>
  </r>
  <r>
    <n v="663"/>
    <n v="25195"/>
    <s v="Thomas Patrick"/>
    <x v="0"/>
    <x v="3"/>
    <x v="439"/>
    <d v="2024-06-04T00:00:00"/>
    <n v="1"/>
    <x v="3"/>
    <x v="4"/>
    <n v="2"/>
    <n v="2"/>
    <n v="4"/>
    <n v="1"/>
    <n v="4"/>
    <x v="4"/>
    <n v="2"/>
    <n v="4"/>
    <n v="4"/>
    <n v="3"/>
    <x v="1"/>
    <s v="App Review"/>
    <s v="Great stay"/>
    <x v="1"/>
    <n v="41"/>
    <d v="2024-06-04T00:00:00"/>
    <x v="1"/>
    <x v="5"/>
    <x v="1"/>
  </r>
  <r>
    <n v="664"/>
    <n v="96210"/>
    <s v="Joseph Robinson"/>
    <x v="3"/>
    <x v="1"/>
    <x v="438"/>
    <d v="2024-06-05T00:00:00"/>
    <n v="2"/>
    <x v="2"/>
    <x v="2"/>
    <n v="2"/>
    <n v="5"/>
    <n v="3"/>
    <n v="2"/>
    <n v="5"/>
    <x v="2"/>
    <n v="5"/>
    <n v="1"/>
    <n v="5"/>
    <n v="1"/>
    <x v="1"/>
    <s v="Feedback Form"/>
    <s v="Average"/>
    <x v="2"/>
    <n v="64"/>
    <d v="2024-06-05T00:00:00"/>
    <x v="2"/>
    <x v="0"/>
    <x v="0"/>
  </r>
  <r>
    <n v="665"/>
    <n v="44125"/>
    <s v="Corey Clark"/>
    <x v="1"/>
    <x v="2"/>
    <x v="359"/>
    <d v="2024-02-06T00:00:00"/>
    <n v="2"/>
    <x v="1"/>
    <x v="0"/>
    <n v="5"/>
    <n v="1"/>
    <n v="2"/>
    <n v="4"/>
    <n v="2"/>
    <x v="1"/>
    <n v="5"/>
    <n v="2"/>
    <n v="1"/>
    <n v="1"/>
    <x v="1"/>
    <s v="Feedback Form"/>
    <s v="Needs improvement"/>
    <x v="2"/>
    <n v="61"/>
    <d v="2024-02-06T00:00:00"/>
    <x v="2"/>
    <x v="3"/>
    <x v="1"/>
  </r>
  <r>
    <n v="666"/>
    <n v="10082"/>
    <s v="Leslie Lewis"/>
    <x v="4"/>
    <x v="4"/>
    <x v="88"/>
    <d v="2024-11-22T00:00:00"/>
    <n v="7"/>
    <x v="3"/>
    <x v="3"/>
    <n v="2"/>
    <n v="5"/>
    <n v="4"/>
    <n v="1"/>
    <n v="2"/>
    <x v="2"/>
    <n v="3"/>
    <n v="2"/>
    <n v="2"/>
    <n v="5"/>
    <x v="0"/>
    <s v="App Review"/>
    <s v="Average"/>
    <x v="1"/>
    <n v="65"/>
    <d v="2024-11-22T00:00:00"/>
    <x v="2"/>
    <x v="3"/>
    <x v="1"/>
  </r>
  <r>
    <n v="667"/>
    <n v="83978"/>
    <s v="Ashley Gonzalez"/>
    <x v="1"/>
    <x v="2"/>
    <x v="440"/>
    <d v="2024-10-16T00:00:00"/>
    <n v="12"/>
    <x v="2"/>
    <x v="0"/>
    <n v="2"/>
    <n v="5"/>
    <n v="3"/>
    <n v="3"/>
    <n v="2"/>
    <x v="1"/>
    <n v="2"/>
    <n v="3"/>
    <n v="3"/>
    <n v="3"/>
    <x v="0"/>
    <s v="App Review"/>
    <s v="Will visit again"/>
    <x v="2"/>
    <n v="60"/>
    <d v="2024-10-16T00:00:00"/>
    <x v="2"/>
    <x v="0"/>
    <x v="0"/>
  </r>
  <r>
    <n v="668"/>
    <n v="84821"/>
    <s v="Patricia Anderson"/>
    <x v="2"/>
    <x v="0"/>
    <x v="215"/>
    <d v="2024-02-21T00:00:00"/>
    <n v="7"/>
    <x v="1"/>
    <x v="4"/>
    <n v="3"/>
    <n v="4"/>
    <n v="2"/>
    <n v="2"/>
    <n v="2"/>
    <x v="2"/>
    <n v="1"/>
    <n v="4"/>
    <n v="1"/>
    <n v="4"/>
    <x v="0"/>
    <s v="In-person"/>
    <s v="Will visit again"/>
    <x v="2"/>
    <n v="56"/>
    <d v="2024-11-26T00:00:00"/>
    <x v="2"/>
    <x v="14"/>
    <x v="1"/>
  </r>
  <r>
    <n v="669"/>
    <n v="61532"/>
    <s v="Caleb Simpson"/>
    <x v="0"/>
    <x v="4"/>
    <x v="441"/>
    <d v="2024-04-17T00:00:00"/>
    <n v="6"/>
    <x v="2"/>
    <x v="3"/>
    <n v="4"/>
    <n v="4"/>
    <n v="2"/>
    <n v="3"/>
    <n v="4"/>
    <x v="1"/>
    <n v="2"/>
    <n v="5"/>
    <n v="2"/>
    <n v="4"/>
    <x v="1"/>
    <s v="Feedback Form"/>
    <s v="Great stay"/>
    <x v="0"/>
    <n v="42"/>
    <d v="2024-04-17T00:00:00"/>
    <x v="1"/>
    <x v="18"/>
    <x v="0"/>
  </r>
  <r>
    <n v="670"/>
    <n v="93328"/>
    <s v="Cheryl Tapia"/>
    <x v="0"/>
    <x v="0"/>
    <x v="442"/>
    <d v="2024-01-13T00:00:00"/>
    <n v="14"/>
    <x v="0"/>
    <x v="3"/>
    <n v="5"/>
    <n v="5"/>
    <n v="5"/>
    <n v="3"/>
    <n v="1"/>
    <x v="1"/>
    <n v="1"/>
    <n v="3"/>
    <n v="5"/>
    <n v="1"/>
    <x v="0"/>
    <s v="Feedback Form"/>
    <s v="Poor service"/>
    <x v="1"/>
    <n v="33"/>
    <d v="2024-07-28T00:00:00"/>
    <x v="3"/>
    <x v="13"/>
    <x v="0"/>
  </r>
  <r>
    <n v="671"/>
    <n v="57803"/>
    <s v="Shawn Wright"/>
    <x v="3"/>
    <x v="0"/>
    <x v="207"/>
    <d v="2024-04-30T00:00:00"/>
    <n v="8"/>
    <x v="2"/>
    <x v="4"/>
    <n v="1"/>
    <n v="3"/>
    <n v="5"/>
    <n v="2"/>
    <n v="1"/>
    <x v="2"/>
    <n v="5"/>
    <n v="3"/>
    <n v="3"/>
    <n v="1"/>
    <x v="0"/>
    <s v="In-person"/>
    <s v="Great stay"/>
    <x v="0"/>
    <n v="59"/>
    <d v="2024-04-30T00:00:00"/>
    <x v="2"/>
    <x v="7"/>
    <x v="1"/>
  </r>
  <r>
    <n v="672"/>
    <n v="68825"/>
    <s v="Ms. Melissa Deleon"/>
    <x v="3"/>
    <x v="3"/>
    <x v="137"/>
    <d v="2024-06-23T00:00:00"/>
    <n v="4"/>
    <x v="0"/>
    <x v="2"/>
    <n v="1"/>
    <n v="2"/>
    <n v="2"/>
    <n v="3"/>
    <n v="5"/>
    <x v="0"/>
    <n v="1"/>
    <n v="3"/>
    <n v="4"/>
    <n v="1"/>
    <x v="1"/>
    <s v="Feedback Form"/>
    <s v="Needs improvement"/>
    <x v="1"/>
    <n v="39"/>
    <d v="2024-06-23T00:00:00"/>
    <x v="1"/>
    <x v="14"/>
    <x v="1"/>
  </r>
  <r>
    <n v="673"/>
    <n v="91036"/>
    <s v="Benjamin Pace"/>
    <x v="4"/>
    <x v="0"/>
    <x v="110"/>
    <d v="2024-10-17T00:00:00"/>
    <n v="9"/>
    <x v="1"/>
    <x v="3"/>
    <n v="4"/>
    <n v="5"/>
    <n v="3"/>
    <n v="4"/>
    <n v="2"/>
    <x v="4"/>
    <n v="5"/>
    <n v="2"/>
    <n v="1"/>
    <n v="5"/>
    <x v="1"/>
    <s v="Online Survey"/>
    <s v="Great stay"/>
    <x v="0"/>
    <n v="67"/>
    <d v="2024-10-17T00:00:00"/>
    <x v="2"/>
    <x v="10"/>
    <x v="0"/>
  </r>
  <r>
    <n v="674"/>
    <n v="70555"/>
    <s v="Lance Mcdowell"/>
    <x v="1"/>
    <x v="1"/>
    <x v="345"/>
    <d v="2024-06-16T00:00:00"/>
    <n v="8"/>
    <x v="0"/>
    <x v="2"/>
    <n v="1"/>
    <n v="1"/>
    <n v="3"/>
    <n v="4"/>
    <n v="2"/>
    <x v="3"/>
    <n v="1"/>
    <n v="3"/>
    <n v="4"/>
    <n v="5"/>
    <x v="1"/>
    <s v="Email"/>
    <s v="Average"/>
    <x v="1"/>
    <n v="33"/>
    <d v="2024-10-16T00:00:00"/>
    <x v="3"/>
    <x v="3"/>
    <x v="1"/>
  </r>
  <r>
    <n v="675"/>
    <n v="84826"/>
    <s v="Ariana Silva"/>
    <x v="2"/>
    <x v="1"/>
    <x v="33"/>
    <d v="2024-07-24T00:00:00"/>
    <n v="3"/>
    <x v="2"/>
    <x v="1"/>
    <n v="2"/>
    <n v="2"/>
    <n v="3"/>
    <n v="5"/>
    <n v="1"/>
    <x v="4"/>
    <n v="3"/>
    <n v="4"/>
    <n v="3"/>
    <n v="2"/>
    <x v="1"/>
    <s v="Online Survey"/>
    <s v="Great stay"/>
    <x v="1"/>
    <n v="50"/>
    <d v="2024-07-24T00:00:00"/>
    <x v="1"/>
    <x v="7"/>
    <x v="1"/>
  </r>
  <r>
    <n v="676"/>
    <n v="46496"/>
    <s v="Robert Orr"/>
    <x v="0"/>
    <x v="0"/>
    <x v="335"/>
    <d v="2025-01-01T00:00:00"/>
    <n v="3"/>
    <x v="0"/>
    <x v="4"/>
    <n v="3"/>
    <n v="3"/>
    <n v="3"/>
    <n v="2"/>
    <n v="5"/>
    <x v="3"/>
    <n v="5"/>
    <n v="2"/>
    <n v="1"/>
    <n v="5"/>
    <x v="0"/>
    <s v="Feedback Form"/>
    <s v="Average"/>
    <x v="0"/>
    <n v="22"/>
    <d v="2025-01-01T00:00:00"/>
    <x v="0"/>
    <x v="1"/>
    <x v="0"/>
  </r>
  <r>
    <n v="677"/>
    <n v="15294"/>
    <s v="Todd Reyes"/>
    <x v="1"/>
    <x v="3"/>
    <x v="357"/>
    <d v="2024-08-01T00:00:00"/>
    <n v="12"/>
    <x v="0"/>
    <x v="1"/>
    <n v="5"/>
    <n v="5"/>
    <n v="2"/>
    <n v="2"/>
    <n v="3"/>
    <x v="1"/>
    <n v="3"/>
    <n v="4"/>
    <n v="1"/>
    <n v="3"/>
    <x v="1"/>
    <s v="In-person"/>
    <s v="Will visit again"/>
    <x v="2"/>
    <n v="24"/>
    <d v="2024-08-01T00:00:00"/>
    <x v="0"/>
    <x v="1"/>
    <x v="0"/>
  </r>
  <r>
    <n v="678"/>
    <n v="54852"/>
    <s v="Jeffrey Barnett"/>
    <x v="2"/>
    <x v="0"/>
    <x v="432"/>
    <d v="2023-12-12T00:00:00"/>
    <n v="12"/>
    <x v="1"/>
    <x v="3"/>
    <n v="5"/>
    <n v="3"/>
    <n v="1"/>
    <n v="2"/>
    <n v="4"/>
    <x v="2"/>
    <n v="2"/>
    <n v="2"/>
    <n v="4"/>
    <n v="5"/>
    <x v="0"/>
    <s v="App Review"/>
    <s v="Average"/>
    <x v="1"/>
    <n v="35"/>
    <d v="2023-12-12T00:00:00"/>
    <x v="3"/>
    <x v="2"/>
    <x v="0"/>
  </r>
  <r>
    <n v="679"/>
    <n v="75858"/>
    <s v="Mr. Shannon Diaz"/>
    <x v="1"/>
    <x v="4"/>
    <x v="443"/>
    <d v="2024-02-02T00:00:00"/>
    <n v="9"/>
    <x v="0"/>
    <x v="4"/>
    <n v="2"/>
    <n v="2"/>
    <n v="1"/>
    <n v="5"/>
    <n v="1"/>
    <x v="2"/>
    <n v="1"/>
    <n v="4"/>
    <n v="4"/>
    <n v="3"/>
    <x v="0"/>
    <s v="Feedback Form"/>
    <s v="Needs improvement"/>
    <x v="2"/>
    <n v="23"/>
    <d v="2024-02-02T00:00:00"/>
    <x v="0"/>
    <x v="14"/>
    <x v="1"/>
  </r>
  <r>
    <n v="680"/>
    <n v="25836"/>
    <s v="Allen Gonzalez"/>
    <x v="3"/>
    <x v="4"/>
    <x v="213"/>
    <d v="2024-11-01T00:00:00"/>
    <n v="9"/>
    <x v="3"/>
    <x v="3"/>
    <n v="4"/>
    <n v="1"/>
    <n v="3"/>
    <n v="4"/>
    <n v="4"/>
    <x v="3"/>
    <n v="2"/>
    <n v="1"/>
    <n v="2"/>
    <n v="4"/>
    <x v="0"/>
    <s v="App Review"/>
    <s v="Great stay"/>
    <x v="2"/>
    <n v="66"/>
    <d v="2024-11-01T00:00:00"/>
    <x v="2"/>
    <x v="4"/>
    <x v="1"/>
  </r>
  <r>
    <n v="681"/>
    <n v="45828"/>
    <s v="Crystal Lambert"/>
    <x v="0"/>
    <x v="4"/>
    <x v="425"/>
    <d v="2024-06-09T00:00:00"/>
    <n v="13"/>
    <x v="1"/>
    <x v="4"/>
    <n v="3"/>
    <n v="2"/>
    <n v="5"/>
    <n v="4"/>
    <n v="1"/>
    <x v="2"/>
    <n v="1"/>
    <n v="1"/>
    <n v="4"/>
    <n v="2"/>
    <x v="1"/>
    <s v="Email"/>
    <s v="Needs improvement"/>
    <x v="0"/>
    <n v="29"/>
    <d v="2024-07-07T00:00:00"/>
    <x v="3"/>
    <x v="14"/>
    <x v="1"/>
  </r>
  <r>
    <n v="682"/>
    <n v="58978"/>
    <s v="Julie Johnson"/>
    <x v="2"/>
    <x v="4"/>
    <x v="30"/>
    <d v="2024-10-17T00:00:00"/>
    <n v="11"/>
    <x v="2"/>
    <x v="2"/>
    <n v="1"/>
    <n v="2"/>
    <n v="2"/>
    <n v="2"/>
    <n v="5"/>
    <x v="2"/>
    <n v="5"/>
    <n v="2"/>
    <n v="5"/>
    <n v="5"/>
    <x v="0"/>
    <s v="Online Survey"/>
    <s v="Average"/>
    <x v="2"/>
    <n v="61"/>
    <d v="2024-12-14T00:00:00"/>
    <x v="2"/>
    <x v="0"/>
    <x v="0"/>
  </r>
  <r>
    <n v="683"/>
    <n v="95620"/>
    <s v="Michelle Walton"/>
    <x v="3"/>
    <x v="0"/>
    <x v="108"/>
    <d v="2024-09-13T00:00:00"/>
    <n v="5"/>
    <x v="1"/>
    <x v="0"/>
    <n v="5"/>
    <n v="5"/>
    <n v="1"/>
    <n v="3"/>
    <n v="2"/>
    <x v="2"/>
    <n v="1"/>
    <n v="1"/>
    <n v="2"/>
    <n v="4"/>
    <x v="0"/>
    <s v="Email"/>
    <s v="Average"/>
    <x v="2"/>
    <n v="50"/>
    <d v="2024-09-13T00:00:00"/>
    <x v="1"/>
    <x v="7"/>
    <x v="1"/>
  </r>
  <r>
    <n v="684"/>
    <n v="48403"/>
    <s v="Danielle Miller"/>
    <x v="4"/>
    <x v="2"/>
    <x v="444"/>
    <d v="2024-08-28T00:00:00"/>
    <n v="10"/>
    <x v="2"/>
    <x v="0"/>
    <n v="5"/>
    <n v="2"/>
    <n v="2"/>
    <n v="1"/>
    <n v="3"/>
    <x v="4"/>
    <n v="4"/>
    <n v="5"/>
    <n v="4"/>
    <n v="3"/>
    <x v="0"/>
    <s v="App Review"/>
    <s v="Average"/>
    <x v="1"/>
    <n v="51"/>
    <d v="2024-08-28T00:00:00"/>
    <x v="2"/>
    <x v="2"/>
    <x v="0"/>
  </r>
  <r>
    <n v="685"/>
    <n v="78920"/>
    <s v="Ryan Stanton"/>
    <x v="4"/>
    <x v="2"/>
    <x v="68"/>
    <d v="2024-03-04T00:00:00"/>
    <n v="14"/>
    <x v="2"/>
    <x v="4"/>
    <n v="4"/>
    <n v="5"/>
    <n v="5"/>
    <n v="1"/>
    <n v="4"/>
    <x v="2"/>
    <n v="4"/>
    <n v="4"/>
    <n v="1"/>
    <n v="2"/>
    <x v="1"/>
    <s v="Email"/>
    <s v="Average"/>
    <x v="1"/>
    <n v="38"/>
    <d v="2024-12-01T00:00:00"/>
    <x v="1"/>
    <x v="10"/>
    <x v="0"/>
  </r>
  <r>
    <n v="686"/>
    <n v="19453"/>
    <s v="Carol Galvan"/>
    <x v="3"/>
    <x v="4"/>
    <x v="214"/>
    <d v="2023-09-29T00:00:00"/>
    <n v="14"/>
    <x v="0"/>
    <x v="1"/>
    <n v="3"/>
    <n v="5"/>
    <n v="2"/>
    <n v="2"/>
    <n v="3"/>
    <x v="0"/>
    <n v="4"/>
    <n v="2"/>
    <n v="4"/>
    <n v="4"/>
    <x v="0"/>
    <s v="App Review"/>
    <s v="Average"/>
    <x v="1"/>
    <n v="35"/>
    <d v="2023-10-10T00:00:00"/>
    <x v="3"/>
    <x v="10"/>
    <x v="0"/>
  </r>
  <r>
    <n v="687"/>
    <n v="35381"/>
    <s v="Jennifer Hamilton"/>
    <x v="2"/>
    <x v="3"/>
    <x v="445"/>
    <d v="2024-11-29T00:00:00"/>
    <n v="1"/>
    <x v="1"/>
    <x v="4"/>
    <n v="1"/>
    <n v="3"/>
    <n v="5"/>
    <n v="2"/>
    <n v="2"/>
    <x v="3"/>
    <n v="3"/>
    <n v="1"/>
    <n v="3"/>
    <n v="3"/>
    <x v="0"/>
    <s v="Online Survey"/>
    <s v="Great stay"/>
    <x v="2"/>
    <n v="31"/>
    <d v="2024-11-29T00:00:00"/>
    <x v="3"/>
    <x v="5"/>
    <x v="1"/>
  </r>
  <r>
    <n v="688"/>
    <n v="74542"/>
    <s v="Lisa Parker"/>
    <x v="2"/>
    <x v="3"/>
    <x v="446"/>
    <d v="2024-05-28T00:00:00"/>
    <n v="3"/>
    <x v="2"/>
    <x v="2"/>
    <n v="5"/>
    <n v="1"/>
    <n v="5"/>
    <n v="4"/>
    <n v="1"/>
    <x v="4"/>
    <n v="4"/>
    <n v="2"/>
    <n v="2"/>
    <n v="2"/>
    <x v="1"/>
    <s v="App Review"/>
    <s v="Poor service"/>
    <x v="1"/>
    <n v="59"/>
    <d v="2024-05-28T00:00:00"/>
    <x v="2"/>
    <x v="5"/>
    <x v="1"/>
  </r>
  <r>
    <n v="689"/>
    <n v="68877"/>
    <s v="Kristen Forbes"/>
    <x v="0"/>
    <x v="0"/>
    <x v="447"/>
    <d v="2024-09-18T00:00:00"/>
    <n v="11"/>
    <x v="3"/>
    <x v="1"/>
    <n v="5"/>
    <n v="5"/>
    <n v="4"/>
    <n v="4"/>
    <n v="5"/>
    <x v="4"/>
    <n v="1"/>
    <n v="5"/>
    <n v="1"/>
    <n v="1"/>
    <x v="0"/>
    <s v="Online Survey"/>
    <s v="Needs improvement"/>
    <x v="1"/>
    <n v="47"/>
    <d v="2024-09-18T00:00:00"/>
    <x v="1"/>
    <x v="10"/>
    <x v="0"/>
  </r>
  <r>
    <n v="690"/>
    <n v="63377"/>
    <s v="Kevin Miles"/>
    <x v="3"/>
    <x v="2"/>
    <x v="279"/>
    <d v="2024-04-28T00:00:00"/>
    <n v="5"/>
    <x v="0"/>
    <x v="4"/>
    <n v="1"/>
    <n v="4"/>
    <n v="5"/>
    <n v="3"/>
    <n v="2"/>
    <x v="1"/>
    <n v="2"/>
    <n v="2"/>
    <n v="4"/>
    <n v="5"/>
    <x v="0"/>
    <s v="Feedback Form"/>
    <s v="Will visit again"/>
    <x v="1"/>
    <n v="63"/>
    <d v="2024-04-28T00:00:00"/>
    <x v="2"/>
    <x v="1"/>
    <x v="0"/>
  </r>
  <r>
    <n v="691"/>
    <n v="13664"/>
    <s v="Mr. Garrett Miller"/>
    <x v="4"/>
    <x v="0"/>
    <x v="249"/>
    <d v="2023-07-26T00:00:00"/>
    <n v="4"/>
    <x v="0"/>
    <x v="4"/>
    <n v="3"/>
    <n v="3"/>
    <n v="4"/>
    <n v="4"/>
    <n v="3"/>
    <x v="1"/>
    <n v="3"/>
    <n v="2"/>
    <n v="3"/>
    <n v="1"/>
    <x v="0"/>
    <s v="App Review"/>
    <s v="Will visit again"/>
    <x v="0"/>
    <n v="20"/>
    <d v="2023-09-19T00:00:00"/>
    <x v="0"/>
    <x v="0"/>
    <x v="0"/>
  </r>
  <r>
    <n v="692"/>
    <n v="45864"/>
    <s v="Kelly Morrow"/>
    <x v="3"/>
    <x v="1"/>
    <x v="11"/>
    <d v="2024-08-01T00:00:00"/>
    <n v="4"/>
    <x v="2"/>
    <x v="3"/>
    <n v="3"/>
    <n v="5"/>
    <n v="5"/>
    <n v="1"/>
    <n v="3"/>
    <x v="2"/>
    <n v="5"/>
    <n v="3"/>
    <n v="2"/>
    <n v="1"/>
    <x v="1"/>
    <s v="Email"/>
    <s v="Needs improvement"/>
    <x v="2"/>
    <n v="30"/>
    <d v="2024-08-01T00:00:00"/>
    <x v="3"/>
    <x v="2"/>
    <x v="0"/>
  </r>
  <r>
    <n v="693"/>
    <n v="99348"/>
    <s v="Joann Savage"/>
    <x v="1"/>
    <x v="4"/>
    <x v="172"/>
    <d v="2024-07-16T00:00:00"/>
    <n v="1"/>
    <x v="3"/>
    <x v="2"/>
    <n v="3"/>
    <n v="5"/>
    <n v="5"/>
    <n v="1"/>
    <n v="3"/>
    <x v="4"/>
    <n v="3"/>
    <n v="3"/>
    <n v="2"/>
    <n v="1"/>
    <x v="0"/>
    <s v="In-person"/>
    <s v="Great stay"/>
    <x v="0"/>
    <n v="68"/>
    <d v="2024-07-16T00:00:00"/>
    <x v="2"/>
    <x v="5"/>
    <x v="1"/>
  </r>
  <r>
    <n v="694"/>
    <n v="23871"/>
    <s v="Robert Crane"/>
    <x v="2"/>
    <x v="1"/>
    <x v="212"/>
    <d v="2024-10-15T00:00:00"/>
    <n v="6"/>
    <x v="0"/>
    <x v="2"/>
    <n v="5"/>
    <n v="3"/>
    <n v="2"/>
    <n v="4"/>
    <n v="1"/>
    <x v="4"/>
    <n v="2"/>
    <n v="3"/>
    <n v="2"/>
    <n v="4"/>
    <x v="1"/>
    <s v="Email"/>
    <s v="Needs improvement"/>
    <x v="0"/>
    <n v="54"/>
    <d v="2024-10-15T00:00:00"/>
    <x v="2"/>
    <x v="5"/>
    <x v="1"/>
  </r>
  <r>
    <n v="695"/>
    <n v="83101"/>
    <s v="Michele Mckinney"/>
    <x v="1"/>
    <x v="1"/>
    <x v="112"/>
    <d v="2024-06-19T00:00:00"/>
    <n v="12"/>
    <x v="1"/>
    <x v="0"/>
    <n v="2"/>
    <n v="2"/>
    <n v="4"/>
    <n v="1"/>
    <n v="3"/>
    <x v="2"/>
    <n v="4"/>
    <n v="3"/>
    <n v="1"/>
    <n v="1"/>
    <x v="1"/>
    <s v="In-person"/>
    <s v="Average"/>
    <x v="0"/>
    <n v="36"/>
    <d v="2024-10-15T00:00:00"/>
    <x v="1"/>
    <x v="9"/>
    <x v="1"/>
  </r>
  <r>
    <n v="696"/>
    <n v="80195"/>
    <s v="Tanya Sanchez"/>
    <x v="4"/>
    <x v="3"/>
    <x v="448"/>
    <d v="2024-06-30T00:00:00"/>
    <n v="10"/>
    <x v="2"/>
    <x v="3"/>
    <n v="5"/>
    <n v="5"/>
    <n v="1"/>
    <n v="1"/>
    <n v="1"/>
    <x v="3"/>
    <n v="2"/>
    <n v="4"/>
    <n v="4"/>
    <n v="1"/>
    <x v="1"/>
    <s v="Email"/>
    <s v="Poor service"/>
    <x v="1"/>
    <n v="54"/>
    <d v="2024-12-13T00:00:00"/>
    <x v="2"/>
    <x v="3"/>
    <x v="1"/>
  </r>
  <r>
    <n v="697"/>
    <n v="35929"/>
    <s v="Jason Reed"/>
    <x v="2"/>
    <x v="2"/>
    <x v="296"/>
    <d v="2024-04-22T00:00:00"/>
    <n v="11"/>
    <x v="3"/>
    <x v="1"/>
    <n v="4"/>
    <n v="1"/>
    <n v="1"/>
    <n v="1"/>
    <n v="3"/>
    <x v="4"/>
    <n v="3"/>
    <n v="5"/>
    <n v="1"/>
    <n v="4"/>
    <x v="1"/>
    <s v="App Review"/>
    <s v="Needs improvement"/>
    <x v="0"/>
    <n v="30"/>
    <d v="2024-04-22T00:00:00"/>
    <x v="3"/>
    <x v="8"/>
    <x v="1"/>
  </r>
  <r>
    <n v="698"/>
    <n v="15730"/>
    <s v="Steven Blair"/>
    <x v="4"/>
    <x v="4"/>
    <x v="449"/>
    <d v="2024-08-04T00:00:00"/>
    <n v="4"/>
    <x v="2"/>
    <x v="0"/>
    <n v="4"/>
    <n v="5"/>
    <n v="2"/>
    <n v="1"/>
    <n v="4"/>
    <x v="1"/>
    <n v="3"/>
    <n v="2"/>
    <n v="5"/>
    <n v="5"/>
    <x v="0"/>
    <s v="Feedback Form"/>
    <s v="Great stay"/>
    <x v="2"/>
    <n v="32"/>
    <d v="2024-08-04T00:00:00"/>
    <x v="3"/>
    <x v="11"/>
    <x v="0"/>
  </r>
  <r>
    <n v="699"/>
    <n v="99083"/>
    <s v="Amanda Robinson"/>
    <x v="4"/>
    <x v="0"/>
    <x v="168"/>
    <d v="2024-08-19T00:00:00"/>
    <n v="1"/>
    <x v="0"/>
    <x v="2"/>
    <n v="5"/>
    <n v="3"/>
    <n v="1"/>
    <n v="5"/>
    <n v="4"/>
    <x v="2"/>
    <n v="3"/>
    <n v="5"/>
    <n v="4"/>
    <n v="2"/>
    <x v="1"/>
    <s v="App Review"/>
    <s v="Average"/>
    <x v="0"/>
    <n v="43"/>
    <d v="2024-08-19T00:00:00"/>
    <x v="1"/>
    <x v="13"/>
    <x v="0"/>
  </r>
  <r>
    <n v="700"/>
    <n v="36352"/>
    <s v="Emma Mccullough"/>
    <x v="4"/>
    <x v="4"/>
    <x v="91"/>
    <d v="2023-07-24T00:00:00"/>
    <n v="10"/>
    <x v="3"/>
    <x v="4"/>
    <n v="5"/>
    <n v="4"/>
    <n v="1"/>
    <n v="2"/>
    <n v="2"/>
    <x v="4"/>
    <n v="2"/>
    <n v="2"/>
    <n v="5"/>
    <n v="2"/>
    <x v="0"/>
    <s v="Online Survey"/>
    <s v="Needs improvement"/>
    <x v="0"/>
    <n v="23"/>
    <d v="2024-07-04T00:00:00"/>
    <x v="0"/>
    <x v="7"/>
    <x v="1"/>
  </r>
  <r>
    <n v="701"/>
    <n v="65414"/>
    <s v="Cathy Bradford"/>
    <x v="0"/>
    <x v="0"/>
    <x v="142"/>
    <d v="2024-12-16T00:00:00"/>
    <n v="14"/>
    <x v="2"/>
    <x v="3"/>
    <n v="1"/>
    <n v="3"/>
    <n v="5"/>
    <n v="3"/>
    <n v="2"/>
    <x v="1"/>
    <n v="1"/>
    <n v="3"/>
    <n v="4"/>
    <n v="5"/>
    <x v="1"/>
    <s v="Feedback Form"/>
    <s v="Needs improvement"/>
    <x v="2"/>
    <n v="44"/>
    <d v="2024-12-16T00:00:00"/>
    <x v="1"/>
    <x v="10"/>
    <x v="0"/>
  </r>
  <r>
    <n v="702"/>
    <n v="86003"/>
    <s v="Melissa Dixon"/>
    <x v="4"/>
    <x v="0"/>
    <x v="268"/>
    <d v="2023-06-01T00:00:00"/>
    <n v="6"/>
    <x v="2"/>
    <x v="2"/>
    <n v="3"/>
    <n v="3"/>
    <n v="3"/>
    <n v="5"/>
    <n v="5"/>
    <x v="0"/>
    <n v="1"/>
    <n v="4"/>
    <n v="2"/>
    <n v="4"/>
    <x v="1"/>
    <s v="App Review"/>
    <s v="Average"/>
    <x v="1"/>
    <n v="29"/>
    <d v="2023-08-01T00:00:00"/>
    <x v="3"/>
    <x v="1"/>
    <x v="0"/>
  </r>
  <r>
    <n v="703"/>
    <n v="92534"/>
    <s v="Nicholas Walsh"/>
    <x v="4"/>
    <x v="2"/>
    <x v="259"/>
    <d v="2024-12-04T00:00:00"/>
    <n v="5"/>
    <x v="2"/>
    <x v="2"/>
    <n v="1"/>
    <n v="1"/>
    <n v="3"/>
    <n v="3"/>
    <n v="3"/>
    <x v="4"/>
    <n v="4"/>
    <n v="2"/>
    <n v="1"/>
    <n v="1"/>
    <x v="0"/>
    <s v="Feedback Form"/>
    <s v="Great stay"/>
    <x v="0"/>
    <n v="65"/>
    <d v="2024-12-04T00:00:00"/>
    <x v="2"/>
    <x v="15"/>
    <x v="1"/>
  </r>
  <r>
    <n v="704"/>
    <n v="80945"/>
    <s v="Mr. Kevin Barnes"/>
    <x v="1"/>
    <x v="1"/>
    <x v="450"/>
    <d v="2024-06-24T00:00:00"/>
    <n v="5"/>
    <x v="1"/>
    <x v="3"/>
    <n v="4"/>
    <n v="2"/>
    <n v="1"/>
    <n v="5"/>
    <n v="3"/>
    <x v="2"/>
    <n v="5"/>
    <n v="2"/>
    <n v="5"/>
    <n v="2"/>
    <x v="1"/>
    <s v="Online Survey"/>
    <s v="Poor service"/>
    <x v="2"/>
    <n v="42"/>
    <d v="2024-09-26T00:00:00"/>
    <x v="1"/>
    <x v="0"/>
    <x v="0"/>
  </r>
  <r>
    <n v="705"/>
    <n v="87481"/>
    <s v="Kristi Warren"/>
    <x v="1"/>
    <x v="0"/>
    <x v="451"/>
    <d v="2024-12-26T00:00:00"/>
    <n v="2"/>
    <x v="1"/>
    <x v="2"/>
    <n v="4"/>
    <n v="1"/>
    <n v="2"/>
    <n v="5"/>
    <n v="1"/>
    <x v="1"/>
    <n v="2"/>
    <n v="1"/>
    <n v="2"/>
    <n v="5"/>
    <x v="1"/>
    <s v="In-person"/>
    <s v="Poor service"/>
    <x v="0"/>
    <n v="67"/>
    <d v="2024-12-26T00:00:00"/>
    <x v="2"/>
    <x v="3"/>
    <x v="1"/>
  </r>
  <r>
    <n v="706"/>
    <n v="92072"/>
    <s v="Robert Cortez"/>
    <x v="1"/>
    <x v="2"/>
    <x v="452"/>
    <d v="2024-05-29T00:00:00"/>
    <n v="1"/>
    <x v="1"/>
    <x v="0"/>
    <n v="2"/>
    <n v="1"/>
    <n v="2"/>
    <n v="3"/>
    <n v="2"/>
    <x v="4"/>
    <n v="1"/>
    <n v="4"/>
    <n v="2"/>
    <n v="5"/>
    <x v="0"/>
    <s v="Feedback Form"/>
    <s v="Average"/>
    <x v="0"/>
    <n v="64"/>
    <d v="2024-05-29T00:00:00"/>
    <x v="2"/>
    <x v="9"/>
    <x v="1"/>
  </r>
  <r>
    <n v="707"/>
    <n v="91520"/>
    <s v="Andrew Burns"/>
    <x v="2"/>
    <x v="1"/>
    <x v="307"/>
    <d v="2024-07-22T00:00:00"/>
    <n v="7"/>
    <x v="1"/>
    <x v="3"/>
    <n v="3"/>
    <n v="5"/>
    <n v="4"/>
    <n v="2"/>
    <n v="4"/>
    <x v="1"/>
    <n v="4"/>
    <n v="4"/>
    <n v="5"/>
    <n v="1"/>
    <x v="0"/>
    <s v="Feedback Form"/>
    <s v="Will visit again"/>
    <x v="1"/>
    <n v="33"/>
    <d v="2024-07-31T00:00:00"/>
    <x v="3"/>
    <x v="16"/>
    <x v="0"/>
  </r>
  <r>
    <n v="708"/>
    <n v="39234"/>
    <s v="Kendra Evans"/>
    <x v="0"/>
    <x v="1"/>
    <x v="453"/>
    <d v="2024-09-16T00:00:00"/>
    <n v="5"/>
    <x v="0"/>
    <x v="2"/>
    <n v="3"/>
    <n v="4"/>
    <n v="2"/>
    <n v="4"/>
    <n v="1"/>
    <x v="2"/>
    <n v="5"/>
    <n v="4"/>
    <n v="4"/>
    <n v="5"/>
    <x v="1"/>
    <s v="Online Survey"/>
    <s v="Great stay"/>
    <x v="2"/>
    <n v="63"/>
    <d v="2024-09-16T00:00:00"/>
    <x v="2"/>
    <x v="13"/>
    <x v="0"/>
  </r>
  <r>
    <n v="709"/>
    <n v="10547"/>
    <s v="Sharon Villa DVM"/>
    <x v="2"/>
    <x v="4"/>
    <x v="380"/>
    <d v="2023-12-08T00:00:00"/>
    <n v="3"/>
    <x v="2"/>
    <x v="2"/>
    <n v="4"/>
    <n v="3"/>
    <n v="2"/>
    <n v="5"/>
    <n v="4"/>
    <x v="4"/>
    <n v="4"/>
    <n v="5"/>
    <n v="5"/>
    <n v="4"/>
    <x v="1"/>
    <s v="App Review"/>
    <s v="Will visit again"/>
    <x v="0"/>
    <n v="33"/>
    <d v="2023-12-23T00:00:00"/>
    <x v="3"/>
    <x v="16"/>
    <x v="0"/>
  </r>
  <r>
    <n v="710"/>
    <n v="64284"/>
    <s v="Stacy Harrington"/>
    <x v="0"/>
    <x v="4"/>
    <x v="454"/>
    <d v="2023-06-05T00:00:00"/>
    <n v="14"/>
    <x v="1"/>
    <x v="3"/>
    <n v="1"/>
    <n v="1"/>
    <n v="5"/>
    <n v="2"/>
    <n v="1"/>
    <x v="2"/>
    <n v="4"/>
    <n v="3"/>
    <n v="1"/>
    <n v="4"/>
    <x v="1"/>
    <s v="In-person"/>
    <s v="Will visit again"/>
    <x v="0"/>
    <n v="20"/>
    <d v="2023-06-05T00:00:00"/>
    <x v="0"/>
    <x v="8"/>
    <x v="1"/>
  </r>
  <r>
    <n v="711"/>
    <n v="78436"/>
    <s v="Michael Castro"/>
    <x v="0"/>
    <x v="4"/>
    <x v="266"/>
    <d v="2023-09-29T00:00:00"/>
    <n v="6"/>
    <x v="0"/>
    <x v="4"/>
    <n v="5"/>
    <n v="1"/>
    <n v="5"/>
    <n v="4"/>
    <n v="2"/>
    <x v="3"/>
    <n v="5"/>
    <n v="1"/>
    <n v="3"/>
    <n v="2"/>
    <x v="0"/>
    <s v="Feedback Form"/>
    <s v="Will visit again"/>
    <x v="2"/>
    <n v="51"/>
    <d v="2023-09-29T00:00:00"/>
    <x v="2"/>
    <x v="10"/>
    <x v="0"/>
  </r>
  <r>
    <n v="712"/>
    <n v="61417"/>
    <s v="Christopher Haney"/>
    <x v="3"/>
    <x v="3"/>
    <x v="455"/>
    <d v="2024-07-16T00:00:00"/>
    <n v="3"/>
    <x v="1"/>
    <x v="1"/>
    <n v="3"/>
    <n v="2"/>
    <n v="1"/>
    <n v="3"/>
    <n v="3"/>
    <x v="4"/>
    <n v="3"/>
    <n v="5"/>
    <n v="4"/>
    <n v="3"/>
    <x v="1"/>
    <s v="Feedback Form"/>
    <s v="Great stay"/>
    <x v="0"/>
    <n v="41"/>
    <d v="2024-07-16T00:00:00"/>
    <x v="1"/>
    <x v="3"/>
    <x v="1"/>
  </r>
  <r>
    <n v="713"/>
    <n v="18946"/>
    <s v="Dawn Doyle"/>
    <x v="3"/>
    <x v="1"/>
    <x v="193"/>
    <d v="2024-05-24T00:00:00"/>
    <n v="6"/>
    <x v="0"/>
    <x v="3"/>
    <n v="5"/>
    <n v="2"/>
    <n v="2"/>
    <n v="5"/>
    <n v="3"/>
    <x v="4"/>
    <n v="1"/>
    <n v="3"/>
    <n v="2"/>
    <n v="5"/>
    <x v="0"/>
    <s v="Feedback Form"/>
    <s v="Will visit again"/>
    <x v="1"/>
    <n v="59"/>
    <d v="2024-05-24T00:00:00"/>
    <x v="2"/>
    <x v="4"/>
    <x v="1"/>
  </r>
  <r>
    <n v="714"/>
    <n v="92654"/>
    <s v="Michael Haas"/>
    <x v="3"/>
    <x v="3"/>
    <x v="259"/>
    <d v="2024-01-26T00:00:00"/>
    <n v="6"/>
    <x v="3"/>
    <x v="4"/>
    <n v="4"/>
    <n v="4"/>
    <n v="3"/>
    <n v="4"/>
    <n v="2"/>
    <x v="1"/>
    <n v="1"/>
    <n v="2"/>
    <n v="5"/>
    <n v="4"/>
    <x v="1"/>
    <s v="Feedback Form"/>
    <s v="Average"/>
    <x v="2"/>
    <n v="63"/>
    <d v="2024-08-28T00:00:00"/>
    <x v="2"/>
    <x v="13"/>
    <x v="0"/>
  </r>
  <r>
    <n v="715"/>
    <n v="62943"/>
    <s v="Amy Chapman DVM"/>
    <x v="0"/>
    <x v="4"/>
    <x v="456"/>
    <d v="2023-03-10T00:00:00"/>
    <n v="14"/>
    <x v="1"/>
    <x v="2"/>
    <n v="2"/>
    <n v="3"/>
    <n v="2"/>
    <n v="2"/>
    <n v="4"/>
    <x v="4"/>
    <n v="5"/>
    <n v="1"/>
    <n v="3"/>
    <n v="1"/>
    <x v="0"/>
    <s v="Online Survey"/>
    <s v="Needs improvement"/>
    <x v="1"/>
    <n v="40"/>
    <d v="2023-12-08T00:00:00"/>
    <x v="1"/>
    <x v="8"/>
    <x v="1"/>
  </r>
  <r>
    <n v="716"/>
    <n v="21020"/>
    <s v="Douglas Martinez"/>
    <x v="0"/>
    <x v="2"/>
    <x v="457"/>
    <d v="2024-04-14T00:00:00"/>
    <n v="9"/>
    <x v="1"/>
    <x v="0"/>
    <n v="4"/>
    <n v="1"/>
    <n v="2"/>
    <n v="4"/>
    <n v="5"/>
    <x v="3"/>
    <n v="1"/>
    <n v="5"/>
    <n v="5"/>
    <n v="1"/>
    <x v="0"/>
    <s v="Feedback Form"/>
    <s v="Average"/>
    <x v="2"/>
    <n v="47"/>
    <d v="2024-10-25T00:00:00"/>
    <x v="1"/>
    <x v="10"/>
    <x v="0"/>
  </r>
  <r>
    <n v="717"/>
    <n v="14317"/>
    <s v="Anthony Hebert"/>
    <x v="2"/>
    <x v="4"/>
    <x v="181"/>
    <d v="2024-11-01T00:00:00"/>
    <n v="8"/>
    <x v="2"/>
    <x v="2"/>
    <n v="5"/>
    <n v="5"/>
    <n v="1"/>
    <n v="3"/>
    <n v="5"/>
    <x v="1"/>
    <n v="2"/>
    <n v="1"/>
    <n v="3"/>
    <n v="3"/>
    <x v="1"/>
    <s v="In-person"/>
    <s v="Needs improvement"/>
    <x v="0"/>
    <n v="66"/>
    <d v="2024-11-01T00:00:00"/>
    <x v="2"/>
    <x v="1"/>
    <x v="0"/>
  </r>
  <r>
    <n v="718"/>
    <n v="10523"/>
    <s v="Sergio Shelton"/>
    <x v="0"/>
    <x v="0"/>
    <x v="154"/>
    <d v="2023-09-23T00:00:00"/>
    <n v="1"/>
    <x v="1"/>
    <x v="2"/>
    <n v="4"/>
    <n v="2"/>
    <n v="3"/>
    <n v="4"/>
    <n v="2"/>
    <x v="1"/>
    <n v="2"/>
    <n v="3"/>
    <n v="4"/>
    <n v="3"/>
    <x v="1"/>
    <s v="Online Survey"/>
    <s v="Poor service"/>
    <x v="2"/>
    <n v="38"/>
    <d v="2023-09-23T00:00:00"/>
    <x v="1"/>
    <x v="10"/>
    <x v="0"/>
  </r>
  <r>
    <n v="719"/>
    <n v="86474"/>
    <s v="Elizabeth Johnson"/>
    <x v="4"/>
    <x v="2"/>
    <x v="184"/>
    <d v="2024-11-13T00:00:00"/>
    <n v="7"/>
    <x v="1"/>
    <x v="4"/>
    <n v="3"/>
    <n v="1"/>
    <n v="1"/>
    <n v="1"/>
    <n v="1"/>
    <x v="0"/>
    <n v="2"/>
    <n v="5"/>
    <n v="5"/>
    <n v="3"/>
    <x v="0"/>
    <s v="Feedback Form"/>
    <s v="Will visit again"/>
    <x v="2"/>
    <n v="34"/>
    <d v="2024-12-16T00:00:00"/>
    <x v="3"/>
    <x v="14"/>
    <x v="1"/>
  </r>
  <r>
    <n v="720"/>
    <n v="65076"/>
    <s v="Kimberly Foley"/>
    <x v="4"/>
    <x v="2"/>
    <x v="117"/>
    <d v="2024-08-31T00:00:00"/>
    <n v="11"/>
    <x v="0"/>
    <x v="3"/>
    <n v="5"/>
    <n v="5"/>
    <n v="2"/>
    <n v="5"/>
    <n v="3"/>
    <x v="4"/>
    <n v="5"/>
    <n v="5"/>
    <n v="5"/>
    <n v="1"/>
    <x v="0"/>
    <s v="In-person"/>
    <s v="Poor service"/>
    <x v="2"/>
    <n v="35"/>
    <d v="2024-08-31T00:00:00"/>
    <x v="3"/>
    <x v="16"/>
    <x v="0"/>
  </r>
  <r>
    <n v="721"/>
    <n v="90195"/>
    <s v="Adam Gillespie"/>
    <x v="0"/>
    <x v="1"/>
    <x v="458"/>
    <d v="2024-11-14T00:00:00"/>
    <n v="9"/>
    <x v="2"/>
    <x v="1"/>
    <n v="5"/>
    <n v="1"/>
    <n v="3"/>
    <n v="2"/>
    <n v="4"/>
    <x v="0"/>
    <n v="4"/>
    <n v="1"/>
    <n v="3"/>
    <n v="5"/>
    <x v="1"/>
    <s v="Email"/>
    <s v="Poor service"/>
    <x v="0"/>
    <n v="20"/>
    <d v="2024-11-14T00:00:00"/>
    <x v="0"/>
    <x v="0"/>
    <x v="0"/>
  </r>
  <r>
    <n v="722"/>
    <n v="18809"/>
    <s v="Justin Turner"/>
    <x v="4"/>
    <x v="3"/>
    <x v="459"/>
    <d v="2023-10-17T00:00:00"/>
    <n v="2"/>
    <x v="2"/>
    <x v="1"/>
    <n v="2"/>
    <n v="4"/>
    <n v="2"/>
    <n v="2"/>
    <n v="5"/>
    <x v="3"/>
    <n v="4"/>
    <n v="2"/>
    <n v="1"/>
    <n v="4"/>
    <x v="0"/>
    <s v="Email"/>
    <s v="Great stay"/>
    <x v="0"/>
    <n v="64"/>
    <d v="2024-07-18T00:00:00"/>
    <x v="2"/>
    <x v="2"/>
    <x v="0"/>
  </r>
  <r>
    <n v="723"/>
    <n v="25535"/>
    <s v="Ashley Hall"/>
    <x v="0"/>
    <x v="0"/>
    <x v="219"/>
    <d v="2023-11-05T00:00:00"/>
    <n v="9"/>
    <x v="3"/>
    <x v="3"/>
    <n v="3"/>
    <n v="4"/>
    <n v="1"/>
    <n v="5"/>
    <n v="3"/>
    <x v="4"/>
    <n v="3"/>
    <n v="2"/>
    <n v="2"/>
    <n v="1"/>
    <x v="1"/>
    <s v="In-person"/>
    <s v="Will visit again"/>
    <x v="1"/>
    <n v="29"/>
    <d v="2024-11-21T00:00:00"/>
    <x v="3"/>
    <x v="14"/>
    <x v="1"/>
  </r>
  <r>
    <n v="724"/>
    <n v="91834"/>
    <s v="Leslie Lambert"/>
    <x v="3"/>
    <x v="2"/>
    <x v="55"/>
    <d v="2024-07-26T00:00:00"/>
    <n v="6"/>
    <x v="0"/>
    <x v="3"/>
    <n v="1"/>
    <n v="5"/>
    <n v="1"/>
    <n v="5"/>
    <n v="2"/>
    <x v="0"/>
    <n v="3"/>
    <n v="2"/>
    <n v="3"/>
    <n v="4"/>
    <x v="1"/>
    <s v="Feedback Form"/>
    <s v="Poor service"/>
    <x v="1"/>
    <n v="33"/>
    <d v="2024-07-26T00:00:00"/>
    <x v="3"/>
    <x v="4"/>
    <x v="1"/>
  </r>
  <r>
    <n v="725"/>
    <n v="60012"/>
    <s v="Shannon Davis DVM"/>
    <x v="0"/>
    <x v="3"/>
    <x v="458"/>
    <d v="2024-11-14T00:00:00"/>
    <n v="3"/>
    <x v="1"/>
    <x v="0"/>
    <n v="2"/>
    <n v="2"/>
    <n v="5"/>
    <n v="1"/>
    <n v="3"/>
    <x v="0"/>
    <n v="2"/>
    <n v="3"/>
    <n v="5"/>
    <n v="3"/>
    <x v="0"/>
    <s v="Feedback Form"/>
    <s v="Needs improvement"/>
    <x v="0"/>
    <n v="55"/>
    <d v="2024-11-14T00:00:00"/>
    <x v="2"/>
    <x v="4"/>
    <x v="1"/>
  </r>
  <r>
    <n v="726"/>
    <n v="58951"/>
    <s v="Jordan Fisher"/>
    <x v="3"/>
    <x v="3"/>
    <x v="80"/>
    <d v="2023-11-15T00:00:00"/>
    <n v="8"/>
    <x v="0"/>
    <x v="3"/>
    <n v="3"/>
    <n v="4"/>
    <n v="3"/>
    <n v="1"/>
    <n v="5"/>
    <x v="1"/>
    <n v="2"/>
    <n v="1"/>
    <n v="3"/>
    <n v="2"/>
    <x v="1"/>
    <s v="Online Survey"/>
    <s v="Needs improvement"/>
    <x v="0"/>
    <n v="31"/>
    <d v="2023-11-15T00:00:00"/>
    <x v="3"/>
    <x v="4"/>
    <x v="1"/>
  </r>
  <r>
    <n v="727"/>
    <n v="99412"/>
    <s v="Kevin Soto"/>
    <x v="1"/>
    <x v="0"/>
    <x v="209"/>
    <d v="2024-05-02T00:00:00"/>
    <n v="7"/>
    <x v="1"/>
    <x v="0"/>
    <n v="1"/>
    <n v="2"/>
    <n v="5"/>
    <n v="2"/>
    <n v="4"/>
    <x v="0"/>
    <n v="5"/>
    <n v="3"/>
    <n v="3"/>
    <n v="5"/>
    <x v="1"/>
    <s v="Feedback Form"/>
    <s v="Great stay"/>
    <x v="2"/>
    <n v="44"/>
    <d v="2024-07-10T00:00:00"/>
    <x v="1"/>
    <x v="1"/>
    <x v="0"/>
  </r>
  <r>
    <n v="728"/>
    <n v="32264"/>
    <s v="Joseph Kennedy"/>
    <x v="4"/>
    <x v="0"/>
    <x v="460"/>
    <d v="2024-11-02T00:00:00"/>
    <n v="12"/>
    <x v="3"/>
    <x v="3"/>
    <n v="5"/>
    <n v="5"/>
    <n v="3"/>
    <n v="4"/>
    <n v="1"/>
    <x v="0"/>
    <n v="2"/>
    <n v="3"/>
    <n v="5"/>
    <n v="3"/>
    <x v="0"/>
    <s v="Online Survey"/>
    <s v="Poor service"/>
    <x v="0"/>
    <n v="35"/>
    <d v="2024-11-02T00:00:00"/>
    <x v="3"/>
    <x v="13"/>
    <x v="0"/>
  </r>
  <r>
    <n v="729"/>
    <n v="89114"/>
    <s v="Daniel West"/>
    <x v="1"/>
    <x v="4"/>
    <x v="262"/>
    <d v="2024-08-11T00:00:00"/>
    <n v="8"/>
    <x v="1"/>
    <x v="0"/>
    <n v="2"/>
    <n v="5"/>
    <n v="4"/>
    <n v="5"/>
    <n v="1"/>
    <x v="4"/>
    <n v="2"/>
    <n v="2"/>
    <n v="5"/>
    <n v="3"/>
    <x v="1"/>
    <s v="Feedback Form"/>
    <s v="Poor service"/>
    <x v="1"/>
    <n v="37"/>
    <d v="2024-08-11T00:00:00"/>
    <x v="1"/>
    <x v="2"/>
    <x v="0"/>
  </r>
  <r>
    <n v="730"/>
    <n v="99821"/>
    <s v="Lisa Reid"/>
    <x v="4"/>
    <x v="4"/>
    <x v="461"/>
    <d v="2024-09-11T00:00:00"/>
    <n v="8"/>
    <x v="2"/>
    <x v="3"/>
    <n v="5"/>
    <n v="1"/>
    <n v="3"/>
    <n v="1"/>
    <n v="3"/>
    <x v="4"/>
    <n v="2"/>
    <n v="2"/>
    <n v="1"/>
    <n v="4"/>
    <x v="0"/>
    <s v="App Review"/>
    <s v="Poor service"/>
    <x v="0"/>
    <n v="52"/>
    <d v="2024-09-11T00:00:00"/>
    <x v="2"/>
    <x v="9"/>
    <x v="1"/>
  </r>
  <r>
    <n v="731"/>
    <n v="71832"/>
    <s v="Douglas Butler"/>
    <x v="1"/>
    <x v="2"/>
    <x v="75"/>
    <d v="2024-07-02T00:00:00"/>
    <n v="7"/>
    <x v="3"/>
    <x v="3"/>
    <n v="5"/>
    <n v="5"/>
    <n v="2"/>
    <n v="1"/>
    <n v="1"/>
    <x v="1"/>
    <n v="1"/>
    <n v="2"/>
    <n v="1"/>
    <n v="1"/>
    <x v="0"/>
    <s v="App Review"/>
    <s v="Great stay"/>
    <x v="1"/>
    <n v="34"/>
    <d v="2024-12-23T00:00:00"/>
    <x v="3"/>
    <x v="8"/>
    <x v="1"/>
  </r>
  <r>
    <n v="732"/>
    <n v="89637"/>
    <s v="Sarah Johnson"/>
    <x v="0"/>
    <x v="2"/>
    <x v="110"/>
    <d v="2023-12-15T00:00:00"/>
    <n v="1"/>
    <x v="1"/>
    <x v="1"/>
    <n v="5"/>
    <n v="1"/>
    <n v="3"/>
    <n v="1"/>
    <n v="5"/>
    <x v="4"/>
    <n v="4"/>
    <n v="1"/>
    <n v="1"/>
    <n v="2"/>
    <x v="1"/>
    <s v="In-person"/>
    <s v="Will visit again"/>
    <x v="0"/>
    <n v="37"/>
    <d v="2024-01-25T00:00:00"/>
    <x v="1"/>
    <x v="8"/>
    <x v="1"/>
  </r>
  <r>
    <n v="733"/>
    <n v="98266"/>
    <s v="Andrea Santiago"/>
    <x v="1"/>
    <x v="2"/>
    <x v="381"/>
    <d v="2024-08-05T00:00:00"/>
    <n v="13"/>
    <x v="3"/>
    <x v="2"/>
    <n v="3"/>
    <n v="2"/>
    <n v="5"/>
    <n v="4"/>
    <n v="4"/>
    <x v="3"/>
    <n v="1"/>
    <n v="1"/>
    <n v="5"/>
    <n v="5"/>
    <x v="1"/>
    <s v="App Review"/>
    <s v="Poor service"/>
    <x v="0"/>
    <n v="23"/>
    <d v="2024-11-11T00:00:00"/>
    <x v="0"/>
    <x v="13"/>
    <x v="0"/>
  </r>
  <r>
    <n v="734"/>
    <n v="37476"/>
    <s v="Marc Mayo"/>
    <x v="4"/>
    <x v="4"/>
    <x v="309"/>
    <d v="2024-05-22T00:00:00"/>
    <n v="10"/>
    <x v="2"/>
    <x v="2"/>
    <n v="1"/>
    <n v="1"/>
    <n v="1"/>
    <n v="2"/>
    <n v="1"/>
    <x v="1"/>
    <n v="2"/>
    <n v="2"/>
    <n v="4"/>
    <n v="2"/>
    <x v="0"/>
    <s v="Email"/>
    <s v="Poor service"/>
    <x v="2"/>
    <n v="43"/>
    <d v="2024-05-22T00:00:00"/>
    <x v="1"/>
    <x v="17"/>
    <x v="1"/>
  </r>
  <r>
    <n v="735"/>
    <n v="61973"/>
    <s v="Elizabeth Wise"/>
    <x v="2"/>
    <x v="2"/>
    <x v="196"/>
    <d v="2024-08-11T00:00:00"/>
    <n v="10"/>
    <x v="2"/>
    <x v="0"/>
    <n v="3"/>
    <n v="2"/>
    <n v="1"/>
    <n v="2"/>
    <n v="1"/>
    <x v="3"/>
    <n v="2"/>
    <n v="3"/>
    <n v="1"/>
    <n v="3"/>
    <x v="0"/>
    <s v="Email"/>
    <s v="Average"/>
    <x v="1"/>
    <n v="24"/>
    <d v="2024-08-11T00:00:00"/>
    <x v="0"/>
    <x v="19"/>
    <x v="1"/>
  </r>
  <r>
    <n v="736"/>
    <n v="63017"/>
    <s v="Jessica Coleman"/>
    <x v="4"/>
    <x v="2"/>
    <x v="61"/>
    <d v="2023-11-26T00:00:00"/>
    <n v="10"/>
    <x v="0"/>
    <x v="4"/>
    <n v="5"/>
    <n v="4"/>
    <n v="3"/>
    <n v="1"/>
    <n v="2"/>
    <x v="4"/>
    <n v="1"/>
    <n v="1"/>
    <n v="2"/>
    <n v="2"/>
    <x v="1"/>
    <s v="Online Survey"/>
    <s v="Needs improvement"/>
    <x v="0"/>
    <n v="55"/>
    <d v="2024-05-24T00:00:00"/>
    <x v="2"/>
    <x v="19"/>
    <x v="1"/>
  </r>
  <r>
    <n v="737"/>
    <n v="25503"/>
    <s v="Scott Rowe"/>
    <x v="2"/>
    <x v="4"/>
    <x v="110"/>
    <d v="2024-11-22T00:00:00"/>
    <n v="8"/>
    <x v="1"/>
    <x v="1"/>
    <n v="2"/>
    <n v="2"/>
    <n v="4"/>
    <n v="4"/>
    <n v="1"/>
    <x v="4"/>
    <n v="1"/>
    <n v="5"/>
    <n v="4"/>
    <n v="5"/>
    <x v="1"/>
    <s v="Email"/>
    <s v="Will visit again"/>
    <x v="2"/>
    <n v="29"/>
    <d v="2024-11-22T00:00:00"/>
    <x v="3"/>
    <x v="4"/>
    <x v="1"/>
  </r>
  <r>
    <n v="738"/>
    <n v="21506"/>
    <s v="Curtis Anderson"/>
    <x v="0"/>
    <x v="4"/>
    <x v="229"/>
    <d v="2024-08-15T00:00:00"/>
    <n v="5"/>
    <x v="3"/>
    <x v="3"/>
    <n v="5"/>
    <n v="3"/>
    <n v="1"/>
    <n v="4"/>
    <n v="1"/>
    <x v="1"/>
    <n v="5"/>
    <n v="3"/>
    <n v="1"/>
    <n v="3"/>
    <x v="0"/>
    <s v="Feedback Form"/>
    <s v="Will visit again"/>
    <x v="2"/>
    <n v="34"/>
    <d v="2024-08-15T00:00:00"/>
    <x v="3"/>
    <x v="0"/>
    <x v="0"/>
  </r>
  <r>
    <n v="739"/>
    <n v="50994"/>
    <s v="Katie Dunn"/>
    <x v="4"/>
    <x v="2"/>
    <x v="298"/>
    <d v="2024-04-23T00:00:00"/>
    <n v="13"/>
    <x v="0"/>
    <x v="1"/>
    <n v="1"/>
    <n v="1"/>
    <n v="1"/>
    <n v="2"/>
    <n v="5"/>
    <x v="0"/>
    <n v="5"/>
    <n v="3"/>
    <n v="2"/>
    <n v="5"/>
    <x v="1"/>
    <s v="Online Survey"/>
    <s v="Will visit again"/>
    <x v="1"/>
    <n v="38"/>
    <d v="2024-11-28T00:00:00"/>
    <x v="1"/>
    <x v="3"/>
    <x v="1"/>
  </r>
  <r>
    <n v="740"/>
    <n v="26169"/>
    <s v="Diana Huynh"/>
    <x v="1"/>
    <x v="2"/>
    <x v="158"/>
    <d v="2024-10-18T00:00:00"/>
    <n v="2"/>
    <x v="3"/>
    <x v="4"/>
    <n v="3"/>
    <n v="4"/>
    <n v="1"/>
    <n v="5"/>
    <n v="1"/>
    <x v="2"/>
    <n v="2"/>
    <n v="4"/>
    <n v="5"/>
    <n v="2"/>
    <x v="1"/>
    <s v="App Review"/>
    <s v="Poor service"/>
    <x v="2"/>
    <n v="23"/>
    <d v="2024-10-18T00:00:00"/>
    <x v="0"/>
    <x v="4"/>
    <x v="1"/>
  </r>
  <r>
    <n v="741"/>
    <n v="28484"/>
    <s v="Jason Scott"/>
    <x v="0"/>
    <x v="3"/>
    <x v="462"/>
    <d v="2023-10-10T00:00:00"/>
    <n v="2"/>
    <x v="0"/>
    <x v="1"/>
    <n v="1"/>
    <n v="2"/>
    <n v="4"/>
    <n v="1"/>
    <n v="2"/>
    <x v="2"/>
    <n v="1"/>
    <n v="1"/>
    <n v="2"/>
    <n v="3"/>
    <x v="1"/>
    <s v="App Review"/>
    <s v="Average"/>
    <x v="1"/>
    <n v="64"/>
    <d v="2024-12-03T00:00:00"/>
    <x v="2"/>
    <x v="25"/>
    <x v="1"/>
  </r>
  <r>
    <n v="742"/>
    <n v="90374"/>
    <s v="Dawn Kaufman"/>
    <x v="4"/>
    <x v="1"/>
    <x v="319"/>
    <d v="2024-11-04T00:00:00"/>
    <n v="2"/>
    <x v="0"/>
    <x v="4"/>
    <n v="3"/>
    <n v="5"/>
    <n v="5"/>
    <n v="4"/>
    <n v="2"/>
    <x v="4"/>
    <n v="5"/>
    <n v="5"/>
    <n v="1"/>
    <n v="3"/>
    <x v="1"/>
    <s v="Email"/>
    <s v="Will visit again"/>
    <x v="1"/>
    <n v="54"/>
    <d v="2024-11-04T00:00:00"/>
    <x v="2"/>
    <x v="13"/>
    <x v="0"/>
  </r>
  <r>
    <n v="743"/>
    <n v="68723"/>
    <s v="Chelsea Sims"/>
    <x v="0"/>
    <x v="4"/>
    <x v="128"/>
    <d v="2024-02-24T00:00:00"/>
    <n v="9"/>
    <x v="0"/>
    <x v="4"/>
    <n v="1"/>
    <n v="1"/>
    <n v="3"/>
    <n v="5"/>
    <n v="2"/>
    <x v="3"/>
    <n v="3"/>
    <n v="1"/>
    <n v="3"/>
    <n v="5"/>
    <x v="1"/>
    <s v="Email"/>
    <s v="Great stay"/>
    <x v="1"/>
    <n v="42"/>
    <d v="2024-02-24T00:00:00"/>
    <x v="1"/>
    <x v="3"/>
    <x v="1"/>
  </r>
  <r>
    <n v="744"/>
    <n v="59588"/>
    <s v="Richard Davis"/>
    <x v="2"/>
    <x v="1"/>
    <x v="173"/>
    <d v="2023-08-12T00:00:00"/>
    <n v="14"/>
    <x v="2"/>
    <x v="4"/>
    <n v="1"/>
    <n v="2"/>
    <n v="4"/>
    <n v="3"/>
    <n v="1"/>
    <x v="1"/>
    <n v="1"/>
    <n v="3"/>
    <n v="3"/>
    <n v="1"/>
    <x v="1"/>
    <s v="Feedback Form"/>
    <s v="Great stay"/>
    <x v="2"/>
    <n v="32"/>
    <d v="2023-08-25T00:00:00"/>
    <x v="3"/>
    <x v="8"/>
    <x v="1"/>
  </r>
  <r>
    <n v="745"/>
    <n v="88273"/>
    <s v="Laura Morris"/>
    <x v="0"/>
    <x v="4"/>
    <x v="116"/>
    <d v="2024-12-24T00:00:00"/>
    <n v="5"/>
    <x v="2"/>
    <x v="4"/>
    <n v="3"/>
    <n v="4"/>
    <n v="3"/>
    <n v="1"/>
    <n v="3"/>
    <x v="0"/>
    <n v="4"/>
    <n v="1"/>
    <n v="2"/>
    <n v="3"/>
    <x v="1"/>
    <s v="App Review"/>
    <s v="Needs improvement"/>
    <x v="2"/>
    <n v="28"/>
    <d v="2024-12-24T00:00:00"/>
    <x v="3"/>
    <x v="5"/>
    <x v="1"/>
  </r>
  <r>
    <n v="746"/>
    <n v="87707"/>
    <s v="Brent Garcia"/>
    <x v="1"/>
    <x v="3"/>
    <x v="463"/>
    <d v="2023-03-22T00:00:00"/>
    <n v="3"/>
    <x v="2"/>
    <x v="4"/>
    <n v="3"/>
    <n v="5"/>
    <n v="2"/>
    <n v="3"/>
    <n v="3"/>
    <x v="4"/>
    <n v="3"/>
    <n v="3"/>
    <n v="5"/>
    <n v="5"/>
    <x v="0"/>
    <s v="Email"/>
    <s v="Average"/>
    <x v="1"/>
    <n v="26"/>
    <d v="2023-04-20T00:00:00"/>
    <x v="3"/>
    <x v="1"/>
    <x v="0"/>
  </r>
  <r>
    <n v="747"/>
    <n v="23920"/>
    <s v="Adam Woodward"/>
    <x v="4"/>
    <x v="1"/>
    <x v="397"/>
    <d v="2024-11-13T00:00:00"/>
    <n v="6"/>
    <x v="2"/>
    <x v="3"/>
    <n v="3"/>
    <n v="1"/>
    <n v="3"/>
    <n v="2"/>
    <n v="5"/>
    <x v="3"/>
    <n v="3"/>
    <n v="5"/>
    <n v="4"/>
    <n v="5"/>
    <x v="0"/>
    <s v="App Review"/>
    <s v="Will visit again"/>
    <x v="2"/>
    <n v="21"/>
    <d v="2024-11-13T00:00:00"/>
    <x v="0"/>
    <x v="18"/>
    <x v="0"/>
  </r>
  <r>
    <n v="748"/>
    <n v="26875"/>
    <s v="Laurie Huynh"/>
    <x v="2"/>
    <x v="3"/>
    <x v="64"/>
    <d v="2024-09-13T00:00:00"/>
    <n v="9"/>
    <x v="3"/>
    <x v="1"/>
    <n v="4"/>
    <n v="4"/>
    <n v="1"/>
    <n v="2"/>
    <n v="3"/>
    <x v="4"/>
    <n v="1"/>
    <n v="3"/>
    <n v="3"/>
    <n v="5"/>
    <x v="0"/>
    <s v="App Review"/>
    <s v="Average"/>
    <x v="2"/>
    <n v="20"/>
    <d v="2024-09-13T00:00:00"/>
    <x v="0"/>
    <x v="5"/>
    <x v="1"/>
  </r>
  <r>
    <n v="749"/>
    <n v="72480"/>
    <s v="George Green"/>
    <x v="0"/>
    <x v="0"/>
    <x v="464"/>
    <d v="2024-10-31T00:00:00"/>
    <n v="11"/>
    <x v="1"/>
    <x v="2"/>
    <n v="1"/>
    <n v="5"/>
    <n v="4"/>
    <n v="2"/>
    <n v="5"/>
    <x v="2"/>
    <n v="2"/>
    <n v="2"/>
    <n v="4"/>
    <n v="1"/>
    <x v="1"/>
    <s v="Email"/>
    <s v="Great stay"/>
    <x v="1"/>
    <n v="30"/>
    <d v="2024-10-31T00:00:00"/>
    <x v="3"/>
    <x v="3"/>
    <x v="1"/>
  </r>
  <r>
    <n v="750"/>
    <n v="92441"/>
    <s v="Dr. Crystal Drake"/>
    <x v="3"/>
    <x v="1"/>
    <x v="279"/>
    <d v="2024-01-29T00:00:00"/>
    <n v="9"/>
    <x v="2"/>
    <x v="2"/>
    <n v="4"/>
    <n v="3"/>
    <n v="4"/>
    <n v="4"/>
    <n v="5"/>
    <x v="4"/>
    <n v="4"/>
    <n v="3"/>
    <n v="5"/>
    <n v="4"/>
    <x v="0"/>
    <s v="App Review"/>
    <s v="Will visit again"/>
    <x v="1"/>
    <n v="49"/>
    <d v="2024-01-29T00:00:00"/>
    <x v="1"/>
    <x v="16"/>
    <x v="0"/>
  </r>
  <r>
    <n v="751"/>
    <n v="72629"/>
    <s v="Jessica Long"/>
    <x v="2"/>
    <x v="1"/>
    <x v="465"/>
    <d v="2024-08-31T00:00:00"/>
    <n v="9"/>
    <x v="1"/>
    <x v="3"/>
    <n v="4"/>
    <n v="5"/>
    <n v="5"/>
    <n v="4"/>
    <n v="2"/>
    <x v="3"/>
    <n v="5"/>
    <n v="2"/>
    <n v="3"/>
    <n v="3"/>
    <x v="1"/>
    <s v="Email"/>
    <s v="Poor service"/>
    <x v="2"/>
    <n v="23"/>
    <d v="2024-11-20T00:00:00"/>
    <x v="0"/>
    <x v="16"/>
    <x v="0"/>
  </r>
  <r>
    <n v="752"/>
    <n v="77450"/>
    <s v="Bailey Sanchez"/>
    <x v="2"/>
    <x v="1"/>
    <x v="396"/>
    <d v="2023-11-25T00:00:00"/>
    <n v="11"/>
    <x v="0"/>
    <x v="0"/>
    <n v="5"/>
    <n v="1"/>
    <n v="2"/>
    <n v="5"/>
    <n v="4"/>
    <x v="2"/>
    <n v="5"/>
    <n v="5"/>
    <n v="5"/>
    <n v="2"/>
    <x v="1"/>
    <s v="In-person"/>
    <s v="Great stay"/>
    <x v="1"/>
    <n v="18"/>
    <d v="2024-05-22T00:00:00"/>
    <x v="0"/>
    <x v="11"/>
    <x v="0"/>
  </r>
  <r>
    <n v="753"/>
    <n v="89398"/>
    <s v="Emily Conway"/>
    <x v="1"/>
    <x v="0"/>
    <x v="212"/>
    <d v="2023-12-02T00:00:00"/>
    <n v="10"/>
    <x v="1"/>
    <x v="4"/>
    <n v="4"/>
    <n v="3"/>
    <n v="5"/>
    <n v="3"/>
    <n v="5"/>
    <x v="4"/>
    <n v="2"/>
    <n v="5"/>
    <n v="1"/>
    <n v="5"/>
    <x v="1"/>
    <s v="Email"/>
    <s v="Needs improvement"/>
    <x v="1"/>
    <n v="59"/>
    <d v="2024-08-27T00:00:00"/>
    <x v="2"/>
    <x v="13"/>
    <x v="0"/>
  </r>
  <r>
    <n v="754"/>
    <n v="12925"/>
    <s v="Wayne Houston"/>
    <x v="1"/>
    <x v="0"/>
    <x v="312"/>
    <d v="2023-10-23T00:00:00"/>
    <n v="14"/>
    <x v="2"/>
    <x v="1"/>
    <n v="4"/>
    <n v="2"/>
    <n v="5"/>
    <n v="2"/>
    <n v="1"/>
    <x v="2"/>
    <n v="4"/>
    <n v="3"/>
    <n v="4"/>
    <n v="2"/>
    <x v="0"/>
    <s v="App Review"/>
    <s v="Will visit again"/>
    <x v="0"/>
    <n v="22"/>
    <d v="2024-08-25T00:00:00"/>
    <x v="0"/>
    <x v="4"/>
    <x v="1"/>
  </r>
  <r>
    <n v="755"/>
    <n v="78826"/>
    <s v="Melanie Cox"/>
    <x v="0"/>
    <x v="3"/>
    <x v="144"/>
    <d v="2024-06-21T00:00:00"/>
    <n v="11"/>
    <x v="3"/>
    <x v="4"/>
    <n v="3"/>
    <n v="3"/>
    <n v="2"/>
    <n v="2"/>
    <n v="2"/>
    <x v="1"/>
    <n v="4"/>
    <n v="2"/>
    <n v="1"/>
    <n v="5"/>
    <x v="0"/>
    <s v="In-person"/>
    <s v="Needs improvement"/>
    <x v="1"/>
    <n v="19"/>
    <d v="2024-06-21T00:00:00"/>
    <x v="0"/>
    <x v="4"/>
    <x v="1"/>
  </r>
  <r>
    <n v="756"/>
    <n v="53101"/>
    <s v="Mr. Peter Hill"/>
    <x v="3"/>
    <x v="0"/>
    <x v="111"/>
    <d v="2024-08-17T00:00:00"/>
    <n v="4"/>
    <x v="2"/>
    <x v="4"/>
    <n v="3"/>
    <n v="3"/>
    <n v="1"/>
    <n v="4"/>
    <n v="1"/>
    <x v="3"/>
    <n v="3"/>
    <n v="3"/>
    <n v="5"/>
    <n v="5"/>
    <x v="0"/>
    <s v="App Review"/>
    <s v="Average"/>
    <x v="0"/>
    <n v="39"/>
    <d v="2024-08-17T00:00:00"/>
    <x v="1"/>
    <x v="10"/>
    <x v="0"/>
  </r>
  <r>
    <n v="757"/>
    <n v="29613"/>
    <s v="Ronald Holden"/>
    <x v="2"/>
    <x v="4"/>
    <x v="336"/>
    <d v="2024-07-24T00:00:00"/>
    <n v="5"/>
    <x v="3"/>
    <x v="2"/>
    <n v="2"/>
    <n v="3"/>
    <n v="4"/>
    <n v="4"/>
    <n v="1"/>
    <x v="3"/>
    <n v="3"/>
    <n v="5"/>
    <n v="5"/>
    <n v="3"/>
    <x v="1"/>
    <s v="App Review"/>
    <s v="Needs improvement"/>
    <x v="2"/>
    <n v="49"/>
    <d v="2024-07-24T00:00:00"/>
    <x v="1"/>
    <x v="13"/>
    <x v="0"/>
  </r>
  <r>
    <n v="758"/>
    <n v="71473"/>
    <s v="Audrey King"/>
    <x v="0"/>
    <x v="2"/>
    <x v="466"/>
    <d v="2024-06-22T00:00:00"/>
    <n v="12"/>
    <x v="2"/>
    <x v="4"/>
    <n v="1"/>
    <n v="5"/>
    <n v="3"/>
    <n v="4"/>
    <n v="3"/>
    <x v="1"/>
    <n v="4"/>
    <n v="2"/>
    <n v="2"/>
    <n v="1"/>
    <x v="0"/>
    <s v="In-person"/>
    <s v="Needs improvement"/>
    <x v="2"/>
    <n v="68"/>
    <d v="2024-06-22T00:00:00"/>
    <x v="2"/>
    <x v="2"/>
    <x v="0"/>
  </r>
  <r>
    <n v="759"/>
    <n v="73903"/>
    <s v="Kim Jennings"/>
    <x v="3"/>
    <x v="1"/>
    <x v="254"/>
    <d v="2024-03-17T00:00:00"/>
    <n v="14"/>
    <x v="0"/>
    <x v="1"/>
    <n v="4"/>
    <n v="3"/>
    <n v="2"/>
    <n v="1"/>
    <n v="1"/>
    <x v="3"/>
    <n v="1"/>
    <n v="4"/>
    <n v="2"/>
    <n v="1"/>
    <x v="1"/>
    <s v="Feedback Form"/>
    <s v="Poor service"/>
    <x v="0"/>
    <n v="65"/>
    <d v="2024-09-19T00:00:00"/>
    <x v="2"/>
    <x v="9"/>
    <x v="1"/>
  </r>
  <r>
    <n v="760"/>
    <n v="29961"/>
    <s v="Jennifer Brown"/>
    <x v="0"/>
    <x v="3"/>
    <x v="467"/>
    <d v="2024-03-31T00:00:00"/>
    <n v="1"/>
    <x v="3"/>
    <x v="1"/>
    <n v="4"/>
    <n v="3"/>
    <n v="5"/>
    <n v="3"/>
    <n v="5"/>
    <x v="3"/>
    <n v="1"/>
    <n v="4"/>
    <n v="3"/>
    <n v="2"/>
    <x v="1"/>
    <s v="In-person"/>
    <s v="Needs improvement"/>
    <x v="0"/>
    <n v="58"/>
    <d v="2024-03-31T00:00:00"/>
    <x v="2"/>
    <x v="13"/>
    <x v="0"/>
  </r>
  <r>
    <n v="761"/>
    <n v="78107"/>
    <s v="Christopher Robinson"/>
    <x v="2"/>
    <x v="3"/>
    <x v="387"/>
    <d v="2024-08-20T00:00:00"/>
    <n v="11"/>
    <x v="0"/>
    <x v="2"/>
    <n v="1"/>
    <n v="2"/>
    <n v="3"/>
    <n v="3"/>
    <n v="1"/>
    <x v="4"/>
    <n v="1"/>
    <n v="5"/>
    <n v="1"/>
    <n v="4"/>
    <x v="1"/>
    <s v="App Review"/>
    <s v="Poor service"/>
    <x v="0"/>
    <n v="67"/>
    <d v="2024-08-20T00:00:00"/>
    <x v="2"/>
    <x v="19"/>
    <x v="1"/>
  </r>
  <r>
    <n v="762"/>
    <n v="26616"/>
    <s v="Brian Gilbert"/>
    <x v="0"/>
    <x v="3"/>
    <x v="311"/>
    <d v="2023-01-23T00:00:00"/>
    <n v="10"/>
    <x v="2"/>
    <x v="3"/>
    <n v="3"/>
    <n v="3"/>
    <n v="2"/>
    <n v="1"/>
    <n v="1"/>
    <x v="0"/>
    <n v="4"/>
    <n v="2"/>
    <n v="1"/>
    <n v="1"/>
    <x v="0"/>
    <s v="App Review"/>
    <s v="Needs improvement"/>
    <x v="0"/>
    <n v="66"/>
    <d v="2023-04-10T00:00:00"/>
    <x v="2"/>
    <x v="17"/>
    <x v="1"/>
  </r>
  <r>
    <n v="763"/>
    <n v="94572"/>
    <s v="Karen Waters"/>
    <x v="1"/>
    <x v="3"/>
    <x v="226"/>
    <d v="2024-03-09T00:00:00"/>
    <n v="6"/>
    <x v="0"/>
    <x v="2"/>
    <n v="3"/>
    <n v="5"/>
    <n v="2"/>
    <n v="2"/>
    <n v="3"/>
    <x v="4"/>
    <n v="5"/>
    <n v="3"/>
    <n v="5"/>
    <n v="1"/>
    <x v="1"/>
    <s v="Feedback Form"/>
    <s v="Poor service"/>
    <x v="0"/>
    <n v="24"/>
    <d v="2024-10-06T00:00:00"/>
    <x v="0"/>
    <x v="2"/>
    <x v="0"/>
  </r>
  <r>
    <n v="764"/>
    <n v="43984"/>
    <s v="Clifford Yates"/>
    <x v="1"/>
    <x v="1"/>
    <x v="166"/>
    <d v="2024-07-03T00:00:00"/>
    <n v="2"/>
    <x v="1"/>
    <x v="2"/>
    <n v="1"/>
    <n v="4"/>
    <n v="1"/>
    <n v="5"/>
    <n v="1"/>
    <x v="1"/>
    <n v="1"/>
    <n v="5"/>
    <n v="2"/>
    <n v="4"/>
    <x v="1"/>
    <s v="In-person"/>
    <s v="Great stay"/>
    <x v="0"/>
    <n v="38"/>
    <d v="2024-07-03T00:00:00"/>
    <x v="1"/>
    <x v="4"/>
    <x v="1"/>
  </r>
  <r>
    <n v="765"/>
    <n v="13539"/>
    <s v="James Brown"/>
    <x v="4"/>
    <x v="3"/>
    <x v="116"/>
    <d v="2024-01-10T00:00:00"/>
    <n v="7"/>
    <x v="1"/>
    <x v="4"/>
    <n v="1"/>
    <n v="4"/>
    <n v="1"/>
    <n v="5"/>
    <n v="5"/>
    <x v="1"/>
    <n v="5"/>
    <n v="5"/>
    <n v="4"/>
    <n v="1"/>
    <x v="1"/>
    <s v="Email"/>
    <s v="Poor service"/>
    <x v="0"/>
    <n v="34"/>
    <d v="2024-11-02T00:00:00"/>
    <x v="3"/>
    <x v="11"/>
    <x v="0"/>
  </r>
  <r>
    <n v="766"/>
    <n v="43289"/>
    <s v="Heather Torres"/>
    <x v="3"/>
    <x v="1"/>
    <x v="274"/>
    <d v="2024-09-05T00:00:00"/>
    <n v="4"/>
    <x v="3"/>
    <x v="0"/>
    <n v="3"/>
    <n v="5"/>
    <n v="4"/>
    <n v="2"/>
    <n v="5"/>
    <x v="0"/>
    <n v="1"/>
    <n v="1"/>
    <n v="5"/>
    <n v="3"/>
    <x v="1"/>
    <s v="App Review"/>
    <s v="Great stay"/>
    <x v="2"/>
    <n v="37"/>
    <d v="2024-09-05T00:00:00"/>
    <x v="1"/>
    <x v="10"/>
    <x v="0"/>
  </r>
  <r>
    <n v="767"/>
    <n v="72076"/>
    <s v="Justin Allen"/>
    <x v="2"/>
    <x v="3"/>
    <x v="468"/>
    <d v="2024-10-16T00:00:00"/>
    <n v="4"/>
    <x v="1"/>
    <x v="3"/>
    <n v="1"/>
    <n v="5"/>
    <n v="4"/>
    <n v="5"/>
    <n v="1"/>
    <x v="4"/>
    <n v="4"/>
    <n v="3"/>
    <n v="1"/>
    <n v="3"/>
    <x v="0"/>
    <s v="In-person"/>
    <s v="Great stay"/>
    <x v="0"/>
    <n v="18"/>
    <d v="2024-10-16T00:00:00"/>
    <x v="0"/>
    <x v="3"/>
    <x v="1"/>
  </r>
  <r>
    <n v="768"/>
    <n v="86562"/>
    <s v="Jonathan Baker"/>
    <x v="3"/>
    <x v="3"/>
    <x v="469"/>
    <d v="2023-08-10T00:00:00"/>
    <n v="9"/>
    <x v="1"/>
    <x v="3"/>
    <n v="3"/>
    <n v="3"/>
    <n v="3"/>
    <n v="4"/>
    <n v="5"/>
    <x v="4"/>
    <n v="1"/>
    <n v="3"/>
    <n v="1"/>
    <n v="2"/>
    <x v="0"/>
    <s v="Online Survey"/>
    <s v="Will visit again"/>
    <x v="0"/>
    <n v="49"/>
    <d v="2023-08-10T00:00:00"/>
    <x v="1"/>
    <x v="7"/>
    <x v="1"/>
  </r>
  <r>
    <n v="769"/>
    <n v="94986"/>
    <s v="Michelle Jones"/>
    <x v="1"/>
    <x v="2"/>
    <x v="276"/>
    <d v="2023-04-24T00:00:00"/>
    <n v="13"/>
    <x v="2"/>
    <x v="3"/>
    <n v="1"/>
    <n v="5"/>
    <n v="4"/>
    <n v="3"/>
    <n v="5"/>
    <x v="4"/>
    <n v="5"/>
    <n v="4"/>
    <n v="5"/>
    <n v="2"/>
    <x v="1"/>
    <s v="App Review"/>
    <s v="Great stay"/>
    <x v="2"/>
    <n v="57"/>
    <d v="2023-08-25T00:00:00"/>
    <x v="2"/>
    <x v="18"/>
    <x v="0"/>
  </r>
  <r>
    <n v="770"/>
    <n v="21391"/>
    <s v="Joseph Page"/>
    <x v="2"/>
    <x v="4"/>
    <x v="470"/>
    <d v="2024-12-04T00:00:00"/>
    <n v="1"/>
    <x v="2"/>
    <x v="4"/>
    <n v="3"/>
    <n v="3"/>
    <n v="2"/>
    <n v="4"/>
    <n v="3"/>
    <x v="2"/>
    <n v="2"/>
    <n v="1"/>
    <n v="5"/>
    <n v="2"/>
    <x v="1"/>
    <s v="Email"/>
    <s v="Will visit again"/>
    <x v="2"/>
    <n v="49"/>
    <d v="2024-12-04T00:00:00"/>
    <x v="1"/>
    <x v="5"/>
    <x v="1"/>
  </r>
  <r>
    <n v="771"/>
    <n v="92260"/>
    <s v="Tami Khan"/>
    <x v="4"/>
    <x v="0"/>
    <x v="471"/>
    <d v="2024-07-14T00:00:00"/>
    <n v="6"/>
    <x v="1"/>
    <x v="2"/>
    <n v="2"/>
    <n v="1"/>
    <n v="2"/>
    <n v="5"/>
    <n v="2"/>
    <x v="2"/>
    <n v="5"/>
    <n v="3"/>
    <n v="5"/>
    <n v="3"/>
    <x v="1"/>
    <s v="App Review"/>
    <s v="Poor service"/>
    <x v="0"/>
    <n v="37"/>
    <d v="2024-07-14T00:00:00"/>
    <x v="1"/>
    <x v="2"/>
    <x v="0"/>
  </r>
  <r>
    <n v="772"/>
    <n v="54906"/>
    <s v="Alicia Carpenter"/>
    <x v="1"/>
    <x v="0"/>
    <x v="46"/>
    <d v="2024-06-23T00:00:00"/>
    <n v="2"/>
    <x v="3"/>
    <x v="4"/>
    <n v="3"/>
    <n v="2"/>
    <n v="2"/>
    <n v="5"/>
    <n v="2"/>
    <x v="4"/>
    <n v="2"/>
    <n v="3"/>
    <n v="1"/>
    <n v="2"/>
    <x v="0"/>
    <s v="In-person"/>
    <s v="Average"/>
    <x v="0"/>
    <n v="27"/>
    <d v="2024-06-23T00:00:00"/>
    <x v="3"/>
    <x v="9"/>
    <x v="1"/>
  </r>
  <r>
    <n v="773"/>
    <n v="87666"/>
    <s v="Kevin Adams"/>
    <x v="1"/>
    <x v="0"/>
    <x v="307"/>
    <d v="2024-01-08T00:00:00"/>
    <n v="6"/>
    <x v="1"/>
    <x v="1"/>
    <n v="3"/>
    <n v="2"/>
    <n v="2"/>
    <n v="3"/>
    <n v="4"/>
    <x v="2"/>
    <n v="5"/>
    <n v="4"/>
    <n v="4"/>
    <n v="2"/>
    <x v="1"/>
    <s v="Feedback Form"/>
    <s v="Will visit again"/>
    <x v="1"/>
    <n v="23"/>
    <d v="2024-03-19T00:00:00"/>
    <x v="0"/>
    <x v="0"/>
    <x v="0"/>
  </r>
  <r>
    <n v="774"/>
    <n v="18250"/>
    <s v="Robert Curtis"/>
    <x v="3"/>
    <x v="4"/>
    <x v="468"/>
    <d v="2024-10-11T00:00:00"/>
    <n v="7"/>
    <x v="2"/>
    <x v="0"/>
    <n v="4"/>
    <n v="2"/>
    <n v="1"/>
    <n v="4"/>
    <n v="2"/>
    <x v="4"/>
    <n v="1"/>
    <n v="1"/>
    <n v="1"/>
    <n v="3"/>
    <x v="1"/>
    <s v="Online Survey"/>
    <s v="Average"/>
    <x v="0"/>
    <n v="58"/>
    <d v="2024-10-11T00:00:00"/>
    <x v="2"/>
    <x v="15"/>
    <x v="1"/>
  </r>
  <r>
    <n v="775"/>
    <n v="59135"/>
    <s v="Lynn Liu"/>
    <x v="0"/>
    <x v="1"/>
    <x v="4"/>
    <d v="2024-12-08T00:00:00"/>
    <n v="3"/>
    <x v="0"/>
    <x v="0"/>
    <n v="3"/>
    <n v="1"/>
    <n v="2"/>
    <n v="3"/>
    <n v="1"/>
    <x v="1"/>
    <n v="1"/>
    <n v="1"/>
    <n v="5"/>
    <n v="4"/>
    <x v="0"/>
    <s v="Email"/>
    <s v="Poor service"/>
    <x v="1"/>
    <n v="50"/>
    <d v="2024-12-08T00:00:00"/>
    <x v="1"/>
    <x v="7"/>
    <x v="1"/>
  </r>
  <r>
    <n v="776"/>
    <n v="31065"/>
    <s v="Calvin Duncan"/>
    <x v="3"/>
    <x v="0"/>
    <x v="222"/>
    <d v="2024-12-19T00:00:00"/>
    <n v="4"/>
    <x v="3"/>
    <x v="4"/>
    <n v="1"/>
    <n v="2"/>
    <n v="2"/>
    <n v="5"/>
    <n v="5"/>
    <x v="4"/>
    <n v="5"/>
    <n v="2"/>
    <n v="2"/>
    <n v="2"/>
    <x v="1"/>
    <s v="App Review"/>
    <s v="Will visit again"/>
    <x v="1"/>
    <n v="27"/>
    <d v="2024-12-19T00:00:00"/>
    <x v="3"/>
    <x v="5"/>
    <x v="1"/>
  </r>
  <r>
    <n v="777"/>
    <n v="64785"/>
    <s v="Rachel Johnson"/>
    <x v="1"/>
    <x v="0"/>
    <x v="472"/>
    <d v="2023-03-11T00:00:00"/>
    <n v="2"/>
    <x v="3"/>
    <x v="2"/>
    <n v="5"/>
    <n v="3"/>
    <n v="2"/>
    <n v="3"/>
    <n v="2"/>
    <x v="2"/>
    <n v="1"/>
    <n v="5"/>
    <n v="4"/>
    <n v="1"/>
    <x v="1"/>
    <s v="Email"/>
    <s v="Poor service"/>
    <x v="2"/>
    <n v="42"/>
    <d v="2024-06-29T00:00:00"/>
    <x v="1"/>
    <x v="3"/>
    <x v="1"/>
  </r>
  <r>
    <n v="778"/>
    <n v="16703"/>
    <s v="David Neal"/>
    <x v="3"/>
    <x v="0"/>
    <x v="473"/>
    <d v="2024-04-17T00:00:00"/>
    <n v="7"/>
    <x v="1"/>
    <x v="3"/>
    <n v="1"/>
    <n v="4"/>
    <n v="5"/>
    <n v="3"/>
    <n v="3"/>
    <x v="0"/>
    <n v="1"/>
    <n v="2"/>
    <n v="3"/>
    <n v="3"/>
    <x v="1"/>
    <s v="Feedback Form"/>
    <s v="Average"/>
    <x v="1"/>
    <n v="41"/>
    <d v="2024-09-08T00:00:00"/>
    <x v="1"/>
    <x v="3"/>
    <x v="1"/>
  </r>
  <r>
    <n v="779"/>
    <n v="61754"/>
    <s v="Kristine Vargas"/>
    <x v="0"/>
    <x v="1"/>
    <x v="222"/>
    <d v="2024-12-19T00:00:00"/>
    <n v="9"/>
    <x v="0"/>
    <x v="1"/>
    <n v="4"/>
    <n v="2"/>
    <n v="3"/>
    <n v="5"/>
    <n v="4"/>
    <x v="1"/>
    <n v="4"/>
    <n v="1"/>
    <n v="1"/>
    <n v="4"/>
    <x v="0"/>
    <s v="Online Survey"/>
    <s v="Poor service"/>
    <x v="0"/>
    <n v="48"/>
    <d v="2024-12-19T00:00:00"/>
    <x v="1"/>
    <x v="1"/>
    <x v="0"/>
  </r>
  <r>
    <n v="780"/>
    <n v="83854"/>
    <s v="Pedro Blair"/>
    <x v="4"/>
    <x v="4"/>
    <x v="401"/>
    <d v="2024-09-28T00:00:00"/>
    <n v="5"/>
    <x v="3"/>
    <x v="1"/>
    <n v="1"/>
    <n v="2"/>
    <n v="3"/>
    <n v="3"/>
    <n v="1"/>
    <x v="3"/>
    <n v="3"/>
    <n v="4"/>
    <n v="4"/>
    <n v="1"/>
    <x v="0"/>
    <s v="Email"/>
    <s v="Average"/>
    <x v="1"/>
    <n v="46"/>
    <d v="2024-09-28T00:00:00"/>
    <x v="1"/>
    <x v="7"/>
    <x v="1"/>
  </r>
  <r>
    <n v="781"/>
    <n v="79966"/>
    <s v="Susan Scott"/>
    <x v="2"/>
    <x v="4"/>
    <x v="93"/>
    <d v="2023-03-14T00:00:00"/>
    <n v="11"/>
    <x v="3"/>
    <x v="0"/>
    <n v="2"/>
    <n v="3"/>
    <n v="2"/>
    <n v="4"/>
    <n v="2"/>
    <x v="0"/>
    <n v="3"/>
    <n v="2"/>
    <n v="4"/>
    <n v="1"/>
    <x v="1"/>
    <s v="In-person"/>
    <s v="Great stay"/>
    <x v="2"/>
    <n v="29"/>
    <d v="2023-03-24T00:00:00"/>
    <x v="3"/>
    <x v="7"/>
    <x v="1"/>
  </r>
  <r>
    <n v="782"/>
    <n v="47621"/>
    <s v="Destiny Singleton MD"/>
    <x v="1"/>
    <x v="1"/>
    <x v="474"/>
    <d v="2024-11-08T00:00:00"/>
    <n v="5"/>
    <x v="2"/>
    <x v="2"/>
    <n v="5"/>
    <n v="3"/>
    <n v="2"/>
    <n v="5"/>
    <n v="5"/>
    <x v="0"/>
    <n v="5"/>
    <n v="4"/>
    <n v="5"/>
    <n v="5"/>
    <x v="1"/>
    <s v="In-person"/>
    <s v="Average"/>
    <x v="1"/>
    <n v="60"/>
    <d v="2024-11-08T00:00:00"/>
    <x v="2"/>
    <x v="6"/>
    <x v="2"/>
  </r>
  <r>
    <n v="783"/>
    <n v="85159"/>
    <s v="Amber Hill"/>
    <x v="3"/>
    <x v="2"/>
    <x v="257"/>
    <d v="2024-10-22T00:00:00"/>
    <n v="9"/>
    <x v="1"/>
    <x v="3"/>
    <n v="5"/>
    <n v="2"/>
    <n v="3"/>
    <n v="3"/>
    <n v="3"/>
    <x v="3"/>
    <n v="3"/>
    <n v="1"/>
    <n v="4"/>
    <n v="4"/>
    <x v="1"/>
    <s v="Email"/>
    <s v="Average"/>
    <x v="1"/>
    <n v="54"/>
    <d v="2024-10-22T00:00:00"/>
    <x v="2"/>
    <x v="10"/>
    <x v="0"/>
  </r>
  <r>
    <n v="784"/>
    <n v="44936"/>
    <s v="Stephen Stephens"/>
    <x v="1"/>
    <x v="3"/>
    <x v="475"/>
    <d v="2024-06-12T00:00:00"/>
    <n v="8"/>
    <x v="1"/>
    <x v="0"/>
    <n v="4"/>
    <n v="5"/>
    <n v="4"/>
    <n v="2"/>
    <n v="2"/>
    <x v="1"/>
    <n v="2"/>
    <n v="4"/>
    <n v="1"/>
    <n v="5"/>
    <x v="0"/>
    <s v="Online Survey"/>
    <s v="Great stay"/>
    <x v="1"/>
    <n v="68"/>
    <d v="2024-10-28T00:00:00"/>
    <x v="2"/>
    <x v="13"/>
    <x v="0"/>
  </r>
  <r>
    <n v="785"/>
    <n v="40439"/>
    <s v="Kimberly Frost"/>
    <x v="2"/>
    <x v="1"/>
    <x v="247"/>
    <d v="2024-11-22T00:00:00"/>
    <n v="1"/>
    <x v="3"/>
    <x v="2"/>
    <n v="5"/>
    <n v="1"/>
    <n v="5"/>
    <n v="4"/>
    <n v="5"/>
    <x v="3"/>
    <n v="5"/>
    <n v="2"/>
    <n v="2"/>
    <n v="3"/>
    <x v="0"/>
    <s v="App Review"/>
    <s v="Will visit again"/>
    <x v="1"/>
    <n v="59"/>
    <d v="2024-11-22T00:00:00"/>
    <x v="2"/>
    <x v="11"/>
    <x v="0"/>
  </r>
  <r>
    <n v="786"/>
    <n v="60460"/>
    <s v="Nicholas Roberts"/>
    <x v="3"/>
    <x v="3"/>
    <x v="476"/>
    <d v="2023-02-10T00:00:00"/>
    <n v="2"/>
    <x v="0"/>
    <x v="3"/>
    <n v="3"/>
    <n v="4"/>
    <n v="5"/>
    <n v="4"/>
    <n v="2"/>
    <x v="1"/>
    <n v="5"/>
    <n v="1"/>
    <n v="4"/>
    <n v="4"/>
    <x v="0"/>
    <s v="In-person"/>
    <s v="Needs improvement"/>
    <x v="1"/>
    <n v="67"/>
    <d v="2024-08-30T00:00:00"/>
    <x v="2"/>
    <x v="16"/>
    <x v="0"/>
  </r>
  <r>
    <n v="787"/>
    <n v="69469"/>
    <s v="Ashley Gordon"/>
    <x v="4"/>
    <x v="4"/>
    <x v="359"/>
    <d v="2024-02-06T00:00:00"/>
    <n v="7"/>
    <x v="0"/>
    <x v="4"/>
    <n v="4"/>
    <n v="4"/>
    <n v="4"/>
    <n v="4"/>
    <n v="1"/>
    <x v="1"/>
    <n v="2"/>
    <n v="1"/>
    <n v="1"/>
    <n v="5"/>
    <x v="1"/>
    <s v="App Review"/>
    <s v="Will visit again"/>
    <x v="1"/>
    <n v="26"/>
    <d v="2024-09-24T00:00:00"/>
    <x v="3"/>
    <x v="0"/>
    <x v="0"/>
  </r>
  <r>
    <n v="788"/>
    <n v="77129"/>
    <s v="Ronald Cox"/>
    <x v="2"/>
    <x v="3"/>
    <x v="308"/>
    <d v="2024-01-01T00:00:00"/>
    <n v="3"/>
    <x v="0"/>
    <x v="2"/>
    <n v="2"/>
    <n v="1"/>
    <n v="2"/>
    <n v="1"/>
    <n v="4"/>
    <x v="1"/>
    <n v="3"/>
    <n v="2"/>
    <n v="5"/>
    <n v="3"/>
    <x v="1"/>
    <s v="App Review"/>
    <s v="Needs improvement"/>
    <x v="1"/>
    <n v="46"/>
    <d v="2024-01-01T00:00:00"/>
    <x v="1"/>
    <x v="3"/>
    <x v="1"/>
  </r>
  <r>
    <n v="789"/>
    <n v="25941"/>
    <s v="Julie Coffey"/>
    <x v="0"/>
    <x v="0"/>
    <x v="477"/>
    <d v="2024-07-20T00:00:00"/>
    <n v="6"/>
    <x v="0"/>
    <x v="1"/>
    <n v="5"/>
    <n v="2"/>
    <n v="3"/>
    <n v="5"/>
    <n v="5"/>
    <x v="0"/>
    <n v="2"/>
    <n v="5"/>
    <n v="4"/>
    <n v="2"/>
    <x v="1"/>
    <s v="Email"/>
    <s v="Great stay"/>
    <x v="2"/>
    <n v="20"/>
    <d v="2024-07-20T00:00:00"/>
    <x v="0"/>
    <x v="11"/>
    <x v="0"/>
  </r>
  <r>
    <n v="790"/>
    <n v="88088"/>
    <s v="Calvin Macdonald"/>
    <x v="0"/>
    <x v="3"/>
    <x v="245"/>
    <d v="2024-03-13T00:00:00"/>
    <n v="1"/>
    <x v="1"/>
    <x v="2"/>
    <n v="5"/>
    <n v="2"/>
    <n v="5"/>
    <n v="1"/>
    <n v="4"/>
    <x v="1"/>
    <n v="1"/>
    <n v="2"/>
    <n v="3"/>
    <n v="1"/>
    <x v="1"/>
    <s v="In-person"/>
    <s v="Will visit again"/>
    <x v="0"/>
    <n v="21"/>
    <d v="2024-10-07T00:00:00"/>
    <x v="0"/>
    <x v="4"/>
    <x v="1"/>
  </r>
  <r>
    <n v="791"/>
    <n v="34267"/>
    <s v="Mrs. Jessica Dunn"/>
    <x v="1"/>
    <x v="3"/>
    <x v="345"/>
    <d v="2023-10-30T00:00:00"/>
    <n v="8"/>
    <x v="2"/>
    <x v="2"/>
    <n v="4"/>
    <n v="2"/>
    <n v="4"/>
    <n v="3"/>
    <n v="4"/>
    <x v="3"/>
    <n v="5"/>
    <n v="2"/>
    <n v="3"/>
    <n v="3"/>
    <x v="0"/>
    <s v="Email"/>
    <s v="Poor service"/>
    <x v="2"/>
    <n v="38"/>
    <d v="2024-07-24T00:00:00"/>
    <x v="1"/>
    <x v="13"/>
    <x v="0"/>
  </r>
  <r>
    <n v="792"/>
    <n v="80313"/>
    <s v="Kimberly Crawford"/>
    <x v="0"/>
    <x v="4"/>
    <x v="478"/>
    <d v="2024-12-13T00:00:00"/>
    <n v="2"/>
    <x v="0"/>
    <x v="2"/>
    <n v="5"/>
    <n v="2"/>
    <n v="4"/>
    <n v="5"/>
    <n v="3"/>
    <x v="0"/>
    <n v="4"/>
    <n v="3"/>
    <n v="2"/>
    <n v="4"/>
    <x v="1"/>
    <s v="Feedback Form"/>
    <s v="Poor service"/>
    <x v="1"/>
    <n v="23"/>
    <d v="2024-12-13T00:00:00"/>
    <x v="0"/>
    <x v="18"/>
    <x v="0"/>
  </r>
  <r>
    <n v="793"/>
    <n v="65590"/>
    <s v="Marcus Warner"/>
    <x v="3"/>
    <x v="2"/>
    <x v="434"/>
    <d v="2024-07-13T00:00:00"/>
    <n v="1"/>
    <x v="0"/>
    <x v="3"/>
    <n v="5"/>
    <n v="2"/>
    <n v="1"/>
    <n v="4"/>
    <n v="5"/>
    <x v="1"/>
    <n v="2"/>
    <n v="1"/>
    <n v="5"/>
    <n v="1"/>
    <x v="0"/>
    <s v="App Review"/>
    <s v="Will visit again"/>
    <x v="1"/>
    <n v="19"/>
    <d v="2024-07-13T00:00:00"/>
    <x v="0"/>
    <x v="0"/>
    <x v="0"/>
  </r>
  <r>
    <n v="794"/>
    <n v="49876"/>
    <s v="Timothy Edwards"/>
    <x v="0"/>
    <x v="3"/>
    <x v="476"/>
    <d v="2024-12-02T00:00:00"/>
    <n v="2"/>
    <x v="2"/>
    <x v="3"/>
    <n v="2"/>
    <n v="4"/>
    <n v="4"/>
    <n v="4"/>
    <n v="3"/>
    <x v="2"/>
    <n v="5"/>
    <n v="3"/>
    <n v="1"/>
    <n v="1"/>
    <x v="1"/>
    <s v="Online Survey"/>
    <s v="Poor service"/>
    <x v="2"/>
    <n v="54"/>
    <d v="2024-12-02T00:00:00"/>
    <x v="2"/>
    <x v="4"/>
    <x v="1"/>
  </r>
  <r>
    <n v="795"/>
    <n v="83974"/>
    <s v="Renee Bryan"/>
    <x v="4"/>
    <x v="4"/>
    <x v="277"/>
    <d v="2024-12-26T00:00:00"/>
    <n v="8"/>
    <x v="1"/>
    <x v="4"/>
    <n v="2"/>
    <n v="2"/>
    <n v="1"/>
    <n v="4"/>
    <n v="4"/>
    <x v="2"/>
    <n v="5"/>
    <n v="3"/>
    <n v="4"/>
    <n v="3"/>
    <x v="1"/>
    <s v="App Review"/>
    <s v="Great stay"/>
    <x v="1"/>
    <n v="37"/>
    <d v="2024-12-26T00:00:00"/>
    <x v="1"/>
    <x v="2"/>
    <x v="0"/>
  </r>
  <r>
    <n v="796"/>
    <n v="40507"/>
    <s v="Janet Russell"/>
    <x v="3"/>
    <x v="0"/>
    <x v="334"/>
    <d v="2024-01-10T00:00:00"/>
    <n v="13"/>
    <x v="2"/>
    <x v="4"/>
    <n v="4"/>
    <n v="3"/>
    <n v="1"/>
    <n v="4"/>
    <n v="1"/>
    <x v="1"/>
    <n v="2"/>
    <n v="3"/>
    <n v="1"/>
    <n v="2"/>
    <x v="0"/>
    <s v="Online Survey"/>
    <s v="Poor service"/>
    <x v="2"/>
    <n v="62"/>
    <d v="2024-01-10T00:00:00"/>
    <x v="2"/>
    <x v="7"/>
    <x v="1"/>
  </r>
  <r>
    <n v="797"/>
    <n v="88656"/>
    <s v="Dennis Thomas"/>
    <x v="1"/>
    <x v="3"/>
    <x v="365"/>
    <d v="2024-06-29T00:00:00"/>
    <n v="10"/>
    <x v="2"/>
    <x v="3"/>
    <n v="5"/>
    <n v="5"/>
    <n v="5"/>
    <n v="3"/>
    <n v="1"/>
    <x v="2"/>
    <n v="4"/>
    <n v="4"/>
    <n v="3"/>
    <n v="3"/>
    <x v="0"/>
    <s v="Email"/>
    <s v="Poor service"/>
    <x v="1"/>
    <n v="50"/>
    <d v="2024-06-29T00:00:00"/>
    <x v="1"/>
    <x v="18"/>
    <x v="0"/>
  </r>
  <r>
    <n v="798"/>
    <n v="36057"/>
    <s v="Cynthia Miller"/>
    <x v="1"/>
    <x v="3"/>
    <x v="479"/>
    <d v="2024-07-24T00:00:00"/>
    <n v="14"/>
    <x v="0"/>
    <x v="3"/>
    <n v="1"/>
    <n v="2"/>
    <n v="2"/>
    <n v="2"/>
    <n v="2"/>
    <x v="4"/>
    <n v="5"/>
    <n v="2"/>
    <n v="5"/>
    <n v="5"/>
    <x v="1"/>
    <s v="In-person"/>
    <s v="Needs improvement"/>
    <x v="1"/>
    <n v="31"/>
    <d v="2024-07-24T00:00:00"/>
    <x v="3"/>
    <x v="5"/>
    <x v="1"/>
  </r>
  <r>
    <n v="799"/>
    <n v="93926"/>
    <s v="John Marsh"/>
    <x v="0"/>
    <x v="0"/>
    <x v="364"/>
    <d v="2024-07-03T00:00:00"/>
    <n v="5"/>
    <x v="2"/>
    <x v="0"/>
    <n v="4"/>
    <n v="3"/>
    <n v="2"/>
    <n v="5"/>
    <n v="2"/>
    <x v="0"/>
    <n v="1"/>
    <n v="3"/>
    <n v="1"/>
    <n v="5"/>
    <x v="0"/>
    <s v="App Review"/>
    <s v="Needs improvement"/>
    <x v="0"/>
    <n v="37"/>
    <d v="2024-07-03T00:00:00"/>
    <x v="1"/>
    <x v="4"/>
    <x v="1"/>
  </r>
  <r>
    <n v="800"/>
    <n v="72468"/>
    <s v="Eric Taylor"/>
    <x v="0"/>
    <x v="1"/>
    <x v="385"/>
    <d v="2024-02-15T00:00:00"/>
    <n v="12"/>
    <x v="2"/>
    <x v="2"/>
    <n v="2"/>
    <n v="4"/>
    <n v="4"/>
    <n v="2"/>
    <n v="5"/>
    <x v="4"/>
    <n v="1"/>
    <n v="4"/>
    <n v="4"/>
    <n v="5"/>
    <x v="0"/>
    <s v="Feedback Form"/>
    <s v="Average"/>
    <x v="1"/>
    <n v="60"/>
    <d v="2024-02-15T00:00:00"/>
    <x v="2"/>
    <x v="10"/>
    <x v="0"/>
  </r>
  <r>
    <n v="801"/>
    <n v="73180"/>
    <s v="Nicolas Flores"/>
    <x v="1"/>
    <x v="2"/>
    <x v="388"/>
    <d v="2024-06-25T00:00:00"/>
    <n v="9"/>
    <x v="1"/>
    <x v="2"/>
    <n v="1"/>
    <n v="3"/>
    <n v="3"/>
    <n v="5"/>
    <n v="1"/>
    <x v="0"/>
    <n v="1"/>
    <n v="4"/>
    <n v="5"/>
    <n v="4"/>
    <x v="0"/>
    <s v="App Review"/>
    <s v="Great stay"/>
    <x v="0"/>
    <n v="19"/>
    <d v="2024-08-10T00:00:00"/>
    <x v="0"/>
    <x v="2"/>
    <x v="0"/>
  </r>
  <r>
    <n v="802"/>
    <n v="79065"/>
    <s v="Tammy Wheeler"/>
    <x v="3"/>
    <x v="0"/>
    <x v="480"/>
    <d v="2023-02-09T00:00:00"/>
    <n v="12"/>
    <x v="0"/>
    <x v="1"/>
    <n v="5"/>
    <n v="1"/>
    <n v="3"/>
    <n v="4"/>
    <n v="4"/>
    <x v="3"/>
    <n v="4"/>
    <n v="1"/>
    <n v="4"/>
    <n v="3"/>
    <x v="1"/>
    <s v="Online Survey"/>
    <s v="Poor service"/>
    <x v="0"/>
    <n v="64"/>
    <d v="2024-07-20T00:00:00"/>
    <x v="2"/>
    <x v="1"/>
    <x v="0"/>
  </r>
  <r>
    <n v="803"/>
    <n v="24584"/>
    <s v="Tiffany Arnold"/>
    <x v="2"/>
    <x v="0"/>
    <x v="330"/>
    <d v="2023-09-18T00:00:00"/>
    <n v="3"/>
    <x v="0"/>
    <x v="3"/>
    <n v="4"/>
    <n v="1"/>
    <n v="1"/>
    <n v="1"/>
    <n v="1"/>
    <x v="2"/>
    <n v="3"/>
    <n v="2"/>
    <n v="4"/>
    <n v="1"/>
    <x v="0"/>
    <s v="Online Survey"/>
    <s v="Great stay"/>
    <x v="2"/>
    <n v="24"/>
    <d v="2023-09-18T00:00:00"/>
    <x v="0"/>
    <x v="15"/>
    <x v="1"/>
  </r>
  <r>
    <n v="804"/>
    <n v="67778"/>
    <s v="Brianna Jones"/>
    <x v="1"/>
    <x v="0"/>
    <x v="474"/>
    <d v="2024-11-08T00:00:00"/>
    <n v="8"/>
    <x v="3"/>
    <x v="3"/>
    <n v="4"/>
    <n v="3"/>
    <n v="4"/>
    <n v="3"/>
    <n v="5"/>
    <x v="2"/>
    <n v="1"/>
    <n v="5"/>
    <n v="5"/>
    <n v="4"/>
    <x v="1"/>
    <s v="Online Survey"/>
    <s v="Great stay"/>
    <x v="0"/>
    <n v="54"/>
    <d v="2024-11-08T00:00:00"/>
    <x v="2"/>
    <x v="11"/>
    <x v="0"/>
  </r>
  <r>
    <n v="805"/>
    <n v="32632"/>
    <s v="Pamela Smith"/>
    <x v="4"/>
    <x v="1"/>
    <x v="51"/>
    <d v="2024-09-09T00:00:00"/>
    <n v="4"/>
    <x v="0"/>
    <x v="4"/>
    <n v="2"/>
    <n v="2"/>
    <n v="4"/>
    <n v="5"/>
    <n v="2"/>
    <x v="2"/>
    <n v="2"/>
    <n v="2"/>
    <n v="5"/>
    <n v="5"/>
    <x v="1"/>
    <s v="In-person"/>
    <s v="Needs improvement"/>
    <x v="2"/>
    <n v="29"/>
    <d v="2024-09-09T00:00:00"/>
    <x v="3"/>
    <x v="0"/>
    <x v="0"/>
  </r>
  <r>
    <n v="806"/>
    <n v="28673"/>
    <s v="Jorge Johnson"/>
    <x v="3"/>
    <x v="0"/>
    <x v="481"/>
    <d v="2024-01-26T00:00:00"/>
    <n v="7"/>
    <x v="1"/>
    <x v="4"/>
    <n v="3"/>
    <n v="2"/>
    <n v="2"/>
    <n v="4"/>
    <n v="2"/>
    <x v="1"/>
    <n v="3"/>
    <n v="4"/>
    <n v="4"/>
    <n v="4"/>
    <x v="0"/>
    <s v="Feedback Form"/>
    <s v="Poor service"/>
    <x v="2"/>
    <n v="66"/>
    <d v="2024-02-11T00:00:00"/>
    <x v="2"/>
    <x v="1"/>
    <x v="0"/>
  </r>
  <r>
    <n v="807"/>
    <n v="13343"/>
    <s v="Alyssa Noble"/>
    <x v="2"/>
    <x v="1"/>
    <x v="146"/>
    <d v="2024-02-15T00:00:00"/>
    <n v="10"/>
    <x v="1"/>
    <x v="2"/>
    <n v="3"/>
    <n v="2"/>
    <n v="3"/>
    <n v="1"/>
    <n v="3"/>
    <x v="0"/>
    <n v="2"/>
    <n v="2"/>
    <n v="3"/>
    <n v="1"/>
    <x v="0"/>
    <s v="Feedback Form"/>
    <s v="Average"/>
    <x v="0"/>
    <n v="33"/>
    <d v="2024-12-04T00:00:00"/>
    <x v="3"/>
    <x v="9"/>
    <x v="1"/>
  </r>
  <r>
    <n v="808"/>
    <n v="28950"/>
    <s v="Kelly Gray"/>
    <x v="2"/>
    <x v="2"/>
    <x v="427"/>
    <d v="2023-09-26T00:00:00"/>
    <n v="10"/>
    <x v="1"/>
    <x v="2"/>
    <n v="3"/>
    <n v="3"/>
    <n v="5"/>
    <n v="4"/>
    <n v="2"/>
    <x v="1"/>
    <n v="4"/>
    <n v="1"/>
    <n v="4"/>
    <n v="4"/>
    <x v="0"/>
    <s v="Online Survey"/>
    <s v="Will visit again"/>
    <x v="2"/>
    <n v="34"/>
    <d v="2024-06-05T00:00:00"/>
    <x v="3"/>
    <x v="18"/>
    <x v="0"/>
  </r>
  <r>
    <n v="809"/>
    <n v="90600"/>
    <s v="Shaun Cross"/>
    <x v="3"/>
    <x v="1"/>
    <x v="482"/>
    <d v="2024-05-09T00:00:00"/>
    <n v="8"/>
    <x v="3"/>
    <x v="3"/>
    <n v="4"/>
    <n v="1"/>
    <n v="4"/>
    <n v="3"/>
    <n v="4"/>
    <x v="2"/>
    <n v="1"/>
    <n v="2"/>
    <n v="5"/>
    <n v="2"/>
    <x v="1"/>
    <s v="Feedback Form"/>
    <s v="Average"/>
    <x v="0"/>
    <n v="48"/>
    <d v="2024-05-09T00:00:00"/>
    <x v="1"/>
    <x v="3"/>
    <x v="1"/>
  </r>
  <r>
    <n v="810"/>
    <n v="31547"/>
    <s v="David Ford"/>
    <x v="1"/>
    <x v="2"/>
    <x v="319"/>
    <d v="2024-12-11T00:00:00"/>
    <n v="3"/>
    <x v="3"/>
    <x v="2"/>
    <n v="2"/>
    <n v="1"/>
    <n v="4"/>
    <n v="1"/>
    <n v="5"/>
    <x v="3"/>
    <n v="5"/>
    <n v="4"/>
    <n v="2"/>
    <n v="5"/>
    <x v="1"/>
    <s v="Feedback Form"/>
    <s v="Needs improvement"/>
    <x v="1"/>
    <n v="24"/>
    <d v="2024-12-11T00:00:00"/>
    <x v="0"/>
    <x v="1"/>
    <x v="0"/>
  </r>
  <r>
    <n v="811"/>
    <n v="63027"/>
    <s v="Christy Le"/>
    <x v="2"/>
    <x v="2"/>
    <x v="333"/>
    <d v="2024-09-09T00:00:00"/>
    <n v="3"/>
    <x v="1"/>
    <x v="3"/>
    <n v="2"/>
    <n v="4"/>
    <n v="2"/>
    <n v="5"/>
    <n v="2"/>
    <x v="2"/>
    <n v="1"/>
    <n v="4"/>
    <n v="1"/>
    <n v="3"/>
    <x v="1"/>
    <s v="Email"/>
    <s v="Average"/>
    <x v="2"/>
    <n v="43"/>
    <d v="2024-09-09T00:00:00"/>
    <x v="1"/>
    <x v="7"/>
    <x v="1"/>
  </r>
  <r>
    <n v="812"/>
    <n v="74091"/>
    <s v="Anthony Jackson"/>
    <x v="4"/>
    <x v="2"/>
    <x v="483"/>
    <d v="2024-01-23T00:00:00"/>
    <n v="1"/>
    <x v="0"/>
    <x v="1"/>
    <n v="3"/>
    <n v="1"/>
    <n v="5"/>
    <n v="5"/>
    <n v="2"/>
    <x v="1"/>
    <n v="4"/>
    <n v="3"/>
    <n v="4"/>
    <n v="5"/>
    <x v="0"/>
    <s v="Feedback Form"/>
    <s v="Needs improvement"/>
    <x v="0"/>
    <n v="18"/>
    <d v="2024-01-23T00:00:00"/>
    <x v="0"/>
    <x v="16"/>
    <x v="0"/>
  </r>
  <r>
    <n v="813"/>
    <n v="57531"/>
    <s v="Leslie Vega"/>
    <x v="3"/>
    <x v="4"/>
    <x v="484"/>
    <d v="2023-07-13T00:00:00"/>
    <n v="8"/>
    <x v="3"/>
    <x v="1"/>
    <n v="1"/>
    <n v="1"/>
    <n v="5"/>
    <n v="5"/>
    <n v="4"/>
    <x v="2"/>
    <n v="1"/>
    <n v="4"/>
    <n v="1"/>
    <n v="5"/>
    <x v="1"/>
    <s v="Online Survey"/>
    <s v="Needs improvement"/>
    <x v="0"/>
    <n v="19"/>
    <d v="2024-01-15T00:00:00"/>
    <x v="0"/>
    <x v="4"/>
    <x v="1"/>
  </r>
  <r>
    <n v="814"/>
    <n v="51227"/>
    <s v="Bailey Reynolds"/>
    <x v="0"/>
    <x v="2"/>
    <x v="310"/>
    <d v="2024-08-18T00:00:00"/>
    <n v="2"/>
    <x v="0"/>
    <x v="0"/>
    <n v="3"/>
    <n v="5"/>
    <n v="5"/>
    <n v="5"/>
    <n v="2"/>
    <x v="4"/>
    <n v="1"/>
    <n v="1"/>
    <n v="4"/>
    <n v="3"/>
    <x v="0"/>
    <s v="In-person"/>
    <s v="Great stay"/>
    <x v="0"/>
    <n v="48"/>
    <d v="2024-12-19T00:00:00"/>
    <x v="1"/>
    <x v="2"/>
    <x v="0"/>
  </r>
  <r>
    <n v="815"/>
    <n v="57683"/>
    <s v="Rebecca Thompson"/>
    <x v="1"/>
    <x v="1"/>
    <x v="485"/>
    <d v="2024-07-01T00:00:00"/>
    <n v="7"/>
    <x v="3"/>
    <x v="4"/>
    <n v="4"/>
    <n v="1"/>
    <n v="5"/>
    <n v="1"/>
    <n v="4"/>
    <x v="4"/>
    <n v="1"/>
    <n v="4"/>
    <n v="4"/>
    <n v="3"/>
    <x v="0"/>
    <s v="Email"/>
    <s v="Poor service"/>
    <x v="0"/>
    <n v="37"/>
    <d v="2024-07-01T00:00:00"/>
    <x v="1"/>
    <x v="3"/>
    <x v="1"/>
  </r>
  <r>
    <n v="816"/>
    <n v="66171"/>
    <s v="Cody Lopez"/>
    <x v="3"/>
    <x v="4"/>
    <x v="12"/>
    <d v="2023-08-19T00:00:00"/>
    <n v="11"/>
    <x v="2"/>
    <x v="0"/>
    <n v="1"/>
    <n v="3"/>
    <n v="3"/>
    <n v="3"/>
    <n v="2"/>
    <x v="1"/>
    <n v="4"/>
    <n v="2"/>
    <n v="2"/>
    <n v="1"/>
    <x v="1"/>
    <s v="Feedback Form"/>
    <s v="Will visit again"/>
    <x v="1"/>
    <n v="54"/>
    <d v="2024-09-23T00:00:00"/>
    <x v="2"/>
    <x v="7"/>
    <x v="1"/>
  </r>
  <r>
    <n v="817"/>
    <n v="20390"/>
    <s v="Dustin Juarez"/>
    <x v="4"/>
    <x v="0"/>
    <x v="486"/>
    <d v="2023-08-24T00:00:00"/>
    <n v="7"/>
    <x v="1"/>
    <x v="1"/>
    <n v="2"/>
    <n v="2"/>
    <n v="1"/>
    <n v="1"/>
    <n v="4"/>
    <x v="4"/>
    <n v="1"/>
    <n v="5"/>
    <n v="5"/>
    <n v="1"/>
    <x v="0"/>
    <s v="Email"/>
    <s v="Needs improvement"/>
    <x v="2"/>
    <n v="50"/>
    <d v="2023-12-03T00:00:00"/>
    <x v="1"/>
    <x v="9"/>
    <x v="1"/>
  </r>
  <r>
    <n v="818"/>
    <n v="21879"/>
    <s v="Sean Jordan"/>
    <x v="2"/>
    <x v="0"/>
    <x v="219"/>
    <d v="2024-01-22T00:00:00"/>
    <n v="14"/>
    <x v="2"/>
    <x v="2"/>
    <n v="5"/>
    <n v="3"/>
    <n v="5"/>
    <n v="5"/>
    <n v="2"/>
    <x v="0"/>
    <n v="5"/>
    <n v="4"/>
    <n v="3"/>
    <n v="2"/>
    <x v="1"/>
    <s v="App Review"/>
    <s v="Needs improvement"/>
    <x v="0"/>
    <n v="30"/>
    <d v="2024-01-22T00:00:00"/>
    <x v="3"/>
    <x v="16"/>
    <x v="0"/>
  </r>
  <r>
    <n v="819"/>
    <n v="24935"/>
    <s v="Kelsey Wolf"/>
    <x v="1"/>
    <x v="3"/>
    <x v="270"/>
    <d v="2024-06-14T00:00:00"/>
    <n v="7"/>
    <x v="1"/>
    <x v="4"/>
    <n v="1"/>
    <n v="2"/>
    <n v="1"/>
    <n v="3"/>
    <n v="5"/>
    <x v="0"/>
    <n v="5"/>
    <n v="1"/>
    <n v="5"/>
    <n v="4"/>
    <x v="0"/>
    <s v="Email"/>
    <s v="Great stay"/>
    <x v="2"/>
    <n v="18"/>
    <d v="2024-11-16T00:00:00"/>
    <x v="0"/>
    <x v="2"/>
    <x v="0"/>
  </r>
  <r>
    <n v="820"/>
    <n v="63629"/>
    <s v="Ann Vasquez"/>
    <x v="1"/>
    <x v="2"/>
    <x v="463"/>
    <d v="2023-10-12T00:00:00"/>
    <n v="4"/>
    <x v="2"/>
    <x v="4"/>
    <n v="2"/>
    <n v="2"/>
    <n v="1"/>
    <n v="2"/>
    <n v="3"/>
    <x v="1"/>
    <n v="3"/>
    <n v="1"/>
    <n v="1"/>
    <n v="4"/>
    <x v="1"/>
    <s v="Email"/>
    <s v="Will visit again"/>
    <x v="0"/>
    <n v="68"/>
    <d v="2024-01-06T00:00:00"/>
    <x v="2"/>
    <x v="8"/>
    <x v="1"/>
  </r>
  <r>
    <n v="821"/>
    <n v="42574"/>
    <s v="Matthew Delacruz"/>
    <x v="3"/>
    <x v="3"/>
    <x v="298"/>
    <d v="2024-04-23T00:00:00"/>
    <n v="7"/>
    <x v="0"/>
    <x v="0"/>
    <n v="1"/>
    <n v="4"/>
    <n v="2"/>
    <n v="2"/>
    <n v="3"/>
    <x v="4"/>
    <n v="3"/>
    <n v="1"/>
    <n v="1"/>
    <n v="4"/>
    <x v="0"/>
    <s v="Email"/>
    <s v="Needs improvement"/>
    <x v="2"/>
    <n v="50"/>
    <d v="2024-04-23T00:00:00"/>
    <x v="1"/>
    <x v="19"/>
    <x v="1"/>
  </r>
  <r>
    <n v="822"/>
    <n v="59666"/>
    <s v="April Williams"/>
    <x v="3"/>
    <x v="2"/>
    <x v="210"/>
    <d v="2024-05-19T00:00:00"/>
    <n v="10"/>
    <x v="0"/>
    <x v="4"/>
    <n v="3"/>
    <n v="1"/>
    <n v="5"/>
    <n v="1"/>
    <n v="1"/>
    <x v="0"/>
    <n v="3"/>
    <n v="1"/>
    <n v="4"/>
    <n v="5"/>
    <x v="1"/>
    <s v="Feedback Form"/>
    <s v="Poor service"/>
    <x v="0"/>
    <n v="20"/>
    <d v="2024-05-19T00:00:00"/>
    <x v="0"/>
    <x v="5"/>
    <x v="1"/>
  </r>
  <r>
    <n v="823"/>
    <n v="93663"/>
    <s v="Heather Williams"/>
    <x v="4"/>
    <x v="2"/>
    <x v="379"/>
    <d v="2024-05-02T00:00:00"/>
    <n v="14"/>
    <x v="1"/>
    <x v="1"/>
    <n v="1"/>
    <n v="4"/>
    <n v="3"/>
    <n v="5"/>
    <n v="3"/>
    <x v="4"/>
    <n v="3"/>
    <n v="2"/>
    <n v="5"/>
    <n v="5"/>
    <x v="0"/>
    <s v="Email"/>
    <s v="Poor service"/>
    <x v="0"/>
    <n v="54"/>
    <d v="2024-05-02T00:00:00"/>
    <x v="2"/>
    <x v="10"/>
    <x v="0"/>
  </r>
  <r>
    <n v="824"/>
    <n v="84657"/>
    <s v="Courtney Smith"/>
    <x v="0"/>
    <x v="1"/>
    <x v="317"/>
    <d v="2024-03-29T00:00:00"/>
    <n v="11"/>
    <x v="0"/>
    <x v="2"/>
    <n v="1"/>
    <n v="2"/>
    <n v="2"/>
    <n v="2"/>
    <n v="4"/>
    <x v="2"/>
    <n v="5"/>
    <n v="3"/>
    <n v="2"/>
    <n v="3"/>
    <x v="0"/>
    <s v="In-person"/>
    <s v="Great stay"/>
    <x v="1"/>
    <n v="36"/>
    <d v="2024-03-29T00:00:00"/>
    <x v="1"/>
    <x v="7"/>
    <x v="1"/>
  </r>
  <r>
    <n v="825"/>
    <n v="38507"/>
    <s v="Alexandria Dudley"/>
    <x v="3"/>
    <x v="1"/>
    <x v="64"/>
    <d v="2024-02-18T00:00:00"/>
    <n v="8"/>
    <x v="1"/>
    <x v="0"/>
    <n v="1"/>
    <n v="5"/>
    <n v="2"/>
    <n v="2"/>
    <n v="4"/>
    <x v="4"/>
    <n v="3"/>
    <n v="5"/>
    <n v="3"/>
    <n v="2"/>
    <x v="1"/>
    <s v="Feedback Form"/>
    <s v="Needs improvement"/>
    <x v="2"/>
    <n v="61"/>
    <d v="2024-02-18T00:00:00"/>
    <x v="2"/>
    <x v="3"/>
    <x v="1"/>
  </r>
  <r>
    <n v="826"/>
    <n v="58555"/>
    <s v="Christopher Ray"/>
    <x v="3"/>
    <x v="0"/>
    <x v="323"/>
    <d v="2024-08-27T00:00:00"/>
    <n v="9"/>
    <x v="2"/>
    <x v="2"/>
    <n v="4"/>
    <n v="5"/>
    <n v="1"/>
    <n v="4"/>
    <n v="3"/>
    <x v="4"/>
    <n v="2"/>
    <n v="3"/>
    <n v="5"/>
    <n v="2"/>
    <x v="0"/>
    <s v="Online Survey"/>
    <s v="Will visit again"/>
    <x v="0"/>
    <n v="57"/>
    <d v="2024-08-27T00:00:00"/>
    <x v="2"/>
    <x v="2"/>
    <x v="0"/>
  </r>
  <r>
    <n v="827"/>
    <n v="26582"/>
    <s v="Alex Allen"/>
    <x v="3"/>
    <x v="4"/>
    <x v="80"/>
    <d v="2024-10-27T00:00:00"/>
    <n v="7"/>
    <x v="1"/>
    <x v="0"/>
    <n v="4"/>
    <n v="4"/>
    <n v="4"/>
    <n v="4"/>
    <n v="4"/>
    <x v="1"/>
    <n v="4"/>
    <n v="3"/>
    <n v="4"/>
    <n v="4"/>
    <x v="0"/>
    <s v="App Review"/>
    <s v="Great stay"/>
    <x v="0"/>
    <n v="49"/>
    <d v="2024-10-27T00:00:00"/>
    <x v="1"/>
    <x v="12"/>
    <x v="2"/>
  </r>
  <r>
    <n v="828"/>
    <n v="36631"/>
    <s v="Joseph Brown"/>
    <x v="4"/>
    <x v="0"/>
    <x v="487"/>
    <d v="2024-07-07T00:00:00"/>
    <n v="6"/>
    <x v="3"/>
    <x v="3"/>
    <n v="3"/>
    <n v="4"/>
    <n v="3"/>
    <n v="3"/>
    <n v="5"/>
    <x v="2"/>
    <n v="4"/>
    <n v="3"/>
    <n v="1"/>
    <n v="3"/>
    <x v="1"/>
    <s v="Online Survey"/>
    <s v="Great stay"/>
    <x v="1"/>
    <n v="22"/>
    <d v="2024-07-07T00:00:00"/>
    <x v="0"/>
    <x v="0"/>
    <x v="0"/>
  </r>
  <r>
    <n v="829"/>
    <n v="28164"/>
    <s v="Shannon Woods MD"/>
    <x v="2"/>
    <x v="2"/>
    <x v="198"/>
    <d v="2023-06-27T00:00:00"/>
    <n v="5"/>
    <x v="2"/>
    <x v="4"/>
    <n v="5"/>
    <n v="1"/>
    <n v="5"/>
    <n v="3"/>
    <n v="4"/>
    <x v="0"/>
    <n v="5"/>
    <n v="2"/>
    <n v="5"/>
    <n v="4"/>
    <x v="0"/>
    <s v="Feedback Form"/>
    <s v="Average"/>
    <x v="1"/>
    <n v="64"/>
    <d v="2023-06-27T00:00:00"/>
    <x v="2"/>
    <x v="16"/>
    <x v="0"/>
  </r>
  <r>
    <n v="830"/>
    <n v="96820"/>
    <s v="Steve Thompson"/>
    <x v="0"/>
    <x v="4"/>
    <x v="488"/>
    <d v="2023-08-13T00:00:00"/>
    <n v="10"/>
    <x v="2"/>
    <x v="3"/>
    <n v="4"/>
    <n v="4"/>
    <n v="5"/>
    <n v="5"/>
    <n v="5"/>
    <x v="0"/>
    <n v="4"/>
    <n v="5"/>
    <n v="1"/>
    <n v="5"/>
    <x v="0"/>
    <s v="Online Survey"/>
    <s v="Great stay"/>
    <x v="1"/>
    <n v="60"/>
    <d v="2023-11-26T00:00:00"/>
    <x v="2"/>
    <x v="23"/>
    <x v="2"/>
  </r>
  <r>
    <n v="831"/>
    <n v="40646"/>
    <s v="Nicole Thomas"/>
    <x v="4"/>
    <x v="3"/>
    <x v="386"/>
    <d v="2024-09-26T00:00:00"/>
    <n v="10"/>
    <x v="1"/>
    <x v="4"/>
    <n v="5"/>
    <n v="4"/>
    <n v="3"/>
    <n v="2"/>
    <n v="5"/>
    <x v="4"/>
    <n v="4"/>
    <n v="4"/>
    <n v="4"/>
    <n v="3"/>
    <x v="1"/>
    <s v="App Review"/>
    <s v="Average"/>
    <x v="1"/>
    <n v="64"/>
    <d v="2024-09-26T00:00:00"/>
    <x v="2"/>
    <x v="18"/>
    <x v="0"/>
  </r>
  <r>
    <n v="832"/>
    <n v="30806"/>
    <s v="Michelle Flynn"/>
    <x v="3"/>
    <x v="2"/>
    <x v="94"/>
    <d v="2024-12-24T00:00:00"/>
    <n v="7"/>
    <x v="3"/>
    <x v="3"/>
    <n v="4"/>
    <n v="3"/>
    <n v="5"/>
    <n v="1"/>
    <n v="5"/>
    <x v="3"/>
    <n v="1"/>
    <n v="4"/>
    <n v="1"/>
    <n v="4"/>
    <x v="0"/>
    <s v="Email"/>
    <s v="Average"/>
    <x v="1"/>
    <n v="54"/>
    <d v="2024-12-24T00:00:00"/>
    <x v="2"/>
    <x v="10"/>
    <x v="0"/>
  </r>
  <r>
    <n v="833"/>
    <n v="69057"/>
    <s v="Steve Garcia"/>
    <x v="2"/>
    <x v="1"/>
    <x v="336"/>
    <d v="2024-08-03T00:00:00"/>
    <n v="10"/>
    <x v="3"/>
    <x v="2"/>
    <n v="2"/>
    <n v="4"/>
    <n v="4"/>
    <n v="1"/>
    <n v="2"/>
    <x v="3"/>
    <n v="3"/>
    <n v="5"/>
    <n v="4"/>
    <n v="2"/>
    <x v="1"/>
    <s v="Online Survey"/>
    <s v="Needs improvement"/>
    <x v="2"/>
    <n v="23"/>
    <d v="2024-08-03T00:00:00"/>
    <x v="0"/>
    <x v="0"/>
    <x v="0"/>
  </r>
  <r>
    <n v="834"/>
    <n v="97633"/>
    <s v="Tiffany King"/>
    <x v="3"/>
    <x v="0"/>
    <x v="184"/>
    <d v="2023-02-27T00:00:00"/>
    <n v="2"/>
    <x v="0"/>
    <x v="1"/>
    <n v="2"/>
    <n v="4"/>
    <n v="4"/>
    <n v="4"/>
    <n v="1"/>
    <x v="0"/>
    <n v="3"/>
    <n v="5"/>
    <n v="3"/>
    <n v="1"/>
    <x v="0"/>
    <s v="Feedback Form"/>
    <s v="Poor service"/>
    <x v="0"/>
    <n v="53"/>
    <d v="2024-02-12T00:00:00"/>
    <x v="2"/>
    <x v="2"/>
    <x v="0"/>
  </r>
  <r>
    <n v="835"/>
    <n v="64895"/>
    <s v="Ryan Rose"/>
    <x v="4"/>
    <x v="0"/>
    <x v="283"/>
    <d v="2023-12-22T00:00:00"/>
    <n v="5"/>
    <x v="2"/>
    <x v="0"/>
    <n v="1"/>
    <n v="3"/>
    <n v="5"/>
    <n v="3"/>
    <n v="4"/>
    <x v="4"/>
    <n v="1"/>
    <n v="1"/>
    <n v="2"/>
    <n v="5"/>
    <x v="1"/>
    <s v="In-person"/>
    <s v="Will visit again"/>
    <x v="2"/>
    <n v="54"/>
    <d v="2023-12-22T00:00:00"/>
    <x v="2"/>
    <x v="7"/>
    <x v="1"/>
  </r>
  <r>
    <n v="836"/>
    <n v="57974"/>
    <s v="Dakota Valdez"/>
    <x v="1"/>
    <x v="3"/>
    <x v="178"/>
    <d v="2024-03-21T00:00:00"/>
    <n v="13"/>
    <x v="0"/>
    <x v="4"/>
    <n v="5"/>
    <n v="2"/>
    <n v="2"/>
    <n v="5"/>
    <n v="2"/>
    <x v="4"/>
    <n v="5"/>
    <n v="3"/>
    <n v="1"/>
    <n v="4"/>
    <x v="1"/>
    <s v="App Review"/>
    <s v="Great stay"/>
    <x v="1"/>
    <n v="30"/>
    <d v="2024-05-21T00:00:00"/>
    <x v="3"/>
    <x v="2"/>
    <x v="0"/>
  </r>
  <r>
    <n v="837"/>
    <n v="21284"/>
    <s v="Richard Allen"/>
    <x v="3"/>
    <x v="0"/>
    <x v="489"/>
    <d v="2024-07-29T00:00:00"/>
    <n v="8"/>
    <x v="2"/>
    <x v="0"/>
    <n v="1"/>
    <n v="2"/>
    <n v="5"/>
    <n v="4"/>
    <n v="1"/>
    <x v="2"/>
    <n v="2"/>
    <n v="1"/>
    <n v="5"/>
    <n v="3"/>
    <x v="0"/>
    <s v="Online Survey"/>
    <s v="Needs improvement"/>
    <x v="0"/>
    <n v="29"/>
    <d v="2024-07-29T00:00:00"/>
    <x v="3"/>
    <x v="7"/>
    <x v="1"/>
  </r>
  <r>
    <n v="838"/>
    <n v="23857"/>
    <s v="Billy Moore"/>
    <x v="2"/>
    <x v="0"/>
    <x v="202"/>
    <d v="2024-06-20T00:00:00"/>
    <n v="6"/>
    <x v="2"/>
    <x v="1"/>
    <n v="1"/>
    <n v="3"/>
    <n v="5"/>
    <n v="4"/>
    <n v="2"/>
    <x v="1"/>
    <n v="5"/>
    <n v="2"/>
    <n v="3"/>
    <n v="3"/>
    <x v="1"/>
    <s v="In-person"/>
    <s v="Will visit again"/>
    <x v="2"/>
    <n v="23"/>
    <d v="2024-06-21T00:00:00"/>
    <x v="0"/>
    <x v="1"/>
    <x v="0"/>
  </r>
  <r>
    <n v="839"/>
    <n v="95424"/>
    <s v="Brittany Osborne"/>
    <x v="0"/>
    <x v="4"/>
    <x v="262"/>
    <d v="2023-10-12T00:00:00"/>
    <n v="6"/>
    <x v="2"/>
    <x v="3"/>
    <n v="4"/>
    <n v="1"/>
    <n v="3"/>
    <n v="5"/>
    <n v="4"/>
    <x v="3"/>
    <n v="2"/>
    <n v="2"/>
    <n v="2"/>
    <n v="4"/>
    <x v="1"/>
    <s v="App Review"/>
    <s v="Great stay"/>
    <x v="1"/>
    <n v="47"/>
    <d v="2024-11-09T00:00:00"/>
    <x v="1"/>
    <x v="0"/>
    <x v="0"/>
  </r>
  <r>
    <n v="840"/>
    <n v="50440"/>
    <s v="Susan Webb"/>
    <x v="1"/>
    <x v="2"/>
    <x v="490"/>
    <d v="2023-02-06T00:00:00"/>
    <n v="1"/>
    <x v="2"/>
    <x v="2"/>
    <n v="4"/>
    <n v="4"/>
    <n v="4"/>
    <n v="5"/>
    <n v="5"/>
    <x v="4"/>
    <n v="2"/>
    <n v="5"/>
    <n v="5"/>
    <n v="2"/>
    <x v="0"/>
    <s v="Online Survey"/>
    <s v="Poor service"/>
    <x v="2"/>
    <n v="54"/>
    <d v="2023-06-21T00:00:00"/>
    <x v="2"/>
    <x v="16"/>
    <x v="0"/>
  </r>
  <r>
    <n v="841"/>
    <n v="56106"/>
    <s v="Laura Herrera"/>
    <x v="3"/>
    <x v="4"/>
    <x v="35"/>
    <d v="2023-10-05T00:00:00"/>
    <n v="2"/>
    <x v="1"/>
    <x v="0"/>
    <n v="1"/>
    <n v="1"/>
    <n v="2"/>
    <n v="2"/>
    <n v="2"/>
    <x v="0"/>
    <n v="1"/>
    <n v="2"/>
    <n v="5"/>
    <n v="4"/>
    <x v="0"/>
    <s v="Feedback Form"/>
    <s v="Poor service"/>
    <x v="2"/>
    <n v="45"/>
    <d v="2023-11-16T00:00:00"/>
    <x v="1"/>
    <x v="9"/>
    <x v="1"/>
  </r>
  <r>
    <n v="842"/>
    <n v="28951"/>
    <s v="Leah Mullins"/>
    <x v="3"/>
    <x v="4"/>
    <x v="491"/>
    <d v="2024-11-27T00:00:00"/>
    <n v="3"/>
    <x v="3"/>
    <x v="3"/>
    <n v="4"/>
    <n v="5"/>
    <n v="3"/>
    <n v="5"/>
    <n v="1"/>
    <x v="3"/>
    <n v="5"/>
    <n v="5"/>
    <n v="4"/>
    <n v="5"/>
    <x v="1"/>
    <s v="In-person"/>
    <s v="Average"/>
    <x v="1"/>
    <n v="27"/>
    <d v="2024-11-27T00:00:00"/>
    <x v="3"/>
    <x v="23"/>
    <x v="2"/>
  </r>
  <r>
    <n v="843"/>
    <n v="31009"/>
    <s v="Micheal Chambers"/>
    <x v="2"/>
    <x v="0"/>
    <x v="492"/>
    <d v="2024-12-02T00:00:00"/>
    <n v="7"/>
    <x v="2"/>
    <x v="4"/>
    <n v="2"/>
    <n v="1"/>
    <n v="3"/>
    <n v="5"/>
    <n v="1"/>
    <x v="1"/>
    <n v="3"/>
    <n v="4"/>
    <n v="2"/>
    <n v="3"/>
    <x v="1"/>
    <s v="In-person"/>
    <s v="Average"/>
    <x v="0"/>
    <n v="45"/>
    <d v="2024-12-02T00:00:00"/>
    <x v="1"/>
    <x v="4"/>
    <x v="1"/>
  </r>
  <r>
    <n v="844"/>
    <n v="99010"/>
    <s v="Barbara Patel"/>
    <x v="1"/>
    <x v="2"/>
    <x v="493"/>
    <d v="2024-10-28T00:00:00"/>
    <n v="12"/>
    <x v="0"/>
    <x v="0"/>
    <n v="2"/>
    <n v="4"/>
    <n v="2"/>
    <n v="4"/>
    <n v="1"/>
    <x v="4"/>
    <n v="5"/>
    <n v="3"/>
    <n v="5"/>
    <n v="5"/>
    <x v="1"/>
    <s v="Online Survey"/>
    <s v="Will visit again"/>
    <x v="1"/>
    <n v="23"/>
    <d v="2024-10-28T00:00:00"/>
    <x v="0"/>
    <x v="10"/>
    <x v="0"/>
  </r>
  <r>
    <n v="845"/>
    <n v="24835"/>
    <s v="Kayla Smith"/>
    <x v="1"/>
    <x v="0"/>
    <x v="494"/>
    <d v="2023-11-07T00:00:00"/>
    <n v="10"/>
    <x v="0"/>
    <x v="0"/>
    <n v="5"/>
    <n v="2"/>
    <n v="2"/>
    <n v="4"/>
    <n v="2"/>
    <x v="3"/>
    <n v="5"/>
    <n v="2"/>
    <n v="5"/>
    <n v="1"/>
    <x v="1"/>
    <s v="Online Survey"/>
    <s v="Great stay"/>
    <x v="1"/>
    <n v="26"/>
    <d v="2023-11-07T00:00:00"/>
    <x v="3"/>
    <x v="10"/>
    <x v="0"/>
  </r>
  <r>
    <n v="846"/>
    <n v="80888"/>
    <s v="Michael Horn"/>
    <x v="1"/>
    <x v="0"/>
    <x v="495"/>
    <d v="2024-09-13T00:00:00"/>
    <n v="6"/>
    <x v="1"/>
    <x v="4"/>
    <n v="2"/>
    <n v="4"/>
    <n v="3"/>
    <n v="1"/>
    <n v="1"/>
    <x v="4"/>
    <n v="2"/>
    <n v="1"/>
    <n v="5"/>
    <n v="2"/>
    <x v="1"/>
    <s v="Feedback Form"/>
    <s v="Average"/>
    <x v="2"/>
    <n v="41"/>
    <d v="2024-09-13T00:00:00"/>
    <x v="1"/>
    <x v="19"/>
    <x v="1"/>
  </r>
  <r>
    <n v="847"/>
    <n v="52290"/>
    <s v="Meredith Evans"/>
    <x v="3"/>
    <x v="4"/>
    <x v="496"/>
    <d v="2024-02-22T00:00:00"/>
    <n v="5"/>
    <x v="3"/>
    <x v="1"/>
    <n v="1"/>
    <n v="4"/>
    <n v="5"/>
    <n v="1"/>
    <n v="3"/>
    <x v="1"/>
    <n v="2"/>
    <n v="2"/>
    <n v="3"/>
    <n v="4"/>
    <x v="0"/>
    <s v="Feedback Form"/>
    <s v="Needs improvement"/>
    <x v="0"/>
    <n v="69"/>
    <d v="2024-02-22T00:00:00"/>
    <x v="2"/>
    <x v="2"/>
    <x v="0"/>
  </r>
  <r>
    <n v="848"/>
    <n v="28941"/>
    <s v="Eric Lee"/>
    <x v="1"/>
    <x v="1"/>
    <x v="493"/>
    <d v="2024-10-28T00:00:00"/>
    <n v="9"/>
    <x v="2"/>
    <x v="3"/>
    <n v="3"/>
    <n v="4"/>
    <n v="2"/>
    <n v="1"/>
    <n v="1"/>
    <x v="2"/>
    <n v="3"/>
    <n v="3"/>
    <n v="2"/>
    <n v="4"/>
    <x v="0"/>
    <s v="Email"/>
    <s v="Average"/>
    <x v="1"/>
    <n v="35"/>
    <d v="2024-10-28T00:00:00"/>
    <x v="3"/>
    <x v="14"/>
    <x v="1"/>
  </r>
  <r>
    <n v="849"/>
    <n v="42917"/>
    <s v="Cindy Flores"/>
    <x v="3"/>
    <x v="1"/>
    <x v="497"/>
    <d v="2024-07-26T00:00:00"/>
    <n v="10"/>
    <x v="1"/>
    <x v="0"/>
    <n v="4"/>
    <n v="1"/>
    <n v="1"/>
    <n v="5"/>
    <n v="1"/>
    <x v="3"/>
    <n v="3"/>
    <n v="2"/>
    <n v="4"/>
    <n v="2"/>
    <x v="0"/>
    <s v="Online Survey"/>
    <s v="Will visit again"/>
    <x v="0"/>
    <n v="21"/>
    <d v="2024-07-26T00:00:00"/>
    <x v="0"/>
    <x v="5"/>
    <x v="1"/>
  </r>
  <r>
    <n v="850"/>
    <n v="38039"/>
    <s v="Sandra Johnson"/>
    <x v="3"/>
    <x v="4"/>
    <x v="498"/>
    <d v="2024-02-09T00:00:00"/>
    <n v="7"/>
    <x v="0"/>
    <x v="3"/>
    <n v="1"/>
    <n v="2"/>
    <n v="2"/>
    <n v="2"/>
    <n v="2"/>
    <x v="1"/>
    <n v="2"/>
    <n v="5"/>
    <n v="3"/>
    <n v="3"/>
    <x v="1"/>
    <s v="Feedback Form"/>
    <s v="Needs improvement"/>
    <x v="2"/>
    <n v="62"/>
    <d v="2024-12-23T00:00:00"/>
    <x v="2"/>
    <x v="5"/>
    <x v="1"/>
  </r>
  <r>
    <n v="851"/>
    <n v="36089"/>
    <s v="Joyce Calhoun"/>
    <x v="1"/>
    <x v="4"/>
    <x v="452"/>
    <d v="2024-05-29T00:00:00"/>
    <n v="9"/>
    <x v="3"/>
    <x v="2"/>
    <n v="4"/>
    <n v="2"/>
    <n v="3"/>
    <n v="4"/>
    <n v="4"/>
    <x v="2"/>
    <n v="5"/>
    <n v="2"/>
    <n v="3"/>
    <n v="4"/>
    <x v="0"/>
    <s v="Online Survey"/>
    <s v="Poor service"/>
    <x v="1"/>
    <n v="40"/>
    <d v="2024-05-29T00:00:00"/>
    <x v="1"/>
    <x v="1"/>
    <x v="0"/>
  </r>
  <r>
    <n v="852"/>
    <n v="70059"/>
    <s v="Lauren Mendoza"/>
    <x v="4"/>
    <x v="0"/>
    <x v="360"/>
    <d v="2024-07-20T00:00:00"/>
    <n v="11"/>
    <x v="2"/>
    <x v="3"/>
    <n v="5"/>
    <n v="1"/>
    <n v="1"/>
    <n v="3"/>
    <n v="2"/>
    <x v="2"/>
    <n v="2"/>
    <n v="4"/>
    <n v="3"/>
    <n v="2"/>
    <x v="0"/>
    <s v="Feedback Form"/>
    <s v="Needs improvement"/>
    <x v="0"/>
    <n v="44"/>
    <d v="2024-10-13T00:00:00"/>
    <x v="1"/>
    <x v="14"/>
    <x v="1"/>
  </r>
  <r>
    <n v="853"/>
    <n v="67247"/>
    <s v="Andrew Daniels"/>
    <x v="0"/>
    <x v="2"/>
    <x v="254"/>
    <d v="2024-10-15T00:00:00"/>
    <n v="11"/>
    <x v="3"/>
    <x v="3"/>
    <n v="1"/>
    <n v="1"/>
    <n v="3"/>
    <n v="2"/>
    <n v="2"/>
    <x v="1"/>
    <n v="4"/>
    <n v="4"/>
    <n v="4"/>
    <n v="4"/>
    <x v="0"/>
    <s v="App Review"/>
    <s v="Will visit again"/>
    <x v="0"/>
    <n v="21"/>
    <d v="2024-10-15T00:00:00"/>
    <x v="0"/>
    <x v="2"/>
    <x v="0"/>
  </r>
  <r>
    <n v="854"/>
    <n v="49833"/>
    <s v="Denise Maddox"/>
    <x v="0"/>
    <x v="0"/>
    <x v="499"/>
    <d v="2024-07-18T00:00:00"/>
    <n v="3"/>
    <x v="0"/>
    <x v="4"/>
    <n v="1"/>
    <n v="1"/>
    <n v="4"/>
    <n v="3"/>
    <n v="3"/>
    <x v="0"/>
    <n v="4"/>
    <n v="2"/>
    <n v="4"/>
    <n v="3"/>
    <x v="1"/>
    <s v="Feedback Form"/>
    <s v="Poor service"/>
    <x v="2"/>
    <n v="30"/>
    <d v="2024-07-18T00:00:00"/>
    <x v="3"/>
    <x v="3"/>
    <x v="1"/>
  </r>
  <r>
    <n v="855"/>
    <n v="87453"/>
    <s v="George Lewis"/>
    <x v="4"/>
    <x v="0"/>
    <x v="500"/>
    <d v="2023-06-30T00:00:00"/>
    <n v="11"/>
    <x v="1"/>
    <x v="3"/>
    <n v="1"/>
    <n v="5"/>
    <n v="4"/>
    <n v="5"/>
    <n v="4"/>
    <x v="1"/>
    <n v="2"/>
    <n v="1"/>
    <n v="3"/>
    <n v="2"/>
    <x v="0"/>
    <s v="Feedback Form"/>
    <s v="Great stay"/>
    <x v="0"/>
    <n v="28"/>
    <d v="2023-08-28T00:00:00"/>
    <x v="3"/>
    <x v="10"/>
    <x v="0"/>
  </r>
  <r>
    <n v="856"/>
    <n v="28254"/>
    <s v="Edward Montgomery"/>
    <x v="1"/>
    <x v="3"/>
    <x v="501"/>
    <d v="2024-06-28T00:00:00"/>
    <n v="8"/>
    <x v="1"/>
    <x v="1"/>
    <n v="5"/>
    <n v="5"/>
    <n v="5"/>
    <n v="3"/>
    <n v="2"/>
    <x v="4"/>
    <n v="3"/>
    <n v="2"/>
    <n v="3"/>
    <n v="3"/>
    <x v="1"/>
    <s v="App Review"/>
    <s v="Will visit again"/>
    <x v="0"/>
    <n v="28"/>
    <d v="2024-10-04T00:00:00"/>
    <x v="3"/>
    <x v="10"/>
    <x v="0"/>
  </r>
  <r>
    <n v="857"/>
    <n v="93981"/>
    <s v="Michael Baker"/>
    <x v="3"/>
    <x v="0"/>
    <x v="470"/>
    <d v="2024-12-27T00:00:00"/>
    <n v="12"/>
    <x v="0"/>
    <x v="3"/>
    <n v="1"/>
    <n v="4"/>
    <n v="2"/>
    <n v="1"/>
    <n v="3"/>
    <x v="0"/>
    <n v="2"/>
    <n v="5"/>
    <n v="1"/>
    <n v="4"/>
    <x v="1"/>
    <s v="App Review"/>
    <s v="Average"/>
    <x v="0"/>
    <n v="36"/>
    <d v="2024-12-27T00:00:00"/>
    <x v="1"/>
    <x v="7"/>
    <x v="1"/>
  </r>
  <r>
    <n v="858"/>
    <n v="42611"/>
    <s v="John Patel"/>
    <x v="2"/>
    <x v="2"/>
    <x v="187"/>
    <d v="2024-02-11T00:00:00"/>
    <n v="9"/>
    <x v="2"/>
    <x v="2"/>
    <n v="4"/>
    <n v="5"/>
    <n v="3"/>
    <n v="4"/>
    <n v="2"/>
    <x v="2"/>
    <n v="5"/>
    <n v="5"/>
    <n v="4"/>
    <n v="2"/>
    <x v="1"/>
    <s v="Email"/>
    <s v="Will visit again"/>
    <x v="1"/>
    <n v="50"/>
    <d v="2024-09-28T00:00:00"/>
    <x v="1"/>
    <x v="11"/>
    <x v="0"/>
  </r>
  <r>
    <n v="859"/>
    <n v="56827"/>
    <s v="Beverly Marquez"/>
    <x v="4"/>
    <x v="0"/>
    <x v="412"/>
    <d v="2023-05-07T00:00:00"/>
    <n v="2"/>
    <x v="2"/>
    <x v="3"/>
    <n v="3"/>
    <n v="1"/>
    <n v="1"/>
    <n v="2"/>
    <n v="3"/>
    <x v="3"/>
    <n v="4"/>
    <n v="5"/>
    <n v="5"/>
    <n v="1"/>
    <x v="0"/>
    <s v="Feedback Form"/>
    <s v="Will visit again"/>
    <x v="1"/>
    <n v="31"/>
    <d v="2023-10-25T00:00:00"/>
    <x v="3"/>
    <x v="4"/>
    <x v="1"/>
  </r>
  <r>
    <n v="860"/>
    <n v="67272"/>
    <s v="Suzanne Smith"/>
    <x v="0"/>
    <x v="4"/>
    <x v="200"/>
    <d v="2023-03-24T00:00:00"/>
    <n v="4"/>
    <x v="3"/>
    <x v="4"/>
    <n v="1"/>
    <n v="1"/>
    <n v="2"/>
    <n v="1"/>
    <n v="5"/>
    <x v="2"/>
    <n v="1"/>
    <n v="1"/>
    <n v="2"/>
    <n v="4"/>
    <x v="0"/>
    <s v="App Review"/>
    <s v="Will visit again"/>
    <x v="2"/>
    <n v="30"/>
    <d v="2023-09-06T00:00:00"/>
    <x v="3"/>
    <x v="15"/>
    <x v="1"/>
  </r>
  <r>
    <n v="861"/>
    <n v="69257"/>
    <s v="Nathan Reynolds"/>
    <x v="0"/>
    <x v="2"/>
    <x v="452"/>
    <d v="2024-05-29T00:00:00"/>
    <n v="2"/>
    <x v="0"/>
    <x v="2"/>
    <n v="5"/>
    <n v="1"/>
    <n v="5"/>
    <n v="4"/>
    <n v="1"/>
    <x v="3"/>
    <n v="3"/>
    <n v="4"/>
    <n v="2"/>
    <n v="2"/>
    <x v="0"/>
    <s v="Email"/>
    <s v="Poor service"/>
    <x v="2"/>
    <n v="24"/>
    <d v="2024-05-29T00:00:00"/>
    <x v="0"/>
    <x v="0"/>
    <x v="0"/>
  </r>
  <r>
    <n v="862"/>
    <n v="23830"/>
    <s v="Aaron Hopkins"/>
    <x v="3"/>
    <x v="4"/>
    <x v="353"/>
    <d v="2024-09-08T00:00:00"/>
    <n v="13"/>
    <x v="0"/>
    <x v="4"/>
    <n v="5"/>
    <n v="2"/>
    <n v="3"/>
    <n v="1"/>
    <n v="1"/>
    <x v="3"/>
    <n v="1"/>
    <n v="5"/>
    <n v="2"/>
    <n v="1"/>
    <x v="1"/>
    <s v="Email"/>
    <s v="Will visit again"/>
    <x v="1"/>
    <n v="50"/>
    <d v="2024-09-08T00:00:00"/>
    <x v="1"/>
    <x v="14"/>
    <x v="1"/>
  </r>
  <r>
    <n v="863"/>
    <n v="15696"/>
    <s v="Paul Dalton"/>
    <x v="0"/>
    <x v="3"/>
    <x v="502"/>
    <d v="2024-06-24T00:00:00"/>
    <n v="7"/>
    <x v="2"/>
    <x v="1"/>
    <n v="1"/>
    <n v="2"/>
    <n v="3"/>
    <n v="2"/>
    <n v="2"/>
    <x v="1"/>
    <n v="3"/>
    <n v="5"/>
    <n v="3"/>
    <n v="2"/>
    <x v="0"/>
    <s v="Online Survey"/>
    <s v="Great stay"/>
    <x v="0"/>
    <n v="49"/>
    <d v="2024-06-24T00:00:00"/>
    <x v="1"/>
    <x v="3"/>
    <x v="1"/>
  </r>
  <r>
    <n v="864"/>
    <n v="76278"/>
    <s v="Johnny Mcbride"/>
    <x v="0"/>
    <x v="3"/>
    <x v="344"/>
    <d v="2023-10-18T00:00:00"/>
    <n v="14"/>
    <x v="0"/>
    <x v="1"/>
    <n v="5"/>
    <n v="5"/>
    <n v="4"/>
    <n v="5"/>
    <n v="3"/>
    <x v="1"/>
    <n v="1"/>
    <n v="2"/>
    <n v="4"/>
    <n v="5"/>
    <x v="1"/>
    <s v="App Review"/>
    <s v="Will visit again"/>
    <x v="1"/>
    <n v="62"/>
    <d v="2023-10-21T00:00:00"/>
    <x v="2"/>
    <x v="20"/>
    <x v="0"/>
  </r>
  <r>
    <n v="865"/>
    <n v="41262"/>
    <s v="Michael Harper"/>
    <x v="3"/>
    <x v="2"/>
    <x v="503"/>
    <d v="2024-03-14T00:00:00"/>
    <n v="4"/>
    <x v="1"/>
    <x v="4"/>
    <n v="2"/>
    <n v="3"/>
    <n v="5"/>
    <n v="3"/>
    <n v="5"/>
    <x v="2"/>
    <n v="1"/>
    <n v="4"/>
    <n v="1"/>
    <n v="5"/>
    <x v="1"/>
    <s v="In-person"/>
    <s v="Average"/>
    <x v="2"/>
    <n v="54"/>
    <d v="2024-03-14T00:00:00"/>
    <x v="2"/>
    <x v="0"/>
    <x v="0"/>
  </r>
  <r>
    <n v="866"/>
    <n v="46949"/>
    <s v="Henry Moss"/>
    <x v="1"/>
    <x v="1"/>
    <x v="389"/>
    <d v="2024-10-30T00:00:00"/>
    <n v="14"/>
    <x v="2"/>
    <x v="1"/>
    <n v="5"/>
    <n v="3"/>
    <n v="3"/>
    <n v="5"/>
    <n v="1"/>
    <x v="1"/>
    <n v="2"/>
    <n v="5"/>
    <n v="1"/>
    <n v="2"/>
    <x v="0"/>
    <s v="App Review"/>
    <s v="Needs improvement"/>
    <x v="2"/>
    <n v="25"/>
    <d v="2024-10-30T00:00:00"/>
    <x v="0"/>
    <x v="10"/>
    <x v="0"/>
  </r>
  <r>
    <n v="867"/>
    <n v="22425"/>
    <s v="Donald Kim"/>
    <x v="0"/>
    <x v="1"/>
    <x v="504"/>
    <d v="2024-11-21T00:00:00"/>
    <n v="12"/>
    <x v="2"/>
    <x v="4"/>
    <n v="3"/>
    <n v="1"/>
    <n v="4"/>
    <n v="3"/>
    <n v="2"/>
    <x v="2"/>
    <n v="3"/>
    <n v="5"/>
    <n v="2"/>
    <n v="2"/>
    <x v="0"/>
    <s v="App Review"/>
    <s v="Poor service"/>
    <x v="1"/>
    <n v="63"/>
    <d v="2024-11-21T00:00:00"/>
    <x v="2"/>
    <x v="5"/>
    <x v="1"/>
  </r>
  <r>
    <n v="868"/>
    <n v="54497"/>
    <s v="Tyler Rodriguez"/>
    <x v="1"/>
    <x v="2"/>
    <x v="505"/>
    <d v="2024-06-14T00:00:00"/>
    <n v="6"/>
    <x v="1"/>
    <x v="0"/>
    <n v="2"/>
    <n v="2"/>
    <n v="4"/>
    <n v="3"/>
    <n v="2"/>
    <x v="1"/>
    <n v="4"/>
    <n v="2"/>
    <n v="5"/>
    <n v="5"/>
    <x v="1"/>
    <s v="Email"/>
    <s v="Average"/>
    <x v="2"/>
    <n v="51"/>
    <d v="2024-11-26T00:00:00"/>
    <x v="2"/>
    <x v="13"/>
    <x v="0"/>
  </r>
  <r>
    <n v="869"/>
    <n v="67420"/>
    <s v="Matthew Gamble"/>
    <x v="2"/>
    <x v="2"/>
    <x v="144"/>
    <d v="2024-10-15T00:00:00"/>
    <n v="8"/>
    <x v="0"/>
    <x v="3"/>
    <n v="4"/>
    <n v="4"/>
    <n v="1"/>
    <n v="2"/>
    <n v="3"/>
    <x v="1"/>
    <n v="1"/>
    <n v="2"/>
    <n v="5"/>
    <n v="4"/>
    <x v="1"/>
    <s v="App Review"/>
    <s v="Great stay"/>
    <x v="2"/>
    <n v="36"/>
    <d v="2024-10-15T00:00:00"/>
    <x v="1"/>
    <x v="0"/>
    <x v="0"/>
  </r>
  <r>
    <n v="870"/>
    <n v="31640"/>
    <s v="Joseph Bennett"/>
    <x v="1"/>
    <x v="4"/>
    <x v="471"/>
    <d v="2024-07-14T00:00:00"/>
    <n v="14"/>
    <x v="2"/>
    <x v="0"/>
    <n v="2"/>
    <n v="5"/>
    <n v="5"/>
    <n v="2"/>
    <n v="4"/>
    <x v="3"/>
    <n v="2"/>
    <n v="3"/>
    <n v="5"/>
    <n v="5"/>
    <x v="0"/>
    <s v="App Review"/>
    <s v="Will visit again"/>
    <x v="2"/>
    <n v="53"/>
    <d v="2024-10-08T00:00:00"/>
    <x v="2"/>
    <x v="16"/>
    <x v="0"/>
  </r>
  <r>
    <n v="871"/>
    <n v="83824"/>
    <s v="Mathew Davis"/>
    <x v="3"/>
    <x v="3"/>
    <x v="106"/>
    <d v="2024-12-27T00:00:00"/>
    <n v="13"/>
    <x v="2"/>
    <x v="1"/>
    <n v="3"/>
    <n v="2"/>
    <n v="5"/>
    <n v="5"/>
    <n v="2"/>
    <x v="0"/>
    <n v="5"/>
    <n v="2"/>
    <n v="5"/>
    <n v="5"/>
    <x v="1"/>
    <s v="Email"/>
    <s v="Poor service"/>
    <x v="2"/>
    <n v="51"/>
    <d v="2024-12-27T00:00:00"/>
    <x v="2"/>
    <x v="16"/>
    <x v="0"/>
  </r>
  <r>
    <n v="872"/>
    <n v="92914"/>
    <s v="Christopher Rodriguez"/>
    <x v="3"/>
    <x v="2"/>
    <x v="315"/>
    <d v="2025-01-04T00:00:00"/>
    <n v="6"/>
    <x v="2"/>
    <x v="4"/>
    <n v="2"/>
    <n v="1"/>
    <n v="3"/>
    <n v="4"/>
    <n v="5"/>
    <x v="1"/>
    <n v="3"/>
    <n v="2"/>
    <n v="1"/>
    <n v="5"/>
    <x v="0"/>
    <s v="Email"/>
    <s v="Poor service"/>
    <x v="2"/>
    <n v="53"/>
    <d v="2025-01-04T00:00:00"/>
    <x v="2"/>
    <x v="0"/>
    <x v="0"/>
  </r>
  <r>
    <n v="873"/>
    <n v="66093"/>
    <s v="Steven Lee"/>
    <x v="3"/>
    <x v="0"/>
    <x v="258"/>
    <d v="2024-07-11T00:00:00"/>
    <n v="4"/>
    <x v="0"/>
    <x v="4"/>
    <n v="1"/>
    <n v="1"/>
    <n v="1"/>
    <n v="4"/>
    <n v="5"/>
    <x v="1"/>
    <n v="3"/>
    <n v="3"/>
    <n v="1"/>
    <n v="3"/>
    <x v="1"/>
    <s v="Online Survey"/>
    <s v="Poor service"/>
    <x v="0"/>
    <n v="23"/>
    <d v="2024-09-19T00:00:00"/>
    <x v="0"/>
    <x v="5"/>
    <x v="1"/>
  </r>
  <r>
    <n v="874"/>
    <n v="57150"/>
    <s v="Kenneth Hall"/>
    <x v="0"/>
    <x v="4"/>
    <x v="67"/>
    <d v="2024-10-10T00:00:00"/>
    <n v="6"/>
    <x v="2"/>
    <x v="4"/>
    <n v="5"/>
    <n v="3"/>
    <n v="2"/>
    <n v="5"/>
    <n v="4"/>
    <x v="2"/>
    <n v="4"/>
    <n v="5"/>
    <n v="4"/>
    <n v="4"/>
    <x v="0"/>
    <s v="Online Survey"/>
    <s v="Average"/>
    <x v="1"/>
    <n v="67"/>
    <d v="2024-10-10T00:00:00"/>
    <x v="2"/>
    <x v="21"/>
    <x v="0"/>
  </r>
  <r>
    <n v="875"/>
    <n v="36111"/>
    <s v="Cathy Austin"/>
    <x v="4"/>
    <x v="3"/>
    <x v="505"/>
    <d v="2023-12-21T00:00:00"/>
    <n v="1"/>
    <x v="0"/>
    <x v="4"/>
    <n v="1"/>
    <n v="1"/>
    <n v="3"/>
    <n v="3"/>
    <n v="5"/>
    <x v="3"/>
    <n v="1"/>
    <n v="2"/>
    <n v="1"/>
    <n v="3"/>
    <x v="1"/>
    <s v="App Review"/>
    <s v="Needs improvement"/>
    <x v="2"/>
    <n v="18"/>
    <d v="2024-12-16T00:00:00"/>
    <x v="0"/>
    <x v="8"/>
    <x v="1"/>
  </r>
  <r>
    <n v="876"/>
    <n v="47293"/>
    <s v="Christina Brown"/>
    <x v="0"/>
    <x v="4"/>
    <x v="504"/>
    <d v="2024-01-11T00:00:00"/>
    <n v="6"/>
    <x v="3"/>
    <x v="3"/>
    <n v="1"/>
    <n v="1"/>
    <n v="4"/>
    <n v="2"/>
    <n v="3"/>
    <x v="3"/>
    <n v="2"/>
    <n v="1"/>
    <n v="4"/>
    <n v="4"/>
    <x v="0"/>
    <s v="App Review"/>
    <s v="Needs improvement"/>
    <x v="2"/>
    <n v="62"/>
    <d v="2024-01-11T00:00:00"/>
    <x v="2"/>
    <x v="7"/>
    <x v="1"/>
  </r>
  <r>
    <n v="877"/>
    <n v="59664"/>
    <s v="Lori Thompson"/>
    <x v="1"/>
    <x v="3"/>
    <x v="496"/>
    <d v="2024-04-12T00:00:00"/>
    <n v="11"/>
    <x v="1"/>
    <x v="2"/>
    <n v="1"/>
    <n v="4"/>
    <n v="2"/>
    <n v="5"/>
    <n v="2"/>
    <x v="0"/>
    <n v="1"/>
    <n v="3"/>
    <n v="4"/>
    <n v="3"/>
    <x v="1"/>
    <s v="Feedback Form"/>
    <s v="Great stay"/>
    <x v="2"/>
    <n v="47"/>
    <d v="2024-06-23T00:00:00"/>
    <x v="1"/>
    <x v="3"/>
    <x v="1"/>
  </r>
  <r>
    <n v="878"/>
    <n v="28306"/>
    <s v="Nicole Newman"/>
    <x v="2"/>
    <x v="0"/>
    <x v="335"/>
    <d v="2025-01-01T00:00:00"/>
    <n v="14"/>
    <x v="0"/>
    <x v="0"/>
    <n v="2"/>
    <n v="5"/>
    <n v="2"/>
    <n v="4"/>
    <n v="3"/>
    <x v="0"/>
    <n v="2"/>
    <n v="3"/>
    <n v="3"/>
    <n v="3"/>
    <x v="0"/>
    <s v="In-person"/>
    <s v="Average"/>
    <x v="1"/>
    <n v="32"/>
    <d v="2025-01-01T00:00:00"/>
    <x v="3"/>
    <x v="2"/>
    <x v="0"/>
  </r>
  <r>
    <n v="879"/>
    <n v="87213"/>
    <s v="Emily Hawkins"/>
    <x v="2"/>
    <x v="3"/>
    <x v="311"/>
    <d v="2025-01-07T00:00:00"/>
    <n v="10"/>
    <x v="0"/>
    <x v="1"/>
    <n v="4"/>
    <n v="4"/>
    <n v="3"/>
    <n v="3"/>
    <n v="4"/>
    <x v="0"/>
    <n v="4"/>
    <n v="5"/>
    <n v="1"/>
    <n v="2"/>
    <x v="1"/>
    <s v="Feedback Form"/>
    <s v="Average"/>
    <x v="1"/>
    <n v="26"/>
    <d v="2025-01-07T00:00:00"/>
    <x v="3"/>
    <x v="1"/>
    <x v="0"/>
  </r>
  <r>
    <n v="880"/>
    <n v="28298"/>
    <s v="Gregory Johnson"/>
    <x v="2"/>
    <x v="4"/>
    <x v="278"/>
    <d v="2024-06-14T00:00:00"/>
    <n v="13"/>
    <x v="1"/>
    <x v="4"/>
    <n v="5"/>
    <n v="3"/>
    <n v="1"/>
    <n v="4"/>
    <n v="4"/>
    <x v="1"/>
    <n v="1"/>
    <n v="2"/>
    <n v="5"/>
    <n v="5"/>
    <x v="0"/>
    <s v="Feedback Form"/>
    <s v="Average"/>
    <x v="1"/>
    <n v="46"/>
    <d v="2024-06-14T00:00:00"/>
    <x v="1"/>
    <x v="18"/>
    <x v="0"/>
  </r>
  <r>
    <n v="881"/>
    <n v="14753"/>
    <s v="Jason Brown"/>
    <x v="2"/>
    <x v="3"/>
    <x v="431"/>
    <d v="2024-01-07T00:00:00"/>
    <n v="11"/>
    <x v="0"/>
    <x v="0"/>
    <n v="2"/>
    <n v="2"/>
    <n v="5"/>
    <n v="3"/>
    <n v="3"/>
    <x v="2"/>
    <n v="5"/>
    <n v="1"/>
    <n v="2"/>
    <n v="2"/>
    <x v="1"/>
    <s v="App Review"/>
    <s v="Will visit again"/>
    <x v="2"/>
    <n v="19"/>
    <d v="2024-01-07T00:00:00"/>
    <x v="0"/>
    <x v="5"/>
    <x v="1"/>
  </r>
  <r>
    <n v="882"/>
    <n v="82352"/>
    <s v="Barbara Brown"/>
    <x v="4"/>
    <x v="4"/>
    <x v="195"/>
    <d v="2024-11-22T00:00:00"/>
    <n v="8"/>
    <x v="1"/>
    <x v="2"/>
    <n v="1"/>
    <n v="3"/>
    <n v="1"/>
    <n v="4"/>
    <n v="1"/>
    <x v="4"/>
    <n v="4"/>
    <n v="5"/>
    <n v="4"/>
    <n v="2"/>
    <x v="1"/>
    <s v="Email"/>
    <s v="Average"/>
    <x v="2"/>
    <n v="47"/>
    <d v="2024-11-22T00:00:00"/>
    <x v="1"/>
    <x v="7"/>
    <x v="1"/>
  </r>
  <r>
    <n v="883"/>
    <n v="87704"/>
    <s v="James Valdez"/>
    <x v="2"/>
    <x v="2"/>
    <x v="320"/>
    <d v="2024-08-18T00:00:00"/>
    <n v="4"/>
    <x v="3"/>
    <x v="0"/>
    <n v="3"/>
    <n v="1"/>
    <n v="3"/>
    <n v="1"/>
    <n v="4"/>
    <x v="2"/>
    <n v="4"/>
    <n v="2"/>
    <n v="2"/>
    <n v="2"/>
    <x v="0"/>
    <s v="Email"/>
    <s v="Average"/>
    <x v="1"/>
    <n v="63"/>
    <d v="2024-08-18T00:00:00"/>
    <x v="2"/>
    <x v="8"/>
    <x v="1"/>
  </r>
  <r>
    <n v="884"/>
    <n v="84374"/>
    <s v="Hunter Holmes"/>
    <x v="0"/>
    <x v="0"/>
    <x v="157"/>
    <d v="2024-01-21T00:00:00"/>
    <n v="9"/>
    <x v="2"/>
    <x v="1"/>
    <n v="3"/>
    <n v="5"/>
    <n v="5"/>
    <n v="3"/>
    <n v="2"/>
    <x v="3"/>
    <n v="3"/>
    <n v="5"/>
    <n v="5"/>
    <n v="1"/>
    <x v="1"/>
    <s v="In-person"/>
    <s v="Poor service"/>
    <x v="0"/>
    <n v="21"/>
    <d v="2024-01-21T00:00:00"/>
    <x v="0"/>
    <x v="11"/>
    <x v="0"/>
  </r>
  <r>
    <n v="885"/>
    <n v="43565"/>
    <s v="Jeremy Moran"/>
    <x v="2"/>
    <x v="4"/>
    <x v="461"/>
    <d v="2024-09-11T00:00:00"/>
    <n v="6"/>
    <x v="1"/>
    <x v="4"/>
    <n v="1"/>
    <n v="1"/>
    <n v="2"/>
    <n v="3"/>
    <n v="4"/>
    <x v="0"/>
    <n v="2"/>
    <n v="3"/>
    <n v="4"/>
    <n v="4"/>
    <x v="1"/>
    <s v="Email"/>
    <s v="Poor service"/>
    <x v="0"/>
    <n v="36"/>
    <d v="2024-09-11T00:00:00"/>
    <x v="1"/>
    <x v="5"/>
    <x v="1"/>
  </r>
  <r>
    <n v="886"/>
    <n v="34652"/>
    <s v="Amy Burton"/>
    <x v="3"/>
    <x v="1"/>
    <x v="338"/>
    <d v="2024-10-05T00:00:00"/>
    <n v="6"/>
    <x v="1"/>
    <x v="1"/>
    <n v="4"/>
    <n v="5"/>
    <n v="4"/>
    <n v="3"/>
    <n v="3"/>
    <x v="4"/>
    <n v="1"/>
    <n v="3"/>
    <n v="4"/>
    <n v="2"/>
    <x v="1"/>
    <s v="App Review"/>
    <s v="Poor service"/>
    <x v="1"/>
    <n v="37"/>
    <d v="2024-12-19T00:00:00"/>
    <x v="1"/>
    <x v="2"/>
    <x v="0"/>
  </r>
  <r>
    <n v="887"/>
    <n v="98144"/>
    <s v="Dawn Moreno"/>
    <x v="1"/>
    <x v="1"/>
    <x v="130"/>
    <d v="2024-07-21T00:00:00"/>
    <n v="4"/>
    <x v="2"/>
    <x v="4"/>
    <n v="5"/>
    <n v="5"/>
    <n v="1"/>
    <n v="1"/>
    <n v="3"/>
    <x v="3"/>
    <n v="2"/>
    <n v="2"/>
    <n v="1"/>
    <n v="2"/>
    <x v="1"/>
    <s v="Email"/>
    <s v="Average"/>
    <x v="2"/>
    <n v="22"/>
    <d v="2024-11-19T00:00:00"/>
    <x v="0"/>
    <x v="7"/>
    <x v="1"/>
  </r>
  <r>
    <n v="888"/>
    <n v="91676"/>
    <s v="Tina Ward"/>
    <x v="0"/>
    <x v="3"/>
    <x v="101"/>
    <d v="2024-01-15T00:00:00"/>
    <n v="8"/>
    <x v="2"/>
    <x v="2"/>
    <n v="2"/>
    <n v="5"/>
    <n v="5"/>
    <n v="1"/>
    <n v="5"/>
    <x v="0"/>
    <n v="4"/>
    <n v="5"/>
    <n v="3"/>
    <n v="1"/>
    <x v="0"/>
    <s v="Online Survey"/>
    <s v="Average"/>
    <x v="2"/>
    <n v="26"/>
    <d v="2024-01-15T00:00:00"/>
    <x v="3"/>
    <x v="13"/>
    <x v="0"/>
  </r>
  <r>
    <n v="889"/>
    <n v="89628"/>
    <s v="Dalton Keller"/>
    <x v="4"/>
    <x v="2"/>
    <x v="294"/>
    <d v="2024-12-12T00:00:00"/>
    <n v="5"/>
    <x v="0"/>
    <x v="1"/>
    <n v="4"/>
    <n v="2"/>
    <n v="1"/>
    <n v="4"/>
    <n v="1"/>
    <x v="4"/>
    <n v="1"/>
    <n v="2"/>
    <n v="2"/>
    <n v="1"/>
    <x v="1"/>
    <s v="In-person"/>
    <s v="Poor service"/>
    <x v="0"/>
    <n v="37"/>
    <d v="2024-12-12T00:00:00"/>
    <x v="1"/>
    <x v="25"/>
    <x v="1"/>
  </r>
  <r>
    <n v="890"/>
    <n v="98617"/>
    <s v="Brent Young"/>
    <x v="0"/>
    <x v="2"/>
    <x v="506"/>
    <d v="2024-01-08T00:00:00"/>
    <n v="12"/>
    <x v="0"/>
    <x v="0"/>
    <n v="3"/>
    <n v="3"/>
    <n v="5"/>
    <n v="2"/>
    <n v="3"/>
    <x v="2"/>
    <n v="5"/>
    <n v="4"/>
    <n v="5"/>
    <n v="5"/>
    <x v="0"/>
    <s v="Email"/>
    <s v="Great stay"/>
    <x v="2"/>
    <n v="69"/>
    <d v="2024-07-27T00:00:00"/>
    <x v="2"/>
    <x v="16"/>
    <x v="0"/>
  </r>
  <r>
    <n v="891"/>
    <n v="20875"/>
    <s v="Mary Morales"/>
    <x v="3"/>
    <x v="1"/>
    <x v="507"/>
    <d v="2024-04-14T00:00:00"/>
    <n v="1"/>
    <x v="0"/>
    <x v="2"/>
    <n v="1"/>
    <n v="2"/>
    <n v="4"/>
    <n v="4"/>
    <n v="5"/>
    <x v="3"/>
    <n v="2"/>
    <n v="2"/>
    <n v="3"/>
    <n v="2"/>
    <x v="0"/>
    <s v="Email"/>
    <s v="Great stay"/>
    <x v="1"/>
    <n v="66"/>
    <d v="2024-04-14T00:00:00"/>
    <x v="2"/>
    <x v="4"/>
    <x v="1"/>
  </r>
  <r>
    <n v="892"/>
    <n v="58996"/>
    <s v="Tina Alvarez"/>
    <x v="2"/>
    <x v="3"/>
    <x v="108"/>
    <d v="2024-09-13T00:00:00"/>
    <n v="7"/>
    <x v="2"/>
    <x v="1"/>
    <n v="2"/>
    <n v="2"/>
    <n v="3"/>
    <n v="3"/>
    <n v="5"/>
    <x v="1"/>
    <n v="2"/>
    <n v="4"/>
    <n v="3"/>
    <n v="4"/>
    <x v="0"/>
    <s v="Online Survey"/>
    <s v="Needs improvement"/>
    <x v="2"/>
    <n v="33"/>
    <d v="2024-09-13T00:00:00"/>
    <x v="3"/>
    <x v="1"/>
    <x v="0"/>
  </r>
  <r>
    <n v="893"/>
    <n v="43993"/>
    <s v="Marissa Rodriguez"/>
    <x v="2"/>
    <x v="2"/>
    <x v="91"/>
    <d v="2024-08-11T00:00:00"/>
    <n v="8"/>
    <x v="2"/>
    <x v="4"/>
    <n v="4"/>
    <n v="2"/>
    <n v="3"/>
    <n v="3"/>
    <n v="2"/>
    <x v="4"/>
    <n v="5"/>
    <n v="3"/>
    <n v="1"/>
    <n v="2"/>
    <x v="0"/>
    <s v="Feedback Form"/>
    <s v="Will visit again"/>
    <x v="2"/>
    <n v="66"/>
    <d v="2024-08-11T00:00:00"/>
    <x v="2"/>
    <x v="7"/>
    <x v="1"/>
  </r>
  <r>
    <n v="894"/>
    <n v="15566"/>
    <s v="Margaret Choi"/>
    <x v="4"/>
    <x v="2"/>
    <x v="327"/>
    <d v="2024-07-10T00:00:00"/>
    <n v="6"/>
    <x v="2"/>
    <x v="2"/>
    <n v="4"/>
    <n v="4"/>
    <n v="5"/>
    <n v="4"/>
    <n v="5"/>
    <x v="4"/>
    <n v="4"/>
    <n v="1"/>
    <n v="4"/>
    <n v="5"/>
    <x v="1"/>
    <s v="App Review"/>
    <s v="Will visit again"/>
    <x v="1"/>
    <n v="37"/>
    <d v="2024-08-21T00:00:00"/>
    <x v="1"/>
    <x v="16"/>
    <x v="0"/>
  </r>
  <r>
    <n v="895"/>
    <n v="89139"/>
    <s v="Priscilla Brewer"/>
    <x v="1"/>
    <x v="3"/>
    <x v="439"/>
    <d v="2024-06-04T00:00:00"/>
    <n v="7"/>
    <x v="0"/>
    <x v="4"/>
    <n v="4"/>
    <n v="4"/>
    <n v="5"/>
    <n v="5"/>
    <n v="1"/>
    <x v="2"/>
    <n v="2"/>
    <n v="3"/>
    <n v="5"/>
    <n v="2"/>
    <x v="0"/>
    <s v="Email"/>
    <s v="Needs improvement"/>
    <x v="0"/>
    <n v="37"/>
    <d v="2024-06-22T00:00:00"/>
    <x v="1"/>
    <x v="1"/>
    <x v="0"/>
  </r>
  <r>
    <n v="896"/>
    <n v="48690"/>
    <s v="Kristin Brown"/>
    <x v="2"/>
    <x v="4"/>
    <x v="508"/>
    <d v="2024-09-25T00:00:00"/>
    <n v="12"/>
    <x v="2"/>
    <x v="3"/>
    <n v="2"/>
    <n v="4"/>
    <n v="3"/>
    <n v="2"/>
    <n v="2"/>
    <x v="2"/>
    <n v="3"/>
    <n v="1"/>
    <n v="3"/>
    <n v="1"/>
    <x v="1"/>
    <s v="Online Survey"/>
    <s v="Poor service"/>
    <x v="1"/>
    <n v="43"/>
    <d v="2024-09-25T00:00:00"/>
    <x v="1"/>
    <x v="9"/>
    <x v="1"/>
  </r>
  <r>
    <n v="897"/>
    <n v="55741"/>
    <s v="Wendy Gonzalez"/>
    <x v="4"/>
    <x v="1"/>
    <x v="194"/>
    <d v="2024-12-28T00:00:00"/>
    <n v="7"/>
    <x v="2"/>
    <x v="0"/>
    <n v="5"/>
    <n v="2"/>
    <n v="2"/>
    <n v="1"/>
    <n v="3"/>
    <x v="3"/>
    <n v="3"/>
    <n v="5"/>
    <n v="3"/>
    <n v="1"/>
    <x v="0"/>
    <s v="Online Survey"/>
    <s v="Poor service"/>
    <x v="2"/>
    <n v="56"/>
    <d v="2024-12-28T00:00:00"/>
    <x v="2"/>
    <x v="4"/>
    <x v="1"/>
  </r>
  <r>
    <n v="898"/>
    <n v="67655"/>
    <s v="Wayne Valentine"/>
    <x v="2"/>
    <x v="2"/>
    <x v="83"/>
    <d v="2024-05-20T00:00:00"/>
    <n v="4"/>
    <x v="3"/>
    <x v="4"/>
    <n v="2"/>
    <n v="1"/>
    <n v="2"/>
    <n v="2"/>
    <n v="3"/>
    <x v="1"/>
    <n v="1"/>
    <n v="1"/>
    <n v="2"/>
    <n v="5"/>
    <x v="0"/>
    <s v="Feedback Form"/>
    <s v="Average"/>
    <x v="1"/>
    <n v="50"/>
    <d v="2024-05-20T00:00:00"/>
    <x v="1"/>
    <x v="8"/>
    <x v="1"/>
  </r>
  <r>
    <n v="899"/>
    <n v="12646"/>
    <s v="Zoe Scott"/>
    <x v="0"/>
    <x v="4"/>
    <x v="285"/>
    <d v="2023-09-03T00:00:00"/>
    <n v="14"/>
    <x v="1"/>
    <x v="1"/>
    <n v="1"/>
    <n v="4"/>
    <n v="2"/>
    <n v="5"/>
    <n v="5"/>
    <x v="0"/>
    <n v="5"/>
    <n v="5"/>
    <n v="5"/>
    <n v="5"/>
    <x v="0"/>
    <s v="Email"/>
    <s v="Will visit again"/>
    <x v="1"/>
    <n v="29"/>
    <d v="2024-01-07T00:00:00"/>
    <x v="3"/>
    <x v="12"/>
    <x v="2"/>
  </r>
  <r>
    <n v="900"/>
    <n v="94651"/>
    <s v="Gary Davidson"/>
    <x v="4"/>
    <x v="4"/>
    <x v="126"/>
    <d v="2024-06-13T00:00:00"/>
    <n v="4"/>
    <x v="1"/>
    <x v="3"/>
    <n v="2"/>
    <n v="4"/>
    <n v="4"/>
    <n v="4"/>
    <n v="4"/>
    <x v="4"/>
    <n v="4"/>
    <n v="4"/>
    <n v="5"/>
    <n v="1"/>
    <x v="0"/>
    <s v="Feedback Form"/>
    <s v="Average"/>
    <x v="0"/>
    <n v="38"/>
    <d v="2024-06-13T00:00:00"/>
    <x v="1"/>
    <x v="1"/>
    <x v="0"/>
  </r>
  <r>
    <n v="901"/>
    <n v="51592"/>
    <s v="Shane Heath"/>
    <x v="4"/>
    <x v="4"/>
    <x v="190"/>
    <d v="2024-11-23T00:00:00"/>
    <n v="14"/>
    <x v="2"/>
    <x v="2"/>
    <n v="4"/>
    <n v="2"/>
    <n v="5"/>
    <n v="4"/>
    <n v="1"/>
    <x v="4"/>
    <n v="3"/>
    <n v="5"/>
    <n v="3"/>
    <n v="1"/>
    <x v="1"/>
    <s v="In-person"/>
    <s v="Average"/>
    <x v="0"/>
    <n v="40"/>
    <d v="2024-11-23T00:00:00"/>
    <x v="1"/>
    <x v="4"/>
    <x v="1"/>
  </r>
  <r>
    <n v="902"/>
    <n v="39339"/>
    <s v="Christine Benjamin"/>
    <x v="4"/>
    <x v="4"/>
    <x v="509"/>
    <d v="2024-05-27T00:00:00"/>
    <n v="12"/>
    <x v="0"/>
    <x v="1"/>
    <n v="5"/>
    <n v="3"/>
    <n v="1"/>
    <n v="3"/>
    <n v="1"/>
    <x v="3"/>
    <n v="1"/>
    <n v="2"/>
    <n v="4"/>
    <n v="2"/>
    <x v="0"/>
    <s v="Online Survey"/>
    <s v="Will visit again"/>
    <x v="2"/>
    <n v="37"/>
    <d v="2024-05-27T00:00:00"/>
    <x v="1"/>
    <x v="7"/>
    <x v="1"/>
  </r>
  <r>
    <n v="903"/>
    <n v="46449"/>
    <s v="Joshua Holt"/>
    <x v="2"/>
    <x v="0"/>
    <x v="23"/>
    <d v="2023-12-02T00:00:00"/>
    <n v="1"/>
    <x v="3"/>
    <x v="2"/>
    <n v="5"/>
    <n v="1"/>
    <n v="1"/>
    <n v="4"/>
    <n v="5"/>
    <x v="0"/>
    <n v="1"/>
    <n v="2"/>
    <n v="5"/>
    <n v="5"/>
    <x v="1"/>
    <s v="App Review"/>
    <s v="Poor service"/>
    <x v="1"/>
    <n v="40"/>
    <d v="2024-03-28T00:00:00"/>
    <x v="1"/>
    <x v="10"/>
    <x v="0"/>
  </r>
  <r>
    <n v="904"/>
    <n v="63631"/>
    <s v="Cassandra Smith"/>
    <x v="4"/>
    <x v="0"/>
    <x v="510"/>
    <d v="2024-12-22T00:00:00"/>
    <n v="2"/>
    <x v="3"/>
    <x v="3"/>
    <n v="1"/>
    <n v="5"/>
    <n v="5"/>
    <n v="5"/>
    <n v="1"/>
    <x v="0"/>
    <n v="2"/>
    <n v="2"/>
    <n v="5"/>
    <n v="2"/>
    <x v="0"/>
    <s v="Online Survey"/>
    <s v="Great stay"/>
    <x v="2"/>
    <n v="66"/>
    <d v="2024-12-22T00:00:00"/>
    <x v="2"/>
    <x v="0"/>
    <x v="0"/>
  </r>
  <r>
    <n v="905"/>
    <n v="49967"/>
    <s v="Patrick Rasmussen"/>
    <x v="0"/>
    <x v="3"/>
    <x v="89"/>
    <d v="2024-11-16T00:00:00"/>
    <n v="3"/>
    <x v="1"/>
    <x v="1"/>
    <n v="1"/>
    <n v="5"/>
    <n v="3"/>
    <n v="4"/>
    <n v="2"/>
    <x v="0"/>
    <n v="4"/>
    <n v="3"/>
    <n v="2"/>
    <n v="1"/>
    <x v="0"/>
    <s v="Feedback Form"/>
    <s v="Poor service"/>
    <x v="1"/>
    <n v="64"/>
    <d v="2024-11-16T00:00:00"/>
    <x v="2"/>
    <x v="3"/>
    <x v="1"/>
  </r>
  <r>
    <n v="906"/>
    <n v="53547"/>
    <s v="Keith Watson"/>
    <x v="1"/>
    <x v="1"/>
    <x v="327"/>
    <d v="2024-07-10T00:00:00"/>
    <n v="5"/>
    <x v="3"/>
    <x v="4"/>
    <n v="3"/>
    <n v="1"/>
    <n v="5"/>
    <n v="4"/>
    <n v="5"/>
    <x v="3"/>
    <n v="3"/>
    <n v="2"/>
    <n v="2"/>
    <n v="4"/>
    <x v="0"/>
    <s v="App Review"/>
    <s v="Poor service"/>
    <x v="1"/>
    <n v="23"/>
    <d v="2024-09-12T00:00:00"/>
    <x v="0"/>
    <x v="1"/>
    <x v="0"/>
  </r>
  <r>
    <n v="907"/>
    <n v="75463"/>
    <s v="Robert Bird"/>
    <x v="1"/>
    <x v="3"/>
    <x v="511"/>
    <d v="2024-07-05T00:00:00"/>
    <n v="10"/>
    <x v="3"/>
    <x v="1"/>
    <n v="3"/>
    <n v="2"/>
    <n v="2"/>
    <n v="5"/>
    <n v="4"/>
    <x v="4"/>
    <n v="5"/>
    <n v="5"/>
    <n v="2"/>
    <n v="5"/>
    <x v="0"/>
    <s v="App Review"/>
    <s v="Average"/>
    <x v="0"/>
    <n v="62"/>
    <d v="2024-07-05T00:00:00"/>
    <x v="2"/>
    <x v="13"/>
    <x v="0"/>
  </r>
  <r>
    <n v="908"/>
    <n v="56851"/>
    <s v="Elizabeth Horn"/>
    <x v="3"/>
    <x v="0"/>
    <x v="129"/>
    <d v="2024-01-02T00:00:00"/>
    <n v="9"/>
    <x v="3"/>
    <x v="0"/>
    <n v="3"/>
    <n v="3"/>
    <n v="2"/>
    <n v="1"/>
    <n v="3"/>
    <x v="2"/>
    <n v="2"/>
    <n v="5"/>
    <n v="4"/>
    <n v="2"/>
    <x v="0"/>
    <s v="Online Survey"/>
    <s v="Average"/>
    <x v="1"/>
    <n v="29"/>
    <d v="2024-01-02T00:00:00"/>
    <x v="3"/>
    <x v="5"/>
    <x v="1"/>
  </r>
  <r>
    <n v="909"/>
    <n v="35062"/>
    <s v="Danny Henry"/>
    <x v="0"/>
    <x v="3"/>
    <x v="158"/>
    <d v="2024-05-10T00:00:00"/>
    <n v="5"/>
    <x v="2"/>
    <x v="4"/>
    <n v="2"/>
    <n v="3"/>
    <n v="1"/>
    <n v="2"/>
    <n v="1"/>
    <x v="4"/>
    <n v="3"/>
    <n v="5"/>
    <n v="4"/>
    <n v="5"/>
    <x v="1"/>
    <s v="App Review"/>
    <s v="Average"/>
    <x v="0"/>
    <n v="52"/>
    <d v="2024-05-10T00:00:00"/>
    <x v="2"/>
    <x v="5"/>
    <x v="1"/>
  </r>
  <r>
    <n v="910"/>
    <n v="69123"/>
    <s v="Samantha Moore"/>
    <x v="0"/>
    <x v="3"/>
    <x v="449"/>
    <d v="2024-02-27T00:00:00"/>
    <n v="13"/>
    <x v="1"/>
    <x v="0"/>
    <n v="5"/>
    <n v="5"/>
    <n v="5"/>
    <n v="4"/>
    <n v="3"/>
    <x v="2"/>
    <n v="1"/>
    <n v="2"/>
    <n v="5"/>
    <n v="4"/>
    <x v="0"/>
    <s v="Email"/>
    <s v="Will visit again"/>
    <x v="1"/>
    <n v="25"/>
    <d v="2024-08-25T00:00:00"/>
    <x v="0"/>
    <x v="11"/>
    <x v="0"/>
  </r>
  <r>
    <n v="911"/>
    <n v="83068"/>
    <s v="Mary Barnes"/>
    <x v="4"/>
    <x v="4"/>
    <x v="463"/>
    <d v="2023-08-03T00:00:00"/>
    <n v="6"/>
    <x v="1"/>
    <x v="1"/>
    <n v="1"/>
    <n v="3"/>
    <n v="1"/>
    <n v="2"/>
    <n v="4"/>
    <x v="2"/>
    <n v="5"/>
    <n v="4"/>
    <n v="4"/>
    <n v="3"/>
    <x v="1"/>
    <s v="Online Survey"/>
    <s v="Will visit again"/>
    <x v="2"/>
    <n v="44"/>
    <d v="2024-07-12T00:00:00"/>
    <x v="1"/>
    <x v="4"/>
    <x v="1"/>
  </r>
  <r>
    <n v="912"/>
    <n v="98327"/>
    <s v="Amanda Jones"/>
    <x v="3"/>
    <x v="2"/>
    <x v="512"/>
    <d v="2023-11-22T00:00:00"/>
    <n v="14"/>
    <x v="0"/>
    <x v="1"/>
    <n v="3"/>
    <n v="5"/>
    <n v="3"/>
    <n v="2"/>
    <n v="4"/>
    <x v="3"/>
    <n v="1"/>
    <n v="4"/>
    <n v="2"/>
    <n v="1"/>
    <x v="0"/>
    <s v="Feedback Form"/>
    <s v="Needs improvement"/>
    <x v="2"/>
    <n v="33"/>
    <d v="2023-11-22T00:00:00"/>
    <x v="3"/>
    <x v="4"/>
    <x v="1"/>
  </r>
  <r>
    <n v="913"/>
    <n v="99229"/>
    <s v="Jennifer Todd"/>
    <x v="0"/>
    <x v="0"/>
    <x v="253"/>
    <d v="2023-11-07T00:00:00"/>
    <n v="7"/>
    <x v="2"/>
    <x v="2"/>
    <n v="1"/>
    <n v="4"/>
    <n v="4"/>
    <n v="3"/>
    <n v="2"/>
    <x v="0"/>
    <n v="2"/>
    <n v="3"/>
    <n v="4"/>
    <n v="4"/>
    <x v="0"/>
    <s v="In-person"/>
    <s v="Average"/>
    <x v="1"/>
    <n v="64"/>
    <d v="2024-12-16T00:00:00"/>
    <x v="2"/>
    <x v="2"/>
    <x v="0"/>
  </r>
  <r>
    <n v="914"/>
    <n v="18221"/>
    <s v="Gary Chavez"/>
    <x v="0"/>
    <x v="0"/>
    <x v="99"/>
    <d v="2023-03-21T00:00:00"/>
    <n v="4"/>
    <x v="3"/>
    <x v="1"/>
    <n v="3"/>
    <n v="2"/>
    <n v="4"/>
    <n v="1"/>
    <n v="4"/>
    <x v="3"/>
    <n v="5"/>
    <n v="5"/>
    <n v="5"/>
    <n v="3"/>
    <x v="1"/>
    <s v="Feedback Form"/>
    <s v="Will visit again"/>
    <x v="0"/>
    <n v="49"/>
    <d v="2023-03-21T00:00:00"/>
    <x v="1"/>
    <x v="11"/>
    <x v="0"/>
  </r>
  <r>
    <n v="915"/>
    <n v="25234"/>
    <s v="Donald Hays"/>
    <x v="0"/>
    <x v="3"/>
    <x v="345"/>
    <d v="2023-03-13T00:00:00"/>
    <n v="8"/>
    <x v="2"/>
    <x v="4"/>
    <n v="2"/>
    <n v="3"/>
    <n v="3"/>
    <n v="2"/>
    <n v="4"/>
    <x v="2"/>
    <n v="5"/>
    <n v="5"/>
    <n v="3"/>
    <n v="2"/>
    <x v="0"/>
    <s v="Email"/>
    <s v="Needs improvement"/>
    <x v="0"/>
    <n v="46"/>
    <d v="2023-03-30T00:00:00"/>
    <x v="1"/>
    <x v="0"/>
    <x v="0"/>
  </r>
  <r>
    <n v="916"/>
    <n v="18321"/>
    <s v="Johnathan Woods"/>
    <x v="2"/>
    <x v="2"/>
    <x v="513"/>
    <d v="2023-09-21T00:00:00"/>
    <n v="11"/>
    <x v="3"/>
    <x v="0"/>
    <n v="2"/>
    <n v="2"/>
    <n v="2"/>
    <n v="3"/>
    <n v="1"/>
    <x v="4"/>
    <n v="2"/>
    <n v="3"/>
    <n v="1"/>
    <n v="4"/>
    <x v="0"/>
    <s v="In-person"/>
    <s v="Average"/>
    <x v="0"/>
    <n v="24"/>
    <d v="2023-09-21T00:00:00"/>
    <x v="0"/>
    <x v="17"/>
    <x v="1"/>
  </r>
  <r>
    <n v="917"/>
    <n v="17945"/>
    <s v="Spencer Nichols"/>
    <x v="0"/>
    <x v="3"/>
    <x v="478"/>
    <d v="2024-12-13T00:00:00"/>
    <n v="6"/>
    <x v="3"/>
    <x v="3"/>
    <n v="4"/>
    <n v="4"/>
    <n v="2"/>
    <n v="5"/>
    <n v="3"/>
    <x v="2"/>
    <n v="1"/>
    <n v="5"/>
    <n v="4"/>
    <n v="3"/>
    <x v="0"/>
    <s v="In-person"/>
    <s v="Average"/>
    <x v="1"/>
    <n v="33"/>
    <d v="2024-12-13T00:00:00"/>
    <x v="3"/>
    <x v="1"/>
    <x v="0"/>
  </r>
  <r>
    <n v="918"/>
    <n v="15189"/>
    <s v="Jennifer Burnett"/>
    <x v="2"/>
    <x v="1"/>
    <x v="514"/>
    <d v="2024-12-24T00:00:00"/>
    <n v="11"/>
    <x v="0"/>
    <x v="0"/>
    <n v="1"/>
    <n v="1"/>
    <n v="2"/>
    <n v="5"/>
    <n v="1"/>
    <x v="3"/>
    <n v="5"/>
    <n v="1"/>
    <n v="3"/>
    <n v="4"/>
    <x v="1"/>
    <s v="Feedback Form"/>
    <s v="Great stay"/>
    <x v="2"/>
    <n v="46"/>
    <d v="2024-12-24T00:00:00"/>
    <x v="1"/>
    <x v="5"/>
    <x v="1"/>
  </r>
  <r>
    <n v="919"/>
    <n v="12374"/>
    <s v="John Mcconnell"/>
    <x v="0"/>
    <x v="0"/>
    <x v="278"/>
    <d v="2024-06-14T00:00:00"/>
    <n v="1"/>
    <x v="0"/>
    <x v="2"/>
    <n v="4"/>
    <n v="1"/>
    <n v="1"/>
    <n v="5"/>
    <n v="1"/>
    <x v="4"/>
    <n v="4"/>
    <n v="3"/>
    <n v="5"/>
    <n v="3"/>
    <x v="1"/>
    <s v="Online Survey"/>
    <s v="Will visit again"/>
    <x v="0"/>
    <n v="42"/>
    <d v="2024-06-14T00:00:00"/>
    <x v="1"/>
    <x v="3"/>
    <x v="1"/>
  </r>
  <r>
    <n v="920"/>
    <n v="79519"/>
    <s v="Cassandra Knight"/>
    <x v="1"/>
    <x v="4"/>
    <x v="515"/>
    <d v="2023-07-30T00:00:00"/>
    <n v="6"/>
    <x v="0"/>
    <x v="3"/>
    <n v="2"/>
    <n v="1"/>
    <n v="1"/>
    <n v="5"/>
    <n v="5"/>
    <x v="0"/>
    <n v="4"/>
    <n v="5"/>
    <n v="3"/>
    <n v="2"/>
    <x v="1"/>
    <s v="Online Survey"/>
    <s v="Needs improvement"/>
    <x v="2"/>
    <n v="60"/>
    <d v="2024-07-07T00:00:00"/>
    <x v="2"/>
    <x v="0"/>
    <x v="0"/>
  </r>
  <r>
    <n v="921"/>
    <n v="21333"/>
    <s v="Joshua Alvarez"/>
    <x v="2"/>
    <x v="4"/>
    <x v="516"/>
    <d v="2024-04-16T00:00:00"/>
    <n v="2"/>
    <x v="3"/>
    <x v="3"/>
    <n v="2"/>
    <n v="5"/>
    <n v="4"/>
    <n v="5"/>
    <n v="5"/>
    <x v="3"/>
    <n v="1"/>
    <n v="3"/>
    <n v="3"/>
    <n v="2"/>
    <x v="0"/>
    <s v="In-person"/>
    <s v="Average"/>
    <x v="0"/>
    <n v="53"/>
    <d v="2024-07-16T00:00:00"/>
    <x v="2"/>
    <x v="13"/>
    <x v="0"/>
  </r>
  <r>
    <n v="922"/>
    <n v="75743"/>
    <s v="Shawn Vega"/>
    <x v="2"/>
    <x v="4"/>
    <x v="517"/>
    <d v="2024-09-08T00:00:00"/>
    <n v="4"/>
    <x v="3"/>
    <x v="1"/>
    <n v="1"/>
    <n v="5"/>
    <n v="2"/>
    <n v="3"/>
    <n v="2"/>
    <x v="1"/>
    <n v="5"/>
    <n v="1"/>
    <n v="3"/>
    <n v="2"/>
    <x v="0"/>
    <s v="Feedback Form"/>
    <s v="Will visit again"/>
    <x v="1"/>
    <n v="65"/>
    <d v="2024-09-08T00:00:00"/>
    <x v="2"/>
    <x v="4"/>
    <x v="1"/>
  </r>
  <r>
    <n v="923"/>
    <n v="50907"/>
    <s v="Rickey Benjamin"/>
    <x v="4"/>
    <x v="0"/>
    <x v="413"/>
    <d v="2024-02-04T00:00:00"/>
    <n v="11"/>
    <x v="2"/>
    <x v="2"/>
    <n v="4"/>
    <n v="1"/>
    <n v="2"/>
    <n v="1"/>
    <n v="2"/>
    <x v="2"/>
    <n v="1"/>
    <n v="1"/>
    <n v="2"/>
    <n v="2"/>
    <x v="0"/>
    <s v="Feedback Form"/>
    <s v="Needs improvement"/>
    <x v="1"/>
    <n v="21"/>
    <d v="2024-02-04T00:00:00"/>
    <x v="0"/>
    <x v="26"/>
    <x v="1"/>
  </r>
  <r>
    <n v="924"/>
    <n v="19173"/>
    <s v="Blake Flores"/>
    <x v="0"/>
    <x v="0"/>
    <x v="389"/>
    <d v="2024-07-12T00:00:00"/>
    <n v="4"/>
    <x v="1"/>
    <x v="2"/>
    <n v="4"/>
    <n v="4"/>
    <n v="3"/>
    <n v="1"/>
    <n v="4"/>
    <x v="0"/>
    <n v="4"/>
    <n v="2"/>
    <n v="4"/>
    <n v="2"/>
    <x v="0"/>
    <s v="Online Survey"/>
    <s v="Great stay"/>
    <x v="0"/>
    <n v="44"/>
    <d v="2024-07-12T00:00:00"/>
    <x v="1"/>
    <x v="0"/>
    <x v="0"/>
  </r>
  <r>
    <n v="925"/>
    <n v="14302"/>
    <s v="Peter Walker"/>
    <x v="3"/>
    <x v="4"/>
    <x v="518"/>
    <d v="2024-07-31T00:00:00"/>
    <n v="10"/>
    <x v="3"/>
    <x v="1"/>
    <n v="4"/>
    <n v="5"/>
    <n v="4"/>
    <n v="3"/>
    <n v="2"/>
    <x v="0"/>
    <n v="5"/>
    <n v="5"/>
    <n v="3"/>
    <n v="3"/>
    <x v="0"/>
    <s v="Email"/>
    <s v="Needs improvement"/>
    <x v="2"/>
    <n v="40"/>
    <d v="2024-11-30T00:00:00"/>
    <x v="1"/>
    <x v="16"/>
    <x v="0"/>
  </r>
  <r>
    <n v="926"/>
    <n v="49679"/>
    <s v="Tyler Cruz"/>
    <x v="3"/>
    <x v="0"/>
    <x v="386"/>
    <d v="2023-02-21T00:00:00"/>
    <n v="13"/>
    <x v="2"/>
    <x v="4"/>
    <n v="1"/>
    <n v="1"/>
    <n v="1"/>
    <n v="3"/>
    <n v="2"/>
    <x v="4"/>
    <n v="5"/>
    <n v="1"/>
    <n v="5"/>
    <n v="2"/>
    <x v="1"/>
    <s v="Online Survey"/>
    <s v="Average"/>
    <x v="0"/>
    <n v="40"/>
    <d v="2024-05-02T00:00:00"/>
    <x v="1"/>
    <x v="19"/>
    <x v="1"/>
  </r>
  <r>
    <n v="927"/>
    <n v="65842"/>
    <s v="Stephanie Dickerson"/>
    <x v="3"/>
    <x v="4"/>
    <x v="447"/>
    <d v="2023-03-23T00:00:00"/>
    <n v="10"/>
    <x v="2"/>
    <x v="1"/>
    <n v="1"/>
    <n v="2"/>
    <n v="4"/>
    <n v="4"/>
    <n v="4"/>
    <x v="3"/>
    <n v="1"/>
    <n v="1"/>
    <n v="1"/>
    <n v="4"/>
    <x v="0"/>
    <s v="Online Survey"/>
    <s v="Poor service"/>
    <x v="0"/>
    <n v="47"/>
    <d v="2024-11-29T00:00:00"/>
    <x v="1"/>
    <x v="7"/>
    <x v="1"/>
  </r>
  <r>
    <n v="928"/>
    <n v="36747"/>
    <s v="Matthew Williams"/>
    <x v="3"/>
    <x v="1"/>
    <x v="78"/>
    <d v="2024-07-03T00:00:00"/>
    <n v="5"/>
    <x v="3"/>
    <x v="2"/>
    <n v="1"/>
    <n v="1"/>
    <n v="2"/>
    <n v="2"/>
    <n v="3"/>
    <x v="2"/>
    <n v="5"/>
    <n v="1"/>
    <n v="1"/>
    <n v="4"/>
    <x v="1"/>
    <s v="Email"/>
    <s v="Poor service"/>
    <x v="0"/>
    <n v="60"/>
    <d v="2024-07-03T00:00:00"/>
    <x v="2"/>
    <x v="19"/>
    <x v="1"/>
  </r>
  <r>
    <n v="929"/>
    <n v="10111"/>
    <s v="Martin Burke"/>
    <x v="1"/>
    <x v="1"/>
    <x v="11"/>
    <d v="2024-10-25T00:00:00"/>
    <n v="10"/>
    <x v="3"/>
    <x v="3"/>
    <n v="5"/>
    <n v="1"/>
    <n v="2"/>
    <n v="5"/>
    <n v="4"/>
    <x v="1"/>
    <n v="1"/>
    <n v="2"/>
    <n v="1"/>
    <n v="2"/>
    <x v="1"/>
    <s v="Online Survey"/>
    <s v="Great stay"/>
    <x v="2"/>
    <n v="41"/>
    <d v="2024-10-25T00:00:00"/>
    <x v="1"/>
    <x v="3"/>
    <x v="1"/>
  </r>
  <r>
    <n v="930"/>
    <n v="91102"/>
    <s v="Jason Johnson"/>
    <x v="3"/>
    <x v="1"/>
    <x v="114"/>
    <d v="2024-10-22T00:00:00"/>
    <n v="12"/>
    <x v="0"/>
    <x v="4"/>
    <n v="2"/>
    <n v="2"/>
    <n v="1"/>
    <n v="2"/>
    <n v="4"/>
    <x v="2"/>
    <n v="3"/>
    <n v="5"/>
    <n v="2"/>
    <n v="4"/>
    <x v="0"/>
    <s v="In-person"/>
    <s v="Average"/>
    <x v="0"/>
    <n v="65"/>
    <d v="2024-10-22T00:00:00"/>
    <x v="2"/>
    <x v="5"/>
    <x v="1"/>
  </r>
  <r>
    <n v="931"/>
    <n v="31424"/>
    <s v="Dennis Collins"/>
    <x v="4"/>
    <x v="3"/>
    <x v="509"/>
    <d v="2024-05-27T00:00:00"/>
    <n v="2"/>
    <x v="0"/>
    <x v="2"/>
    <n v="5"/>
    <n v="5"/>
    <n v="1"/>
    <n v="4"/>
    <n v="3"/>
    <x v="3"/>
    <n v="3"/>
    <n v="3"/>
    <n v="4"/>
    <n v="2"/>
    <x v="0"/>
    <s v="In-person"/>
    <s v="Average"/>
    <x v="0"/>
    <n v="33"/>
    <d v="2024-05-27T00:00:00"/>
    <x v="3"/>
    <x v="13"/>
    <x v="0"/>
  </r>
  <r>
    <n v="932"/>
    <n v="93329"/>
    <s v="Lynn Smith"/>
    <x v="3"/>
    <x v="3"/>
    <x v="185"/>
    <d v="2024-11-08T00:00:00"/>
    <n v="6"/>
    <x v="0"/>
    <x v="2"/>
    <n v="5"/>
    <n v="2"/>
    <n v="4"/>
    <n v="1"/>
    <n v="4"/>
    <x v="0"/>
    <n v="4"/>
    <n v="2"/>
    <n v="1"/>
    <n v="4"/>
    <x v="0"/>
    <s v="In-person"/>
    <s v="Will visit again"/>
    <x v="1"/>
    <n v="24"/>
    <d v="2024-11-08T00:00:00"/>
    <x v="0"/>
    <x v="2"/>
    <x v="0"/>
  </r>
  <r>
    <n v="933"/>
    <n v="18897"/>
    <s v="Miguel Reed"/>
    <x v="4"/>
    <x v="2"/>
    <x v="324"/>
    <d v="2023-11-27T00:00:00"/>
    <n v="11"/>
    <x v="2"/>
    <x v="1"/>
    <n v="2"/>
    <n v="5"/>
    <n v="5"/>
    <n v="5"/>
    <n v="5"/>
    <x v="1"/>
    <n v="4"/>
    <n v="5"/>
    <n v="2"/>
    <n v="5"/>
    <x v="1"/>
    <s v="In-person"/>
    <s v="Poor service"/>
    <x v="2"/>
    <n v="40"/>
    <d v="2023-11-27T00:00:00"/>
    <x v="1"/>
    <x v="27"/>
    <x v="2"/>
  </r>
  <r>
    <n v="934"/>
    <n v="48640"/>
    <s v="Jeffrey Patterson"/>
    <x v="2"/>
    <x v="2"/>
    <x v="506"/>
    <d v="2023-11-02T00:00:00"/>
    <n v="3"/>
    <x v="0"/>
    <x v="0"/>
    <n v="3"/>
    <n v="4"/>
    <n v="2"/>
    <n v="1"/>
    <n v="2"/>
    <x v="4"/>
    <n v="2"/>
    <n v="1"/>
    <n v="5"/>
    <n v="1"/>
    <x v="1"/>
    <s v="In-person"/>
    <s v="Will visit again"/>
    <x v="1"/>
    <n v="55"/>
    <d v="2023-11-02T00:00:00"/>
    <x v="2"/>
    <x v="19"/>
    <x v="1"/>
  </r>
  <r>
    <n v="935"/>
    <n v="24482"/>
    <s v="Betty Gates"/>
    <x v="0"/>
    <x v="2"/>
    <x v="92"/>
    <d v="2024-08-14T00:00:00"/>
    <n v="9"/>
    <x v="3"/>
    <x v="2"/>
    <n v="3"/>
    <n v="5"/>
    <n v="2"/>
    <n v="3"/>
    <n v="4"/>
    <x v="3"/>
    <n v="3"/>
    <n v="2"/>
    <n v="5"/>
    <n v="4"/>
    <x v="1"/>
    <s v="Feedback Form"/>
    <s v="Average"/>
    <x v="1"/>
    <n v="48"/>
    <d v="2024-08-24T00:00:00"/>
    <x v="1"/>
    <x v="18"/>
    <x v="0"/>
  </r>
  <r>
    <n v="936"/>
    <n v="37355"/>
    <s v="Benjamin Fernandez"/>
    <x v="3"/>
    <x v="1"/>
    <x v="519"/>
    <d v="2024-12-25T00:00:00"/>
    <n v="6"/>
    <x v="0"/>
    <x v="0"/>
    <n v="3"/>
    <n v="3"/>
    <n v="5"/>
    <n v="2"/>
    <n v="1"/>
    <x v="2"/>
    <n v="3"/>
    <n v="4"/>
    <n v="2"/>
    <n v="4"/>
    <x v="1"/>
    <s v="Feedback Form"/>
    <s v="Great stay"/>
    <x v="0"/>
    <n v="59"/>
    <d v="2024-12-25T00:00:00"/>
    <x v="2"/>
    <x v="4"/>
    <x v="1"/>
  </r>
  <r>
    <n v="937"/>
    <n v="66145"/>
    <s v="Jodi Wright"/>
    <x v="4"/>
    <x v="1"/>
    <x v="469"/>
    <d v="2023-10-08T00:00:00"/>
    <n v="3"/>
    <x v="3"/>
    <x v="4"/>
    <n v="1"/>
    <n v="5"/>
    <n v="4"/>
    <n v="1"/>
    <n v="2"/>
    <x v="3"/>
    <n v="2"/>
    <n v="4"/>
    <n v="4"/>
    <n v="1"/>
    <x v="1"/>
    <s v="Email"/>
    <s v="Poor service"/>
    <x v="0"/>
    <n v="36"/>
    <d v="2024-11-06T00:00:00"/>
    <x v="1"/>
    <x v="3"/>
    <x v="1"/>
  </r>
  <r>
    <n v="938"/>
    <n v="30583"/>
    <s v="George Perez"/>
    <x v="4"/>
    <x v="1"/>
    <x v="62"/>
    <d v="2023-04-03T00:00:00"/>
    <n v="3"/>
    <x v="3"/>
    <x v="3"/>
    <n v="1"/>
    <n v="3"/>
    <n v="3"/>
    <n v="4"/>
    <n v="5"/>
    <x v="4"/>
    <n v="1"/>
    <n v="1"/>
    <n v="5"/>
    <n v="5"/>
    <x v="0"/>
    <s v="App Review"/>
    <s v="Will visit again"/>
    <x v="0"/>
    <n v="69"/>
    <d v="2024-01-23T00:00:00"/>
    <x v="2"/>
    <x v="4"/>
    <x v="1"/>
  </r>
  <r>
    <n v="939"/>
    <n v="91718"/>
    <s v="Sherri Summers"/>
    <x v="0"/>
    <x v="0"/>
    <x v="304"/>
    <d v="2024-08-09T00:00:00"/>
    <n v="5"/>
    <x v="1"/>
    <x v="0"/>
    <n v="4"/>
    <n v="5"/>
    <n v="3"/>
    <n v="1"/>
    <n v="5"/>
    <x v="2"/>
    <n v="3"/>
    <n v="5"/>
    <n v="4"/>
    <n v="1"/>
    <x v="1"/>
    <s v="In-person"/>
    <s v="Great stay"/>
    <x v="1"/>
    <n v="64"/>
    <d v="2024-08-09T00:00:00"/>
    <x v="2"/>
    <x v="1"/>
    <x v="0"/>
  </r>
  <r>
    <n v="940"/>
    <n v="14857"/>
    <s v="Marie Bailey"/>
    <x v="2"/>
    <x v="0"/>
    <x v="89"/>
    <d v="2023-02-26T00:00:00"/>
    <n v="6"/>
    <x v="1"/>
    <x v="0"/>
    <n v="4"/>
    <n v="2"/>
    <n v="2"/>
    <n v="5"/>
    <n v="4"/>
    <x v="1"/>
    <n v="3"/>
    <n v="5"/>
    <n v="2"/>
    <n v="4"/>
    <x v="0"/>
    <s v="App Review"/>
    <s v="Average"/>
    <x v="2"/>
    <n v="21"/>
    <d v="2024-08-31T00:00:00"/>
    <x v="0"/>
    <x v="11"/>
    <x v="0"/>
  </r>
  <r>
    <n v="941"/>
    <n v="21166"/>
    <s v="Alicia Allen"/>
    <x v="3"/>
    <x v="1"/>
    <x v="520"/>
    <d v="2024-08-22T00:00:00"/>
    <n v="4"/>
    <x v="0"/>
    <x v="0"/>
    <n v="5"/>
    <n v="5"/>
    <n v="3"/>
    <n v="5"/>
    <n v="3"/>
    <x v="2"/>
    <n v="4"/>
    <n v="2"/>
    <n v="5"/>
    <n v="2"/>
    <x v="1"/>
    <s v="App Review"/>
    <s v="Needs improvement"/>
    <x v="2"/>
    <n v="23"/>
    <d v="2024-08-22T00:00:00"/>
    <x v="0"/>
    <x v="11"/>
    <x v="0"/>
  </r>
  <r>
    <n v="942"/>
    <n v="17498"/>
    <s v="Angela Bartlett"/>
    <x v="4"/>
    <x v="4"/>
    <x v="454"/>
    <d v="2023-08-12T00:00:00"/>
    <n v="12"/>
    <x v="3"/>
    <x v="0"/>
    <n v="4"/>
    <n v="1"/>
    <n v="4"/>
    <n v="2"/>
    <n v="1"/>
    <x v="2"/>
    <n v="2"/>
    <n v="4"/>
    <n v="5"/>
    <n v="5"/>
    <x v="0"/>
    <s v="In-person"/>
    <s v="Needs improvement"/>
    <x v="1"/>
    <n v="36"/>
    <d v="2024-01-23T00:00:00"/>
    <x v="1"/>
    <x v="2"/>
    <x v="0"/>
  </r>
  <r>
    <n v="943"/>
    <n v="47807"/>
    <s v="Bryan Jackson"/>
    <x v="3"/>
    <x v="2"/>
    <x v="516"/>
    <d v="2024-08-26T00:00:00"/>
    <n v="5"/>
    <x v="1"/>
    <x v="0"/>
    <n v="1"/>
    <n v="5"/>
    <n v="3"/>
    <n v="3"/>
    <n v="4"/>
    <x v="4"/>
    <n v="2"/>
    <n v="5"/>
    <n v="3"/>
    <n v="4"/>
    <x v="1"/>
    <s v="Online Survey"/>
    <s v="Poor service"/>
    <x v="1"/>
    <n v="44"/>
    <d v="2024-08-26T00:00:00"/>
    <x v="1"/>
    <x v="0"/>
    <x v="0"/>
  </r>
  <r>
    <n v="944"/>
    <n v="35423"/>
    <s v="Scott Howard"/>
    <x v="1"/>
    <x v="3"/>
    <x v="267"/>
    <d v="2024-08-13T00:00:00"/>
    <n v="3"/>
    <x v="2"/>
    <x v="4"/>
    <n v="5"/>
    <n v="2"/>
    <n v="1"/>
    <n v="5"/>
    <n v="3"/>
    <x v="2"/>
    <n v="4"/>
    <n v="2"/>
    <n v="5"/>
    <n v="2"/>
    <x v="1"/>
    <s v="Email"/>
    <s v="Great stay"/>
    <x v="2"/>
    <n v="69"/>
    <d v="2024-10-15T00:00:00"/>
    <x v="2"/>
    <x v="0"/>
    <x v="0"/>
  </r>
  <r>
    <n v="945"/>
    <n v="62095"/>
    <s v="Amy Gonzales"/>
    <x v="4"/>
    <x v="2"/>
    <x v="147"/>
    <d v="2023-11-17T00:00:00"/>
    <n v="10"/>
    <x v="1"/>
    <x v="2"/>
    <n v="4"/>
    <n v="2"/>
    <n v="4"/>
    <n v="4"/>
    <n v="5"/>
    <x v="3"/>
    <n v="3"/>
    <n v="2"/>
    <n v="1"/>
    <n v="2"/>
    <x v="1"/>
    <s v="App Review"/>
    <s v="Will visit again"/>
    <x v="0"/>
    <n v="46"/>
    <d v="2024-05-10T00:00:00"/>
    <x v="1"/>
    <x v="0"/>
    <x v="0"/>
  </r>
  <r>
    <n v="946"/>
    <n v="54180"/>
    <s v="Charles Sparks"/>
    <x v="2"/>
    <x v="4"/>
    <x v="384"/>
    <d v="2023-04-17T00:00:00"/>
    <n v="13"/>
    <x v="0"/>
    <x v="3"/>
    <n v="4"/>
    <n v="5"/>
    <n v="5"/>
    <n v="2"/>
    <n v="2"/>
    <x v="0"/>
    <n v="5"/>
    <n v="4"/>
    <n v="3"/>
    <n v="5"/>
    <x v="1"/>
    <s v="Online Survey"/>
    <s v="Great stay"/>
    <x v="2"/>
    <n v="29"/>
    <d v="2023-04-17T00:00:00"/>
    <x v="3"/>
    <x v="21"/>
    <x v="0"/>
  </r>
  <r>
    <n v="947"/>
    <n v="51128"/>
    <s v="Emily Daniel"/>
    <x v="0"/>
    <x v="0"/>
    <x v="521"/>
    <d v="2024-07-21T00:00:00"/>
    <n v="4"/>
    <x v="2"/>
    <x v="2"/>
    <n v="3"/>
    <n v="5"/>
    <n v="2"/>
    <n v="5"/>
    <n v="5"/>
    <x v="4"/>
    <n v="2"/>
    <n v="1"/>
    <n v="2"/>
    <n v="4"/>
    <x v="1"/>
    <s v="Online Survey"/>
    <s v="Poor service"/>
    <x v="1"/>
    <n v="55"/>
    <d v="2024-07-21T00:00:00"/>
    <x v="2"/>
    <x v="2"/>
    <x v="0"/>
  </r>
  <r>
    <n v="948"/>
    <n v="98620"/>
    <s v="Thomas Moore"/>
    <x v="4"/>
    <x v="1"/>
    <x v="65"/>
    <d v="2023-09-01T00:00:00"/>
    <n v="8"/>
    <x v="2"/>
    <x v="4"/>
    <n v="1"/>
    <n v="5"/>
    <n v="4"/>
    <n v="4"/>
    <n v="4"/>
    <x v="4"/>
    <n v="3"/>
    <n v="2"/>
    <n v="1"/>
    <n v="3"/>
    <x v="0"/>
    <s v="In-person"/>
    <s v="Average"/>
    <x v="0"/>
    <n v="30"/>
    <d v="2023-09-01T00:00:00"/>
    <x v="3"/>
    <x v="3"/>
    <x v="1"/>
  </r>
  <r>
    <n v="949"/>
    <n v="69911"/>
    <s v="Amanda Johnson"/>
    <x v="1"/>
    <x v="0"/>
    <x v="522"/>
    <d v="2023-03-16T00:00:00"/>
    <n v="8"/>
    <x v="3"/>
    <x v="4"/>
    <n v="5"/>
    <n v="4"/>
    <n v="3"/>
    <n v="1"/>
    <n v="3"/>
    <x v="4"/>
    <n v="1"/>
    <n v="1"/>
    <n v="1"/>
    <n v="2"/>
    <x v="1"/>
    <s v="Email"/>
    <s v="Great stay"/>
    <x v="0"/>
    <n v="45"/>
    <d v="2023-05-15T00:00:00"/>
    <x v="1"/>
    <x v="19"/>
    <x v="1"/>
  </r>
  <r>
    <n v="950"/>
    <n v="67450"/>
    <s v="Molly Pugh"/>
    <x v="0"/>
    <x v="0"/>
    <x v="162"/>
    <d v="2024-02-12T00:00:00"/>
    <n v="1"/>
    <x v="3"/>
    <x v="0"/>
    <n v="2"/>
    <n v="3"/>
    <n v="4"/>
    <n v="4"/>
    <n v="4"/>
    <x v="3"/>
    <n v="2"/>
    <n v="4"/>
    <n v="4"/>
    <n v="1"/>
    <x v="0"/>
    <s v="In-person"/>
    <s v="Poor service"/>
    <x v="2"/>
    <n v="22"/>
    <d v="2024-05-08T00:00:00"/>
    <x v="0"/>
    <x v="10"/>
    <x v="0"/>
  </r>
  <r>
    <n v="951"/>
    <n v="55940"/>
    <s v="William Garcia"/>
    <x v="2"/>
    <x v="4"/>
    <x v="523"/>
    <d v="2024-12-14T00:00:00"/>
    <n v="4"/>
    <x v="3"/>
    <x v="4"/>
    <n v="4"/>
    <n v="5"/>
    <n v="5"/>
    <n v="2"/>
    <n v="5"/>
    <x v="3"/>
    <n v="4"/>
    <n v="2"/>
    <n v="3"/>
    <n v="3"/>
    <x v="0"/>
    <s v="Email"/>
    <s v="Poor service"/>
    <x v="0"/>
    <n v="63"/>
    <d v="2024-12-14T00:00:00"/>
    <x v="2"/>
    <x v="16"/>
    <x v="0"/>
  </r>
  <r>
    <n v="952"/>
    <n v="66582"/>
    <s v="Billy Clark"/>
    <x v="3"/>
    <x v="0"/>
    <x v="524"/>
    <d v="2024-04-02T00:00:00"/>
    <n v="2"/>
    <x v="3"/>
    <x v="4"/>
    <n v="1"/>
    <n v="5"/>
    <n v="4"/>
    <n v="5"/>
    <n v="1"/>
    <x v="3"/>
    <n v="2"/>
    <n v="3"/>
    <n v="4"/>
    <n v="1"/>
    <x v="0"/>
    <s v="In-person"/>
    <s v="Will visit again"/>
    <x v="1"/>
    <n v="63"/>
    <d v="2024-04-02T00:00:00"/>
    <x v="2"/>
    <x v="2"/>
    <x v="0"/>
  </r>
  <r>
    <n v="953"/>
    <n v="70049"/>
    <s v="Debra Taylor"/>
    <x v="3"/>
    <x v="0"/>
    <x v="313"/>
    <d v="2024-04-22T00:00:00"/>
    <n v="4"/>
    <x v="1"/>
    <x v="0"/>
    <n v="5"/>
    <n v="3"/>
    <n v="5"/>
    <n v="3"/>
    <n v="5"/>
    <x v="3"/>
    <n v="4"/>
    <n v="4"/>
    <n v="3"/>
    <n v="5"/>
    <x v="0"/>
    <s v="Email"/>
    <s v="Average"/>
    <x v="2"/>
    <n v="34"/>
    <d v="2024-04-22T00:00:00"/>
    <x v="3"/>
    <x v="23"/>
    <x v="2"/>
  </r>
  <r>
    <n v="954"/>
    <n v="20270"/>
    <s v="Chelsea Kaiser"/>
    <x v="4"/>
    <x v="2"/>
    <x v="420"/>
    <d v="2023-12-14T00:00:00"/>
    <n v="5"/>
    <x v="0"/>
    <x v="4"/>
    <n v="1"/>
    <n v="1"/>
    <n v="5"/>
    <n v="3"/>
    <n v="4"/>
    <x v="2"/>
    <n v="1"/>
    <n v="4"/>
    <n v="3"/>
    <n v="2"/>
    <x v="1"/>
    <s v="Feedback Form"/>
    <s v="Great stay"/>
    <x v="1"/>
    <n v="44"/>
    <d v="2023-12-14T00:00:00"/>
    <x v="1"/>
    <x v="7"/>
    <x v="1"/>
  </r>
  <r>
    <n v="955"/>
    <n v="70962"/>
    <s v="Mr. Kevin Griffin MD"/>
    <x v="0"/>
    <x v="2"/>
    <x v="470"/>
    <d v="2024-05-01T00:00:00"/>
    <n v="1"/>
    <x v="0"/>
    <x v="4"/>
    <n v="1"/>
    <n v="4"/>
    <n v="4"/>
    <n v="4"/>
    <n v="3"/>
    <x v="4"/>
    <n v="3"/>
    <n v="3"/>
    <n v="1"/>
    <n v="2"/>
    <x v="1"/>
    <s v="Online Survey"/>
    <s v="Poor service"/>
    <x v="1"/>
    <n v="43"/>
    <d v="2024-05-17T00:00:00"/>
    <x v="1"/>
    <x v="7"/>
    <x v="1"/>
  </r>
  <r>
    <n v="956"/>
    <n v="14342"/>
    <s v="Adam Dixon"/>
    <x v="1"/>
    <x v="4"/>
    <x v="86"/>
    <d v="2024-11-26T00:00:00"/>
    <n v="12"/>
    <x v="3"/>
    <x v="4"/>
    <n v="5"/>
    <n v="4"/>
    <n v="2"/>
    <n v="4"/>
    <n v="4"/>
    <x v="4"/>
    <n v="4"/>
    <n v="4"/>
    <n v="5"/>
    <n v="5"/>
    <x v="1"/>
    <s v="Online Survey"/>
    <s v="Average"/>
    <x v="1"/>
    <n v="21"/>
    <d v="2024-11-26T00:00:00"/>
    <x v="0"/>
    <x v="21"/>
    <x v="0"/>
  </r>
  <r>
    <n v="957"/>
    <n v="53933"/>
    <s v="Christopher Stanley"/>
    <x v="1"/>
    <x v="1"/>
    <x v="525"/>
    <d v="2024-12-31T00:00:00"/>
    <n v="5"/>
    <x v="1"/>
    <x v="1"/>
    <n v="3"/>
    <n v="1"/>
    <n v="2"/>
    <n v="4"/>
    <n v="2"/>
    <x v="1"/>
    <n v="4"/>
    <n v="3"/>
    <n v="4"/>
    <n v="2"/>
    <x v="1"/>
    <s v="Online Survey"/>
    <s v="Will visit again"/>
    <x v="2"/>
    <n v="25"/>
    <d v="2024-12-31T00:00:00"/>
    <x v="0"/>
    <x v="2"/>
    <x v="0"/>
  </r>
  <r>
    <n v="958"/>
    <n v="77089"/>
    <s v="Stephanie Schultz"/>
    <x v="2"/>
    <x v="2"/>
    <x v="204"/>
    <d v="2023-10-25T00:00:00"/>
    <n v="7"/>
    <x v="1"/>
    <x v="2"/>
    <n v="3"/>
    <n v="3"/>
    <n v="3"/>
    <n v="5"/>
    <n v="2"/>
    <x v="0"/>
    <n v="1"/>
    <n v="3"/>
    <n v="4"/>
    <n v="3"/>
    <x v="0"/>
    <s v="Email"/>
    <s v="Poor service"/>
    <x v="1"/>
    <n v="43"/>
    <d v="2023-10-25T00:00:00"/>
    <x v="1"/>
    <x v="2"/>
    <x v="0"/>
  </r>
  <r>
    <n v="959"/>
    <n v="77538"/>
    <s v="Brian Morse"/>
    <x v="0"/>
    <x v="0"/>
    <x v="526"/>
    <d v="2024-12-02T00:00:00"/>
    <n v="5"/>
    <x v="1"/>
    <x v="1"/>
    <n v="4"/>
    <n v="3"/>
    <n v="4"/>
    <n v="3"/>
    <n v="3"/>
    <x v="2"/>
    <n v="5"/>
    <n v="4"/>
    <n v="1"/>
    <n v="3"/>
    <x v="1"/>
    <s v="Online Survey"/>
    <s v="Will visit again"/>
    <x v="1"/>
    <n v="50"/>
    <d v="2024-12-02T00:00:00"/>
    <x v="1"/>
    <x v="10"/>
    <x v="0"/>
  </r>
  <r>
    <n v="960"/>
    <n v="34488"/>
    <s v="Christopher Cox"/>
    <x v="0"/>
    <x v="3"/>
    <x v="527"/>
    <d v="2024-09-06T00:00:00"/>
    <n v="7"/>
    <x v="0"/>
    <x v="2"/>
    <n v="3"/>
    <n v="2"/>
    <n v="4"/>
    <n v="3"/>
    <n v="5"/>
    <x v="0"/>
    <n v="2"/>
    <n v="3"/>
    <n v="5"/>
    <n v="5"/>
    <x v="0"/>
    <s v="Feedback Form"/>
    <s v="Average"/>
    <x v="0"/>
    <n v="29"/>
    <d v="2024-11-04T00:00:00"/>
    <x v="3"/>
    <x v="18"/>
    <x v="0"/>
  </r>
  <r>
    <n v="961"/>
    <n v="64101"/>
    <s v="Jessica Graves"/>
    <x v="3"/>
    <x v="2"/>
    <x v="507"/>
    <d v="2024-03-13T00:00:00"/>
    <n v="13"/>
    <x v="3"/>
    <x v="0"/>
    <n v="4"/>
    <n v="3"/>
    <n v="1"/>
    <n v="2"/>
    <n v="4"/>
    <x v="2"/>
    <n v="5"/>
    <n v="3"/>
    <n v="3"/>
    <n v="4"/>
    <x v="0"/>
    <s v="Feedback Form"/>
    <s v="Will visit again"/>
    <x v="0"/>
    <n v="30"/>
    <d v="2024-10-22T00:00:00"/>
    <x v="3"/>
    <x v="0"/>
    <x v="0"/>
  </r>
  <r>
    <n v="962"/>
    <n v="55359"/>
    <s v="James Watts Jr."/>
    <x v="2"/>
    <x v="3"/>
    <x v="59"/>
    <d v="2023-09-02T00:00:00"/>
    <n v="9"/>
    <x v="1"/>
    <x v="0"/>
    <n v="4"/>
    <n v="4"/>
    <n v="2"/>
    <n v="2"/>
    <n v="2"/>
    <x v="2"/>
    <n v="2"/>
    <n v="4"/>
    <n v="3"/>
    <n v="2"/>
    <x v="0"/>
    <s v="App Review"/>
    <s v="Great stay"/>
    <x v="1"/>
    <n v="38"/>
    <d v="2024-11-30T00:00:00"/>
    <x v="1"/>
    <x v="5"/>
    <x v="1"/>
  </r>
  <r>
    <n v="963"/>
    <n v="11421"/>
    <s v="Ronald Rose"/>
    <x v="2"/>
    <x v="1"/>
    <x v="128"/>
    <d v="2024-02-24T00:00:00"/>
    <n v="13"/>
    <x v="1"/>
    <x v="2"/>
    <n v="5"/>
    <n v="2"/>
    <n v="5"/>
    <n v="1"/>
    <n v="1"/>
    <x v="2"/>
    <n v="1"/>
    <n v="3"/>
    <n v="5"/>
    <n v="3"/>
    <x v="0"/>
    <s v="Online Survey"/>
    <s v="Will visit again"/>
    <x v="0"/>
    <n v="69"/>
    <d v="2024-02-24T00:00:00"/>
    <x v="2"/>
    <x v="3"/>
    <x v="1"/>
  </r>
  <r>
    <n v="964"/>
    <n v="79010"/>
    <s v="Amanda Smith"/>
    <x v="2"/>
    <x v="0"/>
    <x v="84"/>
    <d v="2024-06-01T00:00:00"/>
    <n v="8"/>
    <x v="3"/>
    <x v="2"/>
    <n v="1"/>
    <n v="5"/>
    <n v="1"/>
    <n v="5"/>
    <n v="2"/>
    <x v="4"/>
    <n v="1"/>
    <n v="1"/>
    <n v="3"/>
    <n v="1"/>
    <x v="0"/>
    <s v="In-person"/>
    <s v="Needs improvement"/>
    <x v="2"/>
    <n v="54"/>
    <d v="2024-06-01T00:00:00"/>
    <x v="2"/>
    <x v="17"/>
    <x v="1"/>
  </r>
  <r>
    <n v="965"/>
    <n v="71755"/>
    <s v="Joshua Johnson"/>
    <x v="0"/>
    <x v="2"/>
    <x v="528"/>
    <d v="2024-07-31T00:00:00"/>
    <n v="1"/>
    <x v="1"/>
    <x v="3"/>
    <n v="2"/>
    <n v="5"/>
    <n v="4"/>
    <n v="4"/>
    <n v="5"/>
    <x v="0"/>
    <n v="5"/>
    <n v="4"/>
    <n v="4"/>
    <n v="2"/>
    <x v="1"/>
    <s v="In-person"/>
    <s v="Needs improvement"/>
    <x v="0"/>
    <n v="42"/>
    <d v="2024-07-31T00:00:00"/>
    <x v="1"/>
    <x v="21"/>
    <x v="0"/>
  </r>
  <r>
    <n v="966"/>
    <n v="63525"/>
    <s v="Christopher Jackson"/>
    <x v="3"/>
    <x v="1"/>
    <x v="182"/>
    <d v="2024-12-11T00:00:00"/>
    <n v="14"/>
    <x v="0"/>
    <x v="2"/>
    <n v="2"/>
    <n v="5"/>
    <n v="1"/>
    <n v="2"/>
    <n v="3"/>
    <x v="0"/>
    <n v="1"/>
    <n v="4"/>
    <n v="4"/>
    <n v="3"/>
    <x v="0"/>
    <s v="In-person"/>
    <s v="Needs improvement"/>
    <x v="2"/>
    <n v="56"/>
    <d v="2024-12-11T00:00:00"/>
    <x v="2"/>
    <x v="3"/>
    <x v="1"/>
  </r>
  <r>
    <n v="967"/>
    <n v="35117"/>
    <s v="David Bates"/>
    <x v="2"/>
    <x v="4"/>
    <x v="54"/>
    <d v="2024-06-12T00:00:00"/>
    <n v="10"/>
    <x v="2"/>
    <x v="2"/>
    <n v="3"/>
    <n v="2"/>
    <n v="2"/>
    <n v="1"/>
    <n v="1"/>
    <x v="3"/>
    <n v="3"/>
    <n v="1"/>
    <n v="4"/>
    <n v="3"/>
    <x v="0"/>
    <s v="Feedback Form"/>
    <s v="Needs improvement"/>
    <x v="2"/>
    <n v="20"/>
    <d v="2024-06-12T00:00:00"/>
    <x v="0"/>
    <x v="8"/>
    <x v="1"/>
  </r>
  <r>
    <n v="968"/>
    <n v="66462"/>
    <s v="Christopher Wilkins"/>
    <x v="3"/>
    <x v="1"/>
    <x v="433"/>
    <d v="2024-03-11T00:00:00"/>
    <n v="10"/>
    <x v="0"/>
    <x v="0"/>
    <n v="5"/>
    <n v="4"/>
    <n v="4"/>
    <n v="1"/>
    <n v="4"/>
    <x v="0"/>
    <n v="5"/>
    <n v="5"/>
    <n v="1"/>
    <n v="3"/>
    <x v="1"/>
    <s v="App Review"/>
    <s v="Great stay"/>
    <x v="0"/>
    <n v="36"/>
    <d v="2024-03-11T00:00:00"/>
    <x v="1"/>
    <x v="18"/>
    <x v="0"/>
  </r>
  <r>
    <n v="969"/>
    <n v="84516"/>
    <s v="Elaine Cunningham"/>
    <x v="2"/>
    <x v="4"/>
    <x v="491"/>
    <d v="2024-11-27T00:00:00"/>
    <n v="2"/>
    <x v="3"/>
    <x v="0"/>
    <n v="2"/>
    <n v="3"/>
    <n v="2"/>
    <n v="3"/>
    <n v="4"/>
    <x v="3"/>
    <n v="4"/>
    <n v="2"/>
    <n v="3"/>
    <n v="4"/>
    <x v="0"/>
    <s v="App Review"/>
    <s v="Poor service"/>
    <x v="0"/>
    <n v="24"/>
    <d v="2024-11-27T00:00:00"/>
    <x v="0"/>
    <x v="0"/>
    <x v="0"/>
  </r>
  <r>
    <n v="970"/>
    <n v="54934"/>
    <s v="Lisa Davis"/>
    <x v="0"/>
    <x v="4"/>
    <x v="237"/>
    <d v="2024-01-17T00:00:00"/>
    <n v="6"/>
    <x v="3"/>
    <x v="4"/>
    <n v="1"/>
    <n v="2"/>
    <n v="1"/>
    <n v="5"/>
    <n v="3"/>
    <x v="1"/>
    <n v="4"/>
    <n v="3"/>
    <n v="1"/>
    <n v="5"/>
    <x v="1"/>
    <s v="Feedback Form"/>
    <s v="Needs improvement"/>
    <x v="2"/>
    <n v="34"/>
    <d v="2024-03-23T00:00:00"/>
    <x v="3"/>
    <x v="2"/>
    <x v="0"/>
  </r>
  <r>
    <n v="971"/>
    <n v="84954"/>
    <s v="Jessica Kline"/>
    <x v="3"/>
    <x v="2"/>
    <x v="490"/>
    <d v="2024-06-06T00:00:00"/>
    <n v="5"/>
    <x v="0"/>
    <x v="4"/>
    <n v="4"/>
    <n v="4"/>
    <n v="3"/>
    <n v="5"/>
    <n v="1"/>
    <x v="3"/>
    <n v="1"/>
    <n v="3"/>
    <n v="3"/>
    <n v="4"/>
    <x v="1"/>
    <s v="App Review"/>
    <s v="Needs improvement"/>
    <x v="1"/>
    <n v="30"/>
    <d v="2024-10-21T00:00:00"/>
    <x v="3"/>
    <x v="10"/>
    <x v="0"/>
  </r>
  <r>
    <n v="972"/>
    <n v="67593"/>
    <s v="Andrew Decker"/>
    <x v="4"/>
    <x v="3"/>
    <x v="239"/>
    <d v="2024-06-26T00:00:00"/>
    <n v="1"/>
    <x v="2"/>
    <x v="0"/>
    <n v="4"/>
    <n v="3"/>
    <n v="5"/>
    <n v="4"/>
    <n v="1"/>
    <x v="2"/>
    <n v="1"/>
    <n v="2"/>
    <n v="4"/>
    <n v="1"/>
    <x v="0"/>
    <s v="In-person"/>
    <s v="Poor service"/>
    <x v="1"/>
    <n v="41"/>
    <d v="2024-06-26T00:00:00"/>
    <x v="1"/>
    <x v="5"/>
    <x v="1"/>
  </r>
  <r>
    <n v="973"/>
    <n v="22390"/>
    <s v="George Pena"/>
    <x v="2"/>
    <x v="4"/>
    <x v="529"/>
    <d v="2024-08-04T00:00:00"/>
    <n v="14"/>
    <x v="3"/>
    <x v="4"/>
    <n v="5"/>
    <n v="1"/>
    <n v="5"/>
    <n v="5"/>
    <n v="1"/>
    <x v="4"/>
    <n v="2"/>
    <n v="3"/>
    <n v="4"/>
    <n v="1"/>
    <x v="0"/>
    <s v="In-person"/>
    <s v="Needs improvement"/>
    <x v="1"/>
    <n v="68"/>
    <d v="2024-08-04T00:00:00"/>
    <x v="2"/>
    <x v="3"/>
    <x v="1"/>
  </r>
  <r>
    <n v="974"/>
    <n v="32562"/>
    <s v="Dennis Shea"/>
    <x v="0"/>
    <x v="0"/>
    <x v="395"/>
    <d v="2024-01-18T00:00:00"/>
    <n v="2"/>
    <x v="3"/>
    <x v="1"/>
    <n v="3"/>
    <n v="4"/>
    <n v="3"/>
    <n v="4"/>
    <n v="3"/>
    <x v="2"/>
    <n v="5"/>
    <n v="3"/>
    <n v="5"/>
    <n v="5"/>
    <x v="0"/>
    <s v="Feedback Form"/>
    <s v="Poor service"/>
    <x v="1"/>
    <n v="62"/>
    <d v="2024-05-09T00:00:00"/>
    <x v="2"/>
    <x v="16"/>
    <x v="0"/>
  </r>
  <r>
    <n v="975"/>
    <n v="43299"/>
    <s v="Kyle Cain"/>
    <x v="3"/>
    <x v="2"/>
    <x v="530"/>
    <d v="2024-11-19T00:00:00"/>
    <n v="3"/>
    <x v="0"/>
    <x v="1"/>
    <n v="1"/>
    <n v="1"/>
    <n v="3"/>
    <n v="5"/>
    <n v="3"/>
    <x v="1"/>
    <n v="5"/>
    <n v="1"/>
    <n v="3"/>
    <n v="5"/>
    <x v="1"/>
    <s v="In-person"/>
    <s v="Needs improvement"/>
    <x v="0"/>
    <n v="25"/>
    <d v="2024-11-19T00:00:00"/>
    <x v="0"/>
    <x v="10"/>
    <x v="0"/>
  </r>
  <r>
    <n v="976"/>
    <n v="67902"/>
    <s v="Marie Young"/>
    <x v="1"/>
    <x v="4"/>
    <x v="384"/>
    <d v="2024-08-25T00:00:00"/>
    <n v="10"/>
    <x v="2"/>
    <x v="4"/>
    <n v="3"/>
    <n v="5"/>
    <n v="3"/>
    <n v="3"/>
    <n v="4"/>
    <x v="4"/>
    <n v="3"/>
    <n v="1"/>
    <n v="2"/>
    <n v="3"/>
    <x v="0"/>
    <s v="Email"/>
    <s v="Poor service"/>
    <x v="0"/>
    <n v="25"/>
    <d v="2024-09-11T00:00:00"/>
    <x v="0"/>
    <x v="3"/>
    <x v="1"/>
  </r>
  <r>
    <n v="977"/>
    <n v="27675"/>
    <s v="Steve Bradshaw"/>
    <x v="0"/>
    <x v="2"/>
    <x v="529"/>
    <d v="2024-08-04T00:00:00"/>
    <n v="5"/>
    <x v="2"/>
    <x v="4"/>
    <n v="3"/>
    <n v="5"/>
    <n v="2"/>
    <n v="1"/>
    <n v="2"/>
    <x v="1"/>
    <n v="4"/>
    <n v="1"/>
    <n v="1"/>
    <n v="1"/>
    <x v="0"/>
    <s v="In-person"/>
    <s v="Poor service"/>
    <x v="2"/>
    <n v="62"/>
    <d v="2024-08-04T00:00:00"/>
    <x v="2"/>
    <x v="14"/>
    <x v="1"/>
  </r>
  <r>
    <n v="978"/>
    <n v="95044"/>
    <s v="Sierra Keller"/>
    <x v="0"/>
    <x v="0"/>
    <x v="531"/>
    <d v="2023-12-19T00:00:00"/>
    <n v="7"/>
    <x v="2"/>
    <x v="2"/>
    <n v="5"/>
    <n v="4"/>
    <n v="4"/>
    <n v="5"/>
    <n v="5"/>
    <x v="2"/>
    <n v="4"/>
    <n v="1"/>
    <n v="4"/>
    <n v="3"/>
    <x v="0"/>
    <s v="Online Survey"/>
    <s v="Average"/>
    <x v="2"/>
    <n v="19"/>
    <d v="2024-05-21T00:00:00"/>
    <x v="0"/>
    <x v="16"/>
    <x v="0"/>
  </r>
  <r>
    <n v="979"/>
    <n v="46881"/>
    <s v="Cory Higgins"/>
    <x v="1"/>
    <x v="2"/>
    <x v="532"/>
    <d v="2023-09-13T00:00:00"/>
    <n v="6"/>
    <x v="3"/>
    <x v="2"/>
    <n v="4"/>
    <n v="1"/>
    <n v="3"/>
    <n v="5"/>
    <n v="4"/>
    <x v="4"/>
    <n v="3"/>
    <n v="4"/>
    <n v="5"/>
    <n v="5"/>
    <x v="1"/>
    <s v="Feedback Form"/>
    <s v="Will visit again"/>
    <x v="1"/>
    <n v="47"/>
    <d v="2024-09-21T00:00:00"/>
    <x v="1"/>
    <x v="18"/>
    <x v="0"/>
  </r>
  <r>
    <n v="980"/>
    <n v="19319"/>
    <s v="Mr. Jack Moreno"/>
    <x v="1"/>
    <x v="2"/>
    <x v="533"/>
    <d v="2023-08-29T00:00:00"/>
    <n v="3"/>
    <x v="2"/>
    <x v="1"/>
    <n v="3"/>
    <n v="2"/>
    <n v="2"/>
    <n v="3"/>
    <n v="1"/>
    <x v="1"/>
    <n v="2"/>
    <n v="3"/>
    <n v="5"/>
    <n v="1"/>
    <x v="1"/>
    <s v="Feedback Form"/>
    <s v="Poor service"/>
    <x v="2"/>
    <n v="20"/>
    <d v="2023-08-29T00:00:00"/>
    <x v="0"/>
    <x v="5"/>
    <x v="1"/>
  </r>
  <r>
    <n v="981"/>
    <n v="55207"/>
    <s v="Kenneth Rogers"/>
    <x v="4"/>
    <x v="4"/>
    <x v="320"/>
    <d v="2023-04-15T00:00:00"/>
    <n v="6"/>
    <x v="0"/>
    <x v="1"/>
    <n v="3"/>
    <n v="3"/>
    <n v="1"/>
    <n v="2"/>
    <n v="2"/>
    <x v="3"/>
    <n v="3"/>
    <n v="2"/>
    <n v="4"/>
    <n v="3"/>
    <x v="0"/>
    <s v="App Review"/>
    <s v="Needs improvement"/>
    <x v="0"/>
    <n v="62"/>
    <d v="2023-05-18T00:00:00"/>
    <x v="2"/>
    <x v="5"/>
    <x v="1"/>
  </r>
  <r>
    <n v="982"/>
    <n v="13911"/>
    <s v="Amanda Brown"/>
    <x v="4"/>
    <x v="1"/>
    <x v="313"/>
    <d v="2024-12-24T00:00:00"/>
    <n v="4"/>
    <x v="3"/>
    <x v="2"/>
    <n v="1"/>
    <n v="5"/>
    <n v="1"/>
    <n v="4"/>
    <n v="5"/>
    <x v="0"/>
    <n v="2"/>
    <n v="3"/>
    <n v="3"/>
    <n v="2"/>
    <x v="1"/>
    <s v="App Review"/>
    <s v="Great stay"/>
    <x v="1"/>
    <n v="43"/>
    <d v="2024-12-24T00:00:00"/>
    <x v="1"/>
    <x v="4"/>
    <x v="1"/>
  </r>
  <r>
    <n v="983"/>
    <n v="49927"/>
    <s v="Darryl Stewart"/>
    <x v="4"/>
    <x v="2"/>
    <x v="423"/>
    <d v="2024-01-30T00:00:00"/>
    <n v="3"/>
    <x v="2"/>
    <x v="2"/>
    <n v="4"/>
    <n v="5"/>
    <n v="3"/>
    <n v="2"/>
    <n v="1"/>
    <x v="2"/>
    <n v="2"/>
    <n v="4"/>
    <n v="5"/>
    <n v="2"/>
    <x v="0"/>
    <s v="App Review"/>
    <s v="Poor service"/>
    <x v="1"/>
    <n v="34"/>
    <d v="2024-01-30T00:00:00"/>
    <x v="3"/>
    <x v="2"/>
    <x v="0"/>
  </r>
  <r>
    <n v="984"/>
    <n v="89261"/>
    <s v="Christian Scott"/>
    <x v="0"/>
    <x v="4"/>
    <x v="109"/>
    <d v="2024-11-07T00:00:00"/>
    <n v="4"/>
    <x v="1"/>
    <x v="2"/>
    <n v="3"/>
    <n v="5"/>
    <n v="1"/>
    <n v="1"/>
    <n v="3"/>
    <x v="3"/>
    <n v="2"/>
    <n v="4"/>
    <n v="3"/>
    <n v="3"/>
    <x v="0"/>
    <s v="Online Survey"/>
    <s v="Needs improvement"/>
    <x v="1"/>
    <n v="55"/>
    <d v="2024-11-07T00:00:00"/>
    <x v="2"/>
    <x v="4"/>
    <x v="1"/>
  </r>
  <r>
    <n v="985"/>
    <n v="48195"/>
    <s v="Carolyn Rivers"/>
    <x v="0"/>
    <x v="0"/>
    <x v="79"/>
    <d v="2024-01-29T00:00:00"/>
    <n v="11"/>
    <x v="2"/>
    <x v="4"/>
    <n v="2"/>
    <n v="5"/>
    <n v="3"/>
    <n v="2"/>
    <n v="2"/>
    <x v="1"/>
    <n v="1"/>
    <n v="3"/>
    <n v="5"/>
    <n v="4"/>
    <x v="0"/>
    <s v="In-person"/>
    <s v="Poor service"/>
    <x v="2"/>
    <n v="20"/>
    <d v="2024-01-29T00:00:00"/>
    <x v="0"/>
    <x v="10"/>
    <x v="0"/>
  </r>
  <r>
    <n v="986"/>
    <n v="64422"/>
    <s v="Chad Jensen"/>
    <x v="0"/>
    <x v="0"/>
    <x v="534"/>
    <d v="2024-11-24T00:00:00"/>
    <n v="8"/>
    <x v="2"/>
    <x v="0"/>
    <n v="2"/>
    <n v="4"/>
    <n v="1"/>
    <n v="1"/>
    <n v="3"/>
    <x v="1"/>
    <n v="1"/>
    <n v="3"/>
    <n v="1"/>
    <n v="3"/>
    <x v="1"/>
    <s v="Feedback Form"/>
    <s v="Average"/>
    <x v="1"/>
    <n v="50"/>
    <d v="2024-11-24T00:00:00"/>
    <x v="1"/>
    <x v="8"/>
    <x v="1"/>
  </r>
  <r>
    <n v="987"/>
    <n v="57561"/>
    <s v="Mary Bruce"/>
    <x v="4"/>
    <x v="1"/>
    <x v="41"/>
    <d v="2024-03-05T00:00:00"/>
    <n v="1"/>
    <x v="3"/>
    <x v="1"/>
    <n v="4"/>
    <n v="4"/>
    <n v="1"/>
    <n v="4"/>
    <n v="5"/>
    <x v="4"/>
    <n v="2"/>
    <n v="1"/>
    <n v="3"/>
    <n v="1"/>
    <x v="1"/>
    <s v="In-person"/>
    <s v="Great stay"/>
    <x v="0"/>
    <n v="47"/>
    <d v="2024-03-05T00:00:00"/>
    <x v="1"/>
    <x v="7"/>
    <x v="1"/>
  </r>
  <r>
    <n v="988"/>
    <n v="11687"/>
    <s v="James Pacheco"/>
    <x v="3"/>
    <x v="0"/>
    <x v="535"/>
    <d v="2024-02-07T00:00:00"/>
    <n v="3"/>
    <x v="0"/>
    <x v="3"/>
    <n v="4"/>
    <n v="1"/>
    <n v="4"/>
    <n v="3"/>
    <n v="5"/>
    <x v="3"/>
    <n v="3"/>
    <n v="4"/>
    <n v="5"/>
    <n v="5"/>
    <x v="1"/>
    <s v="App Review"/>
    <s v="Great stay"/>
    <x v="1"/>
    <n v="32"/>
    <d v="2024-02-07T00:00:00"/>
    <x v="3"/>
    <x v="21"/>
    <x v="0"/>
  </r>
  <r>
    <n v="989"/>
    <n v="48755"/>
    <s v="Daniel Harrison"/>
    <x v="0"/>
    <x v="4"/>
    <x v="395"/>
    <d v="2023-08-21T00:00:00"/>
    <n v="10"/>
    <x v="1"/>
    <x v="2"/>
    <n v="5"/>
    <n v="2"/>
    <n v="4"/>
    <n v="1"/>
    <n v="1"/>
    <x v="1"/>
    <n v="3"/>
    <n v="3"/>
    <n v="4"/>
    <n v="3"/>
    <x v="1"/>
    <s v="Feedback Form"/>
    <s v="Needs improvement"/>
    <x v="2"/>
    <n v="25"/>
    <d v="2023-08-21T00:00:00"/>
    <x v="0"/>
    <x v="0"/>
    <x v="0"/>
  </r>
  <r>
    <n v="990"/>
    <n v="30855"/>
    <s v="Vernon Kim"/>
    <x v="0"/>
    <x v="1"/>
    <x v="96"/>
    <d v="2024-05-29T00:00:00"/>
    <n v="12"/>
    <x v="3"/>
    <x v="4"/>
    <n v="3"/>
    <n v="1"/>
    <n v="1"/>
    <n v="4"/>
    <n v="3"/>
    <x v="4"/>
    <n v="3"/>
    <n v="2"/>
    <n v="2"/>
    <n v="1"/>
    <x v="1"/>
    <s v="App Review"/>
    <s v="Will visit again"/>
    <x v="2"/>
    <n v="47"/>
    <d v="2024-09-12T00:00:00"/>
    <x v="1"/>
    <x v="17"/>
    <x v="1"/>
  </r>
  <r>
    <n v="991"/>
    <n v="38879"/>
    <s v="Laura Wilson"/>
    <x v="0"/>
    <x v="4"/>
    <x v="90"/>
    <d v="2024-09-26T00:00:00"/>
    <n v="8"/>
    <x v="2"/>
    <x v="1"/>
    <n v="2"/>
    <n v="2"/>
    <n v="4"/>
    <n v="3"/>
    <n v="4"/>
    <x v="0"/>
    <n v="1"/>
    <n v="2"/>
    <n v="4"/>
    <n v="1"/>
    <x v="0"/>
    <s v="Online Survey"/>
    <s v="Average"/>
    <x v="1"/>
    <n v="40"/>
    <d v="2024-09-26T00:00:00"/>
    <x v="1"/>
    <x v="7"/>
    <x v="1"/>
  </r>
  <r>
    <n v="992"/>
    <n v="32065"/>
    <s v="Joan Berry"/>
    <x v="4"/>
    <x v="1"/>
    <x v="189"/>
    <d v="2024-09-22T00:00:00"/>
    <n v="12"/>
    <x v="3"/>
    <x v="2"/>
    <n v="2"/>
    <n v="4"/>
    <n v="3"/>
    <n v="2"/>
    <n v="4"/>
    <x v="0"/>
    <n v="2"/>
    <n v="1"/>
    <n v="3"/>
    <n v="2"/>
    <x v="1"/>
    <s v="Feedback Form"/>
    <s v="Will visit again"/>
    <x v="1"/>
    <n v="29"/>
    <d v="2024-09-22T00:00:00"/>
    <x v="3"/>
    <x v="7"/>
    <x v="1"/>
  </r>
  <r>
    <n v="993"/>
    <n v="26091"/>
    <s v="Brandi Torres"/>
    <x v="2"/>
    <x v="1"/>
    <x v="536"/>
    <d v="2024-01-02T00:00:00"/>
    <n v="14"/>
    <x v="3"/>
    <x v="4"/>
    <n v="4"/>
    <n v="5"/>
    <n v="5"/>
    <n v="2"/>
    <n v="3"/>
    <x v="4"/>
    <n v="4"/>
    <n v="1"/>
    <n v="4"/>
    <n v="3"/>
    <x v="0"/>
    <s v="App Review"/>
    <s v="Great stay"/>
    <x v="2"/>
    <n v="56"/>
    <d v="2024-05-31T00:00:00"/>
    <x v="2"/>
    <x v="10"/>
    <x v="0"/>
  </r>
  <r>
    <n v="994"/>
    <n v="22747"/>
    <s v="Victor Martinez"/>
    <x v="4"/>
    <x v="4"/>
    <x v="345"/>
    <d v="2023-06-23T00:00:00"/>
    <n v="10"/>
    <x v="1"/>
    <x v="1"/>
    <n v="4"/>
    <n v="1"/>
    <n v="3"/>
    <n v="1"/>
    <n v="5"/>
    <x v="3"/>
    <n v="3"/>
    <n v="3"/>
    <n v="4"/>
    <n v="4"/>
    <x v="1"/>
    <s v="App Review"/>
    <s v="Great stay"/>
    <x v="0"/>
    <n v="65"/>
    <d v="2024-08-05T00:00:00"/>
    <x v="2"/>
    <x v="10"/>
    <x v="0"/>
  </r>
  <r>
    <n v="995"/>
    <n v="46243"/>
    <s v="Erika Carpenter"/>
    <x v="2"/>
    <x v="1"/>
    <x v="537"/>
    <d v="2024-04-10T00:00:00"/>
    <n v="9"/>
    <x v="2"/>
    <x v="1"/>
    <n v="1"/>
    <n v="2"/>
    <n v="4"/>
    <n v="5"/>
    <n v="2"/>
    <x v="4"/>
    <n v="1"/>
    <n v="2"/>
    <n v="2"/>
    <n v="4"/>
    <x v="0"/>
    <s v="App Review"/>
    <s v="Will visit again"/>
    <x v="0"/>
    <n v="25"/>
    <d v="2024-04-26T00:00:00"/>
    <x v="0"/>
    <x v="8"/>
    <x v="1"/>
  </r>
  <r>
    <n v="996"/>
    <n v="58686"/>
    <s v="Felicia Rodgers"/>
    <x v="4"/>
    <x v="4"/>
    <x v="410"/>
    <d v="2024-02-26T00:00:00"/>
    <n v="3"/>
    <x v="3"/>
    <x v="3"/>
    <n v="1"/>
    <n v="3"/>
    <n v="2"/>
    <n v="5"/>
    <n v="3"/>
    <x v="4"/>
    <n v="5"/>
    <n v="4"/>
    <n v="4"/>
    <n v="5"/>
    <x v="0"/>
    <s v="Online Survey"/>
    <s v="Poor service"/>
    <x v="1"/>
    <n v="26"/>
    <d v="2024-02-26T00:00:00"/>
    <x v="3"/>
    <x v="1"/>
    <x v="0"/>
  </r>
  <r>
    <n v="997"/>
    <n v="94497"/>
    <s v="Melissa Hunt DDS"/>
    <x v="3"/>
    <x v="0"/>
    <x v="238"/>
    <d v="2023-12-18T00:00:00"/>
    <n v="9"/>
    <x v="0"/>
    <x v="3"/>
    <n v="4"/>
    <n v="2"/>
    <n v="1"/>
    <n v="3"/>
    <n v="1"/>
    <x v="3"/>
    <n v="2"/>
    <n v="5"/>
    <n v="5"/>
    <n v="5"/>
    <x v="0"/>
    <s v="In-person"/>
    <s v="Will visit again"/>
    <x v="1"/>
    <n v="25"/>
    <d v="2024-02-03T00:00:00"/>
    <x v="0"/>
    <x v="10"/>
    <x v="0"/>
  </r>
  <r>
    <n v="998"/>
    <n v="61684"/>
    <s v="Jennifer Scott"/>
    <x v="3"/>
    <x v="0"/>
    <x v="230"/>
    <d v="2024-12-06T00:00:00"/>
    <n v="10"/>
    <x v="1"/>
    <x v="1"/>
    <n v="1"/>
    <n v="1"/>
    <n v="4"/>
    <n v="2"/>
    <n v="4"/>
    <x v="0"/>
    <n v="3"/>
    <n v="2"/>
    <n v="1"/>
    <n v="2"/>
    <x v="1"/>
    <s v="In-person"/>
    <s v="Will visit again"/>
    <x v="1"/>
    <n v="55"/>
    <d v="2024-12-06T00:00:00"/>
    <x v="2"/>
    <x v="9"/>
    <x v="1"/>
  </r>
  <r>
    <n v="999"/>
    <n v="30601"/>
    <s v="Mary Crawford"/>
    <x v="0"/>
    <x v="2"/>
    <x v="538"/>
    <d v="2023-08-08T00:00:00"/>
    <n v="11"/>
    <x v="3"/>
    <x v="4"/>
    <n v="4"/>
    <n v="4"/>
    <n v="4"/>
    <n v="4"/>
    <n v="1"/>
    <x v="1"/>
    <n v="1"/>
    <n v="4"/>
    <n v="2"/>
    <n v="3"/>
    <x v="0"/>
    <s v="In-person"/>
    <s v="Poor service"/>
    <x v="2"/>
    <n v="50"/>
    <d v="2023-08-08T00:00:00"/>
    <x v="1"/>
    <x v="10"/>
    <x v="0"/>
  </r>
  <r>
    <n v="1000"/>
    <n v="44797"/>
    <s v="Christina Murray"/>
    <x v="4"/>
    <x v="3"/>
    <x v="52"/>
    <d v="2024-11-28T00:00:00"/>
    <n v="10"/>
    <x v="1"/>
    <x v="2"/>
    <n v="4"/>
    <n v="5"/>
    <n v="4"/>
    <n v="3"/>
    <n v="2"/>
    <x v="0"/>
    <n v="5"/>
    <n v="2"/>
    <n v="3"/>
    <n v="5"/>
    <x v="1"/>
    <s v="Online Survey"/>
    <s v="Poor service"/>
    <x v="2"/>
    <n v="65"/>
    <d v="2024-11-28T00:00:00"/>
    <x v="2"/>
    <x v="11"/>
    <x v="0"/>
  </r>
  <r>
    <n v="1001"/>
    <n v="16190"/>
    <s v="Richard Palmer"/>
    <x v="2"/>
    <x v="3"/>
    <x v="70"/>
    <d v="2023-11-04T00:00:00"/>
    <n v="4"/>
    <x v="3"/>
    <x v="2"/>
    <n v="5"/>
    <n v="3"/>
    <n v="3"/>
    <n v="1"/>
    <n v="4"/>
    <x v="3"/>
    <n v="2"/>
    <n v="3"/>
    <n v="5"/>
    <n v="3"/>
    <x v="1"/>
    <s v="In-person"/>
    <s v="Poor service"/>
    <x v="1"/>
    <n v="50"/>
    <d v="2023-11-04T00:00:00"/>
    <x v="1"/>
    <x v="1"/>
    <x v="0"/>
  </r>
  <r>
    <n v="1002"/>
    <n v="34148"/>
    <s v="Jesse Rodriguez"/>
    <x v="2"/>
    <x v="0"/>
    <x v="539"/>
    <d v="2023-11-11T00:00:00"/>
    <n v="12"/>
    <x v="3"/>
    <x v="1"/>
    <n v="1"/>
    <n v="1"/>
    <n v="1"/>
    <n v="1"/>
    <n v="4"/>
    <x v="2"/>
    <n v="4"/>
    <n v="5"/>
    <n v="3"/>
    <n v="4"/>
    <x v="1"/>
    <s v="In-person"/>
    <s v="Average"/>
    <x v="2"/>
    <n v="62"/>
    <d v="2024-04-26T00:00:00"/>
    <x v="2"/>
    <x v="7"/>
    <x v="1"/>
  </r>
  <r>
    <n v="1003"/>
    <n v="87471"/>
    <s v="Samantha Summers"/>
    <x v="3"/>
    <x v="2"/>
    <x v="363"/>
    <d v="2024-02-08T00:00:00"/>
    <n v="4"/>
    <x v="3"/>
    <x v="2"/>
    <n v="3"/>
    <n v="4"/>
    <n v="5"/>
    <n v="3"/>
    <n v="4"/>
    <x v="3"/>
    <n v="2"/>
    <n v="5"/>
    <n v="2"/>
    <n v="1"/>
    <x v="0"/>
    <s v="Online Survey"/>
    <s v="Great stay"/>
    <x v="2"/>
    <n v="28"/>
    <d v="2024-03-13T00:00:00"/>
    <x v="3"/>
    <x v="1"/>
    <x v="0"/>
  </r>
  <r>
    <n v="1004"/>
    <n v="54550"/>
    <s v="Tyler Mendoza"/>
    <x v="0"/>
    <x v="3"/>
    <x v="271"/>
    <d v="2024-12-30T00:00:00"/>
    <n v="13"/>
    <x v="0"/>
    <x v="3"/>
    <n v="3"/>
    <n v="2"/>
    <n v="4"/>
    <n v="4"/>
    <n v="1"/>
    <x v="0"/>
    <n v="2"/>
    <n v="3"/>
    <n v="2"/>
    <n v="4"/>
    <x v="1"/>
    <s v="Feedback Form"/>
    <s v="Great stay"/>
    <x v="0"/>
    <n v="40"/>
    <d v="2024-12-30T00:00:00"/>
    <x v="1"/>
    <x v="3"/>
    <x v="1"/>
  </r>
  <r>
    <n v="1005"/>
    <n v="90116"/>
    <s v="Timothy Marquez"/>
    <x v="2"/>
    <x v="4"/>
    <x v="103"/>
    <d v="2024-05-03T00:00:00"/>
    <n v="13"/>
    <x v="0"/>
    <x v="2"/>
    <n v="5"/>
    <n v="4"/>
    <n v="2"/>
    <n v="2"/>
    <n v="5"/>
    <x v="0"/>
    <n v="3"/>
    <n v="3"/>
    <n v="4"/>
    <n v="2"/>
    <x v="1"/>
    <s v="App Review"/>
    <s v="Poor service"/>
    <x v="2"/>
    <n v="60"/>
    <d v="2024-05-03T00:00:00"/>
    <x v="2"/>
    <x v="1"/>
    <x v="0"/>
  </r>
  <r>
    <n v="1006"/>
    <n v="54758"/>
    <s v="Daniel Smith"/>
    <x v="4"/>
    <x v="4"/>
    <x v="540"/>
    <d v="2024-02-10T00:00:00"/>
    <n v="12"/>
    <x v="0"/>
    <x v="0"/>
    <n v="3"/>
    <n v="4"/>
    <n v="1"/>
    <n v="2"/>
    <n v="1"/>
    <x v="3"/>
    <n v="2"/>
    <n v="1"/>
    <n v="2"/>
    <n v="3"/>
    <x v="0"/>
    <s v="App Review"/>
    <s v="Poor service"/>
    <x v="1"/>
    <n v="68"/>
    <d v="2024-08-12T00:00:00"/>
    <x v="2"/>
    <x v="9"/>
    <x v="1"/>
  </r>
  <r>
    <n v="1007"/>
    <n v="80355"/>
    <s v="Nicholas Harris"/>
    <x v="0"/>
    <x v="1"/>
    <x v="101"/>
    <d v="2024-01-15T00:00:00"/>
    <n v="13"/>
    <x v="3"/>
    <x v="3"/>
    <n v="3"/>
    <n v="5"/>
    <n v="5"/>
    <n v="4"/>
    <n v="5"/>
    <x v="3"/>
    <n v="5"/>
    <n v="4"/>
    <n v="3"/>
    <n v="1"/>
    <x v="0"/>
    <s v="Online Survey"/>
    <s v="Average"/>
    <x v="0"/>
    <n v="68"/>
    <d v="2024-01-15T00:00:00"/>
    <x v="2"/>
    <x v="20"/>
    <x v="0"/>
  </r>
  <r>
    <n v="1008"/>
    <n v="15919"/>
    <s v="Theresa Burton"/>
    <x v="4"/>
    <x v="3"/>
    <x v="541"/>
    <d v="2023-10-09T00:00:00"/>
    <n v="7"/>
    <x v="0"/>
    <x v="3"/>
    <n v="5"/>
    <n v="1"/>
    <n v="2"/>
    <n v="2"/>
    <n v="3"/>
    <x v="3"/>
    <n v="5"/>
    <n v="4"/>
    <n v="2"/>
    <n v="1"/>
    <x v="0"/>
    <s v="In-person"/>
    <s v="Average"/>
    <x v="2"/>
    <n v="60"/>
    <d v="2023-10-09T00:00:00"/>
    <x v="2"/>
    <x v="4"/>
    <x v="1"/>
  </r>
  <r>
    <n v="1009"/>
    <n v="34793"/>
    <s v="Amy Brown"/>
    <x v="4"/>
    <x v="4"/>
    <x v="321"/>
    <d v="2024-09-29T00:00:00"/>
    <n v="13"/>
    <x v="1"/>
    <x v="1"/>
    <n v="2"/>
    <n v="4"/>
    <n v="5"/>
    <n v="5"/>
    <n v="4"/>
    <x v="0"/>
    <n v="2"/>
    <n v="1"/>
    <n v="1"/>
    <n v="2"/>
    <x v="0"/>
    <s v="Email"/>
    <s v="Needs improvement"/>
    <x v="0"/>
    <n v="42"/>
    <d v="2024-09-29T00:00:00"/>
    <x v="1"/>
    <x v="4"/>
    <x v="1"/>
  </r>
  <r>
    <n v="1010"/>
    <n v="78346"/>
    <s v="Debra Vaughn"/>
    <x v="3"/>
    <x v="3"/>
    <x v="195"/>
    <d v="2024-11-22T00:00:00"/>
    <n v="6"/>
    <x v="0"/>
    <x v="1"/>
    <n v="5"/>
    <n v="2"/>
    <n v="5"/>
    <n v="5"/>
    <n v="1"/>
    <x v="4"/>
    <n v="2"/>
    <n v="4"/>
    <n v="4"/>
    <n v="1"/>
    <x v="0"/>
    <s v="In-person"/>
    <s v="Will visit again"/>
    <x v="2"/>
    <n v="32"/>
    <d v="2024-11-22T00:00:00"/>
    <x v="3"/>
    <x v="2"/>
    <x v="0"/>
  </r>
  <r>
    <n v="1011"/>
    <n v="46183"/>
    <s v="Daniel Morris"/>
    <x v="4"/>
    <x v="1"/>
    <x v="375"/>
    <d v="2023-11-24T00:00:00"/>
    <n v="10"/>
    <x v="1"/>
    <x v="2"/>
    <n v="5"/>
    <n v="2"/>
    <n v="1"/>
    <n v="4"/>
    <n v="2"/>
    <x v="2"/>
    <n v="5"/>
    <n v="5"/>
    <n v="2"/>
    <n v="3"/>
    <x v="1"/>
    <s v="Email"/>
    <s v="Great stay"/>
    <x v="2"/>
    <n v="27"/>
    <d v="2023-12-13T00:00:00"/>
    <x v="3"/>
    <x v="0"/>
    <x v="0"/>
  </r>
  <r>
    <n v="1012"/>
    <n v="97872"/>
    <s v="Russell Dillon"/>
    <x v="1"/>
    <x v="0"/>
    <x v="456"/>
    <d v="2023-06-18T00:00:00"/>
    <n v="14"/>
    <x v="2"/>
    <x v="2"/>
    <n v="1"/>
    <n v="5"/>
    <n v="3"/>
    <n v="5"/>
    <n v="2"/>
    <x v="4"/>
    <n v="5"/>
    <n v="2"/>
    <n v="1"/>
    <n v="4"/>
    <x v="1"/>
    <s v="App Review"/>
    <s v="Great stay"/>
    <x v="0"/>
    <n v="37"/>
    <d v="2023-06-18T00:00:00"/>
    <x v="1"/>
    <x v="4"/>
    <x v="1"/>
  </r>
  <r>
    <n v="1013"/>
    <n v="64585"/>
    <s v="Cheryl Hart"/>
    <x v="0"/>
    <x v="2"/>
    <x v="209"/>
    <d v="2024-07-28T00:00:00"/>
    <n v="3"/>
    <x v="2"/>
    <x v="1"/>
    <n v="3"/>
    <n v="4"/>
    <n v="2"/>
    <n v="3"/>
    <n v="5"/>
    <x v="0"/>
    <n v="3"/>
    <n v="5"/>
    <n v="3"/>
    <n v="3"/>
    <x v="1"/>
    <s v="Online Survey"/>
    <s v="Average"/>
    <x v="2"/>
    <n v="33"/>
    <d v="2024-10-23T00:00:00"/>
    <x v="3"/>
    <x v="13"/>
    <x v="0"/>
  </r>
  <r>
    <n v="1014"/>
    <n v="11716"/>
    <s v="Manuel Wilson"/>
    <x v="1"/>
    <x v="1"/>
    <x v="542"/>
    <d v="2023-12-27T00:00:00"/>
    <n v="8"/>
    <x v="0"/>
    <x v="4"/>
    <n v="3"/>
    <n v="2"/>
    <n v="4"/>
    <n v="2"/>
    <n v="5"/>
    <x v="4"/>
    <n v="4"/>
    <n v="1"/>
    <n v="3"/>
    <n v="5"/>
    <x v="1"/>
    <s v="In-person"/>
    <s v="Will visit again"/>
    <x v="1"/>
    <n v="52"/>
    <d v="2023-12-27T00:00:00"/>
    <x v="2"/>
    <x v="2"/>
    <x v="0"/>
  </r>
  <r>
    <n v="1015"/>
    <n v="99817"/>
    <s v="Deborah Miller"/>
    <x v="4"/>
    <x v="1"/>
    <x v="287"/>
    <d v="2024-11-21T00:00:00"/>
    <n v="12"/>
    <x v="0"/>
    <x v="2"/>
    <n v="2"/>
    <n v="2"/>
    <n v="5"/>
    <n v="3"/>
    <n v="4"/>
    <x v="3"/>
    <n v="5"/>
    <n v="4"/>
    <n v="1"/>
    <n v="1"/>
    <x v="0"/>
    <s v="Online Survey"/>
    <s v="Average"/>
    <x v="2"/>
    <n v="51"/>
    <d v="2024-11-21T00:00:00"/>
    <x v="2"/>
    <x v="0"/>
    <x v="0"/>
  </r>
  <r>
    <n v="1016"/>
    <n v="10289"/>
    <s v="Ryan Martinez"/>
    <x v="4"/>
    <x v="1"/>
    <x v="0"/>
    <d v="2024-02-13T00:00:00"/>
    <n v="14"/>
    <x v="1"/>
    <x v="4"/>
    <n v="5"/>
    <n v="5"/>
    <n v="2"/>
    <n v="4"/>
    <n v="5"/>
    <x v="1"/>
    <n v="4"/>
    <n v="4"/>
    <n v="1"/>
    <n v="1"/>
    <x v="0"/>
    <s v="In-person"/>
    <s v="Needs improvement"/>
    <x v="0"/>
    <n v="38"/>
    <d v="2024-12-01T00:00:00"/>
    <x v="1"/>
    <x v="11"/>
    <x v="0"/>
  </r>
  <r>
    <n v="1017"/>
    <n v="14697"/>
    <s v="Glenn Baird"/>
    <x v="3"/>
    <x v="2"/>
    <x v="82"/>
    <d v="2024-07-15T00:00:00"/>
    <n v="14"/>
    <x v="3"/>
    <x v="3"/>
    <n v="4"/>
    <n v="4"/>
    <n v="1"/>
    <n v="5"/>
    <n v="2"/>
    <x v="3"/>
    <n v="4"/>
    <n v="2"/>
    <n v="2"/>
    <n v="3"/>
    <x v="0"/>
    <s v="In-person"/>
    <s v="Needs improvement"/>
    <x v="0"/>
    <n v="63"/>
    <d v="2024-07-15T00:00:00"/>
    <x v="2"/>
    <x v="0"/>
    <x v="0"/>
  </r>
  <r>
    <n v="1018"/>
    <n v="58099"/>
    <s v="Victoria Schneider"/>
    <x v="3"/>
    <x v="4"/>
    <x v="543"/>
    <d v="2024-08-03T00:00:00"/>
    <n v="5"/>
    <x v="1"/>
    <x v="0"/>
    <n v="2"/>
    <n v="5"/>
    <n v="2"/>
    <n v="3"/>
    <n v="1"/>
    <x v="2"/>
    <n v="5"/>
    <n v="2"/>
    <n v="4"/>
    <n v="2"/>
    <x v="0"/>
    <s v="In-person"/>
    <s v="Needs improvement"/>
    <x v="2"/>
    <n v="64"/>
    <d v="2024-08-03T00:00:00"/>
    <x v="2"/>
    <x v="3"/>
    <x v="1"/>
  </r>
  <r>
    <n v="1019"/>
    <n v="73041"/>
    <s v="Jonathan Cooke"/>
    <x v="3"/>
    <x v="3"/>
    <x v="544"/>
    <d v="2024-06-20T00:00:00"/>
    <n v="2"/>
    <x v="2"/>
    <x v="4"/>
    <n v="2"/>
    <n v="4"/>
    <n v="4"/>
    <n v="3"/>
    <n v="1"/>
    <x v="3"/>
    <n v="3"/>
    <n v="2"/>
    <n v="4"/>
    <n v="3"/>
    <x v="0"/>
    <s v="Email"/>
    <s v="Average"/>
    <x v="1"/>
    <n v="57"/>
    <d v="2024-06-20T00:00:00"/>
    <x v="2"/>
    <x v="2"/>
    <x v="0"/>
  </r>
  <r>
    <n v="1020"/>
    <n v="76145"/>
    <s v="Rhonda Jackson"/>
    <x v="3"/>
    <x v="0"/>
    <x v="545"/>
    <d v="2024-08-29T00:00:00"/>
    <n v="10"/>
    <x v="3"/>
    <x v="2"/>
    <n v="3"/>
    <n v="2"/>
    <n v="4"/>
    <n v="1"/>
    <n v="5"/>
    <x v="1"/>
    <n v="2"/>
    <n v="5"/>
    <n v="5"/>
    <n v="4"/>
    <x v="1"/>
    <s v="Online Survey"/>
    <s v="Will visit again"/>
    <x v="2"/>
    <n v="18"/>
    <d v="2024-08-29T00:00:00"/>
    <x v="0"/>
    <x v="11"/>
    <x v="0"/>
  </r>
  <r>
    <n v="1021"/>
    <n v="12353"/>
    <s v="Cody Bryan"/>
    <x v="2"/>
    <x v="0"/>
    <x v="546"/>
    <d v="2024-05-16T00:00:00"/>
    <n v="14"/>
    <x v="1"/>
    <x v="1"/>
    <n v="3"/>
    <n v="1"/>
    <n v="1"/>
    <n v="3"/>
    <n v="5"/>
    <x v="0"/>
    <n v="1"/>
    <n v="1"/>
    <n v="1"/>
    <n v="2"/>
    <x v="0"/>
    <s v="App Review"/>
    <s v="Poor service"/>
    <x v="2"/>
    <n v="42"/>
    <d v="2024-05-16T00:00:00"/>
    <x v="1"/>
    <x v="17"/>
    <x v="1"/>
  </r>
  <r>
    <n v="1022"/>
    <n v="26919"/>
    <s v="Pedro Brown"/>
    <x v="3"/>
    <x v="2"/>
    <x v="107"/>
    <d v="2023-05-19T00:00:00"/>
    <n v="3"/>
    <x v="0"/>
    <x v="1"/>
    <n v="3"/>
    <n v="2"/>
    <n v="2"/>
    <n v="5"/>
    <n v="2"/>
    <x v="4"/>
    <n v="2"/>
    <n v="1"/>
    <n v="3"/>
    <n v="1"/>
    <x v="0"/>
    <s v="Feedback Form"/>
    <s v="Great stay"/>
    <x v="2"/>
    <n v="63"/>
    <d v="2024-10-27T00:00:00"/>
    <x v="2"/>
    <x v="19"/>
    <x v="1"/>
  </r>
  <r>
    <n v="1023"/>
    <n v="95211"/>
    <s v="Pamela Aguirre"/>
    <x v="4"/>
    <x v="0"/>
    <x v="302"/>
    <d v="2024-03-14T00:00:00"/>
    <n v="7"/>
    <x v="2"/>
    <x v="0"/>
    <n v="3"/>
    <n v="1"/>
    <n v="3"/>
    <n v="2"/>
    <n v="3"/>
    <x v="3"/>
    <n v="1"/>
    <n v="1"/>
    <n v="5"/>
    <n v="1"/>
    <x v="1"/>
    <s v="Email"/>
    <s v="Poor service"/>
    <x v="2"/>
    <n v="31"/>
    <d v="2024-03-15T00:00:00"/>
    <x v="3"/>
    <x v="8"/>
    <x v="1"/>
  </r>
  <r>
    <n v="1024"/>
    <n v="30141"/>
    <s v="Ashley Williams"/>
    <x v="4"/>
    <x v="2"/>
    <x v="41"/>
    <d v="2023-09-08T00:00:00"/>
    <n v="10"/>
    <x v="2"/>
    <x v="0"/>
    <n v="2"/>
    <n v="4"/>
    <n v="3"/>
    <n v="2"/>
    <n v="1"/>
    <x v="4"/>
    <n v="5"/>
    <n v="5"/>
    <n v="1"/>
    <n v="2"/>
    <x v="0"/>
    <s v="App Review"/>
    <s v="Will visit again"/>
    <x v="1"/>
    <n v="36"/>
    <d v="2024-11-03T00:00:00"/>
    <x v="1"/>
    <x v="7"/>
    <x v="1"/>
  </r>
  <r>
    <n v="1025"/>
    <n v="84484"/>
    <s v="Johnny Johnson"/>
    <x v="0"/>
    <x v="2"/>
    <x v="63"/>
    <d v="2023-09-05T00:00:00"/>
    <n v="9"/>
    <x v="0"/>
    <x v="3"/>
    <n v="5"/>
    <n v="4"/>
    <n v="5"/>
    <n v="2"/>
    <n v="5"/>
    <x v="2"/>
    <n v="2"/>
    <n v="3"/>
    <n v="1"/>
    <n v="2"/>
    <x v="0"/>
    <s v="Online Survey"/>
    <s v="Average"/>
    <x v="2"/>
    <n v="25"/>
    <d v="2024-05-27T00:00:00"/>
    <x v="0"/>
    <x v="0"/>
    <x v="0"/>
  </r>
  <r>
    <n v="1026"/>
    <n v="82693"/>
    <s v="Michael Carroll"/>
    <x v="1"/>
    <x v="3"/>
    <x v="547"/>
    <d v="2024-11-15T00:00:00"/>
    <n v="1"/>
    <x v="1"/>
    <x v="4"/>
    <n v="3"/>
    <n v="3"/>
    <n v="5"/>
    <n v="5"/>
    <n v="4"/>
    <x v="4"/>
    <n v="2"/>
    <n v="4"/>
    <n v="5"/>
    <n v="2"/>
    <x v="1"/>
    <s v="Feedback Form"/>
    <s v="Average"/>
    <x v="1"/>
    <n v="58"/>
    <d v="2024-11-15T00:00:00"/>
    <x v="2"/>
    <x v="13"/>
    <x v="0"/>
  </r>
  <r>
    <n v="1027"/>
    <n v="13849"/>
    <s v="Scott Castaneda"/>
    <x v="2"/>
    <x v="3"/>
    <x v="448"/>
    <d v="2024-12-14T00:00:00"/>
    <n v="12"/>
    <x v="0"/>
    <x v="0"/>
    <n v="1"/>
    <n v="4"/>
    <n v="2"/>
    <n v="2"/>
    <n v="5"/>
    <x v="2"/>
    <n v="1"/>
    <n v="5"/>
    <n v="4"/>
    <n v="1"/>
    <x v="1"/>
    <s v="Feedback Form"/>
    <s v="Average"/>
    <x v="2"/>
    <n v="32"/>
    <d v="2024-12-14T00:00:00"/>
    <x v="3"/>
    <x v="5"/>
    <x v="1"/>
  </r>
  <r>
    <n v="1028"/>
    <n v="50837"/>
    <s v="Bruce Moore"/>
    <x v="2"/>
    <x v="2"/>
    <x v="354"/>
    <d v="2023-05-18T00:00:00"/>
    <n v="6"/>
    <x v="1"/>
    <x v="3"/>
    <n v="2"/>
    <n v="4"/>
    <n v="5"/>
    <n v="2"/>
    <n v="5"/>
    <x v="2"/>
    <n v="3"/>
    <n v="1"/>
    <n v="1"/>
    <n v="1"/>
    <x v="0"/>
    <s v="Online Survey"/>
    <s v="Needs improvement"/>
    <x v="1"/>
    <n v="61"/>
    <d v="2023-10-27T00:00:00"/>
    <x v="2"/>
    <x v="7"/>
    <x v="1"/>
  </r>
  <r>
    <n v="1029"/>
    <n v="96750"/>
    <s v="Dana Gibbs"/>
    <x v="0"/>
    <x v="3"/>
    <x v="548"/>
    <d v="2024-04-06T00:00:00"/>
    <n v="11"/>
    <x v="2"/>
    <x v="3"/>
    <n v="4"/>
    <n v="3"/>
    <n v="4"/>
    <n v="4"/>
    <n v="1"/>
    <x v="3"/>
    <n v="5"/>
    <n v="5"/>
    <n v="5"/>
    <n v="1"/>
    <x v="1"/>
    <s v="Email"/>
    <s v="Needs improvement"/>
    <x v="2"/>
    <n v="35"/>
    <d v="2024-04-06T00:00:00"/>
    <x v="3"/>
    <x v="11"/>
    <x v="0"/>
  </r>
  <r>
    <n v="1030"/>
    <n v="54851"/>
    <s v="Paul Patel"/>
    <x v="0"/>
    <x v="4"/>
    <x v="111"/>
    <d v="2024-01-03T00:00:00"/>
    <n v="14"/>
    <x v="0"/>
    <x v="3"/>
    <n v="4"/>
    <n v="1"/>
    <n v="1"/>
    <n v="4"/>
    <n v="5"/>
    <x v="1"/>
    <n v="5"/>
    <n v="5"/>
    <n v="2"/>
    <n v="1"/>
    <x v="1"/>
    <s v="In-person"/>
    <s v="Needs improvement"/>
    <x v="0"/>
    <n v="18"/>
    <d v="2024-01-03T00:00:00"/>
    <x v="0"/>
    <x v="1"/>
    <x v="0"/>
  </r>
  <r>
    <n v="1031"/>
    <n v="47098"/>
    <s v="Gary Collins"/>
    <x v="3"/>
    <x v="1"/>
    <x v="102"/>
    <d v="2023-11-02T00:00:00"/>
    <n v="9"/>
    <x v="2"/>
    <x v="2"/>
    <n v="5"/>
    <n v="4"/>
    <n v="5"/>
    <n v="1"/>
    <n v="4"/>
    <x v="4"/>
    <n v="5"/>
    <n v="3"/>
    <n v="2"/>
    <n v="1"/>
    <x v="1"/>
    <s v="In-person"/>
    <s v="Poor service"/>
    <x v="2"/>
    <n v="64"/>
    <d v="2024-09-29T00:00:00"/>
    <x v="2"/>
    <x v="0"/>
    <x v="0"/>
  </r>
  <r>
    <n v="1032"/>
    <n v="41033"/>
    <s v="Dr. Kyle Chase"/>
    <x v="0"/>
    <x v="0"/>
    <x v="549"/>
    <d v="2024-02-01T00:00:00"/>
    <n v="7"/>
    <x v="2"/>
    <x v="0"/>
    <n v="2"/>
    <n v="5"/>
    <n v="3"/>
    <n v="1"/>
    <n v="4"/>
    <x v="2"/>
    <n v="2"/>
    <n v="2"/>
    <n v="3"/>
    <n v="3"/>
    <x v="0"/>
    <s v="In-person"/>
    <s v="Great stay"/>
    <x v="2"/>
    <n v="50"/>
    <d v="2024-06-16T00:00:00"/>
    <x v="1"/>
    <x v="5"/>
    <x v="1"/>
  </r>
  <r>
    <n v="1033"/>
    <n v="45763"/>
    <s v="Leslie Miller"/>
    <x v="2"/>
    <x v="0"/>
    <x v="241"/>
    <d v="2023-07-03T00:00:00"/>
    <n v="3"/>
    <x v="3"/>
    <x v="1"/>
    <n v="2"/>
    <n v="4"/>
    <n v="4"/>
    <n v="3"/>
    <n v="4"/>
    <x v="2"/>
    <n v="4"/>
    <n v="1"/>
    <n v="4"/>
    <n v="3"/>
    <x v="0"/>
    <s v="App Review"/>
    <s v="Average"/>
    <x v="0"/>
    <n v="18"/>
    <d v="2023-07-03T00:00:00"/>
    <x v="0"/>
    <x v="0"/>
    <x v="0"/>
  </r>
  <r>
    <n v="1034"/>
    <n v="88860"/>
    <s v="Robert Gonzalez"/>
    <x v="1"/>
    <x v="0"/>
    <x v="153"/>
    <d v="2024-04-12T00:00:00"/>
    <n v="7"/>
    <x v="0"/>
    <x v="3"/>
    <n v="2"/>
    <n v="4"/>
    <n v="3"/>
    <n v="3"/>
    <n v="2"/>
    <x v="2"/>
    <n v="1"/>
    <n v="5"/>
    <n v="5"/>
    <n v="3"/>
    <x v="1"/>
    <s v="Online Survey"/>
    <s v="Average"/>
    <x v="0"/>
    <n v="51"/>
    <d v="2024-04-12T00:00:00"/>
    <x v="2"/>
    <x v="2"/>
    <x v="0"/>
  </r>
  <r>
    <n v="1035"/>
    <n v="21900"/>
    <s v="Michelle Johnson"/>
    <x v="1"/>
    <x v="0"/>
    <x v="91"/>
    <d v="2023-07-24T00:00:00"/>
    <n v="12"/>
    <x v="2"/>
    <x v="1"/>
    <n v="1"/>
    <n v="2"/>
    <n v="5"/>
    <n v="3"/>
    <n v="4"/>
    <x v="0"/>
    <n v="2"/>
    <n v="2"/>
    <n v="4"/>
    <n v="2"/>
    <x v="1"/>
    <s v="Email"/>
    <s v="Poor service"/>
    <x v="2"/>
    <n v="21"/>
    <d v="2024-07-11T00:00:00"/>
    <x v="0"/>
    <x v="3"/>
    <x v="1"/>
  </r>
  <r>
    <n v="1036"/>
    <n v="33354"/>
    <s v="John Hernandez"/>
    <x v="2"/>
    <x v="4"/>
    <x v="48"/>
    <d v="2024-09-15T00:00:00"/>
    <n v="2"/>
    <x v="1"/>
    <x v="2"/>
    <n v="1"/>
    <n v="4"/>
    <n v="5"/>
    <n v="1"/>
    <n v="1"/>
    <x v="4"/>
    <n v="3"/>
    <n v="4"/>
    <n v="4"/>
    <n v="1"/>
    <x v="1"/>
    <s v="Online Survey"/>
    <s v="Great stay"/>
    <x v="1"/>
    <n v="34"/>
    <d v="2024-09-15T00:00:00"/>
    <x v="3"/>
    <x v="14"/>
    <x v="1"/>
  </r>
  <r>
    <n v="1037"/>
    <n v="12214"/>
    <s v="Alexander Thompson"/>
    <x v="3"/>
    <x v="4"/>
    <x v="181"/>
    <d v="2024-08-03T00:00:00"/>
    <n v="10"/>
    <x v="0"/>
    <x v="4"/>
    <n v="3"/>
    <n v="4"/>
    <n v="4"/>
    <n v="2"/>
    <n v="3"/>
    <x v="4"/>
    <n v="3"/>
    <n v="4"/>
    <n v="5"/>
    <n v="3"/>
    <x v="0"/>
    <s v="Feedback Form"/>
    <s v="Great stay"/>
    <x v="0"/>
    <n v="19"/>
    <d v="2024-08-03T00:00:00"/>
    <x v="0"/>
    <x v="10"/>
    <x v="0"/>
  </r>
  <r>
    <n v="1038"/>
    <n v="22340"/>
    <s v="Martin Moses"/>
    <x v="1"/>
    <x v="1"/>
    <x v="305"/>
    <d v="2024-07-04T00:00:00"/>
    <n v="2"/>
    <x v="1"/>
    <x v="2"/>
    <n v="4"/>
    <n v="5"/>
    <n v="3"/>
    <n v="3"/>
    <n v="5"/>
    <x v="2"/>
    <n v="2"/>
    <n v="4"/>
    <n v="1"/>
    <n v="2"/>
    <x v="1"/>
    <s v="App Review"/>
    <s v="Poor service"/>
    <x v="0"/>
    <n v="56"/>
    <d v="2024-07-04T00:00:00"/>
    <x v="2"/>
    <x v="0"/>
    <x v="0"/>
  </r>
  <r>
    <n v="1039"/>
    <n v="26652"/>
    <s v="Steven Rios"/>
    <x v="1"/>
    <x v="2"/>
    <x v="550"/>
    <d v="2024-12-11T00:00:00"/>
    <n v="1"/>
    <x v="1"/>
    <x v="2"/>
    <n v="1"/>
    <n v="3"/>
    <n v="1"/>
    <n v="2"/>
    <n v="5"/>
    <x v="4"/>
    <n v="1"/>
    <n v="5"/>
    <n v="2"/>
    <n v="4"/>
    <x v="1"/>
    <s v="Email"/>
    <s v="Average"/>
    <x v="0"/>
    <n v="27"/>
    <d v="2024-12-11T00:00:00"/>
    <x v="3"/>
    <x v="14"/>
    <x v="1"/>
  </r>
  <r>
    <n v="1040"/>
    <n v="24687"/>
    <s v="Mr. Gabriel Skinner Jr."/>
    <x v="3"/>
    <x v="3"/>
    <x v="102"/>
    <d v="2024-12-28T00:00:00"/>
    <n v="3"/>
    <x v="1"/>
    <x v="0"/>
    <n v="4"/>
    <n v="3"/>
    <n v="1"/>
    <n v="2"/>
    <n v="5"/>
    <x v="4"/>
    <n v="5"/>
    <n v="5"/>
    <n v="3"/>
    <n v="5"/>
    <x v="0"/>
    <s v="Feedback Form"/>
    <s v="Will visit again"/>
    <x v="0"/>
    <n v="59"/>
    <d v="2024-12-28T00:00:00"/>
    <x v="2"/>
    <x v="13"/>
    <x v="0"/>
  </r>
  <r>
    <n v="1041"/>
    <n v="16553"/>
    <s v="Denise Williams"/>
    <x v="1"/>
    <x v="1"/>
    <x v="323"/>
    <d v="2024-08-27T00:00:00"/>
    <n v="1"/>
    <x v="0"/>
    <x v="3"/>
    <n v="2"/>
    <n v="3"/>
    <n v="4"/>
    <n v="1"/>
    <n v="4"/>
    <x v="0"/>
    <n v="5"/>
    <n v="3"/>
    <n v="1"/>
    <n v="4"/>
    <x v="1"/>
    <s v="In-person"/>
    <s v="Will visit again"/>
    <x v="0"/>
    <n v="62"/>
    <d v="2024-08-27T00:00:00"/>
    <x v="2"/>
    <x v="2"/>
    <x v="0"/>
  </r>
  <r>
    <n v="1042"/>
    <n v="83874"/>
    <s v="Pamela Johnson"/>
    <x v="4"/>
    <x v="0"/>
    <x v="551"/>
    <d v="2024-09-20T00:00:00"/>
    <n v="8"/>
    <x v="1"/>
    <x v="2"/>
    <n v="1"/>
    <n v="2"/>
    <n v="5"/>
    <n v="4"/>
    <n v="4"/>
    <x v="2"/>
    <n v="4"/>
    <n v="1"/>
    <n v="4"/>
    <n v="4"/>
    <x v="0"/>
    <s v="In-person"/>
    <s v="Great stay"/>
    <x v="0"/>
    <n v="54"/>
    <d v="2024-09-20T00:00:00"/>
    <x v="2"/>
    <x v="0"/>
    <x v="0"/>
  </r>
  <r>
    <n v="1043"/>
    <n v="27235"/>
    <s v="Steven Johnson"/>
    <x v="2"/>
    <x v="3"/>
    <x v="51"/>
    <d v="2023-08-07T00:00:00"/>
    <n v="13"/>
    <x v="0"/>
    <x v="3"/>
    <n v="4"/>
    <n v="4"/>
    <n v="4"/>
    <n v="4"/>
    <n v="4"/>
    <x v="4"/>
    <n v="2"/>
    <n v="2"/>
    <n v="4"/>
    <n v="5"/>
    <x v="1"/>
    <s v="In-person"/>
    <s v="Great stay"/>
    <x v="2"/>
    <n v="43"/>
    <d v="2023-08-07T00:00:00"/>
    <x v="1"/>
    <x v="13"/>
    <x v="0"/>
  </r>
  <r>
    <n v="1044"/>
    <n v="96443"/>
    <s v="Alec Williams"/>
    <x v="1"/>
    <x v="1"/>
    <x v="277"/>
    <d v="2024-12-26T00:00:00"/>
    <n v="11"/>
    <x v="3"/>
    <x v="1"/>
    <n v="1"/>
    <n v="1"/>
    <n v="3"/>
    <n v="5"/>
    <n v="3"/>
    <x v="1"/>
    <n v="4"/>
    <n v="4"/>
    <n v="5"/>
    <n v="2"/>
    <x v="0"/>
    <s v="Online Survey"/>
    <s v="Average"/>
    <x v="2"/>
    <n v="44"/>
    <d v="2024-12-26T00:00:00"/>
    <x v="1"/>
    <x v="1"/>
    <x v="0"/>
  </r>
  <r>
    <n v="1045"/>
    <n v="84215"/>
    <s v="Tina Burgess"/>
    <x v="1"/>
    <x v="0"/>
    <x v="499"/>
    <d v="2024-09-21T00:00:00"/>
    <n v="8"/>
    <x v="1"/>
    <x v="4"/>
    <n v="2"/>
    <n v="1"/>
    <n v="1"/>
    <n v="4"/>
    <n v="3"/>
    <x v="2"/>
    <n v="3"/>
    <n v="2"/>
    <n v="2"/>
    <n v="5"/>
    <x v="1"/>
    <s v="Feedback Form"/>
    <s v="Great stay"/>
    <x v="0"/>
    <n v="56"/>
    <d v="2024-09-21T00:00:00"/>
    <x v="2"/>
    <x v="14"/>
    <x v="1"/>
  </r>
  <r>
    <n v="1046"/>
    <n v="54143"/>
    <s v="Ms. Nicole Humphrey DVM"/>
    <x v="3"/>
    <x v="1"/>
    <x v="422"/>
    <d v="2024-11-16T00:00:00"/>
    <n v="4"/>
    <x v="0"/>
    <x v="4"/>
    <n v="2"/>
    <n v="5"/>
    <n v="5"/>
    <n v="3"/>
    <n v="3"/>
    <x v="4"/>
    <n v="5"/>
    <n v="3"/>
    <n v="2"/>
    <n v="2"/>
    <x v="0"/>
    <s v="Email"/>
    <s v="Poor service"/>
    <x v="1"/>
    <n v="42"/>
    <d v="2024-11-16T00:00:00"/>
    <x v="1"/>
    <x v="0"/>
    <x v="0"/>
  </r>
  <r>
    <n v="1047"/>
    <n v="84311"/>
    <s v="Vanessa Sanders"/>
    <x v="1"/>
    <x v="0"/>
    <x v="99"/>
    <d v="2023-06-20T00:00:00"/>
    <n v="1"/>
    <x v="1"/>
    <x v="1"/>
    <n v="2"/>
    <n v="2"/>
    <n v="3"/>
    <n v="1"/>
    <n v="3"/>
    <x v="0"/>
    <n v="5"/>
    <n v="4"/>
    <n v="3"/>
    <n v="4"/>
    <x v="0"/>
    <s v="Feedback Form"/>
    <s v="Will visit again"/>
    <x v="1"/>
    <n v="46"/>
    <d v="2023-07-18T00:00:00"/>
    <x v="1"/>
    <x v="2"/>
    <x v="0"/>
  </r>
  <r>
    <n v="1048"/>
    <n v="98719"/>
    <s v="Antonio Tucker"/>
    <x v="3"/>
    <x v="0"/>
    <x v="226"/>
    <d v="2024-12-09T00:00:00"/>
    <n v="2"/>
    <x v="2"/>
    <x v="0"/>
    <n v="3"/>
    <n v="2"/>
    <n v="1"/>
    <n v="2"/>
    <n v="3"/>
    <x v="1"/>
    <n v="4"/>
    <n v="2"/>
    <n v="1"/>
    <n v="5"/>
    <x v="1"/>
    <s v="Email"/>
    <s v="Will visit again"/>
    <x v="1"/>
    <n v="63"/>
    <d v="2024-12-09T00:00:00"/>
    <x v="2"/>
    <x v="3"/>
    <x v="1"/>
  </r>
  <r>
    <n v="1049"/>
    <n v="39287"/>
    <s v="James Coleman"/>
    <x v="2"/>
    <x v="4"/>
    <x v="61"/>
    <d v="2024-01-28T00:00:00"/>
    <n v="2"/>
    <x v="1"/>
    <x v="1"/>
    <n v="4"/>
    <n v="4"/>
    <n v="1"/>
    <n v="1"/>
    <n v="5"/>
    <x v="3"/>
    <n v="2"/>
    <n v="1"/>
    <n v="3"/>
    <n v="4"/>
    <x v="0"/>
    <s v="App Review"/>
    <s v="Great stay"/>
    <x v="2"/>
    <n v="35"/>
    <d v="2024-01-28T00:00:00"/>
    <x v="3"/>
    <x v="4"/>
    <x v="1"/>
  </r>
  <r>
    <n v="1050"/>
    <n v="79846"/>
    <s v="Peter Martinez"/>
    <x v="4"/>
    <x v="0"/>
    <x v="141"/>
    <d v="2024-10-23T00:00:00"/>
    <n v="2"/>
    <x v="2"/>
    <x v="1"/>
    <n v="3"/>
    <n v="1"/>
    <n v="2"/>
    <n v="5"/>
    <n v="5"/>
    <x v="3"/>
    <n v="4"/>
    <n v="1"/>
    <n v="4"/>
    <n v="5"/>
    <x v="1"/>
    <s v="App Review"/>
    <s v="Poor service"/>
    <x v="2"/>
    <n v="39"/>
    <d v="2024-10-23T00:00:00"/>
    <x v="1"/>
    <x v="13"/>
    <x v="0"/>
  </r>
  <r>
    <n v="1051"/>
    <n v="90863"/>
    <s v="Mark Hill"/>
    <x v="0"/>
    <x v="1"/>
    <x v="552"/>
    <d v="2024-01-05T00:00:00"/>
    <n v="9"/>
    <x v="2"/>
    <x v="0"/>
    <n v="5"/>
    <n v="2"/>
    <n v="5"/>
    <n v="5"/>
    <n v="3"/>
    <x v="1"/>
    <n v="3"/>
    <n v="3"/>
    <n v="4"/>
    <n v="5"/>
    <x v="1"/>
    <s v="Email"/>
    <s v="Great stay"/>
    <x v="2"/>
    <n v="68"/>
    <d v="2024-01-05T00:00:00"/>
    <x v="2"/>
    <x v="12"/>
    <x v="2"/>
  </r>
  <r>
    <n v="1052"/>
    <n v="34140"/>
    <s v="Tina Cunningham"/>
    <x v="2"/>
    <x v="3"/>
    <x v="230"/>
    <d v="2024-05-16T00:00:00"/>
    <n v="7"/>
    <x v="1"/>
    <x v="0"/>
    <n v="5"/>
    <n v="5"/>
    <n v="4"/>
    <n v="5"/>
    <n v="5"/>
    <x v="3"/>
    <n v="2"/>
    <n v="2"/>
    <n v="2"/>
    <n v="1"/>
    <x v="1"/>
    <s v="Feedback Form"/>
    <s v="Great stay"/>
    <x v="2"/>
    <n v="43"/>
    <d v="2024-05-16T00:00:00"/>
    <x v="1"/>
    <x v="18"/>
    <x v="0"/>
  </r>
  <r>
    <n v="1053"/>
    <n v="40657"/>
    <s v="Cory Burke"/>
    <x v="1"/>
    <x v="4"/>
    <x v="97"/>
    <d v="2023-12-18T00:00:00"/>
    <n v="9"/>
    <x v="1"/>
    <x v="2"/>
    <n v="1"/>
    <n v="1"/>
    <n v="2"/>
    <n v="2"/>
    <n v="3"/>
    <x v="1"/>
    <n v="3"/>
    <n v="3"/>
    <n v="4"/>
    <n v="3"/>
    <x v="1"/>
    <s v="Email"/>
    <s v="Poor service"/>
    <x v="0"/>
    <n v="43"/>
    <d v="2024-04-26T00:00:00"/>
    <x v="1"/>
    <x v="5"/>
    <x v="1"/>
  </r>
  <r>
    <n v="1054"/>
    <n v="69494"/>
    <s v="Gregory Henderson"/>
    <x v="4"/>
    <x v="3"/>
    <x v="77"/>
    <d v="2023-08-15T00:00:00"/>
    <n v="10"/>
    <x v="2"/>
    <x v="3"/>
    <n v="1"/>
    <n v="2"/>
    <n v="1"/>
    <n v="5"/>
    <n v="3"/>
    <x v="4"/>
    <n v="2"/>
    <n v="3"/>
    <n v="1"/>
    <n v="3"/>
    <x v="0"/>
    <s v="Email"/>
    <s v="Poor service"/>
    <x v="0"/>
    <n v="69"/>
    <d v="2023-12-04T00:00:00"/>
    <x v="2"/>
    <x v="19"/>
    <x v="1"/>
  </r>
  <r>
    <n v="1055"/>
    <n v="24746"/>
    <s v="Clifford Hall"/>
    <x v="0"/>
    <x v="2"/>
    <x v="187"/>
    <d v="2024-08-16T00:00:00"/>
    <n v="10"/>
    <x v="3"/>
    <x v="4"/>
    <n v="1"/>
    <n v="4"/>
    <n v="5"/>
    <n v="5"/>
    <n v="3"/>
    <x v="3"/>
    <n v="4"/>
    <n v="3"/>
    <n v="1"/>
    <n v="4"/>
    <x v="0"/>
    <s v="In-person"/>
    <s v="Needs improvement"/>
    <x v="1"/>
    <n v="38"/>
    <d v="2024-08-16T00:00:00"/>
    <x v="1"/>
    <x v="13"/>
    <x v="0"/>
  </r>
  <r>
    <n v="1056"/>
    <n v="81427"/>
    <s v="Melissa Snyder"/>
    <x v="0"/>
    <x v="3"/>
    <x v="453"/>
    <d v="2024-03-22T00:00:00"/>
    <n v="2"/>
    <x v="0"/>
    <x v="0"/>
    <n v="3"/>
    <n v="4"/>
    <n v="5"/>
    <n v="5"/>
    <n v="5"/>
    <x v="3"/>
    <n v="1"/>
    <n v="5"/>
    <n v="3"/>
    <n v="4"/>
    <x v="1"/>
    <s v="Email"/>
    <s v="Will visit again"/>
    <x v="1"/>
    <n v="38"/>
    <d v="2024-03-22T00:00:00"/>
    <x v="1"/>
    <x v="20"/>
    <x v="0"/>
  </r>
  <r>
    <n v="1057"/>
    <n v="98114"/>
    <s v="Larry Williams"/>
    <x v="1"/>
    <x v="2"/>
    <x v="553"/>
    <d v="2024-11-07T00:00:00"/>
    <n v="5"/>
    <x v="1"/>
    <x v="0"/>
    <n v="2"/>
    <n v="4"/>
    <n v="2"/>
    <n v="2"/>
    <n v="2"/>
    <x v="1"/>
    <n v="4"/>
    <n v="1"/>
    <n v="1"/>
    <n v="4"/>
    <x v="0"/>
    <s v="In-person"/>
    <s v="Great stay"/>
    <x v="0"/>
    <n v="59"/>
    <d v="2024-11-07T00:00:00"/>
    <x v="2"/>
    <x v="5"/>
    <x v="1"/>
  </r>
  <r>
    <n v="1058"/>
    <n v="59494"/>
    <s v="Erin Coffey"/>
    <x v="0"/>
    <x v="2"/>
    <x v="319"/>
    <d v="2024-09-22T00:00:00"/>
    <n v="1"/>
    <x v="2"/>
    <x v="2"/>
    <n v="1"/>
    <n v="4"/>
    <n v="3"/>
    <n v="5"/>
    <n v="2"/>
    <x v="4"/>
    <n v="2"/>
    <n v="5"/>
    <n v="4"/>
    <n v="1"/>
    <x v="0"/>
    <s v="In-person"/>
    <s v="Average"/>
    <x v="1"/>
    <n v="25"/>
    <d v="2024-12-19T00:00:00"/>
    <x v="0"/>
    <x v="3"/>
    <x v="1"/>
  </r>
  <r>
    <n v="1059"/>
    <n v="17745"/>
    <s v="Lawrence Taylor"/>
    <x v="0"/>
    <x v="4"/>
    <x v="87"/>
    <d v="2024-12-20T00:00:00"/>
    <n v="2"/>
    <x v="0"/>
    <x v="2"/>
    <n v="1"/>
    <n v="1"/>
    <n v="3"/>
    <n v="3"/>
    <n v="2"/>
    <x v="4"/>
    <n v="3"/>
    <n v="5"/>
    <n v="5"/>
    <n v="1"/>
    <x v="1"/>
    <s v="Email"/>
    <s v="Great stay"/>
    <x v="2"/>
    <n v="19"/>
    <d v="2024-12-20T00:00:00"/>
    <x v="0"/>
    <x v="14"/>
    <x v="1"/>
  </r>
  <r>
    <n v="1060"/>
    <n v="11423"/>
    <s v="Jennifer Nelson"/>
    <x v="2"/>
    <x v="3"/>
    <x v="282"/>
    <d v="2024-06-02T00:00:00"/>
    <n v="4"/>
    <x v="1"/>
    <x v="3"/>
    <n v="5"/>
    <n v="1"/>
    <n v="4"/>
    <n v="1"/>
    <n v="1"/>
    <x v="2"/>
    <n v="4"/>
    <n v="1"/>
    <n v="2"/>
    <n v="4"/>
    <x v="0"/>
    <s v="Online Survey"/>
    <s v="Great stay"/>
    <x v="1"/>
    <n v="63"/>
    <d v="2024-06-02T00:00:00"/>
    <x v="2"/>
    <x v="14"/>
    <x v="1"/>
  </r>
  <r>
    <n v="1061"/>
    <n v="57305"/>
    <s v="Christian Medina"/>
    <x v="2"/>
    <x v="0"/>
    <x v="554"/>
    <d v="2024-02-16T00:00:00"/>
    <n v="10"/>
    <x v="0"/>
    <x v="0"/>
    <n v="2"/>
    <n v="2"/>
    <n v="5"/>
    <n v="5"/>
    <n v="2"/>
    <x v="2"/>
    <n v="2"/>
    <n v="3"/>
    <n v="2"/>
    <n v="1"/>
    <x v="0"/>
    <s v="Feedback Form"/>
    <s v="Average"/>
    <x v="2"/>
    <n v="51"/>
    <d v="2024-02-16T00:00:00"/>
    <x v="2"/>
    <x v="7"/>
    <x v="1"/>
  </r>
  <r>
    <n v="1062"/>
    <n v="22059"/>
    <s v="Daniel Taylor"/>
    <x v="0"/>
    <x v="4"/>
    <x v="31"/>
    <d v="2023-03-12T00:00:00"/>
    <n v="1"/>
    <x v="2"/>
    <x v="0"/>
    <n v="3"/>
    <n v="5"/>
    <n v="2"/>
    <n v="5"/>
    <n v="2"/>
    <x v="4"/>
    <n v="3"/>
    <n v="2"/>
    <n v="2"/>
    <n v="5"/>
    <x v="1"/>
    <s v="Email"/>
    <s v="Will visit again"/>
    <x v="1"/>
    <n v="29"/>
    <d v="2023-03-12T00:00:00"/>
    <x v="3"/>
    <x v="2"/>
    <x v="0"/>
  </r>
  <r>
    <n v="1063"/>
    <n v="34721"/>
    <s v="Joyce Ray"/>
    <x v="3"/>
    <x v="4"/>
    <x v="520"/>
    <d v="2023-06-29T00:00:00"/>
    <n v="12"/>
    <x v="1"/>
    <x v="2"/>
    <n v="2"/>
    <n v="3"/>
    <n v="1"/>
    <n v="1"/>
    <n v="2"/>
    <x v="1"/>
    <n v="3"/>
    <n v="3"/>
    <n v="5"/>
    <n v="5"/>
    <x v="0"/>
    <s v="App Review"/>
    <s v="Needs improvement"/>
    <x v="2"/>
    <n v="66"/>
    <d v="2023-07-25T00:00:00"/>
    <x v="2"/>
    <x v="2"/>
    <x v="0"/>
  </r>
  <r>
    <n v="1064"/>
    <n v="89787"/>
    <s v="Rebecca Hunter"/>
    <x v="1"/>
    <x v="0"/>
    <x v="555"/>
    <d v="2024-12-09T00:00:00"/>
    <n v="8"/>
    <x v="3"/>
    <x v="1"/>
    <n v="5"/>
    <n v="3"/>
    <n v="3"/>
    <n v="5"/>
    <n v="4"/>
    <x v="0"/>
    <n v="3"/>
    <n v="3"/>
    <n v="4"/>
    <n v="5"/>
    <x v="0"/>
    <s v="Email"/>
    <s v="Poor service"/>
    <x v="1"/>
    <n v="35"/>
    <d v="2024-12-09T00:00:00"/>
    <x v="3"/>
    <x v="21"/>
    <x v="0"/>
  </r>
  <r>
    <n v="1065"/>
    <n v="82183"/>
    <s v="Ryan Lewis"/>
    <x v="3"/>
    <x v="3"/>
    <x v="556"/>
    <d v="2023-07-05T00:00:00"/>
    <n v="6"/>
    <x v="0"/>
    <x v="3"/>
    <n v="3"/>
    <n v="4"/>
    <n v="2"/>
    <n v="5"/>
    <n v="3"/>
    <x v="0"/>
    <n v="2"/>
    <n v="5"/>
    <n v="1"/>
    <n v="3"/>
    <x v="1"/>
    <s v="Email"/>
    <s v="Needs improvement"/>
    <x v="2"/>
    <n v="34"/>
    <d v="2023-07-05T00:00:00"/>
    <x v="3"/>
    <x v="0"/>
    <x v="0"/>
  </r>
  <r>
    <n v="1066"/>
    <n v="44679"/>
    <s v="Sonya Miller"/>
    <x v="3"/>
    <x v="4"/>
    <x v="442"/>
    <d v="2024-12-17T00:00:00"/>
    <n v="14"/>
    <x v="1"/>
    <x v="0"/>
    <n v="4"/>
    <n v="2"/>
    <n v="4"/>
    <n v="3"/>
    <n v="5"/>
    <x v="2"/>
    <n v="3"/>
    <n v="2"/>
    <n v="4"/>
    <n v="5"/>
    <x v="1"/>
    <s v="App Review"/>
    <s v="Great stay"/>
    <x v="0"/>
    <n v="32"/>
    <d v="2024-12-17T00:00:00"/>
    <x v="3"/>
    <x v="13"/>
    <x v="0"/>
  </r>
  <r>
    <n v="1067"/>
    <n v="73638"/>
    <s v="Christy Nguyen"/>
    <x v="0"/>
    <x v="2"/>
    <x v="52"/>
    <d v="2024-11-28T00:00:00"/>
    <n v="14"/>
    <x v="0"/>
    <x v="4"/>
    <n v="1"/>
    <n v="3"/>
    <n v="4"/>
    <n v="4"/>
    <n v="4"/>
    <x v="3"/>
    <n v="3"/>
    <n v="1"/>
    <n v="3"/>
    <n v="3"/>
    <x v="0"/>
    <s v="In-person"/>
    <s v="Great stay"/>
    <x v="0"/>
    <n v="20"/>
    <d v="2024-11-28T00:00:00"/>
    <x v="0"/>
    <x v="2"/>
    <x v="0"/>
  </r>
  <r>
    <n v="1068"/>
    <n v="38277"/>
    <s v="Shannon Smith"/>
    <x v="1"/>
    <x v="0"/>
    <x v="368"/>
    <d v="2024-04-01T00:00:00"/>
    <n v="1"/>
    <x v="0"/>
    <x v="4"/>
    <n v="3"/>
    <n v="3"/>
    <n v="5"/>
    <n v="2"/>
    <n v="3"/>
    <x v="0"/>
    <n v="4"/>
    <n v="4"/>
    <n v="4"/>
    <n v="5"/>
    <x v="1"/>
    <s v="In-person"/>
    <s v="Average"/>
    <x v="2"/>
    <n v="38"/>
    <d v="2024-06-06T00:00:00"/>
    <x v="1"/>
    <x v="11"/>
    <x v="0"/>
  </r>
  <r>
    <n v="1069"/>
    <n v="76875"/>
    <s v="Andrea Hoover"/>
    <x v="3"/>
    <x v="1"/>
    <x v="521"/>
    <d v="2024-07-21T00:00:00"/>
    <n v="9"/>
    <x v="1"/>
    <x v="2"/>
    <n v="5"/>
    <n v="3"/>
    <n v="4"/>
    <n v="2"/>
    <n v="2"/>
    <x v="3"/>
    <n v="3"/>
    <n v="1"/>
    <n v="4"/>
    <n v="4"/>
    <x v="1"/>
    <s v="Online Survey"/>
    <s v="Average"/>
    <x v="0"/>
    <n v="36"/>
    <d v="2024-08-01T00:00:00"/>
    <x v="1"/>
    <x v="10"/>
    <x v="0"/>
  </r>
  <r>
    <n v="1070"/>
    <n v="24764"/>
    <s v="Yolanda Rush"/>
    <x v="2"/>
    <x v="4"/>
    <x v="549"/>
    <d v="2024-02-14T00:00:00"/>
    <n v="1"/>
    <x v="1"/>
    <x v="4"/>
    <n v="2"/>
    <n v="3"/>
    <n v="4"/>
    <n v="1"/>
    <n v="2"/>
    <x v="3"/>
    <n v="1"/>
    <n v="2"/>
    <n v="2"/>
    <n v="3"/>
    <x v="0"/>
    <s v="Email"/>
    <s v="Great stay"/>
    <x v="1"/>
    <n v="49"/>
    <d v="2024-02-14T00:00:00"/>
    <x v="1"/>
    <x v="8"/>
    <x v="1"/>
  </r>
  <r>
    <n v="1071"/>
    <n v="81982"/>
    <s v="Samantha Hawkins"/>
    <x v="2"/>
    <x v="2"/>
    <x v="275"/>
    <d v="2024-06-15T00:00:00"/>
    <n v="11"/>
    <x v="1"/>
    <x v="2"/>
    <n v="3"/>
    <n v="3"/>
    <n v="3"/>
    <n v="3"/>
    <n v="4"/>
    <x v="4"/>
    <n v="2"/>
    <n v="1"/>
    <n v="4"/>
    <n v="1"/>
    <x v="1"/>
    <s v="Email"/>
    <s v="Needs improvement"/>
    <x v="0"/>
    <n v="28"/>
    <d v="2024-06-15T00:00:00"/>
    <x v="3"/>
    <x v="14"/>
    <x v="1"/>
  </r>
  <r>
    <n v="1072"/>
    <n v="26881"/>
    <s v="Cheryl Taylor"/>
    <x v="1"/>
    <x v="3"/>
    <x v="66"/>
    <d v="2023-12-31T00:00:00"/>
    <n v="4"/>
    <x v="2"/>
    <x v="1"/>
    <n v="5"/>
    <n v="2"/>
    <n v="3"/>
    <n v="2"/>
    <n v="5"/>
    <x v="0"/>
    <n v="3"/>
    <n v="5"/>
    <n v="5"/>
    <n v="3"/>
    <x v="0"/>
    <s v="Feedback Form"/>
    <s v="Needs improvement"/>
    <x v="2"/>
    <n v="35"/>
    <d v="2023-12-31T00:00:00"/>
    <x v="3"/>
    <x v="11"/>
    <x v="0"/>
  </r>
  <r>
    <n v="1073"/>
    <n v="86676"/>
    <s v="Tim Griffin"/>
    <x v="3"/>
    <x v="3"/>
    <x v="557"/>
    <d v="2024-03-01T00:00:00"/>
    <n v="5"/>
    <x v="1"/>
    <x v="2"/>
    <n v="3"/>
    <n v="3"/>
    <n v="4"/>
    <n v="1"/>
    <n v="4"/>
    <x v="0"/>
    <n v="3"/>
    <n v="2"/>
    <n v="2"/>
    <n v="2"/>
    <x v="0"/>
    <s v="In-person"/>
    <s v="Will visit again"/>
    <x v="0"/>
    <n v="46"/>
    <d v="2024-09-08T00:00:00"/>
    <x v="1"/>
    <x v="5"/>
    <x v="1"/>
  </r>
  <r>
    <n v="1074"/>
    <n v="59942"/>
    <s v="Stacy Wilson"/>
    <x v="4"/>
    <x v="0"/>
    <x v="192"/>
    <d v="2023-08-05T00:00:00"/>
    <n v="13"/>
    <x v="0"/>
    <x v="0"/>
    <n v="1"/>
    <n v="3"/>
    <n v="5"/>
    <n v="1"/>
    <n v="4"/>
    <x v="3"/>
    <n v="5"/>
    <n v="4"/>
    <n v="3"/>
    <n v="3"/>
    <x v="0"/>
    <s v="Email"/>
    <s v="Great stay"/>
    <x v="1"/>
    <n v="20"/>
    <d v="2024-06-25T00:00:00"/>
    <x v="0"/>
    <x v="1"/>
    <x v="0"/>
  </r>
  <r>
    <n v="1075"/>
    <n v="18201"/>
    <s v="Natalie Johnson"/>
    <x v="4"/>
    <x v="2"/>
    <x v="232"/>
    <d v="2023-07-30T00:00:00"/>
    <n v="11"/>
    <x v="1"/>
    <x v="4"/>
    <n v="2"/>
    <n v="2"/>
    <n v="3"/>
    <n v="1"/>
    <n v="3"/>
    <x v="3"/>
    <n v="4"/>
    <n v="4"/>
    <n v="5"/>
    <n v="5"/>
    <x v="1"/>
    <s v="Feedback Form"/>
    <s v="Poor service"/>
    <x v="2"/>
    <n v="67"/>
    <d v="2023-10-08T00:00:00"/>
    <x v="2"/>
    <x v="1"/>
    <x v="0"/>
  </r>
  <r>
    <n v="1076"/>
    <n v="34568"/>
    <s v="Teresa Moore"/>
    <x v="1"/>
    <x v="0"/>
    <x v="537"/>
    <d v="2024-04-10T00:00:00"/>
    <n v="9"/>
    <x v="2"/>
    <x v="0"/>
    <n v="2"/>
    <n v="1"/>
    <n v="3"/>
    <n v="2"/>
    <n v="1"/>
    <x v="4"/>
    <n v="3"/>
    <n v="2"/>
    <n v="5"/>
    <n v="5"/>
    <x v="1"/>
    <s v="Online Survey"/>
    <s v="Poor service"/>
    <x v="0"/>
    <n v="21"/>
    <d v="2024-04-10T00:00:00"/>
    <x v="0"/>
    <x v="14"/>
    <x v="1"/>
  </r>
  <r>
    <n v="1077"/>
    <n v="41330"/>
    <s v="Carrie Jones MD"/>
    <x v="1"/>
    <x v="4"/>
    <x v="73"/>
    <d v="2024-11-03T00:00:00"/>
    <n v="13"/>
    <x v="2"/>
    <x v="4"/>
    <n v="3"/>
    <n v="1"/>
    <n v="4"/>
    <n v="4"/>
    <n v="5"/>
    <x v="1"/>
    <n v="4"/>
    <n v="1"/>
    <n v="3"/>
    <n v="5"/>
    <x v="1"/>
    <s v="Feedback Form"/>
    <s v="Needs improvement"/>
    <x v="0"/>
    <n v="45"/>
    <d v="2024-11-03T00:00:00"/>
    <x v="1"/>
    <x v="18"/>
    <x v="0"/>
  </r>
  <r>
    <n v="1078"/>
    <n v="12816"/>
    <s v="Jennifer Elliott"/>
    <x v="4"/>
    <x v="0"/>
    <x v="79"/>
    <d v="2024-10-07T00:00:00"/>
    <n v="12"/>
    <x v="1"/>
    <x v="4"/>
    <n v="5"/>
    <n v="1"/>
    <n v="5"/>
    <n v="1"/>
    <n v="5"/>
    <x v="0"/>
    <n v="4"/>
    <n v="4"/>
    <n v="1"/>
    <n v="1"/>
    <x v="0"/>
    <s v="In-person"/>
    <s v="Average"/>
    <x v="0"/>
    <n v="26"/>
    <d v="2024-10-07T00:00:00"/>
    <x v="3"/>
    <x v="2"/>
    <x v="0"/>
  </r>
  <r>
    <n v="1079"/>
    <n v="43094"/>
    <s v="Donald Gross"/>
    <x v="3"/>
    <x v="1"/>
    <x v="117"/>
    <d v="2025-01-05T00:00:00"/>
    <n v="2"/>
    <x v="0"/>
    <x v="2"/>
    <n v="1"/>
    <n v="3"/>
    <n v="4"/>
    <n v="5"/>
    <n v="4"/>
    <x v="0"/>
    <n v="1"/>
    <n v="2"/>
    <n v="4"/>
    <n v="4"/>
    <x v="1"/>
    <s v="In-person"/>
    <s v="Average"/>
    <x v="1"/>
    <n v="55"/>
    <d v="2025-01-05T00:00:00"/>
    <x v="2"/>
    <x v="0"/>
    <x v="0"/>
  </r>
  <r>
    <n v="1080"/>
    <n v="92802"/>
    <s v="Amber Smith"/>
    <x v="3"/>
    <x v="0"/>
    <x v="437"/>
    <d v="2023-07-01T00:00:00"/>
    <n v="12"/>
    <x v="2"/>
    <x v="3"/>
    <n v="1"/>
    <n v="2"/>
    <n v="1"/>
    <n v="4"/>
    <n v="4"/>
    <x v="4"/>
    <n v="2"/>
    <n v="2"/>
    <n v="4"/>
    <n v="3"/>
    <x v="1"/>
    <s v="Online Survey"/>
    <s v="Needs improvement"/>
    <x v="0"/>
    <n v="24"/>
    <d v="2024-02-13T00:00:00"/>
    <x v="0"/>
    <x v="8"/>
    <x v="1"/>
  </r>
  <r>
    <n v="1081"/>
    <n v="28055"/>
    <s v="Maria Wright"/>
    <x v="0"/>
    <x v="0"/>
    <x v="284"/>
    <d v="2024-09-25T00:00:00"/>
    <n v="9"/>
    <x v="0"/>
    <x v="4"/>
    <n v="3"/>
    <n v="1"/>
    <n v="1"/>
    <n v="4"/>
    <n v="2"/>
    <x v="4"/>
    <n v="1"/>
    <n v="2"/>
    <n v="1"/>
    <n v="1"/>
    <x v="0"/>
    <s v="Email"/>
    <s v="Will visit again"/>
    <x v="1"/>
    <n v="18"/>
    <d v="2024-09-25T00:00:00"/>
    <x v="0"/>
    <x v="24"/>
    <x v="1"/>
  </r>
  <r>
    <n v="1082"/>
    <n v="28558"/>
    <s v="Brittney Dickerson"/>
    <x v="1"/>
    <x v="4"/>
    <x v="217"/>
    <d v="2023-07-10T00:00:00"/>
    <n v="12"/>
    <x v="3"/>
    <x v="4"/>
    <n v="4"/>
    <n v="4"/>
    <n v="5"/>
    <n v="5"/>
    <n v="4"/>
    <x v="1"/>
    <n v="2"/>
    <n v="3"/>
    <n v="3"/>
    <n v="2"/>
    <x v="0"/>
    <s v="Feedback Form"/>
    <s v="Great stay"/>
    <x v="2"/>
    <n v="52"/>
    <d v="2024-11-04T00:00:00"/>
    <x v="2"/>
    <x v="16"/>
    <x v="0"/>
  </r>
  <r>
    <n v="1083"/>
    <n v="15235"/>
    <s v="George Lewis"/>
    <x v="3"/>
    <x v="2"/>
    <x v="314"/>
    <d v="2023-07-13T00:00:00"/>
    <n v="14"/>
    <x v="2"/>
    <x v="3"/>
    <n v="3"/>
    <n v="4"/>
    <n v="1"/>
    <n v="2"/>
    <n v="3"/>
    <x v="3"/>
    <n v="5"/>
    <n v="1"/>
    <n v="1"/>
    <n v="3"/>
    <x v="0"/>
    <s v="Email"/>
    <s v="Poor service"/>
    <x v="1"/>
    <n v="64"/>
    <d v="2024-11-28T00:00:00"/>
    <x v="2"/>
    <x v="5"/>
    <x v="1"/>
  </r>
  <r>
    <n v="1084"/>
    <n v="26161"/>
    <s v="Patrick Lucero"/>
    <x v="4"/>
    <x v="1"/>
    <x v="558"/>
    <d v="2024-01-12T00:00:00"/>
    <n v="1"/>
    <x v="3"/>
    <x v="0"/>
    <n v="1"/>
    <n v="2"/>
    <n v="5"/>
    <n v="2"/>
    <n v="2"/>
    <x v="0"/>
    <n v="1"/>
    <n v="2"/>
    <n v="2"/>
    <n v="5"/>
    <x v="1"/>
    <s v="Email"/>
    <s v="Needs improvement"/>
    <x v="0"/>
    <n v="51"/>
    <d v="2024-01-12T00:00:00"/>
    <x v="2"/>
    <x v="14"/>
    <x v="1"/>
  </r>
  <r>
    <n v="1085"/>
    <n v="63418"/>
    <s v="Patricia Jones"/>
    <x v="4"/>
    <x v="0"/>
    <x v="532"/>
    <d v="2024-09-15T00:00:00"/>
    <n v="4"/>
    <x v="2"/>
    <x v="4"/>
    <n v="2"/>
    <n v="3"/>
    <n v="1"/>
    <n v="3"/>
    <n v="1"/>
    <x v="3"/>
    <n v="4"/>
    <n v="2"/>
    <n v="2"/>
    <n v="1"/>
    <x v="1"/>
    <s v="Email"/>
    <s v="Average"/>
    <x v="2"/>
    <n v="26"/>
    <d v="2024-09-15T00:00:00"/>
    <x v="3"/>
    <x v="9"/>
    <x v="1"/>
  </r>
  <r>
    <n v="1086"/>
    <n v="24547"/>
    <s v="Erica Campbell"/>
    <x v="2"/>
    <x v="4"/>
    <x v="19"/>
    <d v="2024-12-04T00:00:00"/>
    <n v="11"/>
    <x v="0"/>
    <x v="2"/>
    <n v="3"/>
    <n v="1"/>
    <n v="2"/>
    <n v="2"/>
    <n v="3"/>
    <x v="0"/>
    <n v="3"/>
    <n v="3"/>
    <n v="2"/>
    <n v="1"/>
    <x v="1"/>
    <s v="App Review"/>
    <s v="Great stay"/>
    <x v="0"/>
    <n v="43"/>
    <d v="2024-12-04T00:00:00"/>
    <x v="1"/>
    <x v="9"/>
    <x v="1"/>
  </r>
  <r>
    <n v="1087"/>
    <n v="40908"/>
    <s v="Steven Davis"/>
    <x v="3"/>
    <x v="4"/>
    <x v="440"/>
    <d v="2024-12-07T00:00:00"/>
    <n v="7"/>
    <x v="3"/>
    <x v="3"/>
    <n v="3"/>
    <n v="3"/>
    <n v="3"/>
    <n v="3"/>
    <n v="5"/>
    <x v="4"/>
    <n v="5"/>
    <n v="5"/>
    <n v="1"/>
    <n v="3"/>
    <x v="1"/>
    <s v="Online Survey"/>
    <s v="Poor service"/>
    <x v="0"/>
    <n v="25"/>
    <d v="2024-12-07T00:00:00"/>
    <x v="0"/>
    <x v="10"/>
    <x v="0"/>
  </r>
  <r>
    <n v="1088"/>
    <n v="56569"/>
    <s v="Robert Hansen"/>
    <x v="0"/>
    <x v="4"/>
    <x v="559"/>
    <d v="2024-09-28T00:00:00"/>
    <n v="4"/>
    <x v="0"/>
    <x v="3"/>
    <n v="2"/>
    <n v="1"/>
    <n v="4"/>
    <n v="1"/>
    <n v="5"/>
    <x v="4"/>
    <n v="2"/>
    <n v="3"/>
    <n v="5"/>
    <n v="1"/>
    <x v="1"/>
    <s v="Email"/>
    <s v="Will visit again"/>
    <x v="1"/>
    <n v="36"/>
    <d v="2024-09-28T00:00:00"/>
    <x v="1"/>
    <x v="14"/>
    <x v="1"/>
  </r>
  <r>
    <n v="1089"/>
    <n v="64259"/>
    <s v="Nicholas Davis"/>
    <x v="0"/>
    <x v="2"/>
    <x v="560"/>
    <d v="2023-07-07T00:00:00"/>
    <n v="8"/>
    <x v="2"/>
    <x v="4"/>
    <n v="3"/>
    <n v="5"/>
    <n v="5"/>
    <n v="2"/>
    <n v="3"/>
    <x v="4"/>
    <n v="1"/>
    <n v="2"/>
    <n v="2"/>
    <n v="1"/>
    <x v="1"/>
    <s v="Online Survey"/>
    <s v="Needs improvement"/>
    <x v="0"/>
    <n v="43"/>
    <d v="2024-10-19T00:00:00"/>
    <x v="1"/>
    <x v="14"/>
    <x v="1"/>
  </r>
  <r>
    <n v="1090"/>
    <n v="66021"/>
    <s v="Kathleen Garcia"/>
    <x v="1"/>
    <x v="0"/>
    <x v="561"/>
    <d v="2024-10-10T00:00:00"/>
    <n v="7"/>
    <x v="0"/>
    <x v="0"/>
    <n v="5"/>
    <n v="5"/>
    <n v="1"/>
    <n v="2"/>
    <n v="4"/>
    <x v="1"/>
    <n v="5"/>
    <n v="1"/>
    <n v="1"/>
    <n v="1"/>
    <x v="0"/>
    <s v="Email"/>
    <s v="Great stay"/>
    <x v="1"/>
    <n v="63"/>
    <d v="2024-10-10T00:00:00"/>
    <x v="2"/>
    <x v="2"/>
    <x v="0"/>
  </r>
  <r>
    <n v="1091"/>
    <n v="84881"/>
    <s v="Brandon Heath"/>
    <x v="2"/>
    <x v="3"/>
    <x v="390"/>
    <d v="2023-05-26T00:00:00"/>
    <n v="6"/>
    <x v="3"/>
    <x v="0"/>
    <n v="2"/>
    <n v="3"/>
    <n v="2"/>
    <n v="5"/>
    <n v="4"/>
    <x v="0"/>
    <n v="1"/>
    <n v="3"/>
    <n v="2"/>
    <n v="3"/>
    <x v="1"/>
    <s v="Feedback Form"/>
    <s v="Poor service"/>
    <x v="2"/>
    <n v="27"/>
    <d v="2024-12-14T00:00:00"/>
    <x v="3"/>
    <x v="3"/>
    <x v="1"/>
  </r>
  <r>
    <n v="1092"/>
    <n v="12070"/>
    <s v="Courtney Bryant"/>
    <x v="4"/>
    <x v="1"/>
    <x v="58"/>
    <d v="2024-11-04T00:00:00"/>
    <n v="5"/>
    <x v="1"/>
    <x v="1"/>
    <n v="2"/>
    <n v="4"/>
    <n v="1"/>
    <n v="1"/>
    <n v="4"/>
    <x v="4"/>
    <n v="4"/>
    <n v="2"/>
    <n v="2"/>
    <n v="5"/>
    <x v="1"/>
    <s v="Feedback Form"/>
    <s v="Will visit again"/>
    <x v="2"/>
    <n v="60"/>
    <d v="2024-11-04T00:00:00"/>
    <x v="2"/>
    <x v="7"/>
    <x v="1"/>
  </r>
  <r>
    <n v="1093"/>
    <n v="99266"/>
    <s v="Julia Rowland"/>
    <x v="4"/>
    <x v="3"/>
    <x v="562"/>
    <d v="2024-03-04T00:00:00"/>
    <n v="10"/>
    <x v="1"/>
    <x v="1"/>
    <n v="2"/>
    <n v="3"/>
    <n v="2"/>
    <n v="3"/>
    <n v="5"/>
    <x v="1"/>
    <n v="1"/>
    <n v="1"/>
    <n v="4"/>
    <n v="1"/>
    <x v="0"/>
    <s v="Online Survey"/>
    <s v="Average"/>
    <x v="2"/>
    <n v="47"/>
    <d v="2024-05-17T00:00:00"/>
    <x v="1"/>
    <x v="5"/>
    <x v="1"/>
  </r>
  <r>
    <n v="1094"/>
    <n v="82080"/>
    <s v="Julie Mays"/>
    <x v="1"/>
    <x v="2"/>
    <x v="48"/>
    <d v="2024-09-15T00:00:00"/>
    <n v="3"/>
    <x v="2"/>
    <x v="2"/>
    <n v="1"/>
    <n v="1"/>
    <n v="4"/>
    <n v="1"/>
    <n v="3"/>
    <x v="3"/>
    <n v="2"/>
    <n v="3"/>
    <n v="1"/>
    <n v="1"/>
    <x v="0"/>
    <s v="Email"/>
    <s v="Great stay"/>
    <x v="0"/>
    <n v="57"/>
    <d v="2024-09-15T00:00:00"/>
    <x v="2"/>
    <x v="17"/>
    <x v="1"/>
  </r>
  <r>
    <n v="1095"/>
    <n v="43688"/>
    <s v="Jennifer Powers"/>
    <x v="0"/>
    <x v="0"/>
    <x v="46"/>
    <d v="2024-05-01T00:00:00"/>
    <n v="8"/>
    <x v="1"/>
    <x v="4"/>
    <n v="3"/>
    <n v="3"/>
    <n v="3"/>
    <n v="4"/>
    <n v="4"/>
    <x v="1"/>
    <n v="2"/>
    <n v="4"/>
    <n v="4"/>
    <n v="4"/>
    <x v="1"/>
    <s v="Online Survey"/>
    <s v="Needs improvement"/>
    <x v="1"/>
    <n v="53"/>
    <d v="2024-09-27T00:00:00"/>
    <x v="2"/>
    <x v="11"/>
    <x v="0"/>
  </r>
  <r>
    <n v="1096"/>
    <n v="56611"/>
    <s v="David Castro"/>
    <x v="0"/>
    <x v="3"/>
    <x v="472"/>
    <d v="2023-02-01T00:00:00"/>
    <n v="4"/>
    <x v="2"/>
    <x v="0"/>
    <n v="4"/>
    <n v="3"/>
    <n v="3"/>
    <n v="5"/>
    <n v="2"/>
    <x v="1"/>
    <n v="3"/>
    <n v="1"/>
    <n v="3"/>
    <n v="2"/>
    <x v="1"/>
    <s v="Online Survey"/>
    <s v="Poor service"/>
    <x v="0"/>
    <n v="48"/>
    <d v="2024-11-04T00:00:00"/>
    <x v="1"/>
    <x v="0"/>
    <x v="0"/>
  </r>
  <r>
    <n v="1097"/>
    <n v="32856"/>
    <s v="Ernest Cohen"/>
    <x v="4"/>
    <x v="3"/>
    <x v="425"/>
    <d v="2023-05-21T00:00:00"/>
    <n v="8"/>
    <x v="0"/>
    <x v="1"/>
    <n v="3"/>
    <n v="1"/>
    <n v="2"/>
    <n v="4"/>
    <n v="5"/>
    <x v="2"/>
    <n v="3"/>
    <n v="2"/>
    <n v="2"/>
    <n v="4"/>
    <x v="1"/>
    <s v="App Review"/>
    <s v="Average"/>
    <x v="0"/>
    <n v="25"/>
    <d v="2024-11-04T00:00:00"/>
    <x v="0"/>
    <x v="3"/>
    <x v="1"/>
  </r>
  <r>
    <n v="1098"/>
    <n v="57574"/>
    <s v="Jo Warner"/>
    <x v="1"/>
    <x v="3"/>
    <x v="479"/>
    <d v="2024-08-24T00:00:00"/>
    <n v="1"/>
    <x v="0"/>
    <x v="4"/>
    <n v="3"/>
    <n v="4"/>
    <n v="1"/>
    <n v="3"/>
    <n v="3"/>
    <x v="3"/>
    <n v="2"/>
    <n v="1"/>
    <n v="2"/>
    <n v="5"/>
    <x v="0"/>
    <s v="Email"/>
    <s v="Average"/>
    <x v="1"/>
    <n v="59"/>
    <d v="2024-08-24T00:00:00"/>
    <x v="2"/>
    <x v="3"/>
    <x v="1"/>
  </r>
  <r>
    <n v="1099"/>
    <n v="27827"/>
    <s v="Shannon Fox"/>
    <x v="3"/>
    <x v="1"/>
    <x v="426"/>
    <d v="2024-12-07T00:00:00"/>
    <n v="11"/>
    <x v="3"/>
    <x v="4"/>
    <n v="1"/>
    <n v="5"/>
    <n v="3"/>
    <n v="2"/>
    <n v="3"/>
    <x v="2"/>
    <n v="2"/>
    <n v="1"/>
    <n v="4"/>
    <n v="4"/>
    <x v="1"/>
    <s v="App Review"/>
    <s v="Poor service"/>
    <x v="0"/>
    <n v="64"/>
    <d v="2024-12-07T00:00:00"/>
    <x v="2"/>
    <x v="5"/>
    <x v="1"/>
  </r>
  <r>
    <n v="1100"/>
    <n v="22699"/>
    <s v="Sandra Adams"/>
    <x v="2"/>
    <x v="0"/>
    <x v="8"/>
    <d v="2024-10-04T00:00:00"/>
    <n v="13"/>
    <x v="3"/>
    <x v="0"/>
    <n v="5"/>
    <n v="1"/>
    <n v="1"/>
    <n v="2"/>
    <n v="3"/>
    <x v="0"/>
    <n v="2"/>
    <n v="2"/>
    <n v="1"/>
    <n v="3"/>
    <x v="0"/>
    <s v="Email"/>
    <s v="Poor service"/>
    <x v="2"/>
    <n v="30"/>
    <d v="2024-10-04T00:00:00"/>
    <x v="3"/>
    <x v="9"/>
    <x v="1"/>
  </r>
  <r>
    <n v="1101"/>
    <n v="93695"/>
    <s v="Vicki Haynes"/>
    <x v="0"/>
    <x v="4"/>
    <x v="563"/>
    <d v="2024-09-25T00:00:00"/>
    <n v="2"/>
    <x v="1"/>
    <x v="4"/>
    <n v="5"/>
    <n v="3"/>
    <n v="5"/>
    <n v="2"/>
    <n v="3"/>
    <x v="1"/>
    <n v="5"/>
    <n v="4"/>
    <n v="5"/>
    <n v="4"/>
    <x v="1"/>
    <s v="In-person"/>
    <s v="Poor service"/>
    <x v="1"/>
    <n v="54"/>
    <d v="2024-09-25T00:00:00"/>
    <x v="2"/>
    <x v="23"/>
    <x v="2"/>
  </r>
  <r>
    <n v="1102"/>
    <n v="83756"/>
    <s v="Glenn Fisher"/>
    <x v="0"/>
    <x v="0"/>
    <x v="221"/>
    <d v="2024-08-12T00:00:00"/>
    <n v="14"/>
    <x v="0"/>
    <x v="3"/>
    <n v="1"/>
    <n v="2"/>
    <n v="1"/>
    <n v="3"/>
    <n v="1"/>
    <x v="1"/>
    <n v="1"/>
    <n v="1"/>
    <n v="5"/>
    <n v="3"/>
    <x v="0"/>
    <s v="In-person"/>
    <s v="Great stay"/>
    <x v="2"/>
    <n v="47"/>
    <d v="2024-08-12T00:00:00"/>
    <x v="1"/>
    <x v="9"/>
    <x v="1"/>
  </r>
  <r>
    <n v="1103"/>
    <n v="28676"/>
    <s v="Holly Owen"/>
    <x v="0"/>
    <x v="3"/>
    <x v="564"/>
    <d v="2023-10-01T00:00:00"/>
    <n v="2"/>
    <x v="3"/>
    <x v="1"/>
    <n v="1"/>
    <n v="3"/>
    <n v="5"/>
    <n v="4"/>
    <n v="2"/>
    <x v="1"/>
    <n v="5"/>
    <n v="2"/>
    <n v="3"/>
    <n v="4"/>
    <x v="1"/>
    <s v="App Review"/>
    <s v="Needs improvement"/>
    <x v="0"/>
    <n v="32"/>
    <d v="2024-07-05T00:00:00"/>
    <x v="3"/>
    <x v="13"/>
    <x v="0"/>
  </r>
  <r>
    <n v="1104"/>
    <n v="13703"/>
    <s v="Logan Mitchell"/>
    <x v="3"/>
    <x v="0"/>
    <x v="243"/>
    <d v="2024-07-08T00:00:00"/>
    <n v="12"/>
    <x v="1"/>
    <x v="2"/>
    <n v="1"/>
    <n v="3"/>
    <n v="5"/>
    <n v="3"/>
    <n v="1"/>
    <x v="1"/>
    <n v="4"/>
    <n v="1"/>
    <n v="1"/>
    <n v="4"/>
    <x v="0"/>
    <s v="In-person"/>
    <s v="Average"/>
    <x v="0"/>
    <n v="52"/>
    <d v="2024-10-18T00:00:00"/>
    <x v="2"/>
    <x v="3"/>
    <x v="1"/>
  </r>
  <r>
    <n v="1105"/>
    <n v="43593"/>
    <s v="Jason Kane"/>
    <x v="3"/>
    <x v="4"/>
    <x v="412"/>
    <d v="2023-02-28T00:00:00"/>
    <n v="6"/>
    <x v="2"/>
    <x v="1"/>
    <n v="3"/>
    <n v="2"/>
    <n v="3"/>
    <n v="3"/>
    <n v="4"/>
    <x v="2"/>
    <n v="3"/>
    <n v="5"/>
    <n v="1"/>
    <n v="2"/>
    <x v="0"/>
    <s v="App Review"/>
    <s v="Will visit again"/>
    <x v="2"/>
    <n v="20"/>
    <d v="2023-06-18T00:00:00"/>
    <x v="0"/>
    <x v="3"/>
    <x v="1"/>
  </r>
  <r>
    <n v="1106"/>
    <n v="91547"/>
    <s v="Roger Jensen"/>
    <x v="2"/>
    <x v="1"/>
    <x v="549"/>
    <d v="2024-05-20T00:00:00"/>
    <n v="5"/>
    <x v="3"/>
    <x v="4"/>
    <n v="1"/>
    <n v="3"/>
    <n v="5"/>
    <n v="4"/>
    <n v="1"/>
    <x v="0"/>
    <n v="1"/>
    <n v="4"/>
    <n v="4"/>
    <n v="3"/>
    <x v="0"/>
    <s v="In-person"/>
    <s v="Poor service"/>
    <x v="0"/>
    <n v="46"/>
    <d v="2024-05-20T00:00:00"/>
    <x v="1"/>
    <x v="4"/>
    <x v="1"/>
  </r>
  <r>
    <n v="1107"/>
    <n v="34714"/>
    <s v="Jeremy Harvey"/>
    <x v="0"/>
    <x v="0"/>
    <x v="549"/>
    <d v="2024-01-23T00:00:00"/>
    <n v="13"/>
    <x v="3"/>
    <x v="3"/>
    <n v="4"/>
    <n v="2"/>
    <n v="1"/>
    <n v="2"/>
    <n v="1"/>
    <x v="2"/>
    <n v="3"/>
    <n v="5"/>
    <n v="2"/>
    <n v="5"/>
    <x v="0"/>
    <s v="App Review"/>
    <s v="Needs improvement"/>
    <x v="0"/>
    <n v="41"/>
    <d v="2024-01-23T00:00:00"/>
    <x v="1"/>
    <x v="5"/>
    <x v="1"/>
  </r>
  <r>
    <n v="1108"/>
    <n v="96372"/>
    <s v="Mark Walters"/>
    <x v="4"/>
    <x v="0"/>
    <x v="565"/>
    <d v="2024-04-06T00:00:00"/>
    <n v="10"/>
    <x v="1"/>
    <x v="1"/>
    <n v="2"/>
    <n v="3"/>
    <n v="4"/>
    <n v="5"/>
    <n v="5"/>
    <x v="1"/>
    <n v="4"/>
    <n v="1"/>
    <n v="2"/>
    <n v="1"/>
    <x v="1"/>
    <s v="In-person"/>
    <s v="Will visit again"/>
    <x v="1"/>
    <n v="62"/>
    <d v="2024-04-06T00:00:00"/>
    <x v="2"/>
    <x v="10"/>
    <x v="0"/>
  </r>
  <r>
    <n v="1109"/>
    <n v="93082"/>
    <s v="Aaron Martin"/>
    <x v="0"/>
    <x v="1"/>
    <x v="566"/>
    <d v="2024-08-31T00:00:00"/>
    <n v="10"/>
    <x v="3"/>
    <x v="0"/>
    <n v="5"/>
    <n v="4"/>
    <n v="1"/>
    <n v="3"/>
    <n v="3"/>
    <x v="0"/>
    <n v="2"/>
    <n v="4"/>
    <n v="1"/>
    <n v="5"/>
    <x v="0"/>
    <s v="Online Survey"/>
    <s v="Great stay"/>
    <x v="1"/>
    <n v="40"/>
    <d v="2024-08-31T00:00:00"/>
    <x v="1"/>
    <x v="0"/>
    <x v="0"/>
  </r>
  <r>
    <n v="1110"/>
    <n v="45301"/>
    <s v="Scott Tran"/>
    <x v="2"/>
    <x v="1"/>
    <x v="567"/>
    <d v="2023-02-27T00:00:00"/>
    <n v="13"/>
    <x v="1"/>
    <x v="3"/>
    <n v="4"/>
    <n v="5"/>
    <n v="2"/>
    <n v="3"/>
    <n v="1"/>
    <x v="3"/>
    <n v="3"/>
    <n v="2"/>
    <n v="5"/>
    <n v="4"/>
    <x v="1"/>
    <s v="Online Survey"/>
    <s v="Average"/>
    <x v="2"/>
    <n v="26"/>
    <d v="2023-06-23T00:00:00"/>
    <x v="3"/>
    <x v="1"/>
    <x v="0"/>
  </r>
  <r>
    <n v="1111"/>
    <n v="48380"/>
    <s v="Denise Duke"/>
    <x v="2"/>
    <x v="3"/>
    <x v="192"/>
    <d v="2023-10-19T00:00:00"/>
    <n v="7"/>
    <x v="3"/>
    <x v="1"/>
    <n v="5"/>
    <n v="4"/>
    <n v="2"/>
    <n v="4"/>
    <n v="3"/>
    <x v="2"/>
    <n v="2"/>
    <n v="5"/>
    <n v="3"/>
    <n v="5"/>
    <x v="1"/>
    <s v="Online Survey"/>
    <s v="Needs improvement"/>
    <x v="0"/>
    <n v="19"/>
    <d v="2023-10-19T00:00:00"/>
    <x v="0"/>
    <x v="18"/>
    <x v="0"/>
  </r>
  <r>
    <n v="1112"/>
    <n v="19551"/>
    <s v="Jordan Hickman"/>
    <x v="4"/>
    <x v="3"/>
    <x v="338"/>
    <d v="2024-10-05T00:00:00"/>
    <n v="2"/>
    <x v="0"/>
    <x v="4"/>
    <n v="3"/>
    <n v="1"/>
    <n v="1"/>
    <n v="5"/>
    <n v="2"/>
    <x v="4"/>
    <n v="3"/>
    <n v="4"/>
    <n v="4"/>
    <n v="4"/>
    <x v="0"/>
    <s v="Email"/>
    <s v="Needs improvement"/>
    <x v="2"/>
    <n v="32"/>
    <d v="2024-10-05T00:00:00"/>
    <x v="3"/>
    <x v="3"/>
    <x v="1"/>
  </r>
  <r>
    <n v="1113"/>
    <n v="28609"/>
    <s v="Walter Singleton"/>
    <x v="3"/>
    <x v="1"/>
    <x v="568"/>
    <d v="2023-09-04T00:00:00"/>
    <n v="9"/>
    <x v="0"/>
    <x v="0"/>
    <n v="3"/>
    <n v="1"/>
    <n v="2"/>
    <n v="3"/>
    <n v="1"/>
    <x v="3"/>
    <n v="4"/>
    <n v="4"/>
    <n v="1"/>
    <n v="4"/>
    <x v="0"/>
    <s v="Feedback Form"/>
    <s v="Average"/>
    <x v="0"/>
    <n v="49"/>
    <d v="2024-09-11T00:00:00"/>
    <x v="1"/>
    <x v="5"/>
    <x v="1"/>
  </r>
  <r>
    <n v="1114"/>
    <n v="79208"/>
    <s v="Michael Strong PhD"/>
    <x v="4"/>
    <x v="4"/>
    <x v="19"/>
    <d v="2024-12-04T00:00:00"/>
    <n v="2"/>
    <x v="0"/>
    <x v="4"/>
    <n v="1"/>
    <n v="3"/>
    <n v="4"/>
    <n v="1"/>
    <n v="5"/>
    <x v="3"/>
    <n v="3"/>
    <n v="1"/>
    <n v="3"/>
    <n v="1"/>
    <x v="0"/>
    <s v="App Review"/>
    <s v="Average"/>
    <x v="1"/>
    <n v="35"/>
    <d v="2024-12-04T00:00:00"/>
    <x v="3"/>
    <x v="7"/>
    <x v="1"/>
  </r>
  <r>
    <n v="1115"/>
    <n v="12160"/>
    <s v="Nicole Molina"/>
    <x v="2"/>
    <x v="3"/>
    <x v="295"/>
    <d v="2024-02-18T00:00:00"/>
    <n v="1"/>
    <x v="3"/>
    <x v="4"/>
    <n v="5"/>
    <n v="1"/>
    <n v="2"/>
    <n v="5"/>
    <n v="5"/>
    <x v="1"/>
    <n v="4"/>
    <n v="5"/>
    <n v="1"/>
    <n v="2"/>
    <x v="0"/>
    <s v="Feedback Form"/>
    <s v="Poor service"/>
    <x v="1"/>
    <n v="46"/>
    <d v="2024-02-18T00:00:00"/>
    <x v="1"/>
    <x v="18"/>
    <x v="0"/>
  </r>
  <r>
    <n v="1116"/>
    <n v="67626"/>
    <s v="Lisa Evans"/>
    <x v="4"/>
    <x v="4"/>
    <x v="356"/>
    <d v="2023-05-09T00:00:00"/>
    <n v="14"/>
    <x v="1"/>
    <x v="0"/>
    <n v="3"/>
    <n v="1"/>
    <n v="3"/>
    <n v="3"/>
    <n v="4"/>
    <x v="1"/>
    <n v="1"/>
    <n v="2"/>
    <n v="3"/>
    <n v="2"/>
    <x v="1"/>
    <s v="Online Survey"/>
    <s v="Average"/>
    <x v="0"/>
    <n v="57"/>
    <d v="2024-09-18T00:00:00"/>
    <x v="2"/>
    <x v="5"/>
    <x v="1"/>
  </r>
  <r>
    <n v="1117"/>
    <n v="11797"/>
    <s v="Sara Day"/>
    <x v="0"/>
    <x v="1"/>
    <x v="182"/>
    <d v="2024-12-15T00:00:00"/>
    <n v="2"/>
    <x v="0"/>
    <x v="3"/>
    <n v="3"/>
    <n v="3"/>
    <n v="4"/>
    <n v="5"/>
    <n v="1"/>
    <x v="3"/>
    <n v="5"/>
    <n v="3"/>
    <n v="3"/>
    <n v="1"/>
    <x v="0"/>
    <s v="App Review"/>
    <s v="Needs improvement"/>
    <x v="1"/>
    <n v="20"/>
    <d v="2024-12-15T00:00:00"/>
    <x v="0"/>
    <x v="10"/>
    <x v="0"/>
  </r>
  <r>
    <n v="1118"/>
    <n v="21171"/>
    <s v="Mary Ward"/>
    <x v="2"/>
    <x v="0"/>
    <x v="168"/>
    <d v="2024-08-19T00:00:00"/>
    <n v="11"/>
    <x v="2"/>
    <x v="1"/>
    <n v="5"/>
    <n v="3"/>
    <n v="3"/>
    <n v="1"/>
    <n v="2"/>
    <x v="2"/>
    <n v="4"/>
    <n v="1"/>
    <n v="2"/>
    <n v="5"/>
    <x v="0"/>
    <s v="App Review"/>
    <s v="Poor service"/>
    <x v="1"/>
    <n v="50"/>
    <d v="2024-08-19T00:00:00"/>
    <x v="1"/>
    <x v="3"/>
    <x v="1"/>
  </r>
  <r>
    <n v="1119"/>
    <n v="57958"/>
    <s v="Katie Baker"/>
    <x v="3"/>
    <x v="1"/>
    <x v="554"/>
    <d v="2024-02-23T00:00:00"/>
    <n v="3"/>
    <x v="3"/>
    <x v="3"/>
    <n v="3"/>
    <n v="5"/>
    <n v="3"/>
    <n v="1"/>
    <n v="3"/>
    <x v="0"/>
    <n v="3"/>
    <n v="4"/>
    <n v="4"/>
    <n v="3"/>
    <x v="0"/>
    <s v="Email"/>
    <s v="Average"/>
    <x v="0"/>
    <n v="24"/>
    <d v="2024-02-23T00:00:00"/>
    <x v="0"/>
    <x v="10"/>
    <x v="0"/>
  </r>
  <r>
    <n v="1120"/>
    <n v="33453"/>
    <s v="James Stevenson"/>
    <x v="3"/>
    <x v="1"/>
    <x v="163"/>
    <d v="2024-12-15T00:00:00"/>
    <n v="14"/>
    <x v="1"/>
    <x v="0"/>
    <n v="1"/>
    <n v="2"/>
    <n v="4"/>
    <n v="5"/>
    <n v="1"/>
    <x v="2"/>
    <n v="1"/>
    <n v="5"/>
    <n v="4"/>
    <n v="1"/>
    <x v="1"/>
    <s v="Feedback Form"/>
    <s v="Will visit again"/>
    <x v="1"/>
    <n v="47"/>
    <d v="2024-12-15T00:00:00"/>
    <x v="1"/>
    <x v="7"/>
    <x v="1"/>
  </r>
  <r>
    <n v="1121"/>
    <n v="83429"/>
    <s v="Jonathan Gomez"/>
    <x v="4"/>
    <x v="2"/>
    <x v="138"/>
    <d v="2024-07-27T00:00:00"/>
    <n v="6"/>
    <x v="3"/>
    <x v="1"/>
    <n v="3"/>
    <n v="3"/>
    <n v="3"/>
    <n v="2"/>
    <n v="4"/>
    <x v="2"/>
    <n v="4"/>
    <n v="3"/>
    <n v="2"/>
    <n v="4"/>
    <x v="0"/>
    <s v="Feedback Form"/>
    <s v="Will visit again"/>
    <x v="0"/>
    <n v="44"/>
    <d v="2024-07-27T00:00:00"/>
    <x v="1"/>
    <x v="2"/>
    <x v="0"/>
  </r>
  <r>
    <n v="1122"/>
    <n v="30792"/>
    <s v="Benjamin Wilson"/>
    <x v="4"/>
    <x v="1"/>
    <x v="52"/>
    <d v="2024-11-28T00:00:00"/>
    <n v="7"/>
    <x v="1"/>
    <x v="0"/>
    <n v="4"/>
    <n v="5"/>
    <n v="2"/>
    <n v="5"/>
    <n v="5"/>
    <x v="3"/>
    <n v="3"/>
    <n v="4"/>
    <n v="5"/>
    <n v="2"/>
    <x v="0"/>
    <s v="In-person"/>
    <s v="Average"/>
    <x v="2"/>
    <n v="55"/>
    <d v="2024-11-28T00:00:00"/>
    <x v="2"/>
    <x v="20"/>
    <x v="0"/>
  </r>
  <r>
    <n v="1123"/>
    <n v="11930"/>
    <s v="Michele Wise"/>
    <x v="4"/>
    <x v="3"/>
    <x v="446"/>
    <d v="2024-05-28T00:00:00"/>
    <n v="11"/>
    <x v="1"/>
    <x v="2"/>
    <n v="4"/>
    <n v="4"/>
    <n v="1"/>
    <n v="4"/>
    <n v="1"/>
    <x v="2"/>
    <n v="4"/>
    <n v="5"/>
    <n v="4"/>
    <n v="2"/>
    <x v="0"/>
    <s v="App Review"/>
    <s v="Needs improvement"/>
    <x v="0"/>
    <n v="46"/>
    <d v="2024-05-28T00:00:00"/>
    <x v="1"/>
    <x v="0"/>
    <x v="0"/>
  </r>
  <r>
    <n v="1124"/>
    <n v="25705"/>
    <s v="Donna Chen"/>
    <x v="0"/>
    <x v="0"/>
    <x v="206"/>
    <d v="2024-07-22T00:00:00"/>
    <n v="6"/>
    <x v="3"/>
    <x v="2"/>
    <n v="1"/>
    <n v="1"/>
    <n v="4"/>
    <n v="2"/>
    <n v="4"/>
    <x v="0"/>
    <n v="4"/>
    <n v="5"/>
    <n v="2"/>
    <n v="5"/>
    <x v="0"/>
    <s v="Online Survey"/>
    <s v="Poor service"/>
    <x v="2"/>
    <n v="48"/>
    <d v="2024-07-22T00:00:00"/>
    <x v="1"/>
    <x v="0"/>
    <x v="0"/>
  </r>
  <r>
    <n v="1125"/>
    <n v="94438"/>
    <s v="Michael Richardson"/>
    <x v="3"/>
    <x v="4"/>
    <x v="569"/>
    <d v="2024-02-16T00:00:00"/>
    <n v="1"/>
    <x v="2"/>
    <x v="3"/>
    <n v="4"/>
    <n v="2"/>
    <n v="1"/>
    <n v="1"/>
    <n v="2"/>
    <x v="3"/>
    <n v="2"/>
    <n v="3"/>
    <n v="3"/>
    <n v="3"/>
    <x v="1"/>
    <s v="In-person"/>
    <s v="Poor service"/>
    <x v="0"/>
    <n v="18"/>
    <d v="2024-06-03T00:00:00"/>
    <x v="0"/>
    <x v="14"/>
    <x v="1"/>
  </r>
  <r>
    <n v="1126"/>
    <n v="72594"/>
    <s v="Anthony Johnston"/>
    <x v="2"/>
    <x v="2"/>
    <x v="393"/>
    <d v="2024-02-02T00:00:00"/>
    <n v="9"/>
    <x v="2"/>
    <x v="0"/>
    <n v="3"/>
    <n v="4"/>
    <n v="4"/>
    <n v="2"/>
    <n v="3"/>
    <x v="2"/>
    <n v="3"/>
    <n v="4"/>
    <n v="3"/>
    <n v="1"/>
    <x v="0"/>
    <s v="In-person"/>
    <s v="Poor service"/>
    <x v="0"/>
    <n v="58"/>
    <d v="2024-02-02T00:00:00"/>
    <x v="2"/>
    <x v="4"/>
    <x v="1"/>
  </r>
  <r>
    <n v="1127"/>
    <n v="10047"/>
    <s v="Walter Jennings"/>
    <x v="2"/>
    <x v="3"/>
    <x v="450"/>
    <d v="2024-03-01T00:00:00"/>
    <n v="12"/>
    <x v="3"/>
    <x v="1"/>
    <n v="4"/>
    <n v="3"/>
    <n v="4"/>
    <n v="1"/>
    <n v="2"/>
    <x v="1"/>
    <n v="5"/>
    <n v="3"/>
    <n v="4"/>
    <n v="4"/>
    <x v="1"/>
    <s v="App Review"/>
    <s v="Great stay"/>
    <x v="0"/>
    <n v="60"/>
    <d v="2024-10-23T00:00:00"/>
    <x v="2"/>
    <x v="18"/>
    <x v="0"/>
  </r>
  <r>
    <n v="1128"/>
    <n v="10133"/>
    <s v="Joel Allison"/>
    <x v="3"/>
    <x v="0"/>
    <x v="570"/>
    <d v="2024-08-24T00:00:00"/>
    <n v="8"/>
    <x v="0"/>
    <x v="3"/>
    <n v="4"/>
    <n v="4"/>
    <n v="3"/>
    <n v="1"/>
    <n v="2"/>
    <x v="2"/>
    <n v="4"/>
    <n v="2"/>
    <n v="3"/>
    <n v="4"/>
    <x v="0"/>
    <s v="In-person"/>
    <s v="Average"/>
    <x v="0"/>
    <n v="44"/>
    <d v="2024-08-24T00:00:00"/>
    <x v="1"/>
    <x v="4"/>
    <x v="1"/>
  </r>
  <r>
    <n v="1129"/>
    <n v="57622"/>
    <s v="Sandra Peterson"/>
    <x v="4"/>
    <x v="4"/>
    <x v="411"/>
    <d v="2023-08-01T00:00:00"/>
    <n v="12"/>
    <x v="0"/>
    <x v="2"/>
    <n v="3"/>
    <n v="5"/>
    <n v="1"/>
    <n v="1"/>
    <n v="3"/>
    <x v="3"/>
    <n v="1"/>
    <n v="1"/>
    <n v="4"/>
    <n v="3"/>
    <x v="1"/>
    <s v="App Review"/>
    <s v="Great stay"/>
    <x v="0"/>
    <n v="44"/>
    <d v="2024-10-09T00:00:00"/>
    <x v="1"/>
    <x v="7"/>
    <x v="1"/>
  </r>
  <r>
    <n v="1130"/>
    <n v="97595"/>
    <s v="Steven Arnold"/>
    <x v="1"/>
    <x v="0"/>
    <x v="15"/>
    <d v="2024-08-22T00:00:00"/>
    <n v="2"/>
    <x v="1"/>
    <x v="2"/>
    <n v="5"/>
    <n v="3"/>
    <n v="2"/>
    <n v="4"/>
    <n v="1"/>
    <x v="3"/>
    <n v="3"/>
    <n v="1"/>
    <n v="1"/>
    <n v="5"/>
    <x v="0"/>
    <s v="App Review"/>
    <s v="Great stay"/>
    <x v="2"/>
    <n v="46"/>
    <d v="2024-10-06T00:00:00"/>
    <x v="1"/>
    <x v="4"/>
    <x v="1"/>
  </r>
  <r>
    <n v="1131"/>
    <n v="21238"/>
    <s v="Christie Phillips"/>
    <x v="4"/>
    <x v="3"/>
    <x v="571"/>
    <d v="2023-11-04T00:00:00"/>
    <n v="1"/>
    <x v="0"/>
    <x v="2"/>
    <n v="1"/>
    <n v="3"/>
    <n v="1"/>
    <n v="4"/>
    <n v="3"/>
    <x v="1"/>
    <n v="5"/>
    <n v="2"/>
    <n v="2"/>
    <n v="3"/>
    <x v="0"/>
    <s v="In-person"/>
    <s v="Will visit again"/>
    <x v="1"/>
    <n v="22"/>
    <d v="2023-12-13T00:00:00"/>
    <x v="0"/>
    <x v="4"/>
    <x v="1"/>
  </r>
  <r>
    <n v="1132"/>
    <n v="45132"/>
    <s v="Brent Weaver"/>
    <x v="3"/>
    <x v="0"/>
    <x v="428"/>
    <d v="2023-10-31T00:00:00"/>
    <n v="7"/>
    <x v="3"/>
    <x v="3"/>
    <n v="5"/>
    <n v="2"/>
    <n v="4"/>
    <n v="3"/>
    <n v="4"/>
    <x v="3"/>
    <n v="3"/>
    <n v="4"/>
    <n v="5"/>
    <n v="5"/>
    <x v="0"/>
    <s v="Online Survey"/>
    <s v="Poor service"/>
    <x v="0"/>
    <n v="20"/>
    <d v="2024-06-14T00:00:00"/>
    <x v="0"/>
    <x v="20"/>
    <x v="0"/>
  </r>
  <r>
    <n v="1133"/>
    <n v="38082"/>
    <s v="Daniel Burch"/>
    <x v="0"/>
    <x v="1"/>
    <x v="376"/>
    <d v="2024-03-26T00:00:00"/>
    <n v="3"/>
    <x v="3"/>
    <x v="1"/>
    <n v="5"/>
    <n v="5"/>
    <n v="2"/>
    <n v="4"/>
    <n v="2"/>
    <x v="4"/>
    <n v="5"/>
    <n v="3"/>
    <n v="4"/>
    <n v="5"/>
    <x v="0"/>
    <s v="In-person"/>
    <s v="Great stay"/>
    <x v="2"/>
    <n v="46"/>
    <d v="2024-03-26T00:00:00"/>
    <x v="1"/>
    <x v="11"/>
    <x v="0"/>
  </r>
  <r>
    <n v="1134"/>
    <n v="66305"/>
    <s v="Ashley Cummings"/>
    <x v="4"/>
    <x v="0"/>
    <x v="216"/>
    <d v="2024-08-18T00:00:00"/>
    <n v="3"/>
    <x v="2"/>
    <x v="2"/>
    <n v="4"/>
    <n v="1"/>
    <n v="3"/>
    <n v="1"/>
    <n v="3"/>
    <x v="3"/>
    <n v="5"/>
    <n v="1"/>
    <n v="5"/>
    <n v="1"/>
    <x v="1"/>
    <s v="Feedback Form"/>
    <s v="Needs improvement"/>
    <x v="2"/>
    <n v="58"/>
    <d v="2024-08-18T00:00:00"/>
    <x v="2"/>
    <x v="3"/>
    <x v="1"/>
  </r>
  <r>
    <n v="1135"/>
    <n v="63246"/>
    <s v="Michael Lopez"/>
    <x v="2"/>
    <x v="1"/>
    <x v="550"/>
    <d v="2024-12-11T00:00:00"/>
    <n v="11"/>
    <x v="0"/>
    <x v="3"/>
    <n v="2"/>
    <n v="4"/>
    <n v="2"/>
    <n v="5"/>
    <n v="5"/>
    <x v="2"/>
    <n v="4"/>
    <n v="2"/>
    <n v="2"/>
    <n v="1"/>
    <x v="1"/>
    <s v="App Review"/>
    <s v="Average"/>
    <x v="0"/>
    <n v="56"/>
    <d v="2024-12-11T00:00:00"/>
    <x v="2"/>
    <x v="4"/>
    <x v="1"/>
  </r>
  <r>
    <n v="1136"/>
    <n v="61689"/>
    <s v="Justin Mccoy"/>
    <x v="0"/>
    <x v="3"/>
    <x v="378"/>
    <d v="2024-12-24T00:00:00"/>
    <n v="10"/>
    <x v="0"/>
    <x v="3"/>
    <n v="5"/>
    <n v="2"/>
    <n v="2"/>
    <n v="2"/>
    <n v="3"/>
    <x v="0"/>
    <n v="2"/>
    <n v="5"/>
    <n v="2"/>
    <n v="4"/>
    <x v="0"/>
    <s v="Online Survey"/>
    <s v="Needs improvement"/>
    <x v="0"/>
    <n v="69"/>
    <d v="2024-12-24T00:00:00"/>
    <x v="2"/>
    <x v="2"/>
    <x v="0"/>
  </r>
  <r>
    <n v="1137"/>
    <n v="50764"/>
    <s v="Mark Thompson"/>
    <x v="3"/>
    <x v="2"/>
    <x v="97"/>
    <d v="2024-04-17T00:00:00"/>
    <n v="9"/>
    <x v="1"/>
    <x v="4"/>
    <n v="3"/>
    <n v="2"/>
    <n v="1"/>
    <n v="5"/>
    <n v="3"/>
    <x v="2"/>
    <n v="3"/>
    <n v="1"/>
    <n v="1"/>
    <n v="2"/>
    <x v="0"/>
    <s v="Email"/>
    <s v="Poor service"/>
    <x v="0"/>
    <n v="30"/>
    <d v="2024-04-17T00:00:00"/>
    <x v="3"/>
    <x v="9"/>
    <x v="1"/>
  </r>
  <r>
    <n v="1138"/>
    <n v="32362"/>
    <s v="William Wolfe"/>
    <x v="1"/>
    <x v="1"/>
    <x v="101"/>
    <d v="2024-01-15T00:00:00"/>
    <n v="14"/>
    <x v="3"/>
    <x v="4"/>
    <n v="3"/>
    <n v="3"/>
    <n v="4"/>
    <n v="1"/>
    <n v="4"/>
    <x v="3"/>
    <n v="1"/>
    <n v="1"/>
    <n v="2"/>
    <n v="5"/>
    <x v="1"/>
    <s v="Email"/>
    <s v="Will visit again"/>
    <x v="2"/>
    <n v="50"/>
    <d v="2024-05-17T00:00:00"/>
    <x v="1"/>
    <x v="3"/>
    <x v="1"/>
  </r>
  <r>
    <n v="1139"/>
    <n v="45239"/>
    <s v="Douglas Haynes"/>
    <x v="4"/>
    <x v="0"/>
    <x v="43"/>
    <d v="2024-10-31T00:00:00"/>
    <n v="2"/>
    <x v="3"/>
    <x v="1"/>
    <n v="3"/>
    <n v="4"/>
    <n v="4"/>
    <n v="5"/>
    <n v="2"/>
    <x v="4"/>
    <n v="1"/>
    <n v="2"/>
    <n v="3"/>
    <n v="4"/>
    <x v="1"/>
    <s v="In-person"/>
    <s v="Needs improvement"/>
    <x v="0"/>
    <n v="37"/>
    <d v="2024-10-31T00:00:00"/>
    <x v="1"/>
    <x v="4"/>
    <x v="1"/>
  </r>
  <r>
    <n v="1140"/>
    <n v="77970"/>
    <s v="Erika Price"/>
    <x v="0"/>
    <x v="0"/>
    <x v="69"/>
    <d v="2023-07-21T00:00:00"/>
    <n v="14"/>
    <x v="3"/>
    <x v="2"/>
    <n v="2"/>
    <n v="2"/>
    <n v="4"/>
    <n v="2"/>
    <n v="4"/>
    <x v="2"/>
    <n v="2"/>
    <n v="3"/>
    <n v="5"/>
    <n v="2"/>
    <x v="0"/>
    <s v="Email"/>
    <s v="Needs improvement"/>
    <x v="0"/>
    <n v="20"/>
    <d v="2023-11-23T00:00:00"/>
    <x v="0"/>
    <x v="3"/>
    <x v="1"/>
  </r>
  <r>
    <n v="1141"/>
    <n v="79871"/>
    <s v="Michael Bryan"/>
    <x v="0"/>
    <x v="0"/>
    <x v="572"/>
    <d v="2024-01-17T00:00:00"/>
    <n v="13"/>
    <x v="2"/>
    <x v="4"/>
    <n v="2"/>
    <n v="3"/>
    <n v="5"/>
    <n v="3"/>
    <n v="4"/>
    <x v="0"/>
    <n v="1"/>
    <n v="1"/>
    <n v="2"/>
    <n v="4"/>
    <x v="1"/>
    <s v="Feedback Form"/>
    <s v="Great stay"/>
    <x v="1"/>
    <n v="23"/>
    <d v="2024-01-17T00:00:00"/>
    <x v="0"/>
    <x v="3"/>
    <x v="1"/>
  </r>
  <r>
    <n v="1142"/>
    <n v="91559"/>
    <s v="Jennifer Moore"/>
    <x v="2"/>
    <x v="3"/>
    <x v="83"/>
    <d v="2024-10-05T00:00:00"/>
    <n v="5"/>
    <x v="2"/>
    <x v="1"/>
    <n v="1"/>
    <n v="3"/>
    <n v="3"/>
    <n v="3"/>
    <n v="5"/>
    <x v="2"/>
    <n v="3"/>
    <n v="3"/>
    <n v="2"/>
    <n v="5"/>
    <x v="1"/>
    <s v="In-person"/>
    <s v="Needs improvement"/>
    <x v="2"/>
    <n v="60"/>
    <d v="2024-10-05T00:00:00"/>
    <x v="2"/>
    <x v="2"/>
    <x v="0"/>
  </r>
  <r>
    <n v="1143"/>
    <n v="95442"/>
    <s v="Aaron Harmon"/>
    <x v="4"/>
    <x v="4"/>
    <x v="546"/>
    <d v="2024-12-28T00:00:00"/>
    <n v="4"/>
    <x v="2"/>
    <x v="4"/>
    <n v="2"/>
    <n v="5"/>
    <n v="1"/>
    <n v="4"/>
    <n v="4"/>
    <x v="1"/>
    <n v="1"/>
    <n v="2"/>
    <n v="5"/>
    <n v="2"/>
    <x v="0"/>
    <s v="In-person"/>
    <s v="Will visit again"/>
    <x v="0"/>
    <n v="34"/>
    <d v="2024-12-28T00:00:00"/>
    <x v="3"/>
    <x v="0"/>
    <x v="0"/>
  </r>
  <r>
    <n v="1144"/>
    <n v="94225"/>
    <s v="Christian Dunn"/>
    <x v="1"/>
    <x v="0"/>
    <x v="573"/>
    <d v="2023-10-24T00:00:00"/>
    <n v="14"/>
    <x v="3"/>
    <x v="2"/>
    <n v="1"/>
    <n v="3"/>
    <n v="4"/>
    <n v="5"/>
    <n v="4"/>
    <x v="4"/>
    <n v="3"/>
    <n v="5"/>
    <n v="5"/>
    <n v="3"/>
    <x v="1"/>
    <s v="Online Survey"/>
    <s v="Needs improvement"/>
    <x v="2"/>
    <n v="64"/>
    <d v="2024-03-30T00:00:00"/>
    <x v="2"/>
    <x v="13"/>
    <x v="0"/>
  </r>
  <r>
    <n v="1145"/>
    <n v="97207"/>
    <s v="Julie Marsh"/>
    <x v="0"/>
    <x v="0"/>
    <x v="356"/>
    <d v="2024-05-17T00:00:00"/>
    <n v="1"/>
    <x v="3"/>
    <x v="3"/>
    <n v="3"/>
    <n v="1"/>
    <n v="2"/>
    <n v="4"/>
    <n v="5"/>
    <x v="3"/>
    <n v="5"/>
    <n v="1"/>
    <n v="1"/>
    <n v="1"/>
    <x v="1"/>
    <s v="App Review"/>
    <s v="Needs improvement"/>
    <x v="0"/>
    <n v="21"/>
    <d v="2024-06-13T00:00:00"/>
    <x v="0"/>
    <x v="5"/>
    <x v="1"/>
  </r>
  <r>
    <n v="1146"/>
    <n v="56272"/>
    <s v="Philip Gallegos"/>
    <x v="2"/>
    <x v="1"/>
    <x v="264"/>
    <d v="2024-09-27T00:00:00"/>
    <n v="6"/>
    <x v="0"/>
    <x v="2"/>
    <n v="2"/>
    <n v="5"/>
    <n v="5"/>
    <n v="4"/>
    <n v="1"/>
    <x v="2"/>
    <n v="4"/>
    <n v="3"/>
    <n v="2"/>
    <n v="1"/>
    <x v="0"/>
    <s v="In-person"/>
    <s v="Poor service"/>
    <x v="0"/>
    <n v="50"/>
    <d v="2024-09-27T00:00:00"/>
    <x v="1"/>
    <x v="4"/>
    <x v="1"/>
  </r>
  <r>
    <n v="1147"/>
    <n v="97601"/>
    <s v="Laura Warren"/>
    <x v="4"/>
    <x v="2"/>
    <x v="574"/>
    <d v="2024-01-24T00:00:00"/>
    <n v="6"/>
    <x v="3"/>
    <x v="4"/>
    <n v="4"/>
    <n v="5"/>
    <n v="3"/>
    <n v="5"/>
    <n v="4"/>
    <x v="2"/>
    <n v="2"/>
    <n v="3"/>
    <n v="3"/>
    <n v="2"/>
    <x v="0"/>
    <s v="In-person"/>
    <s v="Will visit again"/>
    <x v="2"/>
    <n v="50"/>
    <d v="2024-01-24T00:00:00"/>
    <x v="1"/>
    <x v="1"/>
    <x v="0"/>
  </r>
  <r>
    <n v="1148"/>
    <n v="82979"/>
    <s v="Daniel Brown"/>
    <x v="4"/>
    <x v="0"/>
    <x v="21"/>
    <d v="2024-09-23T00:00:00"/>
    <n v="11"/>
    <x v="3"/>
    <x v="2"/>
    <n v="4"/>
    <n v="1"/>
    <n v="4"/>
    <n v="5"/>
    <n v="3"/>
    <x v="2"/>
    <n v="2"/>
    <n v="4"/>
    <n v="3"/>
    <n v="2"/>
    <x v="1"/>
    <s v="In-person"/>
    <s v="Needs improvement"/>
    <x v="2"/>
    <n v="23"/>
    <d v="2024-09-23T00:00:00"/>
    <x v="0"/>
    <x v="2"/>
    <x v="0"/>
  </r>
  <r>
    <n v="1149"/>
    <n v="54014"/>
    <s v="Michelle Martin"/>
    <x v="1"/>
    <x v="3"/>
    <x v="565"/>
    <d v="2023-12-10T00:00:00"/>
    <n v="1"/>
    <x v="2"/>
    <x v="3"/>
    <n v="4"/>
    <n v="1"/>
    <n v="5"/>
    <n v="2"/>
    <n v="4"/>
    <x v="2"/>
    <n v="1"/>
    <n v="3"/>
    <n v="1"/>
    <n v="5"/>
    <x v="0"/>
    <s v="Online Survey"/>
    <s v="Poor service"/>
    <x v="2"/>
    <n v="58"/>
    <d v="2023-12-10T00:00:00"/>
    <x v="2"/>
    <x v="3"/>
    <x v="1"/>
  </r>
  <r>
    <n v="1150"/>
    <n v="74880"/>
    <s v="Amy Wright"/>
    <x v="2"/>
    <x v="4"/>
    <x v="575"/>
    <d v="2024-12-05T00:00:00"/>
    <n v="7"/>
    <x v="0"/>
    <x v="0"/>
    <n v="2"/>
    <n v="2"/>
    <n v="3"/>
    <n v="5"/>
    <n v="2"/>
    <x v="0"/>
    <n v="3"/>
    <n v="3"/>
    <n v="2"/>
    <n v="2"/>
    <x v="0"/>
    <s v="In-person"/>
    <s v="Average"/>
    <x v="2"/>
    <n v="31"/>
    <d v="2024-12-05T00:00:00"/>
    <x v="3"/>
    <x v="5"/>
    <x v="1"/>
  </r>
  <r>
    <n v="1151"/>
    <n v="25665"/>
    <s v="Anita Torres"/>
    <x v="1"/>
    <x v="4"/>
    <x v="493"/>
    <d v="2024-10-28T00:00:00"/>
    <n v="6"/>
    <x v="3"/>
    <x v="3"/>
    <n v="2"/>
    <n v="2"/>
    <n v="2"/>
    <n v="5"/>
    <n v="3"/>
    <x v="1"/>
    <n v="4"/>
    <n v="2"/>
    <n v="5"/>
    <n v="1"/>
    <x v="1"/>
    <s v="App Review"/>
    <s v="Needs improvement"/>
    <x v="1"/>
    <n v="63"/>
    <d v="2024-10-28T00:00:00"/>
    <x v="2"/>
    <x v="0"/>
    <x v="0"/>
  </r>
  <r>
    <n v="1152"/>
    <n v="50542"/>
    <s v="Brandon Owen"/>
    <x v="0"/>
    <x v="4"/>
    <x v="379"/>
    <d v="2024-10-22T00:00:00"/>
    <n v="14"/>
    <x v="1"/>
    <x v="4"/>
    <n v="2"/>
    <n v="1"/>
    <n v="5"/>
    <n v="4"/>
    <n v="3"/>
    <x v="1"/>
    <n v="1"/>
    <n v="3"/>
    <n v="3"/>
    <n v="5"/>
    <x v="0"/>
    <s v="App Review"/>
    <s v="Needs improvement"/>
    <x v="2"/>
    <n v="24"/>
    <d v="2024-10-22T00:00:00"/>
    <x v="0"/>
    <x v="10"/>
    <x v="0"/>
  </r>
  <r>
    <n v="1153"/>
    <n v="96769"/>
    <s v="Kathleen Wilson"/>
    <x v="3"/>
    <x v="3"/>
    <x v="461"/>
    <d v="2024-09-11T00:00:00"/>
    <n v="14"/>
    <x v="2"/>
    <x v="3"/>
    <n v="4"/>
    <n v="2"/>
    <n v="1"/>
    <n v="3"/>
    <n v="1"/>
    <x v="4"/>
    <n v="4"/>
    <n v="4"/>
    <n v="2"/>
    <n v="4"/>
    <x v="0"/>
    <s v="In-person"/>
    <s v="Poor service"/>
    <x v="0"/>
    <n v="23"/>
    <d v="2024-09-11T00:00:00"/>
    <x v="0"/>
    <x v="7"/>
    <x v="1"/>
  </r>
  <r>
    <n v="1154"/>
    <n v="46968"/>
    <s v="Harold Ramirez"/>
    <x v="3"/>
    <x v="4"/>
    <x v="576"/>
    <d v="2024-09-28T00:00:00"/>
    <n v="4"/>
    <x v="1"/>
    <x v="1"/>
    <n v="3"/>
    <n v="1"/>
    <n v="3"/>
    <n v="1"/>
    <n v="2"/>
    <x v="4"/>
    <n v="3"/>
    <n v="5"/>
    <n v="1"/>
    <n v="1"/>
    <x v="1"/>
    <s v="Online Survey"/>
    <s v="Poor service"/>
    <x v="0"/>
    <n v="68"/>
    <d v="2024-09-28T00:00:00"/>
    <x v="2"/>
    <x v="17"/>
    <x v="1"/>
  </r>
  <r>
    <n v="1155"/>
    <n v="33481"/>
    <s v="Matthew Thomas"/>
    <x v="1"/>
    <x v="4"/>
    <x v="489"/>
    <d v="2024-02-03T00:00:00"/>
    <n v="7"/>
    <x v="0"/>
    <x v="2"/>
    <n v="5"/>
    <n v="1"/>
    <n v="5"/>
    <n v="3"/>
    <n v="2"/>
    <x v="0"/>
    <n v="1"/>
    <n v="4"/>
    <n v="1"/>
    <n v="3"/>
    <x v="0"/>
    <s v="Email"/>
    <s v="Poor service"/>
    <x v="2"/>
    <n v="20"/>
    <d v="2024-08-25T00:00:00"/>
    <x v="0"/>
    <x v="3"/>
    <x v="1"/>
  </r>
  <r>
    <n v="1156"/>
    <n v="80558"/>
    <s v="Gregory Salas"/>
    <x v="1"/>
    <x v="1"/>
    <x v="572"/>
    <d v="2023-04-18T00:00:00"/>
    <n v="3"/>
    <x v="2"/>
    <x v="0"/>
    <n v="3"/>
    <n v="3"/>
    <n v="5"/>
    <n v="5"/>
    <n v="2"/>
    <x v="1"/>
    <n v="1"/>
    <n v="5"/>
    <n v="5"/>
    <n v="5"/>
    <x v="0"/>
    <s v="In-person"/>
    <s v="Needs improvement"/>
    <x v="2"/>
    <n v="54"/>
    <d v="2023-04-18T00:00:00"/>
    <x v="2"/>
    <x v="20"/>
    <x v="0"/>
  </r>
  <r>
    <n v="1157"/>
    <n v="62644"/>
    <s v="Jack Johnston"/>
    <x v="3"/>
    <x v="4"/>
    <x v="577"/>
    <d v="2024-08-10T00:00:00"/>
    <n v="10"/>
    <x v="0"/>
    <x v="0"/>
    <n v="2"/>
    <n v="2"/>
    <n v="3"/>
    <n v="1"/>
    <n v="4"/>
    <x v="4"/>
    <n v="4"/>
    <n v="1"/>
    <n v="1"/>
    <n v="3"/>
    <x v="0"/>
    <s v="In-person"/>
    <s v="Great stay"/>
    <x v="2"/>
    <n v="39"/>
    <d v="2024-09-07T00:00:00"/>
    <x v="1"/>
    <x v="19"/>
    <x v="1"/>
  </r>
  <r>
    <n v="1158"/>
    <n v="56954"/>
    <s v="Gary Turner"/>
    <x v="0"/>
    <x v="1"/>
    <x v="578"/>
    <d v="2024-03-18T00:00:00"/>
    <n v="11"/>
    <x v="3"/>
    <x v="2"/>
    <n v="5"/>
    <n v="5"/>
    <n v="5"/>
    <n v="5"/>
    <n v="4"/>
    <x v="3"/>
    <n v="1"/>
    <n v="5"/>
    <n v="1"/>
    <n v="2"/>
    <x v="0"/>
    <s v="Feedback Form"/>
    <s v="Great stay"/>
    <x v="2"/>
    <n v="55"/>
    <d v="2024-08-10T00:00:00"/>
    <x v="2"/>
    <x v="16"/>
    <x v="0"/>
  </r>
  <r>
    <n v="1159"/>
    <n v="19145"/>
    <s v="Kenneth Newton"/>
    <x v="1"/>
    <x v="1"/>
    <x v="516"/>
    <d v="2023-07-06T00:00:00"/>
    <n v="6"/>
    <x v="2"/>
    <x v="2"/>
    <n v="5"/>
    <n v="5"/>
    <n v="5"/>
    <n v="2"/>
    <n v="3"/>
    <x v="1"/>
    <n v="4"/>
    <n v="5"/>
    <n v="1"/>
    <n v="4"/>
    <x v="0"/>
    <s v="Online Survey"/>
    <s v="Poor service"/>
    <x v="2"/>
    <n v="25"/>
    <d v="2024-03-02T00:00:00"/>
    <x v="0"/>
    <x v="20"/>
    <x v="0"/>
  </r>
  <r>
    <n v="1160"/>
    <n v="60494"/>
    <s v="Marc Henderson"/>
    <x v="0"/>
    <x v="1"/>
    <x v="579"/>
    <d v="2024-07-05T00:00:00"/>
    <n v="6"/>
    <x v="0"/>
    <x v="1"/>
    <n v="3"/>
    <n v="2"/>
    <n v="3"/>
    <n v="5"/>
    <n v="1"/>
    <x v="2"/>
    <n v="3"/>
    <n v="4"/>
    <n v="3"/>
    <n v="2"/>
    <x v="1"/>
    <s v="App Review"/>
    <s v="Great stay"/>
    <x v="0"/>
    <n v="41"/>
    <d v="2024-07-05T00:00:00"/>
    <x v="1"/>
    <x v="3"/>
    <x v="1"/>
  </r>
  <r>
    <n v="1161"/>
    <n v="70835"/>
    <s v="Joseph Baird"/>
    <x v="0"/>
    <x v="3"/>
    <x v="99"/>
    <d v="2023-08-23T00:00:00"/>
    <n v="13"/>
    <x v="0"/>
    <x v="3"/>
    <n v="4"/>
    <n v="2"/>
    <n v="2"/>
    <n v="1"/>
    <n v="4"/>
    <x v="1"/>
    <n v="4"/>
    <n v="2"/>
    <n v="5"/>
    <n v="1"/>
    <x v="0"/>
    <s v="Online Survey"/>
    <s v="Average"/>
    <x v="1"/>
    <n v="30"/>
    <d v="2023-08-23T00:00:00"/>
    <x v="3"/>
    <x v="2"/>
    <x v="0"/>
  </r>
  <r>
    <n v="1162"/>
    <n v="75506"/>
    <s v="John Conrad"/>
    <x v="2"/>
    <x v="0"/>
    <x v="221"/>
    <d v="2024-05-01T00:00:00"/>
    <n v="10"/>
    <x v="0"/>
    <x v="0"/>
    <n v="1"/>
    <n v="2"/>
    <n v="1"/>
    <n v="2"/>
    <n v="4"/>
    <x v="3"/>
    <n v="3"/>
    <n v="2"/>
    <n v="5"/>
    <n v="4"/>
    <x v="0"/>
    <s v="Online Survey"/>
    <s v="Great stay"/>
    <x v="2"/>
    <n v="30"/>
    <d v="2024-05-01T00:00:00"/>
    <x v="3"/>
    <x v="3"/>
    <x v="1"/>
  </r>
  <r>
    <n v="1163"/>
    <n v="53064"/>
    <s v="David Hart"/>
    <x v="0"/>
    <x v="2"/>
    <x v="320"/>
    <d v="2024-02-04T00:00:00"/>
    <n v="6"/>
    <x v="1"/>
    <x v="4"/>
    <n v="4"/>
    <n v="2"/>
    <n v="3"/>
    <n v="1"/>
    <n v="1"/>
    <x v="2"/>
    <n v="3"/>
    <n v="5"/>
    <n v="5"/>
    <n v="1"/>
    <x v="1"/>
    <s v="In-person"/>
    <s v="Great stay"/>
    <x v="2"/>
    <n v="18"/>
    <d v="2024-02-04T00:00:00"/>
    <x v="0"/>
    <x v="5"/>
    <x v="1"/>
  </r>
  <r>
    <n v="1164"/>
    <n v="32954"/>
    <s v="Eric Bates"/>
    <x v="4"/>
    <x v="4"/>
    <x v="307"/>
    <d v="2023-11-26T00:00:00"/>
    <n v="3"/>
    <x v="2"/>
    <x v="2"/>
    <n v="4"/>
    <n v="3"/>
    <n v="4"/>
    <n v="2"/>
    <n v="2"/>
    <x v="1"/>
    <n v="5"/>
    <n v="4"/>
    <n v="1"/>
    <n v="4"/>
    <x v="1"/>
    <s v="Feedback Form"/>
    <s v="Needs improvement"/>
    <x v="2"/>
    <n v="68"/>
    <d v="2024-03-14T00:00:00"/>
    <x v="2"/>
    <x v="13"/>
    <x v="0"/>
  </r>
  <r>
    <n v="1165"/>
    <n v="49051"/>
    <s v="Daniel Ferguson"/>
    <x v="3"/>
    <x v="2"/>
    <x v="340"/>
    <d v="2024-10-05T00:00:00"/>
    <n v="10"/>
    <x v="0"/>
    <x v="2"/>
    <n v="5"/>
    <n v="1"/>
    <n v="5"/>
    <n v="4"/>
    <n v="3"/>
    <x v="2"/>
    <n v="4"/>
    <n v="2"/>
    <n v="1"/>
    <n v="3"/>
    <x v="1"/>
    <s v="In-person"/>
    <s v="Great stay"/>
    <x v="2"/>
    <n v="58"/>
    <d v="2024-10-05T00:00:00"/>
    <x v="2"/>
    <x v="2"/>
    <x v="0"/>
  </r>
  <r>
    <n v="1166"/>
    <n v="96167"/>
    <s v="Nicole Clark"/>
    <x v="3"/>
    <x v="0"/>
    <x v="580"/>
    <d v="2024-12-01T00:00:00"/>
    <n v="5"/>
    <x v="2"/>
    <x v="0"/>
    <n v="2"/>
    <n v="2"/>
    <n v="1"/>
    <n v="1"/>
    <n v="4"/>
    <x v="2"/>
    <n v="2"/>
    <n v="2"/>
    <n v="3"/>
    <n v="1"/>
    <x v="0"/>
    <s v="Online Survey"/>
    <s v="Poor service"/>
    <x v="1"/>
    <n v="53"/>
    <d v="2024-12-01T00:00:00"/>
    <x v="2"/>
    <x v="15"/>
    <x v="1"/>
  </r>
  <r>
    <n v="1167"/>
    <n v="16574"/>
    <s v="Jennifer Ryan"/>
    <x v="1"/>
    <x v="1"/>
    <x v="581"/>
    <d v="2024-03-03T00:00:00"/>
    <n v="13"/>
    <x v="3"/>
    <x v="2"/>
    <n v="2"/>
    <n v="2"/>
    <n v="1"/>
    <n v="4"/>
    <n v="1"/>
    <x v="0"/>
    <n v="5"/>
    <n v="4"/>
    <n v="1"/>
    <n v="1"/>
    <x v="1"/>
    <s v="In-person"/>
    <s v="Needs improvement"/>
    <x v="1"/>
    <n v="49"/>
    <d v="2024-12-20T00:00:00"/>
    <x v="1"/>
    <x v="8"/>
    <x v="1"/>
  </r>
  <r>
    <n v="1168"/>
    <n v="42381"/>
    <s v="Carmen Lee"/>
    <x v="1"/>
    <x v="1"/>
    <x v="205"/>
    <d v="2024-02-04T00:00:00"/>
    <n v="1"/>
    <x v="3"/>
    <x v="0"/>
    <n v="5"/>
    <n v="1"/>
    <n v="3"/>
    <n v="4"/>
    <n v="1"/>
    <x v="3"/>
    <n v="5"/>
    <n v="5"/>
    <n v="3"/>
    <n v="2"/>
    <x v="0"/>
    <s v="Online Survey"/>
    <s v="Great stay"/>
    <x v="0"/>
    <n v="22"/>
    <d v="2024-02-04T00:00:00"/>
    <x v="0"/>
    <x v="1"/>
    <x v="0"/>
  </r>
  <r>
    <n v="1169"/>
    <n v="36039"/>
    <s v="Nicole Rogers"/>
    <x v="2"/>
    <x v="1"/>
    <x v="493"/>
    <d v="2024-10-28T00:00:00"/>
    <n v="6"/>
    <x v="0"/>
    <x v="4"/>
    <n v="4"/>
    <n v="1"/>
    <n v="4"/>
    <n v="5"/>
    <n v="2"/>
    <x v="0"/>
    <n v="4"/>
    <n v="1"/>
    <n v="5"/>
    <n v="5"/>
    <x v="1"/>
    <s v="App Review"/>
    <s v="Average"/>
    <x v="2"/>
    <n v="66"/>
    <d v="2024-10-28T00:00:00"/>
    <x v="2"/>
    <x v="13"/>
    <x v="0"/>
  </r>
  <r>
    <n v="1170"/>
    <n v="15331"/>
    <s v="Steven Haas"/>
    <x v="2"/>
    <x v="1"/>
    <x v="4"/>
    <d v="2024-12-08T00:00:00"/>
    <n v="7"/>
    <x v="2"/>
    <x v="4"/>
    <n v="3"/>
    <n v="1"/>
    <n v="4"/>
    <n v="3"/>
    <n v="5"/>
    <x v="1"/>
    <n v="5"/>
    <n v="4"/>
    <n v="3"/>
    <n v="1"/>
    <x v="1"/>
    <s v="In-person"/>
    <s v="Needs improvement"/>
    <x v="2"/>
    <n v="24"/>
    <d v="2024-12-08T00:00:00"/>
    <x v="0"/>
    <x v="13"/>
    <x v="0"/>
  </r>
  <r>
    <n v="1171"/>
    <n v="40412"/>
    <s v="Jonathan Martin"/>
    <x v="4"/>
    <x v="4"/>
    <x v="551"/>
    <d v="2024-09-20T00:00:00"/>
    <n v="5"/>
    <x v="0"/>
    <x v="0"/>
    <n v="1"/>
    <n v="4"/>
    <n v="2"/>
    <n v="2"/>
    <n v="5"/>
    <x v="2"/>
    <n v="5"/>
    <n v="4"/>
    <n v="2"/>
    <n v="4"/>
    <x v="0"/>
    <s v="In-person"/>
    <s v="Needs improvement"/>
    <x v="0"/>
    <n v="67"/>
    <d v="2024-09-20T00:00:00"/>
    <x v="2"/>
    <x v="0"/>
    <x v="0"/>
  </r>
  <r>
    <n v="1172"/>
    <n v="93857"/>
    <s v="Jacob Carey"/>
    <x v="1"/>
    <x v="0"/>
    <x v="582"/>
    <d v="2024-08-13T00:00:00"/>
    <n v="5"/>
    <x v="0"/>
    <x v="2"/>
    <n v="4"/>
    <n v="5"/>
    <n v="4"/>
    <n v="1"/>
    <n v="5"/>
    <x v="1"/>
    <n v="1"/>
    <n v="4"/>
    <n v="4"/>
    <n v="2"/>
    <x v="0"/>
    <s v="App Review"/>
    <s v="Needs improvement"/>
    <x v="0"/>
    <n v="62"/>
    <d v="2024-08-13T00:00:00"/>
    <x v="2"/>
    <x v="18"/>
    <x v="0"/>
  </r>
  <r>
    <n v="1173"/>
    <n v="27458"/>
    <s v="Amy Le"/>
    <x v="3"/>
    <x v="0"/>
    <x v="521"/>
    <d v="2024-07-21T00:00:00"/>
    <n v="13"/>
    <x v="1"/>
    <x v="1"/>
    <n v="4"/>
    <n v="2"/>
    <n v="3"/>
    <n v="4"/>
    <n v="5"/>
    <x v="1"/>
    <n v="3"/>
    <n v="5"/>
    <n v="1"/>
    <n v="5"/>
    <x v="1"/>
    <s v="In-person"/>
    <s v="Great stay"/>
    <x v="2"/>
    <n v="49"/>
    <d v="2024-09-26T00:00:00"/>
    <x v="1"/>
    <x v="16"/>
    <x v="0"/>
  </r>
  <r>
    <n v="1174"/>
    <n v="24058"/>
    <s v="Richard Hudson"/>
    <x v="4"/>
    <x v="0"/>
    <x v="316"/>
    <d v="2024-11-18T00:00:00"/>
    <n v="6"/>
    <x v="2"/>
    <x v="1"/>
    <n v="1"/>
    <n v="3"/>
    <n v="1"/>
    <n v="5"/>
    <n v="4"/>
    <x v="0"/>
    <n v="2"/>
    <n v="5"/>
    <n v="5"/>
    <n v="1"/>
    <x v="0"/>
    <s v="Online Survey"/>
    <s v="Poor service"/>
    <x v="1"/>
    <n v="45"/>
    <d v="2024-11-18T00:00:00"/>
    <x v="1"/>
    <x v="2"/>
    <x v="0"/>
  </r>
  <r>
    <n v="1175"/>
    <n v="45341"/>
    <s v="Melissa Ballard"/>
    <x v="1"/>
    <x v="2"/>
    <x v="583"/>
    <d v="2024-10-05T00:00:00"/>
    <n v="7"/>
    <x v="1"/>
    <x v="3"/>
    <n v="3"/>
    <n v="3"/>
    <n v="1"/>
    <n v="1"/>
    <n v="1"/>
    <x v="1"/>
    <n v="4"/>
    <n v="4"/>
    <n v="4"/>
    <n v="3"/>
    <x v="1"/>
    <s v="Email"/>
    <s v="Will visit again"/>
    <x v="0"/>
    <n v="50"/>
    <d v="2024-10-05T00:00:00"/>
    <x v="1"/>
    <x v="4"/>
    <x v="1"/>
  </r>
  <r>
    <n v="1176"/>
    <n v="45165"/>
    <s v="Chad Miranda"/>
    <x v="4"/>
    <x v="1"/>
    <x v="584"/>
    <d v="2025-01-09T00:00:00"/>
    <n v="4"/>
    <x v="0"/>
    <x v="1"/>
    <n v="1"/>
    <n v="1"/>
    <n v="4"/>
    <n v="5"/>
    <n v="3"/>
    <x v="3"/>
    <n v="1"/>
    <n v="2"/>
    <n v="4"/>
    <n v="2"/>
    <x v="0"/>
    <s v="In-person"/>
    <s v="Will visit again"/>
    <x v="2"/>
    <n v="63"/>
    <d v="2025-01-09T00:00:00"/>
    <x v="2"/>
    <x v="5"/>
    <x v="1"/>
  </r>
  <r>
    <n v="1177"/>
    <n v="68425"/>
    <s v="William Stanley DDS"/>
    <x v="0"/>
    <x v="3"/>
    <x v="584"/>
    <d v="2024-04-04T00:00:00"/>
    <n v="7"/>
    <x v="1"/>
    <x v="2"/>
    <n v="5"/>
    <n v="3"/>
    <n v="5"/>
    <n v="1"/>
    <n v="4"/>
    <x v="2"/>
    <n v="2"/>
    <n v="1"/>
    <n v="5"/>
    <n v="3"/>
    <x v="1"/>
    <s v="App Review"/>
    <s v="Will visit again"/>
    <x v="2"/>
    <n v="31"/>
    <d v="2024-04-04T00:00:00"/>
    <x v="3"/>
    <x v="0"/>
    <x v="0"/>
  </r>
  <r>
    <n v="1178"/>
    <n v="10418"/>
    <s v="Holly Phillips"/>
    <x v="0"/>
    <x v="0"/>
    <x v="309"/>
    <d v="2024-04-29T00:00:00"/>
    <n v="5"/>
    <x v="1"/>
    <x v="1"/>
    <n v="1"/>
    <n v="5"/>
    <n v="2"/>
    <n v="5"/>
    <n v="5"/>
    <x v="4"/>
    <n v="2"/>
    <n v="3"/>
    <n v="4"/>
    <n v="4"/>
    <x v="0"/>
    <s v="App Review"/>
    <s v="Great stay"/>
    <x v="2"/>
    <n v="30"/>
    <d v="2024-04-29T00:00:00"/>
    <x v="3"/>
    <x v="10"/>
    <x v="0"/>
  </r>
  <r>
    <n v="1179"/>
    <n v="92559"/>
    <s v="Benjamin Mills"/>
    <x v="4"/>
    <x v="2"/>
    <x v="507"/>
    <d v="2023-11-21T00:00:00"/>
    <n v="7"/>
    <x v="1"/>
    <x v="3"/>
    <n v="1"/>
    <n v="2"/>
    <n v="4"/>
    <n v="5"/>
    <n v="3"/>
    <x v="3"/>
    <n v="1"/>
    <n v="4"/>
    <n v="3"/>
    <n v="2"/>
    <x v="1"/>
    <s v="Email"/>
    <s v="Average"/>
    <x v="0"/>
    <n v="46"/>
    <d v="2024-06-15T00:00:00"/>
    <x v="1"/>
    <x v="4"/>
    <x v="1"/>
  </r>
  <r>
    <n v="1180"/>
    <n v="61236"/>
    <s v="Jose Chen"/>
    <x v="1"/>
    <x v="4"/>
    <x v="539"/>
    <d v="2023-11-11T00:00:00"/>
    <n v="1"/>
    <x v="3"/>
    <x v="4"/>
    <n v="4"/>
    <n v="3"/>
    <n v="3"/>
    <n v="3"/>
    <n v="3"/>
    <x v="4"/>
    <n v="4"/>
    <n v="4"/>
    <n v="5"/>
    <n v="2"/>
    <x v="0"/>
    <s v="Online Survey"/>
    <s v="Needs improvement"/>
    <x v="0"/>
    <n v="67"/>
    <d v="2023-11-11T00:00:00"/>
    <x v="2"/>
    <x v="10"/>
    <x v="0"/>
  </r>
  <r>
    <n v="1181"/>
    <n v="47357"/>
    <s v="Brandi Mcgee"/>
    <x v="0"/>
    <x v="1"/>
    <x v="271"/>
    <d v="2024-12-30T00:00:00"/>
    <n v="10"/>
    <x v="3"/>
    <x v="0"/>
    <n v="4"/>
    <n v="5"/>
    <n v="2"/>
    <n v="4"/>
    <n v="5"/>
    <x v="4"/>
    <n v="3"/>
    <n v="5"/>
    <n v="5"/>
    <n v="2"/>
    <x v="1"/>
    <s v="Feedback Form"/>
    <s v="Needs improvement"/>
    <x v="0"/>
    <n v="57"/>
    <d v="2024-12-30T00:00:00"/>
    <x v="2"/>
    <x v="11"/>
    <x v="0"/>
  </r>
  <r>
    <n v="1182"/>
    <n v="92278"/>
    <s v="David Smith"/>
    <x v="0"/>
    <x v="2"/>
    <x v="585"/>
    <d v="2024-12-01T00:00:00"/>
    <n v="12"/>
    <x v="1"/>
    <x v="1"/>
    <n v="2"/>
    <n v="5"/>
    <n v="4"/>
    <n v="2"/>
    <n v="3"/>
    <x v="0"/>
    <n v="1"/>
    <n v="5"/>
    <n v="3"/>
    <n v="5"/>
    <x v="0"/>
    <s v="Online Survey"/>
    <s v="Poor service"/>
    <x v="2"/>
    <n v="18"/>
    <d v="2024-12-01T00:00:00"/>
    <x v="0"/>
    <x v="1"/>
    <x v="0"/>
  </r>
  <r>
    <n v="1183"/>
    <n v="93723"/>
    <s v="Ann Daniel"/>
    <x v="4"/>
    <x v="3"/>
    <x v="244"/>
    <d v="2024-10-13T00:00:00"/>
    <n v="2"/>
    <x v="2"/>
    <x v="0"/>
    <n v="1"/>
    <n v="4"/>
    <n v="2"/>
    <n v="2"/>
    <n v="4"/>
    <x v="4"/>
    <n v="5"/>
    <n v="3"/>
    <n v="2"/>
    <n v="5"/>
    <x v="0"/>
    <s v="In-person"/>
    <s v="Needs improvement"/>
    <x v="0"/>
    <n v="64"/>
    <d v="2024-10-13T00:00:00"/>
    <x v="2"/>
    <x v="4"/>
    <x v="1"/>
  </r>
  <r>
    <n v="1184"/>
    <n v="47972"/>
    <s v="Joann Bass"/>
    <x v="0"/>
    <x v="3"/>
    <x v="24"/>
    <d v="2024-04-19T00:00:00"/>
    <n v="2"/>
    <x v="3"/>
    <x v="0"/>
    <n v="5"/>
    <n v="4"/>
    <n v="5"/>
    <n v="1"/>
    <n v="2"/>
    <x v="2"/>
    <n v="2"/>
    <n v="5"/>
    <n v="2"/>
    <n v="1"/>
    <x v="0"/>
    <s v="App Review"/>
    <s v="Poor service"/>
    <x v="2"/>
    <n v="66"/>
    <d v="2024-04-19T00:00:00"/>
    <x v="2"/>
    <x v="4"/>
    <x v="1"/>
  </r>
  <r>
    <n v="1185"/>
    <n v="50657"/>
    <s v="Alexander Stewart"/>
    <x v="3"/>
    <x v="4"/>
    <x v="422"/>
    <d v="2024-11-16T00:00:00"/>
    <n v="7"/>
    <x v="1"/>
    <x v="4"/>
    <n v="2"/>
    <n v="3"/>
    <n v="3"/>
    <n v="1"/>
    <n v="4"/>
    <x v="0"/>
    <n v="5"/>
    <n v="5"/>
    <n v="4"/>
    <n v="3"/>
    <x v="0"/>
    <s v="App Review"/>
    <s v="Great stay"/>
    <x v="1"/>
    <n v="66"/>
    <d v="2024-11-16T00:00:00"/>
    <x v="2"/>
    <x v="1"/>
    <x v="0"/>
  </r>
  <r>
    <n v="1186"/>
    <n v="59690"/>
    <s v="Chad Lara"/>
    <x v="0"/>
    <x v="0"/>
    <x v="545"/>
    <d v="2024-08-29T00:00:00"/>
    <n v="9"/>
    <x v="0"/>
    <x v="3"/>
    <n v="1"/>
    <n v="5"/>
    <n v="4"/>
    <n v="3"/>
    <n v="4"/>
    <x v="3"/>
    <n v="4"/>
    <n v="2"/>
    <n v="5"/>
    <n v="1"/>
    <x v="0"/>
    <s v="Online Survey"/>
    <s v="Will visit again"/>
    <x v="1"/>
    <n v="44"/>
    <d v="2024-08-29T00:00:00"/>
    <x v="1"/>
    <x v="1"/>
    <x v="0"/>
  </r>
  <r>
    <n v="1187"/>
    <n v="79975"/>
    <s v="Joshua Brennan"/>
    <x v="4"/>
    <x v="0"/>
    <x v="281"/>
    <d v="2024-05-14T00:00:00"/>
    <n v="7"/>
    <x v="3"/>
    <x v="2"/>
    <n v="4"/>
    <n v="1"/>
    <n v="1"/>
    <n v="1"/>
    <n v="2"/>
    <x v="3"/>
    <n v="3"/>
    <n v="1"/>
    <n v="3"/>
    <n v="3"/>
    <x v="1"/>
    <s v="Online Survey"/>
    <s v="Poor service"/>
    <x v="1"/>
    <n v="47"/>
    <d v="2024-05-14T00:00:00"/>
    <x v="1"/>
    <x v="9"/>
    <x v="1"/>
  </r>
  <r>
    <n v="1188"/>
    <n v="66040"/>
    <s v="Anthony Wright"/>
    <x v="0"/>
    <x v="2"/>
    <x v="538"/>
    <d v="2023-09-17T00:00:00"/>
    <n v="12"/>
    <x v="0"/>
    <x v="2"/>
    <n v="5"/>
    <n v="4"/>
    <n v="3"/>
    <n v="2"/>
    <n v="5"/>
    <x v="3"/>
    <n v="3"/>
    <n v="2"/>
    <n v="5"/>
    <n v="1"/>
    <x v="1"/>
    <s v="In-person"/>
    <s v="Poor service"/>
    <x v="0"/>
    <n v="51"/>
    <d v="2023-09-17T00:00:00"/>
    <x v="2"/>
    <x v="13"/>
    <x v="0"/>
  </r>
  <r>
    <n v="1189"/>
    <n v="36794"/>
    <s v="Joseph Lang"/>
    <x v="0"/>
    <x v="2"/>
    <x v="10"/>
    <d v="2024-07-18T00:00:00"/>
    <n v="6"/>
    <x v="1"/>
    <x v="2"/>
    <n v="3"/>
    <n v="5"/>
    <n v="5"/>
    <n v="4"/>
    <n v="5"/>
    <x v="1"/>
    <n v="3"/>
    <n v="4"/>
    <n v="3"/>
    <n v="2"/>
    <x v="0"/>
    <s v="Online Survey"/>
    <s v="Needs improvement"/>
    <x v="2"/>
    <n v="63"/>
    <d v="2024-09-04T00:00:00"/>
    <x v="2"/>
    <x v="20"/>
    <x v="0"/>
  </r>
  <r>
    <n v="1190"/>
    <n v="19905"/>
    <s v="Daniel Wang"/>
    <x v="2"/>
    <x v="0"/>
    <x v="275"/>
    <d v="2024-08-20T00:00:00"/>
    <n v="3"/>
    <x v="1"/>
    <x v="3"/>
    <n v="2"/>
    <n v="4"/>
    <n v="5"/>
    <n v="3"/>
    <n v="2"/>
    <x v="0"/>
    <n v="5"/>
    <n v="2"/>
    <n v="2"/>
    <n v="2"/>
    <x v="0"/>
    <s v="Email"/>
    <s v="Great stay"/>
    <x v="0"/>
    <n v="18"/>
    <d v="2024-11-16T00:00:00"/>
    <x v="0"/>
    <x v="2"/>
    <x v="0"/>
  </r>
  <r>
    <n v="1191"/>
    <n v="76401"/>
    <s v="Jessica Owens"/>
    <x v="4"/>
    <x v="0"/>
    <x v="120"/>
    <d v="2023-12-25T00:00:00"/>
    <n v="5"/>
    <x v="1"/>
    <x v="3"/>
    <n v="4"/>
    <n v="2"/>
    <n v="1"/>
    <n v="1"/>
    <n v="4"/>
    <x v="0"/>
    <n v="4"/>
    <n v="3"/>
    <n v="2"/>
    <n v="3"/>
    <x v="1"/>
    <s v="Email"/>
    <s v="Will visit again"/>
    <x v="1"/>
    <n v="51"/>
    <d v="2023-12-25T00:00:00"/>
    <x v="2"/>
    <x v="5"/>
    <x v="1"/>
  </r>
  <r>
    <n v="1192"/>
    <n v="36926"/>
    <s v="Chelsea Owen"/>
    <x v="4"/>
    <x v="2"/>
    <x v="535"/>
    <d v="2024-06-10T00:00:00"/>
    <n v="10"/>
    <x v="0"/>
    <x v="3"/>
    <n v="3"/>
    <n v="5"/>
    <n v="3"/>
    <n v="3"/>
    <n v="1"/>
    <x v="0"/>
    <n v="5"/>
    <n v="2"/>
    <n v="4"/>
    <n v="2"/>
    <x v="1"/>
    <s v="Feedback Form"/>
    <s v="Great stay"/>
    <x v="2"/>
    <n v="24"/>
    <d v="2024-06-10T00:00:00"/>
    <x v="0"/>
    <x v="0"/>
    <x v="0"/>
  </r>
  <r>
    <n v="1193"/>
    <n v="56052"/>
    <s v="Jordan Knight"/>
    <x v="2"/>
    <x v="1"/>
    <x v="458"/>
    <d v="2024-11-14T00:00:00"/>
    <n v="2"/>
    <x v="3"/>
    <x v="1"/>
    <n v="1"/>
    <n v="5"/>
    <n v="4"/>
    <n v="3"/>
    <n v="3"/>
    <x v="2"/>
    <n v="2"/>
    <n v="5"/>
    <n v="3"/>
    <n v="1"/>
    <x v="0"/>
    <s v="App Review"/>
    <s v="Will visit again"/>
    <x v="1"/>
    <n v="18"/>
    <d v="2024-11-14T00:00:00"/>
    <x v="0"/>
    <x v="4"/>
    <x v="1"/>
  </r>
  <r>
    <n v="1194"/>
    <n v="54228"/>
    <s v="Michelle Simmons DDS"/>
    <x v="2"/>
    <x v="3"/>
    <x v="586"/>
    <d v="2023-10-07T00:00:00"/>
    <n v="9"/>
    <x v="1"/>
    <x v="0"/>
    <n v="5"/>
    <n v="2"/>
    <n v="1"/>
    <n v="3"/>
    <n v="3"/>
    <x v="0"/>
    <n v="3"/>
    <n v="3"/>
    <n v="2"/>
    <n v="5"/>
    <x v="1"/>
    <s v="In-person"/>
    <s v="Average"/>
    <x v="2"/>
    <n v="59"/>
    <d v="2023-10-07T00:00:00"/>
    <x v="2"/>
    <x v="2"/>
    <x v="0"/>
  </r>
  <r>
    <n v="1195"/>
    <n v="41046"/>
    <s v="Tammy Cortez"/>
    <x v="3"/>
    <x v="3"/>
    <x v="73"/>
    <d v="2024-11-03T00:00:00"/>
    <n v="6"/>
    <x v="2"/>
    <x v="3"/>
    <n v="4"/>
    <n v="4"/>
    <n v="4"/>
    <n v="1"/>
    <n v="3"/>
    <x v="2"/>
    <n v="4"/>
    <n v="3"/>
    <n v="1"/>
    <n v="4"/>
    <x v="1"/>
    <s v="In-person"/>
    <s v="Great stay"/>
    <x v="0"/>
    <n v="35"/>
    <d v="2024-11-03T00:00:00"/>
    <x v="3"/>
    <x v="2"/>
    <x v="0"/>
  </r>
  <r>
    <n v="1196"/>
    <n v="14671"/>
    <s v="Trevor Harding"/>
    <x v="0"/>
    <x v="4"/>
    <x v="291"/>
    <d v="2024-08-12T00:00:00"/>
    <n v="9"/>
    <x v="1"/>
    <x v="3"/>
    <n v="4"/>
    <n v="2"/>
    <n v="2"/>
    <n v="5"/>
    <n v="1"/>
    <x v="3"/>
    <n v="5"/>
    <n v="4"/>
    <n v="2"/>
    <n v="1"/>
    <x v="0"/>
    <s v="Online Survey"/>
    <s v="Average"/>
    <x v="2"/>
    <n v="52"/>
    <d v="2024-08-12T00:00:00"/>
    <x v="2"/>
    <x v="2"/>
    <x v="0"/>
  </r>
  <r>
    <n v="1197"/>
    <n v="70971"/>
    <s v="Gina Cummings"/>
    <x v="1"/>
    <x v="3"/>
    <x v="205"/>
    <d v="2023-09-30T00:00:00"/>
    <n v="9"/>
    <x v="3"/>
    <x v="1"/>
    <n v="5"/>
    <n v="3"/>
    <n v="4"/>
    <n v="1"/>
    <n v="4"/>
    <x v="1"/>
    <n v="5"/>
    <n v="4"/>
    <n v="5"/>
    <n v="3"/>
    <x v="1"/>
    <s v="App Review"/>
    <s v="Will visit again"/>
    <x v="1"/>
    <n v="67"/>
    <d v="2023-12-07T00:00:00"/>
    <x v="2"/>
    <x v="20"/>
    <x v="0"/>
  </r>
  <r>
    <n v="1198"/>
    <n v="60187"/>
    <s v="Gerald Snyder"/>
    <x v="1"/>
    <x v="2"/>
    <x v="434"/>
    <d v="2024-07-13T00:00:00"/>
    <n v="12"/>
    <x v="3"/>
    <x v="0"/>
    <n v="4"/>
    <n v="1"/>
    <n v="2"/>
    <n v="1"/>
    <n v="5"/>
    <x v="4"/>
    <n v="5"/>
    <n v="5"/>
    <n v="3"/>
    <n v="2"/>
    <x v="0"/>
    <s v="Feedback Form"/>
    <s v="Poor service"/>
    <x v="2"/>
    <n v="36"/>
    <d v="2024-07-13T00:00:00"/>
    <x v="1"/>
    <x v="4"/>
    <x v="1"/>
  </r>
  <r>
    <n v="1199"/>
    <n v="34871"/>
    <s v="Christina Wilkinson"/>
    <x v="2"/>
    <x v="1"/>
    <x v="393"/>
    <d v="2024-10-20T00:00:00"/>
    <n v="7"/>
    <x v="2"/>
    <x v="2"/>
    <n v="4"/>
    <n v="4"/>
    <n v="4"/>
    <n v="1"/>
    <n v="2"/>
    <x v="1"/>
    <n v="5"/>
    <n v="1"/>
    <n v="1"/>
    <n v="4"/>
    <x v="1"/>
    <s v="Feedback Form"/>
    <s v="Average"/>
    <x v="2"/>
    <n v="30"/>
    <d v="2024-10-20T00:00:00"/>
    <x v="3"/>
    <x v="0"/>
    <x v="0"/>
  </r>
  <r>
    <n v="1200"/>
    <n v="76962"/>
    <s v="Ashley Roberson"/>
    <x v="4"/>
    <x v="2"/>
    <x v="522"/>
    <d v="2023-09-27T00:00:00"/>
    <n v="14"/>
    <x v="1"/>
    <x v="4"/>
    <n v="1"/>
    <n v="5"/>
    <n v="2"/>
    <n v="1"/>
    <n v="3"/>
    <x v="1"/>
    <n v="5"/>
    <n v="3"/>
    <n v="2"/>
    <n v="4"/>
    <x v="1"/>
    <s v="Feedback Form"/>
    <s v="Will visit again"/>
    <x v="1"/>
    <n v="40"/>
    <d v="2023-09-27T00:00:00"/>
    <x v="1"/>
    <x v="0"/>
    <x v="0"/>
  </r>
  <r>
    <n v="1201"/>
    <n v="74142"/>
    <s v="Lucas Pineda"/>
    <x v="4"/>
    <x v="0"/>
    <x v="109"/>
    <d v="2024-11-07T00:00:00"/>
    <n v="5"/>
    <x v="3"/>
    <x v="3"/>
    <n v="2"/>
    <n v="3"/>
    <n v="3"/>
    <n v="1"/>
    <n v="1"/>
    <x v="1"/>
    <n v="2"/>
    <n v="5"/>
    <n v="2"/>
    <n v="2"/>
    <x v="0"/>
    <s v="App Review"/>
    <s v="Will visit again"/>
    <x v="1"/>
    <n v="19"/>
    <d v="2024-12-24T00:00:00"/>
    <x v="0"/>
    <x v="7"/>
    <x v="1"/>
  </r>
  <r>
    <n v="1202"/>
    <n v="86593"/>
    <s v="Angela Meyers"/>
    <x v="3"/>
    <x v="0"/>
    <x v="550"/>
    <d v="2024-12-11T00:00:00"/>
    <n v="4"/>
    <x v="3"/>
    <x v="3"/>
    <n v="3"/>
    <n v="4"/>
    <n v="5"/>
    <n v="3"/>
    <n v="2"/>
    <x v="4"/>
    <n v="3"/>
    <n v="4"/>
    <n v="3"/>
    <n v="1"/>
    <x v="0"/>
    <s v="Feedback Form"/>
    <s v="Average"/>
    <x v="1"/>
    <n v="20"/>
    <d v="2024-12-11T00:00:00"/>
    <x v="0"/>
    <x v="4"/>
    <x v="1"/>
  </r>
  <r>
    <n v="1203"/>
    <n v="43460"/>
    <s v="Drew Marsh"/>
    <x v="1"/>
    <x v="3"/>
    <x v="396"/>
    <d v="2024-11-16T00:00:00"/>
    <n v="1"/>
    <x v="3"/>
    <x v="4"/>
    <n v="5"/>
    <n v="1"/>
    <n v="3"/>
    <n v="3"/>
    <n v="4"/>
    <x v="2"/>
    <n v="5"/>
    <n v="4"/>
    <n v="1"/>
    <n v="2"/>
    <x v="0"/>
    <s v="Email"/>
    <s v="Great stay"/>
    <x v="1"/>
    <n v="39"/>
    <d v="2024-11-16T00:00:00"/>
    <x v="1"/>
    <x v="2"/>
    <x v="0"/>
  </r>
  <r>
    <n v="1204"/>
    <n v="39171"/>
    <s v="Dorothy Brown"/>
    <x v="4"/>
    <x v="1"/>
    <x v="0"/>
    <d v="2024-07-06T00:00:00"/>
    <n v="9"/>
    <x v="0"/>
    <x v="3"/>
    <n v="3"/>
    <n v="5"/>
    <n v="1"/>
    <n v="1"/>
    <n v="1"/>
    <x v="3"/>
    <n v="2"/>
    <n v="1"/>
    <n v="3"/>
    <n v="5"/>
    <x v="0"/>
    <s v="Online Survey"/>
    <s v="Poor service"/>
    <x v="2"/>
    <n v="53"/>
    <d v="2024-07-06T00:00:00"/>
    <x v="2"/>
    <x v="7"/>
    <x v="1"/>
  </r>
  <r>
    <n v="1205"/>
    <n v="66745"/>
    <s v="Elizabeth Dougherty"/>
    <x v="3"/>
    <x v="4"/>
    <x v="587"/>
    <d v="2023-06-09T00:00:00"/>
    <n v="6"/>
    <x v="3"/>
    <x v="3"/>
    <n v="5"/>
    <n v="2"/>
    <n v="3"/>
    <n v="4"/>
    <n v="1"/>
    <x v="4"/>
    <n v="4"/>
    <n v="3"/>
    <n v="2"/>
    <n v="3"/>
    <x v="1"/>
    <s v="Feedback Form"/>
    <s v="Will visit again"/>
    <x v="2"/>
    <n v="66"/>
    <d v="2024-04-19T00:00:00"/>
    <x v="2"/>
    <x v="3"/>
    <x v="1"/>
  </r>
  <r>
    <n v="1206"/>
    <n v="91772"/>
    <s v="Luis Whitaker"/>
    <x v="3"/>
    <x v="2"/>
    <x v="390"/>
    <d v="2023-12-27T00:00:00"/>
    <n v="14"/>
    <x v="3"/>
    <x v="3"/>
    <n v="5"/>
    <n v="1"/>
    <n v="3"/>
    <n v="4"/>
    <n v="2"/>
    <x v="3"/>
    <n v="4"/>
    <n v="3"/>
    <n v="4"/>
    <n v="2"/>
    <x v="1"/>
    <s v="Email"/>
    <s v="Great stay"/>
    <x v="1"/>
    <n v="25"/>
    <d v="2024-07-12T00:00:00"/>
    <x v="0"/>
    <x v="10"/>
    <x v="0"/>
  </r>
  <r>
    <n v="1207"/>
    <n v="43835"/>
    <s v="Stacy Perez"/>
    <x v="2"/>
    <x v="4"/>
    <x v="438"/>
    <d v="2024-06-05T00:00:00"/>
    <n v="2"/>
    <x v="0"/>
    <x v="4"/>
    <n v="4"/>
    <n v="4"/>
    <n v="5"/>
    <n v="5"/>
    <n v="2"/>
    <x v="2"/>
    <n v="2"/>
    <n v="5"/>
    <n v="3"/>
    <n v="1"/>
    <x v="0"/>
    <s v="Email"/>
    <s v="Will visit again"/>
    <x v="2"/>
    <n v="40"/>
    <d v="2024-09-23T00:00:00"/>
    <x v="1"/>
    <x v="1"/>
    <x v="0"/>
  </r>
  <r>
    <n v="1208"/>
    <n v="76668"/>
    <s v="Aaron Carter"/>
    <x v="1"/>
    <x v="4"/>
    <x v="588"/>
    <d v="2024-06-28T00:00:00"/>
    <n v="12"/>
    <x v="1"/>
    <x v="1"/>
    <n v="1"/>
    <n v="5"/>
    <n v="3"/>
    <n v="4"/>
    <n v="3"/>
    <x v="3"/>
    <n v="2"/>
    <n v="1"/>
    <n v="2"/>
    <n v="5"/>
    <x v="1"/>
    <s v="In-person"/>
    <s v="Will visit again"/>
    <x v="1"/>
    <n v="25"/>
    <d v="2024-06-28T00:00:00"/>
    <x v="0"/>
    <x v="2"/>
    <x v="0"/>
  </r>
  <r>
    <n v="1209"/>
    <n v="68465"/>
    <s v="Anthony Day"/>
    <x v="3"/>
    <x v="4"/>
    <x v="395"/>
    <d v="2023-09-06T00:00:00"/>
    <n v="7"/>
    <x v="2"/>
    <x v="1"/>
    <n v="5"/>
    <n v="4"/>
    <n v="1"/>
    <n v="2"/>
    <n v="4"/>
    <x v="2"/>
    <n v="2"/>
    <n v="2"/>
    <n v="3"/>
    <n v="5"/>
    <x v="0"/>
    <s v="Online Survey"/>
    <s v="Will visit again"/>
    <x v="2"/>
    <n v="42"/>
    <d v="2023-09-06T00:00:00"/>
    <x v="1"/>
    <x v="2"/>
    <x v="0"/>
  </r>
  <r>
    <n v="1210"/>
    <n v="17612"/>
    <s v="Amy Ray"/>
    <x v="3"/>
    <x v="4"/>
    <x v="589"/>
    <d v="2024-10-03T00:00:00"/>
    <n v="12"/>
    <x v="0"/>
    <x v="4"/>
    <n v="3"/>
    <n v="1"/>
    <n v="3"/>
    <n v="2"/>
    <n v="2"/>
    <x v="4"/>
    <n v="4"/>
    <n v="5"/>
    <n v="2"/>
    <n v="1"/>
    <x v="1"/>
    <s v="In-person"/>
    <s v="Great stay"/>
    <x v="0"/>
    <n v="52"/>
    <d v="2024-12-06T00:00:00"/>
    <x v="2"/>
    <x v="8"/>
    <x v="1"/>
  </r>
  <r>
    <n v="1211"/>
    <n v="19433"/>
    <s v="Paula Shields"/>
    <x v="3"/>
    <x v="2"/>
    <x v="444"/>
    <d v="2024-02-28T00:00:00"/>
    <n v="6"/>
    <x v="0"/>
    <x v="1"/>
    <n v="2"/>
    <n v="5"/>
    <n v="3"/>
    <n v="4"/>
    <n v="3"/>
    <x v="4"/>
    <n v="5"/>
    <n v="3"/>
    <n v="3"/>
    <n v="3"/>
    <x v="1"/>
    <s v="App Review"/>
    <s v="Needs improvement"/>
    <x v="2"/>
    <n v="64"/>
    <d v="2024-02-28T00:00:00"/>
    <x v="2"/>
    <x v="10"/>
    <x v="0"/>
  </r>
  <r>
    <n v="1212"/>
    <n v="10946"/>
    <s v="Kim Robinson"/>
    <x v="1"/>
    <x v="0"/>
    <x v="153"/>
    <d v="2024-04-12T00:00:00"/>
    <n v="13"/>
    <x v="0"/>
    <x v="2"/>
    <n v="3"/>
    <n v="1"/>
    <n v="3"/>
    <n v="1"/>
    <n v="3"/>
    <x v="3"/>
    <n v="3"/>
    <n v="5"/>
    <n v="2"/>
    <n v="4"/>
    <x v="0"/>
    <s v="Email"/>
    <s v="Poor service"/>
    <x v="1"/>
    <n v="28"/>
    <d v="2024-06-01T00:00:00"/>
    <x v="3"/>
    <x v="4"/>
    <x v="1"/>
  </r>
  <r>
    <n v="1213"/>
    <n v="54107"/>
    <s v="Tonya Jackson"/>
    <x v="2"/>
    <x v="2"/>
    <x v="259"/>
    <d v="2023-09-05T00:00:00"/>
    <n v="4"/>
    <x v="3"/>
    <x v="2"/>
    <n v="1"/>
    <n v="4"/>
    <n v="3"/>
    <n v="4"/>
    <n v="2"/>
    <x v="3"/>
    <n v="5"/>
    <n v="5"/>
    <n v="1"/>
    <n v="5"/>
    <x v="1"/>
    <s v="In-person"/>
    <s v="Poor service"/>
    <x v="0"/>
    <n v="58"/>
    <d v="2024-05-29T00:00:00"/>
    <x v="2"/>
    <x v="13"/>
    <x v="0"/>
  </r>
  <r>
    <n v="1214"/>
    <n v="11615"/>
    <s v="Jorge Wong"/>
    <x v="0"/>
    <x v="0"/>
    <x v="15"/>
    <d v="2024-03-03T00:00:00"/>
    <n v="6"/>
    <x v="1"/>
    <x v="4"/>
    <n v="2"/>
    <n v="5"/>
    <n v="5"/>
    <n v="2"/>
    <n v="1"/>
    <x v="1"/>
    <n v="1"/>
    <n v="5"/>
    <n v="5"/>
    <n v="1"/>
    <x v="0"/>
    <s v="Online Survey"/>
    <s v="Needs improvement"/>
    <x v="0"/>
    <n v="60"/>
    <d v="2024-12-11T00:00:00"/>
    <x v="2"/>
    <x v="10"/>
    <x v="0"/>
  </r>
  <r>
    <n v="1215"/>
    <n v="88387"/>
    <s v="Natalie Gomez"/>
    <x v="4"/>
    <x v="0"/>
    <x v="446"/>
    <d v="2024-05-28T00:00:00"/>
    <n v="13"/>
    <x v="1"/>
    <x v="0"/>
    <n v="4"/>
    <n v="5"/>
    <n v="5"/>
    <n v="4"/>
    <n v="1"/>
    <x v="1"/>
    <n v="2"/>
    <n v="5"/>
    <n v="5"/>
    <n v="5"/>
    <x v="0"/>
    <s v="Email"/>
    <s v="Will visit again"/>
    <x v="1"/>
    <n v="23"/>
    <d v="2024-05-28T00:00:00"/>
    <x v="0"/>
    <x v="23"/>
    <x v="2"/>
  </r>
  <r>
    <n v="1216"/>
    <n v="83790"/>
    <s v="Rose Mills"/>
    <x v="1"/>
    <x v="2"/>
    <x v="179"/>
    <d v="2024-07-09T00:00:00"/>
    <n v="11"/>
    <x v="1"/>
    <x v="3"/>
    <n v="3"/>
    <n v="5"/>
    <n v="1"/>
    <n v="3"/>
    <n v="1"/>
    <x v="3"/>
    <n v="5"/>
    <n v="3"/>
    <n v="3"/>
    <n v="4"/>
    <x v="0"/>
    <s v="Feedback Form"/>
    <s v="Needs improvement"/>
    <x v="1"/>
    <n v="59"/>
    <d v="2024-07-09T00:00:00"/>
    <x v="2"/>
    <x v="10"/>
    <x v="0"/>
  </r>
  <r>
    <n v="1217"/>
    <n v="97635"/>
    <s v="Ryan Hull"/>
    <x v="1"/>
    <x v="2"/>
    <x v="119"/>
    <d v="2023-08-23T00:00:00"/>
    <n v="6"/>
    <x v="2"/>
    <x v="0"/>
    <n v="3"/>
    <n v="4"/>
    <n v="1"/>
    <n v="5"/>
    <n v="3"/>
    <x v="1"/>
    <n v="3"/>
    <n v="1"/>
    <n v="2"/>
    <n v="1"/>
    <x v="0"/>
    <s v="Online Survey"/>
    <s v="Average"/>
    <x v="2"/>
    <n v="59"/>
    <d v="2024-08-11T00:00:00"/>
    <x v="2"/>
    <x v="3"/>
    <x v="1"/>
  </r>
  <r>
    <n v="1218"/>
    <n v="65221"/>
    <s v="Stephanie English"/>
    <x v="1"/>
    <x v="2"/>
    <x v="479"/>
    <d v="2024-04-03T00:00:00"/>
    <n v="5"/>
    <x v="1"/>
    <x v="3"/>
    <n v="5"/>
    <n v="3"/>
    <n v="1"/>
    <n v="3"/>
    <n v="1"/>
    <x v="3"/>
    <n v="5"/>
    <n v="1"/>
    <n v="5"/>
    <n v="5"/>
    <x v="0"/>
    <s v="Feedback Form"/>
    <s v="Average"/>
    <x v="2"/>
    <n v="67"/>
    <d v="2024-09-05T00:00:00"/>
    <x v="2"/>
    <x v="1"/>
    <x v="0"/>
  </r>
  <r>
    <n v="1219"/>
    <n v="43161"/>
    <s v="Tamara Giles"/>
    <x v="0"/>
    <x v="0"/>
    <x v="585"/>
    <d v="2024-04-21T00:00:00"/>
    <n v="1"/>
    <x v="2"/>
    <x v="1"/>
    <n v="5"/>
    <n v="4"/>
    <n v="3"/>
    <n v="3"/>
    <n v="4"/>
    <x v="0"/>
    <n v="1"/>
    <n v="4"/>
    <n v="5"/>
    <n v="1"/>
    <x v="1"/>
    <s v="App Review"/>
    <s v="Great stay"/>
    <x v="0"/>
    <n v="62"/>
    <d v="2024-04-21T00:00:00"/>
    <x v="2"/>
    <x v="1"/>
    <x v="0"/>
  </r>
  <r>
    <n v="1220"/>
    <n v="42598"/>
    <s v="Mrs. Wanda Bryant"/>
    <x v="4"/>
    <x v="2"/>
    <x v="303"/>
    <d v="2024-04-20T00:00:00"/>
    <n v="3"/>
    <x v="3"/>
    <x v="1"/>
    <n v="2"/>
    <n v="2"/>
    <n v="4"/>
    <n v="5"/>
    <n v="1"/>
    <x v="1"/>
    <n v="1"/>
    <n v="4"/>
    <n v="3"/>
    <n v="1"/>
    <x v="0"/>
    <s v="Feedback Form"/>
    <s v="Great stay"/>
    <x v="2"/>
    <n v="34"/>
    <d v="2024-07-31T00:00:00"/>
    <x v="3"/>
    <x v="3"/>
    <x v="1"/>
  </r>
  <r>
    <n v="1221"/>
    <n v="99454"/>
    <s v="John Price"/>
    <x v="4"/>
    <x v="1"/>
    <x v="132"/>
    <d v="2024-08-16T00:00:00"/>
    <n v="7"/>
    <x v="1"/>
    <x v="2"/>
    <n v="4"/>
    <n v="3"/>
    <n v="3"/>
    <n v="1"/>
    <n v="1"/>
    <x v="3"/>
    <n v="5"/>
    <n v="2"/>
    <n v="3"/>
    <n v="4"/>
    <x v="1"/>
    <s v="Feedback Form"/>
    <s v="Average"/>
    <x v="2"/>
    <n v="53"/>
    <d v="2024-08-16T00:00:00"/>
    <x v="2"/>
    <x v="2"/>
    <x v="0"/>
  </r>
  <r>
    <n v="1222"/>
    <n v="85229"/>
    <s v="Courtney Gibson"/>
    <x v="3"/>
    <x v="3"/>
    <x v="590"/>
    <d v="2024-09-27T00:00:00"/>
    <n v="2"/>
    <x v="2"/>
    <x v="0"/>
    <n v="5"/>
    <n v="4"/>
    <n v="4"/>
    <n v="5"/>
    <n v="3"/>
    <x v="0"/>
    <n v="3"/>
    <n v="1"/>
    <n v="3"/>
    <n v="1"/>
    <x v="1"/>
    <s v="App Review"/>
    <s v="Needs improvement"/>
    <x v="2"/>
    <n v="35"/>
    <d v="2024-09-27T00:00:00"/>
    <x v="3"/>
    <x v="10"/>
    <x v="0"/>
  </r>
  <r>
    <n v="1223"/>
    <n v="90690"/>
    <s v="Lisa Allen"/>
    <x v="3"/>
    <x v="3"/>
    <x v="591"/>
    <d v="2024-06-15T00:00:00"/>
    <n v="10"/>
    <x v="3"/>
    <x v="4"/>
    <n v="3"/>
    <n v="2"/>
    <n v="1"/>
    <n v="1"/>
    <n v="5"/>
    <x v="1"/>
    <n v="5"/>
    <n v="5"/>
    <n v="4"/>
    <n v="3"/>
    <x v="0"/>
    <s v="App Review"/>
    <s v="Great stay"/>
    <x v="0"/>
    <n v="50"/>
    <d v="2024-12-12T00:00:00"/>
    <x v="1"/>
    <x v="13"/>
    <x v="0"/>
  </r>
  <r>
    <n v="1224"/>
    <n v="10388"/>
    <s v="Michael Martin"/>
    <x v="2"/>
    <x v="1"/>
    <x v="79"/>
    <d v="2024-04-25T00:00:00"/>
    <n v="10"/>
    <x v="3"/>
    <x v="3"/>
    <n v="2"/>
    <n v="1"/>
    <n v="3"/>
    <n v="2"/>
    <n v="4"/>
    <x v="4"/>
    <n v="2"/>
    <n v="4"/>
    <n v="1"/>
    <n v="5"/>
    <x v="1"/>
    <s v="Feedback Form"/>
    <s v="Needs improvement"/>
    <x v="2"/>
    <n v="35"/>
    <d v="2024-04-25T00:00:00"/>
    <x v="3"/>
    <x v="14"/>
    <x v="1"/>
  </r>
  <r>
    <n v="1225"/>
    <n v="59739"/>
    <s v="Laura Roberts"/>
    <x v="1"/>
    <x v="3"/>
    <x v="592"/>
    <d v="2023-07-14T00:00:00"/>
    <n v="1"/>
    <x v="2"/>
    <x v="1"/>
    <n v="5"/>
    <n v="2"/>
    <n v="1"/>
    <n v="4"/>
    <n v="3"/>
    <x v="3"/>
    <n v="3"/>
    <n v="5"/>
    <n v="1"/>
    <n v="2"/>
    <x v="1"/>
    <s v="Email"/>
    <s v="Great stay"/>
    <x v="2"/>
    <n v="24"/>
    <d v="2024-11-04T00:00:00"/>
    <x v="0"/>
    <x v="2"/>
    <x v="0"/>
  </r>
  <r>
    <n v="1226"/>
    <n v="89437"/>
    <s v="Bethany Clark DDS"/>
    <x v="2"/>
    <x v="0"/>
    <x v="486"/>
    <d v="2024-01-27T00:00:00"/>
    <n v="8"/>
    <x v="3"/>
    <x v="3"/>
    <n v="5"/>
    <n v="5"/>
    <n v="5"/>
    <n v="2"/>
    <n v="4"/>
    <x v="4"/>
    <n v="4"/>
    <n v="2"/>
    <n v="1"/>
    <n v="3"/>
    <x v="1"/>
    <s v="Email"/>
    <s v="Poor service"/>
    <x v="1"/>
    <n v="46"/>
    <d v="2024-01-27T00:00:00"/>
    <x v="1"/>
    <x v="10"/>
    <x v="0"/>
  </r>
  <r>
    <n v="1227"/>
    <n v="39307"/>
    <s v="Michael Alvarado"/>
    <x v="1"/>
    <x v="2"/>
    <x v="320"/>
    <d v="2023-03-18T00:00:00"/>
    <n v="7"/>
    <x v="3"/>
    <x v="4"/>
    <n v="1"/>
    <n v="3"/>
    <n v="1"/>
    <n v="2"/>
    <n v="4"/>
    <x v="1"/>
    <n v="3"/>
    <n v="1"/>
    <n v="2"/>
    <n v="3"/>
    <x v="0"/>
    <s v="In-person"/>
    <s v="Needs improvement"/>
    <x v="0"/>
    <n v="22"/>
    <d v="2023-06-24T00:00:00"/>
    <x v="0"/>
    <x v="14"/>
    <x v="1"/>
  </r>
  <r>
    <n v="1228"/>
    <n v="83205"/>
    <s v="Jacob Schaefer"/>
    <x v="4"/>
    <x v="2"/>
    <x v="389"/>
    <d v="2023-11-12T00:00:00"/>
    <n v="6"/>
    <x v="1"/>
    <x v="3"/>
    <n v="2"/>
    <n v="4"/>
    <n v="3"/>
    <n v="2"/>
    <n v="1"/>
    <x v="0"/>
    <n v="5"/>
    <n v="3"/>
    <n v="2"/>
    <n v="1"/>
    <x v="1"/>
    <s v="In-person"/>
    <s v="Average"/>
    <x v="1"/>
    <n v="33"/>
    <d v="2023-11-12T00:00:00"/>
    <x v="3"/>
    <x v="7"/>
    <x v="1"/>
  </r>
  <r>
    <n v="1229"/>
    <n v="67623"/>
    <s v="Ariana May"/>
    <x v="2"/>
    <x v="2"/>
    <x v="56"/>
    <d v="2024-11-22T00:00:00"/>
    <n v="10"/>
    <x v="2"/>
    <x v="2"/>
    <n v="2"/>
    <n v="4"/>
    <n v="5"/>
    <n v="4"/>
    <n v="4"/>
    <x v="3"/>
    <n v="5"/>
    <n v="2"/>
    <n v="1"/>
    <n v="3"/>
    <x v="1"/>
    <s v="App Review"/>
    <s v="Average"/>
    <x v="0"/>
    <n v="48"/>
    <d v="2024-11-22T00:00:00"/>
    <x v="1"/>
    <x v="13"/>
    <x v="0"/>
  </r>
  <r>
    <n v="1230"/>
    <n v="98628"/>
    <s v="Felicia Thompson"/>
    <x v="4"/>
    <x v="1"/>
    <x v="100"/>
    <d v="2024-05-16T00:00:00"/>
    <n v="5"/>
    <x v="3"/>
    <x v="4"/>
    <n v="4"/>
    <n v="5"/>
    <n v="5"/>
    <n v="1"/>
    <n v="1"/>
    <x v="0"/>
    <n v="4"/>
    <n v="3"/>
    <n v="3"/>
    <n v="3"/>
    <x v="1"/>
    <s v="Online Survey"/>
    <s v="Great stay"/>
    <x v="1"/>
    <n v="22"/>
    <d v="2024-05-16T00:00:00"/>
    <x v="0"/>
    <x v="10"/>
    <x v="0"/>
  </r>
  <r>
    <n v="1231"/>
    <n v="70816"/>
    <s v="Belinda Wilson"/>
    <x v="3"/>
    <x v="1"/>
    <x v="105"/>
    <d v="2024-09-10T00:00:00"/>
    <n v="6"/>
    <x v="0"/>
    <x v="4"/>
    <n v="5"/>
    <n v="3"/>
    <n v="4"/>
    <n v="5"/>
    <n v="4"/>
    <x v="4"/>
    <n v="1"/>
    <n v="1"/>
    <n v="4"/>
    <n v="3"/>
    <x v="0"/>
    <s v="Feedback Form"/>
    <s v="Needs improvement"/>
    <x v="1"/>
    <n v="27"/>
    <d v="2024-12-07T00:00:00"/>
    <x v="3"/>
    <x v="0"/>
    <x v="0"/>
  </r>
  <r>
    <n v="1232"/>
    <n v="74885"/>
    <s v="Drew Murray"/>
    <x v="4"/>
    <x v="0"/>
    <x v="545"/>
    <d v="2024-08-29T00:00:00"/>
    <n v="1"/>
    <x v="0"/>
    <x v="3"/>
    <n v="2"/>
    <n v="3"/>
    <n v="2"/>
    <n v="1"/>
    <n v="5"/>
    <x v="3"/>
    <n v="5"/>
    <n v="3"/>
    <n v="1"/>
    <n v="1"/>
    <x v="1"/>
    <s v="App Review"/>
    <s v="Will visit again"/>
    <x v="1"/>
    <n v="46"/>
    <d v="2024-08-29T00:00:00"/>
    <x v="1"/>
    <x v="5"/>
    <x v="1"/>
  </r>
  <r>
    <n v="1233"/>
    <n v="55241"/>
    <s v="Cody Zamora"/>
    <x v="0"/>
    <x v="1"/>
    <x v="476"/>
    <d v="2024-10-11T00:00:00"/>
    <n v="12"/>
    <x v="3"/>
    <x v="3"/>
    <n v="4"/>
    <n v="5"/>
    <n v="5"/>
    <n v="1"/>
    <n v="4"/>
    <x v="4"/>
    <n v="1"/>
    <n v="1"/>
    <n v="3"/>
    <n v="3"/>
    <x v="1"/>
    <s v="App Review"/>
    <s v="Average"/>
    <x v="1"/>
    <n v="46"/>
    <d v="2024-10-11T00:00:00"/>
    <x v="1"/>
    <x v="3"/>
    <x v="1"/>
  </r>
  <r>
    <n v="1234"/>
    <n v="62137"/>
    <s v="Lynn Phillips"/>
    <x v="2"/>
    <x v="2"/>
    <x v="593"/>
    <d v="2024-10-19T00:00:00"/>
    <n v="9"/>
    <x v="1"/>
    <x v="1"/>
    <n v="5"/>
    <n v="3"/>
    <n v="2"/>
    <n v="3"/>
    <n v="2"/>
    <x v="4"/>
    <n v="1"/>
    <n v="5"/>
    <n v="5"/>
    <n v="2"/>
    <x v="0"/>
    <s v="App Review"/>
    <s v="Average"/>
    <x v="2"/>
    <n v="33"/>
    <d v="2024-10-19T00:00:00"/>
    <x v="3"/>
    <x v="4"/>
    <x v="1"/>
  </r>
  <r>
    <n v="1235"/>
    <n v="31014"/>
    <s v="Sharon Miller"/>
    <x v="1"/>
    <x v="0"/>
    <x v="188"/>
    <d v="2024-05-23T00:00:00"/>
    <n v="1"/>
    <x v="0"/>
    <x v="3"/>
    <n v="3"/>
    <n v="5"/>
    <n v="1"/>
    <n v="4"/>
    <n v="1"/>
    <x v="0"/>
    <n v="2"/>
    <n v="2"/>
    <n v="4"/>
    <n v="3"/>
    <x v="1"/>
    <s v="Email"/>
    <s v="Needs improvement"/>
    <x v="2"/>
    <n v="21"/>
    <d v="2024-05-23T00:00:00"/>
    <x v="0"/>
    <x v="3"/>
    <x v="1"/>
  </r>
  <r>
    <n v="1236"/>
    <n v="44198"/>
    <s v="Jessica Yates"/>
    <x v="4"/>
    <x v="0"/>
    <x v="391"/>
    <d v="2024-01-02T00:00:00"/>
    <n v="4"/>
    <x v="1"/>
    <x v="4"/>
    <n v="1"/>
    <n v="2"/>
    <n v="1"/>
    <n v="1"/>
    <n v="5"/>
    <x v="1"/>
    <n v="1"/>
    <n v="5"/>
    <n v="2"/>
    <n v="1"/>
    <x v="1"/>
    <s v="Online Survey"/>
    <s v="Needs improvement"/>
    <x v="2"/>
    <n v="18"/>
    <d v="2024-01-02T00:00:00"/>
    <x v="0"/>
    <x v="8"/>
    <x v="1"/>
  </r>
  <r>
    <n v="1237"/>
    <n v="24309"/>
    <s v="Makayla Glover"/>
    <x v="2"/>
    <x v="2"/>
    <x v="275"/>
    <d v="2024-06-15T00:00:00"/>
    <n v="13"/>
    <x v="3"/>
    <x v="3"/>
    <n v="4"/>
    <n v="5"/>
    <n v="5"/>
    <n v="1"/>
    <n v="1"/>
    <x v="4"/>
    <n v="3"/>
    <n v="1"/>
    <n v="5"/>
    <n v="1"/>
    <x v="1"/>
    <s v="Email"/>
    <s v="Great stay"/>
    <x v="1"/>
    <n v="25"/>
    <d v="2024-06-15T00:00:00"/>
    <x v="0"/>
    <x v="5"/>
    <x v="1"/>
  </r>
  <r>
    <n v="1238"/>
    <n v="39925"/>
    <s v="Michael Tanner"/>
    <x v="1"/>
    <x v="4"/>
    <x v="175"/>
    <d v="2024-12-23T00:00:00"/>
    <n v="3"/>
    <x v="2"/>
    <x v="1"/>
    <n v="1"/>
    <n v="4"/>
    <n v="4"/>
    <n v="2"/>
    <n v="5"/>
    <x v="4"/>
    <n v="1"/>
    <n v="1"/>
    <n v="5"/>
    <n v="4"/>
    <x v="0"/>
    <s v="In-person"/>
    <s v="Will visit again"/>
    <x v="0"/>
    <n v="45"/>
    <d v="2024-12-23T00:00:00"/>
    <x v="1"/>
    <x v="3"/>
    <x v="1"/>
  </r>
  <r>
    <n v="1239"/>
    <n v="26176"/>
    <s v="Alexander Garcia"/>
    <x v="2"/>
    <x v="2"/>
    <x v="246"/>
    <d v="2024-08-17T00:00:00"/>
    <n v="4"/>
    <x v="3"/>
    <x v="0"/>
    <n v="3"/>
    <n v="1"/>
    <n v="1"/>
    <n v="3"/>
    <n v="1"/>
    <x v="2"/>
    <n v="2"/>
    <n v="5"/>
    <n v="5"/>
    <n v="4"/>
    <x v="0"/>
    <s v="App Review"/>
    <s v="Average"/>
    <x v="0"/>
    <n v="18"/>
    <d v="2024-08-17T00:00:00"/>
    <x v="0"/>
    <x v="5"/>
    <x v="1"/>
  </r>
  <r>
    <n v="1240"/>
    <n v="96911"/>
    <s v="Lisa Rangel"/>
    <x v="2"/>
    <x v="0"/>
    <x v="500"/>
    <d v="2023-11-04T00:00:00"/>
    <n v="1"/>
    <x v="3"/>
    <x v="2"/>
    <n v="2"/>
    <n v="2"/>
    <n v="2"/>
    <n v="5"/>
    <n v="2"/>
    <x v="0"/>
    <n v="5"/>
    <n v="5"/>
    <n v="3"/>
    <n v="2"/>
    <x v="1"/>
    <s v="Email"/>
    <s v="Needs improvement"/>
    <x v="1"/>
    <n v="45"/>
    <d v="2023-11-04T00:00:00"/>
    <x v="1"/>
    <x v="0"/>
    <x v="0"/>
  </r>
  <r>
    <n v="1241"/>
    <n v="80603"/>
    <s v="Natasha Harrison"/>
    <x v="0"/>
    <x v="4"/>
    <x v="456"/>
    <d v="2023-08-19T00:00:00"/>
    <n v="10"/>
    <x v="0"/>
    <x v="4"/>
    <n v="5"/>
    <n v="4"/>
    <n v="5"/>
    <n v="3"/>
    <n v="2"/>
    <x v="4"/>
    <n v="5"/>
    <n v="5"/>
    <n v="1"/>
    <n v="5"/>
    <x v="1"/>
    <s v="App Review"/>
    <s v="Average"/>
    <x v="1"/>
    <n v="20"/>
    <d v="2024-10-13T00:00:00"/>
    <x v="0"/>
    <x v="11"/>
    <x v="0"/>
  </r>
  <r>
    <n v="1242"/>
    <n v="28422"/>
    <s v="James Haas"/>
    <x v="4"/>
    <x v="2"/>
    <x v="56"/>
    <d v="2024-12-04T00:00:00"/>
    <n v="4"/>
    <x v="2"/>
    <x v="1"/>
    <n v="2"/>
    <n v="2"/>
    <n v="5"/>
    <n v="2"/>
    <n v="5"/>
    <x v="2"/>
    <n v="4"/>
    <n v="2"/>
    <n v="5"/>
    <n v="4"/>
    <x v="1"/>
    <s v="Online Survey"/>
    <s v="Will visit again"/>
    <x v="2"/>
    <n v="67"/>
    <d v="2024-12-04T00:00:00"/>
    <x v="2"/>
    <x v="1"/>
    <x v="0"/>
  </r>
  <r>
    <n v="1243"/>
    <n v="30517"/>
    <s v="Peggy Schultz"/>
    <x v="0"/>
    <x v="2"/>
    <x v="112"/>
    <d v="2024-06-19T00:00:00"/>
    <n v="4"/>
    <x v="1"/>
    <x v="2"/>
    <n v="1"/>
    <n v="4"/>
    <n v="4"/>
    <n v="2"/>
    <n v="3"/>
    <x v="0"/>
    <n v="1"/>
    <n v="2"/>
    <n v="1"/>
    <n v="3"/>
    <x v="0"/>
    <s v="Feedback Form"/>
    <s v="Poor service"/>
    <x v="1"/>
    <n v="19"/>
    <d v="2024-06-19T00:00:00"/>
    <x v="0"/>
    <x v="8"/>
    <x v="1"/>
  </r>
  <r>
    <n v="1244"/>
    <n v="64503"/>
    <s v="Debra Woods"/>
    <x v="3"/>
    <x v="4"/>
    <x v="308"/>
    <d v="2024-01-01T00:00:00"/>
    <n v="3"/>
    <x v="1"/>
    <x v="3"/>
    <n v="2"/>
    <n v="3"/>
    <n v="5"/>
    <n v="2"/>
    <n v="1"/>
    <x v="3"/>
    <n v="3"/>
    <n v="1"/>
    <n v="5"/>
    <n v="1"/>
    <x v="1"/>
    <s v="Email"/>
    <s v="Poor service"/>
    <x v="2"/>
    <n v="42"/>
    <d v="2024-01-01T00:00:00"/>
    <x v="1"/>
    <x v="5"/>
    <x v="1"/>
  </r>
  <r>
    <n v="1245"/>
    <n v="38514"/>
    <s v="Kristina Stark"/>
    <x v="2"/>
    <x v="4"/>
    <x v="339"/>
    <d v="2024-04-15T00:00:00"/>
    <n v="8"/>
    <x v="2"/>
    <x v="3"/>
    <n v="2"/>
    <n v="5"/>
    <n v="3"/>
    <n v="4"/>
    <n v="3"/>
    <x v="1"/>
    <n v="4"/>
    <n v="4"/>
    <n v="3"/>
    <n v="4"/>
    <x v="0"/>
    <s v="Online Survey"/>
    <s v="Will visit again"/>
    <x v="2"/>
    <n v="54"/>
    <d v="2024-04-15T00:00:00"/>
    <x v="2"/>
    <x v="16"/>
    <x v="0"/>
  </r>
  <r>
    <n v="1246"/>
    <n v="12215"/>
    <s v="Dorothy Johnson"/>
    <x v="4"/>
    <x v="3"/>
    <x v="594"/>
    <d v="2024-07-26T00:00:00"/>
    <n v="7"/>
    <x v="1"/>
    <x v="0"/>
    <n v="4"/>
    <n v="4"/>
    <n v="2"/>
    <n v="2"/>
    <n v="4"/>
    <x v="0"/>
    <n v="4"/>
    <n v="5"/>
    <n v="1"/>
    <n v="1"/>
    <x v="0"/>
    <s v="Feedback Form"/>
    <s v="Needs improvement"/>
    <x v="1"/>
    <n v="28"/>
    <d v="2024-07-26T00:00:00"/>
    <x v="3"/>
    <x v="2"/>
    <x v="0"/>
  </r>
  <r>
    <n v="1247"/>
    <n v="95276"/>
    <s v="Tonya Garcia"/>
    <x v="3"/>
    <x v="4"/>
    <x v="394"/>
    <d v="2024-06-07T00:00:00"/>
    <n v="9"/>
    <x v="0"/>
    <x v="3"/>
    <n v="4"/>
    <n v="4"/>
    <n v="3"/>
    <n v="1"/>
    <n v="2"/>
    <x v="4"/>
    <n v="2"/>
    <n v="3"/>
    <n v="2"/>
    <n v="3"/>
    <x v="1"/>
    <s v="App Review"/>
    <s v="Poor service"/>
    <x v="0"/>
    <n v="63"/>
    <d v="2024-12-23T00:00:00"/>
    <x v="2"/>
    <x v="14"/>
    <x v="1"/>
  </r>
  <r>
    <n v="1248"/>
    <n v="26486"/>
    <s v="Daniel Mata"/>
    <x v="3"/>
    <x v="1"/>
    <x v="351"/>
    <d v="2023-12-13T00:00:00"/>
    <n v="2"/>
    <x v="3"/>
    <x v="2"/>
    <n v="3"/>
    <n v="3"/>
    <n v="3"/>
    <n v="4"/>
    <n v="1"/>
    <x v="2"/>
    <n v="5"/>
    <n v="3"/>
    <n v="4"/>
    <n v="1"/>
    <x v="1"/>
    <s v="Online Survey"/>
    <s v="Needs improvement"/>
    <x v="0"/>
    <n v="35"/>
    <d v="2024-04-13T00:00:00"/>
    <x v="3"/>
    <x v="4"/>
    <x v="1"/>
  </r>
  <r>
    <n v="1249"/>
    <n v="84482"/>
    <s v="Jesse Smith"/>
    <x v="0"/>
    <x v="4"/>
    <x v="595"/>
    <d v="2024-10-17T00:00:00"/>
    <n v="10"/>
    <x v="1"/>
    <x v="1"/>
    <n v="4"/>
    <n v="1"/>
    <n v="2"/>
    <n v="2"/>
    <n v="2"/>
    <x v="2"/>
    <n v="1"/>
    <n v="3"/>
    <n v="5"/>
    <n v="1"/>
    <x v="1"/>
    <s v="In-person"/>
    <s v="Great stay"/>
    <x v="1"/>
    <n v="59"/>
    <d v="2024-10-17T00:00:00"/>
    <x v="2"/>
    <x v="9"/>
    <x v="1"/>
  </r>
  <r>
    <n v="1250"/>
    <n v="22249"/>
    <s v="Sabrina Mack"/>
    <x v="3"/>
    <x v="0"/>
    <x v="293"/>
    <d v="2024-11-30T00:00:00"/>
    <n v="3"/>
    <x v="0"/>
    <x v="0"/>
    <n v="4"/>
    <n v="1"/>
    <n v="5"/>
    <n v="4"/>
    <n v="4"/>
    <x v="3"/>
    <n v="1"/>
    <n v="5"/>
    <n v="5"/>
    <n v="4"/>
    <x v="0"/>
    <s v="Feedback Form"/>
    <s v="Average"/>
    <x v="2"/>
    <n v="56"/>
    <d v="2024-11-30T00:00:00"/>
    <x v="2"/>
    <x v="16"/>
    <x v="0"/>
  </r>
  <r>
    <n v="1251"/>
    <n v="33187"/>
    <s v="Brad Ross"/>
    <x v="1"/>
    <x v="4"/>
    <x v="217"/>
    <d v="2023-09-22T00:00:00"/>
    <n v="6"/>
    <x v="1"/>
    <x v="2"/>
    <n v="4"/>
    <n v="5"/>
    <n v="5"/>
    <n v="1"/>
    <n v="5"/>
    <x v="2"/>
    <n v="5"/>
    <n v="4"/>
    <n v="3"/>
    <n v="1"/>
    <x v="1"/>
    <s v="Feedback Form"/>
    <s v="Great stay"/>
    <x v="2"/>
    <n v="57"/>
    <d v="2024-05-30T00:00:00"/>
    <x v="2"/>
    <x v="18"/>
    <x v="0"/>
  </r>
  <r>
    <n v="1252"/>
    <n v="63613"/>
    <s v="Kelly Sexton"/>
    <x v="1"/>
    <x v="2"/>
    <x v="363"/>
    <d v="2024-05-06T00:00:00"/>
    <n v="2"/>
    <x v="0"/>
    <x v="1"/>
    <n v="4"/>
    <n v="3"/>
    <n v="3"/>
    <n v="2"/>
    <n v="1"/>
    <x v="4"/>
    <n v="2"/>
    <n v="4"/>
    <n v="4"/>
    <n v="3"/>
    <x v="0"/>
    <s v="App Review"/>
    <s v="Poor service"/>
    <x v="0"/>
    <n v="37"/>
    <d v="2024-07-27T00:00:00"/>
    <x v="1"/>
    <x v="5"/>
    <x v="1"/>
  </r>
  <r>
    <n v="1253"/>
    <n v="49064"/>
    <s v="Patrick Garcia"/>
    <x v="1"/>
    <x v="1"/>
    <x v="595"/>
    <d v="2023-12-16T00:00:00"/>
    <n v="13"/>
    <x v="1"/>
    <x v="2"/>
    <n v="3"/>
    <n v="2"/>
    <n v="2"/>
    <n v="2"/>
    <n v="1"/>
    <x v="0"/>
    <n v="2"/>
    <n v="2"/>
    <n v="1"/>
    <n v="2"/>
    <x v="1"/>
    <s v="In-person"/>
    <s v="Poor service"/>
    <x v="2"/>
    <n v="34"/>
    <d v="2024-06-13T00:00:00"/>
    <x v="3"/>
    <x v="15"/>
    <x v="1"/>
  </r>
  <r>
    <n v="1254"/>
    <n v="81998"/>
    <s v="Diane Jones"/>
    <x v="3"/>
    <x v="4"/>
    <x v="596"/>
    <d v="2024-06-07T00:00:00"/>
    <n v="12"/>
    <x v="1"/>
    <x v="3"/>
    <n v="4"/>
    <n v="4"/>
    <n v="1"/>
    <n v="1"/>
    <n v="1"/>
    <x v="3"/>
    <n v="2"/>
    <n v="4"/>
    <n v="5"/>
    <n v="1"/>
    <x v="1"/>
    <s v="Email"/>
    <s v="Needs improvement"/>
    <x v="0"/>
    <n v="24"/>
    <d v="2024-06-07T00:00:00"/>
    <x v="0"/>
    <x v="5"/>
    <x v="1"/>
  </r>
  <r>
    <n v="1255"/>
    <n v="52790"/>
    <s v="Trevor Dixon"/>
    <x v="2"/>
    <x v="1"/>
    <x v="244"/>
    <d v="2024-10-01T00:00:00"/>
    <n v="12"/>
    <x v="2"/>
    <x v="2"/>
    <n v="4"/>
    <n v="5"/>
    <n v="2"/>
    <n v="2"/>
    <n v="5"/>
    <x v="1"/>
    <n v="3"/>
    <n v="3"/>
    <n v="2"/>
    <n v="1"/>
    <x v="1"/>
    <s v="Online Survey"/>
    <s v="Poor service"/>
    <x v="1"/>
    <n v="65"/>
    <d v="2024-10-01T00:00:00"/>
    <x v="2"/>
    <x v="10"/>
    <x v="0"/>
  </r>
  <r>
    <n v="1256"/>
    <n v="87437"/>
    <s v="Lauren Green"/>
    <x v="4"/>
    <x v="3"/>
    <x v="83"/>
    <d v="2024-05-20T00:00:00"/>
    <n v="2"/>
    <x v="2"/>
    <x v="0"/>
    <n v="1"/>
    <n v="1"/>
    <n v="3"/>
    <n v="1"/>
    <n v="2"/>
    <x v="1"/>
    <n v="1"/>
    <n v="3"/>
    <n v="2"/>
    <n v="3"/>
    <x v="1"/>
    <s v="App Review"/>
    <s v="Needs improvement"/>
    <x v="1"/>
    <n v="34"/>
    <d v="2024-09-29T00:00:00"/>
    <x v="3"/>
    <x v="19"/>
    <x v="1"/>
  </r>
  <r>
    <n v="1257"/>
    <n v="56783"/>
    <s v="Eileen Parker"/>
    <x v="1"/>
    <x v="1"/>
    <x v="371"/>
    <d v="2023-10-19T00:00:00"/>
    <n v="10"/>
    <x v="0"/>
    <x v="2"/>
    <n v="4"/>
    <n v="2"/>
    <n v="2"/>
    <n v="2"/>
    <n v="5"/>
    <x v="4"/>
    <n v="2"/>
    <n v="5"/>
    <n v="3"/>
    <n v="5"/>
    <x v="1"/>
    <s v="In-person"/>
    <s v="Will visit again"/>
    <x v="2"/>
    <n v="21"/>
    <d v="2023-11-16T00:00:00"/>
    <x v="0"/>
    <x v="0"/>
    <x v="0"/>
  </r>
  <r>
    <n v="1258"/>
    <n v="75618"/>
    <s v="Douglas Thornton"/>
    <x v="1"/>
    <x v="2"/>
    <x v="210"/>
    <d v="2023-08-28T00:00:00"/>
    <n v="2"/>
    <x v="2"/>
    <x v="4"/>
    <n v="3"/>
    <n v="3"/>
    <n v="2"/>
    <n v="2"/>
    <n v="2"/>
    <x v="3"/>
    <n v="2"/>
    <n v="2"/>
    <n v="5"/>
    <n v="3"/>
    <x v="0"/>
    <s v="Feedback Form"/>
    <s v="Poor service"/>
    <x v="1"/>
    <n v="53"/>
    <d v="2024-09-04T00:00:00"/>
    <x v="2"/>
    <x v="3"/>
    <x v="1"/>
  </r>
  <r>
    <n v="1259"/>
    <n v="52271"/>
    <s v="Laura Ponce"/>
    <x v="1"/>
    <x v="3"/>
    <x v="98"/>
    <d v="2024-09-13T00:00:00"/>
    <n v="12"/>
    <x v="3"/>
    <x v="3"/>
    <n v="3"/>
    <n v="4"/>
    <n v="1"/>
    <n v="3"/>
    <n v="1"/>
    <x v="3"/>
    <n v="5"/>
    <n v="1"/>
    <n v="3"/>
    <n v="4"/>
    <x v="1"/>
    <s v="Feedback Form"/>
    <s v="Will visit again"/>
    <x v="1"/>
    <n v="47"/>
    <d v="2024-09-13T00:00:00"/>
    <x v="1"/>
    <x v="4"/>
    <x v="1"/>
  </r>
  <r>
    <n v="1260"/>
    <n v="34347"/>
    <s v="Tina Cook"/>
    <x v="0"/>
    <x v="4"/>
    <x v="588"/>
    <d v="2024-05-18T00:00:00"/>
    <n v="2"/>
    <x v="2"/>
    <x v="2"/>
    <n v="2"/>
    <n v="4"/>
    <n v="4"/>
    <n v="4"/>
    <n v="5"/>
    <x v="4"/>
    <n v="4"/>
    <n v="2"/>
    <n v="4"/>
    <n v="4"/>
    <x v="0"/>
    <s v="Feedback Form"/>
    <s v="Will visit again"/>
    <x v="2"/>
    <n v="18"/>
    <d v="2024-11-22T00:00:00"/>
    <x v="0"/>
    <x v="13"/>
    <x v="0"/>
  </r>
  <r>
    <n v="1261"/>
    <n v="65142"/>
    <s v="Michael Gardner"/>
    <x v="0"/>
    <x v="1"/>
    <x v="194"/>
    <d v="2023-11-22T00:00:00"/>
    <n v="13"/>
    <x v="0"/>
    <x v="1"/>
    <n v="4"/>
    <n v="1"/>
    <n v="4"/>
    <n v="5"/>
    <n v="4"/>
    <x v="3"/>
    <n v="4"/>
    <n v="1"/>
    <n v="2"/>
    <n v="2"/>
    <x v="1"/>
    <s v="In-person"/>
    <s v="Average"/>
    <x v="2"/>
    <n v="52"/>
    <d v="2023-11-22T00:00:00"/>
    <x v="2"/>
    <x v="0"/>
    <x v="0"/>
  </r>
  <r>
    <n v="1262"/>
    <n v="70683"/>
    <s v="Lisa Brown"/>
    <x v="1"/>
    <x v="3"/>
    <x v="106"/>
    <d v="2024-11-03T00:00:00"/>
    <n v="5"/>
    <x v="2"/>
    <x v="3"/>
    <n v="5"/>
    <n v="1"/>
    <n v="1"/>
    <n v="3"/>
    <n v="5"/>
    <x v="2"/>
    <n v="4"/>
    <n v="2"/>
    <n v="2"/>
    <n v="1"/>
    <x v="1"/>
    <s v="In-person"/>
    <s v="Needs improvement"/>
    <x v="0"/>
    <n v="29"/>
    <d v="2024-12-02T00:00:00"/>
    <x v="3"/>
    <x v="7"/>
    <x v="1"/>
  </r>
  <r>
    <n v="1263"/>
    <n v="81288"/>
    <s v="Benjamin Ball"/>
    <x v="1"/>
    <x v="4"/>
    <x v="597"/>
    <d v="2025-01-02T00:00:00"/>
    <n v="12"/>
    <x v="0"/>
    <x v="1"/>
    <n v="2"/>
    <n v="5"/>
    <n v="2"/>
    <n v="3"/>
    <n v="2"/>
    <x v="2"/>
    <n v="1"/>
    <n v="4"/>
    <n v="3"/>
    <n v="2"/>
    <x v="1"/>
    <s v="Email"/>
    <s v="Will visit again"/>
    <x v="1"/>
    <n v="34"/>
    <d v="2025-01-02T00:00:00"/>
    <x v="3"/>
    <x v="7"/>
    <x v="1"/>
  </r>
  <r>
    <n v="1264"/>
    <n v="70791"/>
    <s v="Breanna Gonzalez"/>
    <x v="0"/>
    <x v="4"/>
    <x v="261"/>
    <d v="2024-11-15T00:00:00"/>
    <n v="14"/>
    <x v="3"/>
    <x v="0"/>
    <n v="3"/>
    <n v="4"/>
    <n v="3"/>
    <n v="4"/>
    <n v="1"/>
    <x v="4"/>
    <n v="3"/>
    <n v="2"/>
    <n v="4"/>
    <n v="2"/>
    <x v="1"/>
    <s v="Online Survey"/>
    <s v="Average"/>
    <x v="1"/>
    <n v="33"/>
    <d v="2024-11-15T00:00:00"/>
    <x v="3"/>
    <x v="5"/>
    <x v="1"/>
  </r>
  <r>
    <n v="1265"/>
    <n v="13668"/>
    <s v="Donald Mckee"/>
    <x v="4"/>
    <x v="1"/>
    <x v="372"/>
    <d v="2024-01-23T00:00:00"/>
    <n v="1"/>
    <x v="0"/>
    <x v="4"/>
    <n v="2"/>
    <n v="4"/>
    <n v="1"/>
    <n v="3"/>
    <n v="2"/>
    <x v="4"/>
    <n v="1"/>
    <n v="5"/>
    <n v="1"/>
    <n v="1"/>
    <x v="1"/>
    <s v="Feedback Form"/>
    <s v="Poor service"/>
    <x v="2"/>
    <n v="45"/>
    <d v="2024-07-22T00:00:00"/>
    <x v="1"/>
    <x v="17"/>
    <x v="1"/>
  </r>
  <r>
    <n v="1266"/>
    <n v="60767"/>
    <s v="Kayla Johns"/>
    <x v="2"/>
    <x v="1"/>
    <x v="307"/>
    <d v="2024-08-29T00:00:00"/>
    <n v="7"/>
    <x v="0"/>
    <x v="2"/>
    <n v="5"/>
    <n v="4"/>
    <n v="4"/>
    <n v="1"/>
    <n v="3"/>
    <x v="2"/>
    <n v="5"/>
    <n v="1"/>
    <n v="4"/>
    <n v="1"/>
    <x v="0"/>
    <s v="Email"/>
    <s v="Poor service"/>
    <x v="1"/>
    <n v="49"/>
    <d v="2024-08-29T00:00:00"/>
    <x v="1"/>
    <x v="2"/>
    <x v="0"/>
  </r>
  <r>
    <n v="1267"/>
    <n v="96166"/>
    <s v="Ronald Orr"/>
    <x v="4"/>
    <x v="3"/>
    <x v="289"/>
    <d v="2024-01-27T00:00:00"/>
    <n v="1"/>
    <x v="3"/>
    <x v="3"/>
    <n v="1"/>
    <n v="4"/>
    <n v="4"/>
    <n v="3"/>
    <n v="1"/>
    <x v="0"/>
    <n v="2"/>
    <n v="4"/>
    <n v="3"/>
    <n v="3"/>
    <x v="1"/>
    <s v="In-person"/>
    <s v="Will visit again"/>
    <x v="0"/>
    <n v="63"/>
    <d v="2024-01-27T00:00:00"/>
    <x v="2"/>
    <x v="3"/>
    <x v="1"/>
  </r>
  <r>
    <n v="1268"/>
    <n v="86531"/>
    <s v="Nathan Davis"/>
    <x v="2"/>
    <x v="1"/>
    <x v="519"/>
    <d v="2023-10-28T00:00:00"/>
    <n v="1"/>
    <x v="3"/>
    <x v="2"/>
    <n v="5"/>
    <n v="2"/>
    <n v="1"/>
    <n v="5"/>
    <n v="4"/>
    <x v="4"/>
    <n v="1"/>
    <n v="4"/>
    <n v="3"/>
    <n v="2"/>
    <x v="1"/>
    <s v="Email"/>
    <s v="Poor service"/>
    <x v="0"/>
    <n v="52"/>
    <d v="2024-02-29T00:00:00"/>
    <x v="2"/>
    <x v="3"/>
    <x v="1"/>
  </r>
  <r>
    <n v="1269"/>
    <n v="44830"/>
    <s v="Brent Zamora"/>
    <x v="3"/>
    <x v="4"/>
    <x v="241"/>
    <d v="2024-12-10T00:00:00"/>
    <n v="5"/>
    <x v="0"/>
    <x v="2"/>
    <n v="2"/>
    <n v="3"/>
    <n v="2"/>
    <n v="1"/>
    <n v="4"/>
    <x v="2"/>
    <n v="4"/>
    <n v="2"/>
    <n v="4"/>
    <n v="2"/>
    <x v="0"/>
    <s v="Feedback Form"/>
    <s v="Needs improvement"/>
    <x v="2"/>
    <n v="36"/>
    <d v="2024-12-10T00:00:00"/>
    <x v="1"/>
    <x v="7"/>
    <x v="1"/>
  </r>
  <r>
    <n v="1270"/>
    <n v="51739"/>
    <s v="Thomas Cain"/>
    <x v="3"/>
    <x v="2"/>
    <x v="311"/>
    <d v="2024-07-17T00:00:00"/>
    <n v="7"/>
    <x v="1"/>
    <x v="3"/>
    <n v="4"/>
    <n v="2"/>
    <n v="5"/>
    <n v="4"/>
    <n v="3"/>
    <x v="0"/>
    <n v="3"/>
    <n v="4"/>
    <n v="3"/>
    <n v="4"/>
    <x v="0"/>
    <s v="Online Survey"/>
    <s v="Poor service"/>
    <x v="1"/>
    <n v="46"/>
    <d v="2024-07-17T00:00:00"/>
    <x v="1"/>
    <x v="18"/>
    <x v="0"/>
  </r>
  <r>
    <n v="1271"/>
    <n v="60210"/>
    <s v="Erik Wilson"/>
    <x v="4"/>
    <x v="3"/>
    <x v="489"/>
    <d v="2023-12-30T00:00:00"/>
    <n v="3"/>
    <x v="1"/>
    <x v="4"/>
    <n v="1"/>
    <n v="3"/>
    <n v="3"/>
    <n v="4"/>
    <n v="2"/>
    <x v="0"/>
    <n v="5"/>
    <n v="3"/>
    <n v="2"/>
    <n v="2"/>
    <x v="1"/>
    <s v="Email"/>
    <s v="Great stay"/>
    <x v="0"/>
    <n v="46"/>
    <d v="2024-02-17T00:00:00"/>
    <x v="1"/>
    <x v="3"/>
    <x v="1"/>
  </r>
  <r>
    <n v="1272"/>
    <n v="45166"/>
    <s v="Emily Powers"/>
    <x v="0"/>
    <x v="2"/>
    <x v="325"/>
    <d v="2024-04-18T00:00:00"/>
    <n v="7"/>
    <x v="0"/>
    <x v="4"/>
    <n v="5"/>
    <n v="2"/>
    <n v="5"/>
    <n v="4"/>
    <n v="4"/>
    <x v="2"/>
    <n v="2"/>
    <n v="3"/>
    <n v="3"/>
    <n v="3"/>
    <x v="0"/>
    <s v="In-person"/>
    <s v="Poor service"/>
    <x v="1"/>
    <n v="68"/>
    <d v="2024-07-04T00:00:00"/>
    <x v="2"/>
    <x v="1"/>
    <x v="0"/>
  </r>
  <r>
    <n v="1273"/>
    <n v="21196"/>
    <s v="Joshua Carpenter"/>
    <x v="1"/>
    <x v="2"/>
    <x v="200"/>
    <d v="2024-06-26T00:00:00"/>
    <n v="9"/>
    <x v="2"/>
    <x v="0"/>
    <n v="4"/>
    <n v="5"/>
    <n v="3"/>
    <n v="1"/>
    <n v="2"/>
    <x v="2"/>
    <n v="3"/>
    <n v="3"/>
    <n v="1"/>
    <n v="5"/>
    <x v="1"/>
    <s v="App Review"/>
    <s v="Will visit again"/>
    <x v="2"/>
    <n v="33"/>
    <d v="2024-08-16T00:00:00"/>
    <x v="3"/>
    <x v="4"/>
    <x v="1"/>
  </r>
  <r>
    <n v="1274"/>
    <n v="28714"/>
    <s v="Nicole Gardner"/>
    <x v="3"/>
    <x v="4"/>
    <x v="257"/>
    <d v="2024-10-22T00:00:00"/>
    <n v="11"/>
    <x v="0"/>
    <x v="3"/>
    <n v="5"/>
    <n v="3"/>
    <n v="5"/>
    <n v="4"/>
    <n v="1"/>
    <x v="3"/>
    <n v="1"/>
    <n v="2"/>
    <n v="2"/>
    <n v="2"/>
    <x v="0"/>
    <s v="App Review"/>
    <s v="Average"/>
    <x v="2"/>
    <n v="21"/>
    <d v="2024-10-22T00:00:00"/>
    <x v="0"/>
    <x v="4"/>
    <x v="1"/>
  </r>
  <r>
    <n v="1275"/>
    <n v="55692"/>
    <s v="Martin Mitchell"/>
    <x v="0"/>
    <x v="2"/>
    <x v="476"/>
    <d v="2024-04-15T00:00:00"/>
    <n v="4"/>
    <x v="0"/>
    <x v="3"/>
    <n v="3"/>
    <n v="4"/>
    <n v="5"/>
    <n v="4"/>
    <n v="5"/>
    <x v="0"/>
    <n v="1"/>
    <n v="1"/>
    <n v="5"/>
    <n v="3"/>
    <x v="1"/>
    <s v="Email"/>
    <s v="Needs improvement"/>
    <x v="1"/>
    <n v="38"/>
    <d v="2024-04-15T00:00:00"/>
    <x v="1"/>
    <x v="13"/>
    <x v="0"/>
  </r>
  <r>
    <n v="1276"/>
    <n v="60911"/>
    <s v="Michael Garcia"/>
    <x v="0"/>
    <x v="0"/>
    <x v="417"/>
    <d v="2023-11-03T00:00:00"/>
    <n v="5"/>
    <x v="2"/>
    <x v="1"/>
    <n v="4"/>
    <n v="3"/>
    <n v="3"/>
    <n v="5"/>
    <n v="1"/>
    <x v="1"/>
    <n v="3"/>
    <n v="2"/>
    <n v="2"/>
    <n v="3"/>
    <x v="1"/>
    <s v="In-person"/>
    <s v="Needs improvement"/>
    <x v="0"/>
    <n v="66"/>
    <d v="2023-11-03T00:00:00"/>
    <x v="2"/>
    <x v="0"/>
    <x v="0"/>
  </r>
  <r>
    <n v="1277"/>
    <n v="55580"/>
    <s v="Beverly Price"/>
    <x v="2"/>
    <x v="3"/>
    <x v="598"/>
    <d v="2024-10-31T00:00:00"/>
    <n v="14"/>
    <x v="3"/>
    <x v="1"/>
    <n v="3"/>
    <n v="4"/>
    <n v="3"/>
    <n v="2"/>
    <n v="2"/>
    <x v="3"/>
    <n v="3"/>
    <n v="5"/>
    <n v="2"/>
    <n v="5"/>
    <x v="1"/>
    <s v="Email"/>
    <s v="Average"/>
    <x v="2"/>
    <n v="68"/>
    <d v="2024-10-31T00:00:00"/>
    <x v="2"/>
    <x v="1"/>
    <x v="0"/>
  </r>
  <r>
    <n v="1278"/>
    <n v="92347"/>
    <s v="Michele Lee"/>
    <x v="3"/>
    <x v="4"/>
    <x v="349"/>
    <d v="2024-03-10T00:00:00"/>
    <n v="8"/>
    <x v="0"/>
    <x v="1"/>
    <n v="1"/>
    <n v="5"/>
    <n v="4"/>
    <n v="2"/>
    <n v="3"/>
    <x v="3"/>
    <n v="2"/>
    <n v="4"/>
    <n v="2"/>
    <n v="3"/>
    <x v="1"/>
    <s v="Email"/>
    <s v="Needs improvement"/>
    <x v="1"/>
    <n v="61"/>
    <d v="2024-11-20T00:00:00"/>
    <x v="2"/>
    <x v="2"/>
    <x v="0"/>
  </r>
  <r>
    <n v="1279"/>
    <n v="97297"/>
    <s v="John Hendrix"/>
    <x v="4"/>
    <x v="1"/>
    <x v="449"/>
    <d v="2024-11-24T00:00:00"/>
    <n v="9"/>
    <x v="1"/>
    <x v="4"/>
    <n v="1"/>
    <n v="3"/>
    <n v="2"/>
    <n v="2"/>
    <n v="1"/>
    <x v="0"/>
    <n v="4"/>
    <n v="3"/>
    <n v="4"/>
    <n v="4"/>
    <x v="1"/>
    <s v="App Review"/>
    <s v="Will visit again"/>
    <x v="1"/>
    <n v="18"/>
    <d v="2024-11-24T00:00:00"/>
    <x v="0"/>
    <x v="5"/>
    <x v="1"/>
  </r>
  <r>
    <n v="1280"/>
    <n v="64181"/>
    <s v="Fred Spencer"/>
    <x v="0"/>
    <x v="4"/>
    <x v="567"/>
    <d v="2023-04-23T00:00:00"/>
    <n v="5"/>
    <x v="3"/>
    <x v="0"/>
    <n v="1"/>
    <n v="1"/>
    <n v="2"/>
    <n v="4"/>
    <n v="4"/>
    <x v="0"/>
    <n v="3"/>
    <n v="2"/>
    <n v="5"/>
    <n v="5"/>
    <x v="1"/>
    <s v="Email"/>
    <s v="Will visit again"/>
    <x v="0"/>
    <n v="36"/>
    <d v="2024-01-21T00:00:00"/>
    <x v="1"/>
    <x v="2"/>
    <x v="0"/>
  </r>
  <r>
    <n v="1281"/>
    <n v="63028"/>
    <s v="Mercedes Romero"/>
    <x v="4"/>
    <x v="1"/>
    <x v="599"/>
    <d v="2024-06-18T00:00:00"/>
    <n v="12"/>
    <x v="3"/>
    <x v="0"/>
    <n v="1"/>
    <n v="4"/>
    <n v="4"/>
    <n v="1"/>
    <n v="1"/>
    <x v="0"/>
    <n v="2"/>
    <n v="2"/>
    <n v="1"/>
    <n v="4"/>
    <x v="0"/>
    <s v="App Review"/>
    <s v="Average"/>
    <x v="2"/>
    <n v="68"/>
    <d v="2024-06-18T00:00:00"/>
    <x v="2"/>
    <x v="9"/>
    <x v="1"/>
  </r>
  <r>
    <n v="1282"/>
    <n v="37066"/>
    <s v="Cynthia Steele"/>
    <x v="4"/>
    <x v="4"/>
    <x v="75"/>
    <d v="2024-07-02T00:00:00"/>
    <n v="5"/>
    <x v="0"/>
    <x v="2"/>
    <n v="3"/>
    <n v="3"/>
    <n v="5"/>
    <n v="4"/>
    <n v="1"/>
    <x v="4"/>
    <n v="3"/>
    <n v="4"/>
    <n v="2"/>
    <n v="2"/>
    <x v="1"/>
    <s v="In-person"/>
    <s v="Will visit again"/>
    <x v="1"/>
    <n v="69"/>
    <d v="2024-08-07T00:00:00"/>
    <x v="2"/>
    <x v="3"/>
    <x v="1"/>
  </r>
  <r>
    <n v="1283"/>
    <n v="74631"/>
    <s v="Tabitha Maldonado"/>
    <x v="3"/>
    <x v="0"/>
    <x v="520"/>
    <d v="2023-10-19T00:00:00"/>
    <n v="2"/>
    <x v="1"/>
    <x v="0"/>
    <n v="3"/>
    <n v="2"/>
    <n v="3"/>
    <n v="2"/>
    <n v="1"/>
    <x v="2"/>
    <n v="3"/>
    <n v="2"/>
    <n v="4"/>
    <n v="2"/>
    <x v="0"/>
    <s v="In-person"/>
    <s v="Great stay"/>
    <x v="2"/>
    <n v="61"/>
    <d v="2023-10-19T00:00:00"/>
    <x v="2"/>
    <x v="8"/>
    <x v="1"/>
  </r>
  <r>
    <n v="1284"/>
    <n v="53281"/>
    <s v="Dana Rojas"/>
    <x v="4"/>
    <x v="3"/>
    <x v="181"/>
    <d v="2024-01-15T00:00:00"/>
    <n v="9"/>
    <x v="2"/>
    <x v="1"/>
    <n v="2"/>
    <n v="3"/>
    <n v="1"/>
    <n v="5"/>
    <n v="3"/>
    <x v="2"/>
    <n v="4"/>
    <n v="3"/>
    <n v="3"/>
    <n v="3"/>
    <x v="1"/>
    <s v="In-person"/>
    <s v="Will visit again"/>
    <x v="2"/>
    <n v="43"/>
    <d v="2024-01-15T00:00:00"/>
    <x v="1"/>
    <x v="4"/>
    <x v="1"/>
  </r>
  <r>
    <n v="1285"/>
    <n v="59711"/>
    <s v="Jacob Mendoza"/>
    <x v="4"/>
    <x v="2"/>
    <x v="370"/>
    <d v="2024-05-11T00:00:00"/>
    <n v="13"/>
    <x v="2"/>
    <x v="3"/>
    <n v="2"/>
    <n v="4"/>
    <n v="5"/>
    <n v="4"/>
    <n v="2"/>
    <x v="2"/>
    <n v="2"/>
    <n v="4"/>
    <n v="5"/>
    <n v="3"/>
    <x v="1"/>
    <s v="App Review"/>
    <s v="Needs improvement"/>
    <x v="2"/>
    <n v="29"/>
    <d v="2024-12-07T00:00:00"/>
    <x v="3"/>
    <x v="1"/>
    <x v="0"/>
  </r>
  <r>
    <n v="1286"/>
    <n v="80977"/>
    <s v="James Marks"/>
    <x v="1"/>
    <x v="4"/>
    <x v="249"/>
    <d v="2024-10-06T00:00:00"/>
    <n v="6"/>
    <x v="2"/>
    <x v="2"/>
    <n v="3"/>
    <n v="1"/>
    <n v="2"/>
    <n v="4"/>
    <n v="3"/>
    <x v="0"/>
    <n v="1"/>
    <n v="1"/>
    <n v="1"/>
    <n v="5"/>
    <x v="0"/>
    <s v="Feedback Form"/>
    <s v="Average"/>
    <x v="1"/>
    <n v="34"/>
    <d v="2024-12-10T00:00:00"/>
    <x v="3"/>
    <x v="8"/>
    <x v="1"/>
  </r>
  <r>
    <n v="1287"/>
    <n v="57024"/>
    <s v="Mitchell Gonzales"/>
    <x v="4"/>
    <x v="3"/>
    <x v="232"/>
    <d v="2023-11-27T00:00:00"/>
    <n v="5"/>
    <x v="1"/>
    <x v="4"/>
    <n v="1"/>
    <n v="1"/>
    <n v="3"/>
    <n v="4"/>
    <n v="4"/>
    <x v="3"/>
    <n v="2"/>
    <n v="3"/>
    <n v="5"/>
    <n v="2"/>
    <x v="0"/>
    <s v="Feedback Form"/>
    <s v="Great stay"/>
    <x v="1"/>
    <n v="54"/>
    <d v="2024-04-07T00:00:00"/>
    <x v="2"/>
    <x v="4"/>
    <x v="1"/>
  </r>
  <r>
    <n v="1288"/>
    <n v="61769"/>
    <s v="Charles Frank"/>
    <x v="1"/>
    <x v="3"/>
    <x v="496"/>
    <d v="2024-02-22T00:00:00"/>
    <n v="5"/>
    <x v="3"/>
    <x v="0"/>
    <n v="2"/>
    <n v="2"/>
    <n v="4"/>
    <n v="1"/>
    <n v="2"/>
    <x v="0"/>
    <n v="2"/>
    <n v="5"/>
    <n v="1"/>
    <n v="1"/>
    <x v="0"/>
    <s v="Feedback Form"/>
    <s v="Will visit again"/>
    <x v="0"/>
    <n v="45"/>
    <d v="2024-02-22T00:00:00"/>
    <x v="1"/>
    <x v="9"/>
    <x v="1"/>
  </r>
  <r>
    <n v="1289"/>
    <n v="20146"/>
    <s v="Charles Stephens"/>
    <x v="3"/>
    <x v="3"/>
    <x v="88"/>
    <d v="2024-12-21T00:00:00"/>
    <n v="4"/>
    <x v="3"/>
    <x v="3"/>
    <n v="4"/>
    <n v="5"/>
    <n v="5"/>
    <n v="5"/>
    <n v="4"/>
    <x v="0"/>
    <n v="2"/>
    <n v="5"/>
    <n v="1"/>
    <n v="3"/>
    <x v="1"/>
    <s v="Feedback Form"/>
    <s v="Great stay"/>
    <x v="0"/>
    <n v="53"/>
    <d v="2024-12-21T00:00:00"/>
    <x v="2"/>
    <x v="16"/>
    <x v="0"/>
  </r>
  <r>
    <n v="1290"/>
    <n v="43357"/>
    <s v="Taylor Williams"/>
    <x v="4"/>
    <x v="3"/>
    <x v="307"/>
    <d v="2024-03-01T00:00:00"/>
    <n v="1"/>
    <x v="0"/>
    <x v="1"/>
    <n v="3"/>
    <n v="1"/>
    <n v="1"/>
    <n v="5"/>
    <n v="2"/>
    <x v="3"/>
    <n v="4"/>
    <n v="4"/>
    <n v="3"/>
    <n v="5"/>
    <x v="1"/>
    <s v="In-person"/>
    <s v="Poor service"/>
    <x v="2"/>
    <n v="46"/>
    <d v="2024-03-01T00:00:00"/>
    <x v="1"/>
    <x v="10"/>
    <x v="0"/>
  </r>
  <r>
    <n v="1291"/>
    <n v="65499"/>
    <s v="Kevin Garcia"/>
    <x v="0"/>
    <x v="3"/>
    <x v="600"/>
    <d v="2024-07-24T00:00:00"/>
    <n v="6"/>
    <x v="3"/>
    <x v="4"/>
    <n v="4"/>
    <n v="5"/>
    <n v="5"/>
    <n v="5"/>
    <n v="2"/>
    <x v="1"/>
    <n v="4"/>
    <n v="3"/>
    <n v="1"/>
    <n v="3"/>
    <x v="0"/>
    <s v="Feedback Form"/>
    <s v="Poor service"/>
    <x v="1"/>
    <n v="22"/>
    <d v="2024-07-24T00:00:00"/>
    <x v="0"/>
    <x v="16"/>
    <x v="0"/>
  </r>
  <r>
    <n v="1292"/>
    <n v="26313"/>
    <s v="Kristy Love"/>
    <x v="4"/>
    <x v="2"/>
    <x v="232"/>
    <d v="2024-04-27T00:00:00"/>
    <n v="1"/>
    <x v="3"/>
    <x v="4"/>
    <n v="1"/>
    <n v="4"/>
    <n v="4"/>
    <n v="5"/>
    <n v="1"/>
    <x v="4"/>
    <n v="5"/>
    <n v="3"/>
    <n v="3"/>
    <n v="5"/>
    <x v="0"/>
    <s v="Email"/>
    <s v="Great stay"/>
    <x v="2"/>
    <n v="55"/>
    <d v="2024-04-27T00:00:00"/>
    <x v="2"/>
    <x v="10"/>
    <x v="0"/>
  </r>
  <r>
    <n v="1293"/>
    <n v="37398"/>
    <s v="Felicia Montgomery"/>
    <x v="1"/>
    <x v="2"/>
    <x v="283"/>
    <d v="2024-08-24T00:00:00"/>
    <n v="10"/>
    <x v="2"/>
    <x v="0"/>
    <n v="3"/>
    <n v="3"/>
    <n v="1"/>
    <n v="2"/>
    <n v="1"/>
    <x v="1"/>
    <n v="1"/>
    <n v="3"/>
    <n v="2"/>
    <n v="2"/>
    <x v="1"/>
    <s v="App Review"/>
    <s v="Poor service"/>
    <x v="1"/>
    <n v="20"/>
    <d v="2024-08-24T00:00:00"/>
    <x v="0"/>
    <x v="9"/>
    <x v="1"/>
  </r>
  <r>
    <n v="1294"/>
    <n v="19324"/>
    <s v="Gina Stone"/>
    <x v="0"/>
    <x v="4"/>
    <x v="119"/>
    <d v="2023-12-25T00:00:00"/>
    <n v="2"/>
    <x v="2"/>
    <x v="3"/>
    <n v="2"/>
    <n v="5"/>
    <n v="5"/>
    <n v="4"/>
    <n v="3"/>
    <x v="0"/>
    <n v="4"/>
    <n v="5"/>
    <n v="5"/>
    <n v="3"/>
    <x v="1"/>
    <s v="Feedback Form"/>
    <s v="Poor service"/>
    <x v="1"/>
    <n v="32"/>
    <d v="2024-04-19T00:00:00"/>
    <x v="3"/>
    <x v="20"/>
    <x v="0"/>
  </r>
  <r>
    <n v="1295"/>
    <n v="17432"/>
    <s v="Frank Carter MD"/>
    <x v="3"/>
    <x v="1"/>
    <x v="245"/>
    <d v="2024-03-13T00:00:00"/>
    <n v="7"/>
    <x v="2"/>
    <x v="1"/>
    <n v="2"/>
    <n v="4"/>
    <n v="4"/>
    <n v="5"/>
    <n v="2"/>
    <x v="2"/>
    <n v="4"/>
    <n v="4"/>
    <n v="1"/>
    <n v="3"/>
    <x v="1"/>
    <s v="In-person"/>
    <s v="Poor service"/>
    <x v="2"/>
    <n v="20"/>
    <d v="2024-03-13T00:00:00"/>
    <x v="0"/>
    <x v="0"/>
    <x v="0"/>
  </r>
  <r>
    <n v="1296"/>
    <n v="30867"/>
    <s v="Andrea Smith"/>
    <x v="2"/>
    <x v="4"/>
    <x v="580"/>
    <d v="2024-12-01T00:00:00"/>
    <n v="13"/>
    <x v="3"/>
    <x v="1"/>
    <n v="4"/>
    <n v="4"/>
    <n v="5"/>
    <n v="3"/>
    <n v="4"/>
    <x v="2"/>
    <n v="2"/>
    <n v="5"/>
    <n v="3"/>
    <n v="1"/>
    <x v="0"/>
    <s v="Feedback Form"/>
    <s v="Average"/>
    <x v="0"/>
    <n v="30"/>
    <d v="2024-12-01T00:00:00"/>
    <x v="3"/>
    <x v="1"/>
    <x v="0"/>
  </r>
  <r>
    <n v="1297"/>
    <n v="44359"/>
    <s v="Dustin Hess"/>
    <x v="2"/>
    <x v="3"/>
    <x v="601"/>
    <d v="2024-09-18T00:00:00"/>
    <n v="1"/>
    <x v="0"/>
    <x v="1"/>
    <n v="3"/>
    <n v="4"/>
    <n v="3"/>
    <n v="3"/>
    <n v="1"/>
    <x v="3"/>
    <n v="2"/>
    <n v="2"/>
    <n v="2"/>
    <n v="2"/>
    <x v="1"/>
    <s v="App Review"/>
    <s v="Average"/>
    <x v="1"/>
    <n v="22"/>
    <d v="2024-09-18T00:00:00"/>
    <x v="0"/>
    <x v="7"/>
    <x v="1"/>
  </r>
  <r>
    <n v="1298"/>
    <n v="79943"/>
    <s v="Lisa Burns"/>
    <x v="1"/>
    <x v="1"/>
    <x v="506"/>
    <d v="2023-11-27T00:00:00"/>
    <n v="8"/>
    <x v="3"/>
    <x v="1"/>
    <n v="1"/>
    <n v="2"/>
    <n v="5"/>
    <n v="2"/>
    <n v="4"/>
    <x v="0"/>
    <n v="3"/>
    <n v="1"/>
    <n v="5"/>
    <n v="5"/>
    <x v="1"/>
    <s v="Online Survey"/>
    <s v="Poor service"/>
    <x v="2"/>
    <n v="38"/>
    <d v="2023-11-27T00:00:00"/>
    <x v="1"/>
    <x v="0"/>
    <x v="0"/>
  </r>
  <r>
    <n v="1299"/>
    <n v="40971"/>
    <s v="Jacob King"/>
    <x v="3"/>
    <x v="4"/>
    <x v="552"/>
    <d v="2024-01-05T00:00:00"/>
    <n v="8"/>
    <x v="0"/>
    <x v="0"/>
    <n v="5"/>
    <n v="2"/>
    <n v="4"/>
    <n v="3"/>
    <n v="1"/>
    <x v="3"/>
    <n v="3"/>
    <n v="5"/>
    <n v="2"/>
    <n v="1"/>
    <x v="1"/>
    <s v="Online Survey"/>
    <s v="Needs improvement"/>
    <x v="0"/>
    <n v="58"/>
    <d v="2024-09-11T00:00:00"/>
    <x v="2"/>
    <x v="2"/>
    <x v="0"/>
  </r>
  <r>
    <n v="1300"/>
    <n v="60759"/>
    <s v="Lori Molina"/>
    <x v="3"/>
    <x v="1"/>
    <x v="253"/>
    <d v="2023-06-19T00:00:00"/>
    <n v="7"/>
    <x v="3"/>
    <x v="0"/>
    <n v="5"/>
    <n v="5"/>
    <n v="2"/>
    <n v="3"/>
    <n v="2"/>
    <x v="3"/>
    <n v="3"/>
    <n v="4"/>
    <n v="4"/>
    <n v="5"/>
    <x v="0"/>
    <s v="In-person"/>
    <s v="Poor service"/>
    <x v="0"/>
    <n v="40"/>
    <d v="2023-07-06T00:00:00"/>
    <x v="1"/>
    <x v="16"/>
    <x v="0"/>
  </r>
  <r>
    <n v="1301"/>
    <n v="46492"/>
    <s v="Daniel Marsh"/>
    <x v="4"/>
    <x v="2"/>
    <x v="489"/>
    <d v="2024-06-03T00:00:00"/>
    <n v="7"/>
    <x v="1"/>
    <x v="3"/>
    <n v="1"/>
    <n v="4"/>
    <n v="4"/>
    <n v="3"/>
    <n v="4"/>
    <x v="4"/>
    <n v="4"/>
    <n v="5"/>
    <n v="5"/>
    <n v="3"/>
    <x v="1"/>
    <s v="In-person"/>
    <s v="Poor service"/>
    <x v="1"/>
    <n v="64"/>
    <d v="2024-06-03T00:00:00"/>
    <x v="2"/>
    <x v="13"/>
    <x v="0"/>
  </r>
  <r>
    <n v="1302"/>
    <n v="63006"/>
    <s v="Teresa Jordan"/>
    <x v="2"/>
    <x v="3"/>
    <x v="346"/>
    <d v="2024-10-30T00:00:00"/>
    <n v="1"/>
    <x v="3"/>
    <x v="2"/>
    <n v="2"/>
    <n v="5"/>
    <n v="5"/>
    <n v="2"/>
    <n v="3"/>
    <x v="3"/>
    <n v="3"/>
    <n v="2"/>
    <n v="3"/>
    <n v="4"/>
    <x v="0"/>
    <s v="In-person"/>
    <s v="Poor service"/>
    <x v="2"/>
    <n v="39"/>
    <d v="2024-10-30T00:00:00"/>
    <x v="1"/>
    <x v="1"/>
    <x v="0"/>
  </r>
  <r>
    <n v="1303"/>
    <n v="51069"/>
    <s v="Shane Daniel"/>
    <x v="4"/>
    <x v="1"/>
    <x v="602"/>
    <d v="2024-05-15T00:00:00"/>
    <n v="13"/>
    <x v="1"/>
    <x v="0"/>
    <n v="5"/>
    <n v="1"/>
    <n v="3"/>
    <n v="4"/>
    <n v="3"/>
    <x v="0"/>
    <n v="1"/>
    <n v="2"/>
    <n v="1"/>
    <n v="3"/>
    <x v="0"/>
    <s v="Feedback Form"/>
    <s v="Needs improvement"/>
    <x v="0"/>
    <n v="51"/>
    <d v="2024-10-23T00:00:00"/>
    <x v="2"/>
    <x v="7"/>
    <x v="1"/>
  </r>
  <r>
    <n v="1304"/>
    <n v="87905"/>
    <s v="Alison Fletcher"/>
    <x v="3"/>
    <x v="0"/>
    <x v="248"/>
    <d v="2024-12-05T00:00:00"/>
    <n v="3"/>
    <x v="0"/>
    <x v="1"/>
    <n v="1"/>
    <n v="5"/>
    <n v="2"/>
    <n v="2"/>
    <n v="3"/>
    <x v="4"/>
    <n v="3"/>
    <n v="2"/>
    <n v="3"/>
    <n v="2"/>
    <x v="1"/>
    <s v="App Review"/>
    <s v="Needs improvement"/>
    <x v="1"/>
    <n v="58"/>
    <d v="2024-12-05T00:00:00"/>
    <x v="2"/>
    <x v="8"/>
    <x v="1"/>
  </r>
  <r>
    <n v="1305"/>
    <n v="40291"/>
    <s v="Michael Smith"/>
    <x v="1"/>
    <x v="3"/>
    <x v="361"/>
    <d v="2023-10-14T00:00:00"/>
    <n v="9"/>
    <x v="3"/>
    <x v="3"/>
    <n v="4"/>
    <n v="3"/>
    <n v="4"/>
    <n v="1"/>
    <n v="1"/>
    <x v="2"/>
    <n v="5"/>
    <n v="2"/>
    <n v="3"/>
    <n v="5"/>
    <x v="1"/>
    <s v="App Review"/>
    <s v="Poor service"/>
    <x v="2"/>
    <n v="43"/>
    <d v="2024-05-06T00:00:00"/>
    <x v="1"/>
    <x v="2"/>
    <x v="0"/>
  </r>
  <r>
    <n v="1306"/>
    <n v="27152"/>
    <s v="Ryan Brooks"/>
    <x v="1"/>
    <x v="2"/>
    <x v="591"/>
    <d v="2023-12-27T00:00:00"/>
    <n v="5"/>
    <x v="3"/>
    <x v="1"/>
    <n v="2"/>
    <n v="4"/>
    <n v="2"/>
    <n v="1"/>
    <n v="1"/>
    <x v="4"/>
    <n v="5"/>
    <n v="1"/>
    <n v="3"/>
    <n v="1"/>
    <x v="1"/>
    <s v="App Review"/>
    <s v="Will visit again"/>
    <x v="1"/>
    <n v="64"/>
    <d v="2023-12-27T00:00:00"/>
    <x v="2"/>
    <x v="17"/>
    <x v="1"/>
  </r>
  <r>
    <n v="1307"/>
    <n v="75674"/>
    <s v="Jennifer Montgomery"/>
    <x v="0"/>
    <x v="2"/>
    <x v="278"/>
    <d v="2024-08-09T00:00:00"/>
    <n v="5"/>
    <x v="0"/>
    <x v="0"/>
    <n v="1"/>
    <n v="5"/>
    <n v="3"/>
    <n v="3"/>
    <n v="3"/>
    <x v="0"/>
    <n v="2"/>
    <n v="3"/>
    <n v="5"/>
    <n v="3"/>
    <x v="0"/>
    <s v="Online Survey"/>
    <s v="Great stay"/>
    <x v="2"/>
    <n v="48"/>
    <d v="2024-10-29T00:00:00"/>
    <x v="1"/>
    <x v="0"/>
    <x v="0"/>
  </r>
  <r>
    <n v="1308"/>
    <n v="59372"/>
    <s v="Tiffany White"/>
    <x v="1"/>
    <x v="4"/>
    <x v="254"/>
    <d v="2024-06-08T00:00:00"/>
    <n v="7"/>
    <x v="2"/>
    <x v="3"/>
    <n v="4"/>
    <n v="2"/>
    <n v="1"/>
    <n v="3"/>
    <n v="4"/>
    <x v="1"/>
    <n v="4"/>
    <n v="2"/>
    <n v="5"/>
    <n v="5"/>
    <x v="1"/>
    <s v="App Review"/>
    <s v="Average"/>
    <x v="1"/>
    <n v="52"/>
    <d v="2024-06-08T00:00:00"/>
    <x v="2"/>
    <x v="18"/>
    <x v="0"/>
  </r>
  <r>
    <n v="1309"/>
    <n v="63079"/>
    <s v="Nancy Carpenter"/>
    <x v="2"/>
    <x v="0"/>
    <x v="486"/>
    <d v="2023-12-04T00:00:00"/>
    <n v="11"/>
    <x v="2"/>
    <x v="1"/>
    <n v="3"/>
    <n v="3"/>
    <n v="2"/>
    <n v="4"/>
    <n v="1"/>
    <x v="4"/>
    <n v="5"/>
    <n v="1"/>
    <n v="4"/>
    <n v="1"/>
    <x v="0"/>
    <s v="In-person"/>
    <s v="Great stay"/>
    <x v="1"/>
    <n v="24"/>
    <d v="2024-10-15T00:00:00"/>
    <x v="0"/>
    <x v="14"/>
    <x v="1"/>
  </r>
  <r>
    <n v="1310"/>
    <n v="61539"/>
    <s v="Scott Lawrence"/>
    <x v="0"/>
    <x v="1"/>
    <x v="329"/>
    <d v="2024-09-16T00:00:00"/>
    <n v="10"/>
    <x v="1"/>
    <x v="2"/>
    <n v="5"/>
    <n v="5"/>
    <n v="4"/>
    <n v="3"/>
    <n v="3"/>
    <x v="1"/>
    <n v="1"/>
    <n v="5"/>
    <n v="2"/>
    <n v="3"/>
    <x v="0"/>
    <s v="Feedback Form"/>
    <s v="Average"/>
    <x v="2"/>
    <n v="57"/>
    <d v="2024-09-16T00:00:00"/>
    <x v="2"/>
    <x v="11"/>
    <x v="0"/>
  </r>
  <r>
    <n v="1311"/>
    <n v="12525"/>
    <s v="Michelle Mcneil"/>
    <x v="2"/>
    <x v="4"/>
    <x v="372"/>
    <d v="2024-06-26T00:00:00"/>
    <n v="8"/>
    <x v="3"/>
    <x v="4"/>
    <n v="5"/>
    <n v="5"/>
    <n v="3"/>
    <n v="1"/>
    <n v="1"/>
    <x v="4"/>
    <n v="2"/>
    <n v="2"/>
    <n v="3"/>
    <n v="4"/>
    <x v="1"/>
    <s v="Online Survey"/>
    <s v="Great stay"/>
    <x v="1"/>
    <n v="62"/>
    <d v="2024-06-26T00:00:00"/>
    <x v="2"/>
    <x v="5"/>
    <x v="1"/>
  </r>
  <r>
    <n v="1312"/>
    <n v="19637"/>
    <s v="Courtney Bridges"/>
    <x v="4"/>
    <x v="2"/>
    <x v="552"/>
    <d v="2024-01-05T00:00:00"/>
    <n v="6"/>
    <x v="2"/>
    <x v="4"/>
    <n v="5"/>
    <n v="5"/>
    <n v="4"/>
    <n v="3"/>
    <n v="5"/>
    <x v="4"/>
    <n v="5"/>
    <n v="5"/>
    <n v="4"/>
    <n v="4"/>
    <x v="1"/>
    <s v="Feedback Form"/>
    <s v="Needs improvement"/>
    <x v="2"/>
    <n v="49"/>
    <d v="2024-07-15T00:00:00"/>
    <x v="1"/>
    <x v="23"/>
    <x v="2"/>
  </r>
  <r>
    <n v="1313"/>
    <n v="58324"/>
    <s v="Sandra Molina"/>
    <x v="4"/>
    <x v="1"/>
    <x v="85"/>
    <d v="2024-05-03T00:00:00"/>
    <n v="5"/>
    <x v="0"/>
    <x v="1"/>
    <n v="1"/>
    <n v="2"/>
    <n v="3"/>
    <n v="4"/>
    <n v="4"/>
    <x v="3"/>
    <n v="3"/>
    <n v="5"/>
    <n v="4"/>
    <n v="3"/>
    <x v="0"/>
    <s v="Email"/>
    <s v="Poor service"/>
    <x v="0"/>
    <n v="39"/>
    <d v="2024-12-14T00:00:00"/>
    <x v="1"/>
    <x v="1"/>
    <x v="0"/>
  </r>
  <r>
    <n v="1314"/>
    <n v="66108"/>
    <s v="Abigail Taylor"/>
    <x v="1"/>
    <x v="2"/>
    <x v="380"/>
    <d v="2024-01-15T00:00:00"/>
    <n v="1"/>
    <x v="0"/>
    <x v="4"/>
    <n v="3"/>
    <n v="5"/>
    <n v="4"/>
    <n v="1"/>
    <n v="2"/>
    <x v="1"/>
    <n v="5"/>
    <n v="4"/>
    <n v="5"/>
    <n v="2"/>
    <x v="1"/>
    <s v="In-person"/>
    <s v="Average"/>
    <x v="0"/>
    <n v="64"/>
    <d v="2024-01-15T00:00:00"/>
    <x v="2"/>
    <x v="11"/>
    <x v="0"/>
  </r>
  <r>
    <n v="1315"/>
    <n v="44377"/>
    <s v="Joshua Davila"/>
    <x v="0"/>
    <x v="2"/>
    <x v="582"/>
    <d v="2023-12-11T00:00:00"/>
    <n v="10"/>
    <x v="3"/>
    <x v="2"/>
    <n v="1"/>
    <n v="1"/>
    <n v="3"/>
    <n v="3"/>
    <n v="4"/>
    <x v="1"/>
    <n v="5"/>
    <n v="1"/>
    <n v="2"/>
    <n v="4"/>
    <x v="0"/>
    <s v="Online Survey"/>
    <s v="Poor service"/>
    <x v="1"/>
    <n v="23"/>
    <d v="2024-10-16T00:00:00"/>
    <x v="0"/>
    <x v="4"/>
    <x v="1"/>
  </r>
  <r>
    <n v="1316"/>
    <n v="90069"/>
    <s v="Abigail Silva"/>
    <x v="2"/>
    <x v="0"/>
    <x v="598"/>
    <d v="2024-08-07T00:00:00"/>
    <n v="10"/>
    <x v="1"/>
    <x v="2"/>
    <n v="1"/>
    <n v="1"/>
    <n v="5"/>
    <n v="4"/>
    <n v="2"/>
    <x v="4"/>
    <n v="2"/>
    <n v="1"/>
    <n v="4"/>
    <n v="5"/>
    <x v="1"/>
    <s v="In-person"/>
    <s v="Poor service"/>
    <x v="2"/>
    <n v="38"/>
    <d v="2024-08-07T00:00:00"/>
    <x v="1"/>
    <x v="7"/>
    <x v="1"/>
  </r>
  <r>
    <n v="1317"/>
    <n v="97363"/>
    <s v="Shawn Luna"/>
    <x v="2"/>
    <x v="3"/>
    <x v="494"/>
    <d v="2024-09-10T00:00:00"/>
    <n v="10"/>
    <x v="0"/>
    <x v="1"/>
    <n v="3"/>
    <n v="1"/>
    <n v="4"/>
    <n v="4"/>
    <n v="3"/>
    <x v="0"/>
    <n v="4"/>
    <n v="2"/>
    <n v="1"/>
    <n v="2"/>
    <x v="1"/>
    <s v="Feedback Form"/>
    <s v="Needs improvement"/>
    <x v="0"/>
    <n v="62"/>
    <d v="2024-09-10T00:00:00"/>
    <x v="2"/>
    <x v="5"/>
    <x v="1"/>
  </r>
  <r>
    <n v="1318"/>
    <n v="70207"/>
    <s v="Tyler Flores"/>
    <x v="3"/>
    <x v="1"/>
    <x v="553"/>
    <d v="2024-07-29T00:00:00"/>
    <n v="13"/>
    <x v="3"/>
    <x v="2"/>
    <n v="4"/>
    <n v="5"/>
    <n v="3"/>
    <n v="1"/>
    <n v="1"/>
    <x v="0"/>
    <n v="3"/>
    <n v="2"/>
    <n v="4"/>
    <n v="2"/>
    <x v="1"/>
    <s v="App Review"/>
    <s v="Average"/>
    <x v="2"/>
    <n v="56"/>
    <d v="2024-07-29T00:00:00"/>
    <x v="2"/>
    <x v="3"/>
    <x v="1"/>
  </r>
  <r>
    <n v="1319"/>
    <n v="32368"/>
    <s v="Erin Jackson"/>
    <x v="1"/>
    <x v="0"/>
    <x v="276"/>
    <d v="2024-02-02T00:00:00"/>
    <n v="9"/>
    <x v="1"/>
    <x v="4"/>
    <n v="2"/>
    <n v="3"/>
    <n v="1"/>
    <n v="1"/>
    <n v="3"/>
    <x v="1"/>
    <n v="3"/>
    <n v="2"/>
    <n v="5"/>
    <n v="3"/>
    <x v="1"/>
    <s v="Email"/>
    <s v="Will visit again"/>
    <x v="0"/>
    <n v="66"/>
    <d v="2024-02-02T00:00:00"/>
    <x v="2"/>
    <x v="3"/>
    <x v="1"/>
  </r>
  <r>
    <n v="1320"/>
    <n v="35736"/>
    <s v="Laurie Strickland"/>
    <x v="4"/>
    <x v="2"/>
    <x v="280"/>
    <d v="2024-11-06T00:00:00"/>
    <n v="6"/>
    <x v="2"/>
    <x v="1"/>
    <n v="5"/>
    <n v="2"/>
    <n v="3"/>
    <n v="1"/>
    <n v="2"/>
    <x v="3"/>
    <n v="3"/>
    <n v="1"/>
    <n v="3"/>
    <n v="5"/>
    <x v="1"/>
    <s v="In-person"/>
    <s v="Needs improvement"/>
    <x v="2"/>
    <n v="64"/>
    <d v="2024-11-06T00:00:00"/>
    <x v="2"/>
    <x v="4"/>
    <x v="1"/>
  </r>
  <r>
    <n v="1321"/>
    <n v="27753"/>
    <s v="Michael Moses"/>
    <x v="3"/>
    <x v="2"/>
    <x v="511"/>
    <d v="2024-07-10T00:00:00"/>
    <n v="3"/>
    <x v="3"/>
    <x v="4"/>
    <n v="3"/>
    <n v="1"/>
    <n v="1"/>
    <n v="4"/>
    <n v="5"/>
    <x v="3"/>
    <n v="3"/>
    <n v="5"/>
    <n v="5"/>
    <n v="5"/>
    <x v="1"/>
    <s v="Email"/>
    <s v="Poor service"/>
    <x v="2"/>
    <n v="54"/>
    <d v="2024-07-10T00:00:00"/>
    <x v="2"/>
    <x v="11"/>
    <x v="0"/>
  </r>
  <r>
    <n v="1322"/>
    <n v="13571"/>
    <s v="Eric Sanchez"/>
    <x v="4"/>
    <x v="0"/>
    <x v="326"/>
    <d v="2024-10-23T00:00:00"/>
    <n v="12"/>
    <x v="1"/>
    <x v="2"/>
    <n v="4"/>
    <n v="1"/>
    <n v="2"/>
    <n v="1"/>
    <n v="2"/>
    <x v="0"/>
    <n v="4"/>
    <n v="5"/>
    <n v="5"/>
    <n v="1"/>
    <x v="1"/>
    <s v="Feedback Form"/>
    <s v="Average"/>
    <x v="0"/>
    <n v="44"/>
    <d v="2024-10-23T00:00:00"/>
    <x v="1"/>
    <x v="3"/>
    <x v="1"/>
  </r>
  <r>
    <n v="1323"/>
    <n v="36798"/>
    <s v="Laurie Collins"/>
    <x v="4"/>
    <x v="1"/>
    <x v="83"/>
    <d v="2024-05-20T00:00:00"/>
    <n v="12"/>
    <x v="0"/>
    <x v="2"/>
    <n v="3"/>
    <n v="3"/>
    <n v="3"/>
    <n v="1"/>
    <n v="1"/>
    <x v="3"/>
    <n v="3"/>
    <n v="2"/>
    <n v="2"/>
    <n v="4"/>
    <x v="1"/>
    <s v="In-person"/>
    <s v="Needs improvement"/>
    <x v="0"/>
    <n v="27"/>
    <d v="2024-08-27T00:00:00"/>
    <x v="3"/>
    <x v="7"/>
    <x v="1"/>
  </r>
  <r>
    <n v="1324"/>
    <n v="43256"/>
    <s v="George Ford"/>
    <x v="2"/>
    <x v="2"/>
    <x v="345"/>
    <d v="2024-05-03T00:00:00"/>
    <n v="10"/>
    <x v="2"/>
    <x v="3"/>
    <n v="2"/>
    <n v="1"/>
    <n v="2"/>
    <n v="4"/>
    <n v="5"/>
    <x v="4"/>
    <n v="4"/>
    <n v="5"/>
    <n v="1"/>
    <n v="4"/>
    <x v="0"/>
    <s v="App Review"/>
    <s v="Needs improvement"/>
    <x v="1"/>
    <n v="39"/>
    <d v="2024-05-03T00:00:00"/>
    <x v="1"/>
    <x v="4"/>
    <x v="1"/>
  </r>
  <r>
    <n v="1325"/>
    <n v="57419"/>
    <s v="Thomas Ryan"/>
    <x v="4"/>
    <x v="1"/>
    <x v="538"/>
    <d v="2023-08-08T00:00:00"/>
    <n v="12"/>
    <x v="0"/>
    <x v="0"/>
    <n v="3"/>
    <n v="2"/>
    <n v="2"/>
    <n v="4"/>
    <n v="1"/>
    <x v="4"/>
    <n v="2"/>
    <n v="2"/>
    <n v="1"/>
    <n v="2"/>
    <x v="1"/>
    <s v="Email"/>
    <s v="Will visit again"/>
    <x v="2"/>
    <n v="61"/>
    <d v="2024-12-11T00:00:00"/>
    <x v="2"/>
    <x v="15"/>
    <x v="1"/>
  </r>
  <r>
    <n v="1326"/>
    <n v="86595"/>
    <s v="Kenneth Webster"/>
    <x v="0"/>
    <x v="0"/>
    <x v="84"/>
    <d v="2024-11-18T00:00:00"/>
    <n v="7"/>
    <x v="0"/>
    <x v="0"/>
    <n v="3"/>
    <n v="3"/>
    <n v="5"/>
    <n v="1"/>
    <n v="5"/>
    <x v="1"/>
    <n v="1"/>
    <n v="3"/>
    <n v="2"/>
    <n v="2"/>
    <x v="0"/>
    <s v="Online Survey"/>
    <s v="Great stay"/>
    <x v="1"/>
    <n v="68"/>
    <d v="2024-11-18T00:00:00"/>
    <x v="2"/>
    <x v="2"/>
    <x v="0"/>
  </r>
  <r>
    <n v="1327"/>
    <n v="40624"/>
    <s v="Kevin Leon"/>
    <x v="4"/>
    <x v="2"/>
    <x v="7"/>
    <d v="2023-06-15T00:00:00"/>
    <n v="4"/>
    <x v="2"/>
    <x v="1"/>
    <n v="4"/>
    <n v="4"/>
    <n v="3"/>
    <n v="1"/>
    <n v="1"/>
    <x v="2"/>
    <n v="4"/>
    <n v="5"/>
    <n v="2"/>
    <n v="3"/>
    <x v="0"/>
    <s v="Feedback Form"/>
    <s v="Average"/>
    <x v="0"/>
    <n v="35"/>
    <d v="2023-08-06T00:00:00"/>
    <x v="3"/>
    <x v="4"/>
    <x v="1"/>
  </r>
  <r>
    <n v="1328"/>
    <n v="19056"/>
    <s v="Heather Thompson"/>
    <x v="0"/>
    <x v="4"/>
    <x v="446"/>
    <d v="2024-05-28T00:00:00"/>
    <n v="13"/>
    <x v="3"/>
    <x v="4"/>
    <n v="5"/>
    <n v="2"/>
    <n v="5"/>
    <n v="1"/>
    <n v="2"/>
    <x v="0"/>
    <n v="3"/>
    <n v="1"/>
    <n v="4"/>
    <n v="5"/>
    <x v="0"/>
    <s v="In-person"/>
    <s v="Average"/>
    <x v="0"/>
    <n v="21"/>
    <d v="2024-05-28T00:00:00"/>
    <x v="0"/>
    <x v="0"/>
    <x v="0"/>
  </r>
  <r>
    <n v="1329"/>
    <n v="73279"/>
    <s v="Nancy Russell"/>
    <x v="4"/>
    <x v="4"/>
    <x v="237"/>
    <d v="2024-10-07T00:00:00"/>
    <n v="3"/>
    <x v="3"/>
    <x v="0"/>
    <n v="5"/>
    <n v="2"/>
    <n v="5"/>
    <n v="4"/>
    <n v="2"/>
    <x v="0"/>
    <n v="2"/>
    <n v="4"/>
    <n v="1"/>
    <n v="4"/>
    <x v="1"/>
    <s v="Online Survey"/>
    <s v="Average"/>
    <x v="2"/>
    <n v="62"/>
    <d v="2024-10-07T00:00:00"/>
    <x v="2"/>
    <x v="10"/>
    <x v="0"/>
  </r>
  <r>
    <n v="1330"/>
    <n v="28564"/>
    <s v="Elizabeth Long"/>
    <x v="3"/>
    <x v="2"/>
    <x v="242"/>
    <d v="2023-10-15T00:00:00"/>
    <n v="12"/>
    <x v="3"/>
    <x v="1"/>
    <n v="4"/>
    <n v="5"/>
    <n v="2"/>
    <n v="5"/>
    <n v="2"/>
    <x v="2"/>
    <n v="2"/>
    <n v="1"/>
    <n v="5"/>
    <n v="1"/>
    <x v="1"/>
    <s v="App Review"/>
    <s v="Average"/>
    <x v="2"/>
    <n v="52"/>
    <d v="2023-10-15T00:00:00"/>
    <x v="2"/>
    <x v="4"/>
    <x v="1"/>
  </r>
  <r>
    <n v="1331"/>
    <n v="21220"/>
    <s v="Jill Mcgrath"/>
    <x v="2"/>
    <x v="3"/>
    <x v="552"/>
    <d v="2024-10-30T00:00:00"/>
    <n v="7"/>
    <x v="0"/>
    <x v="2"/>
    <n v="4"/>
    <n v="4"/>
    <n v="4"/>
    <n v="2"/>
    <n v="2"/>
    <x v="3"/>
    <n v="5"/>
    <n v="1"/>
    <n v="4"/>
    <n v="4"/>
    <x v="0"/>
    <s v="App Review"/>
    <s v="Great stay"/>
    <x v="0"/>
    <n v="55"/>
    <d v="2024-10-30T00:00:00"/>
    <x v="2"/>
    <x v="13"/>
    <x v="0"/>
  </r>
  <r>
    <n v="1332"/>
    <n v="21290"/>
    <s v="Erin Simmons"/>
    <x v="3"/>
    <x v="2"/>
    <x v="603"/>
    <d v="2024-03-24T00:00:00"/>
    <n v="6"/>
    <x v="0"/>
    <x v="0"/>
    <n v="1"/>
    <n v="4"/>
    <n v="2"/>
    <n v="3"/>
    <n v="5"/>
    <x v="4"/>
    <n v="5"/>
    <n v="4"/>
    <n v="1"/>
    <n v="4"/>
    <x v="1"/>
    <s v="Email"/>
    <s v="Needs improvement"/>
    <x v="1"/>
    <n v="55"/>
    <d v="2024-03-24T00:00:00"/>
    <x v="2"/>
    <x v="2"/>
    <x v="0"/>
  </r>
  <r>
    <n v="1333"/>
    <n v="62480"/>
    <s v="Kevin Carlson"/>
    <x v="2"/>
    <x v="2"/>
    <x v="604"/>
    <d v="2024-10-01T00:00:00"/>
    <n v="14"/>
    <x v="3"/>
    <x v="4"/>
    <n v="1"/>
    <n v="3"/>
    <n v="2"/>
    <n v="2"/>
    <n v="4"/>
    <x v="4"/>
    <n v="1"/>
    <n v="2"/>
    <n v="3"/>
    <n v="4"/>
    <x v="0"/>
    <s v="Feedback Form"/>
    <s v="Needs improvement"/>
    <x v="2"/>
    <n v="53"/>
    <d v="2024-10-01T00:00:00"/>
    <x v="2"/>
    <x v="9"/>
    <x v="1"/>
  </r>
  <r>
    <n v="1334"/>
    <n v="30018"/>
    <s v="Toni Ayala"/>
    <x v="3"/>
    <x v="2"/>
    <x v="183"/>
    <d v="2024-12-06T00:00:00"/>
    <n v="11"/>
    <x v="3"/>
    <x v="3"/>
    <n v="2"/>
    <n v="1"/>
    <n v="1"/>
    <n v="4"/>
    <n v="4"/>
    <x v="0"/>
    <n v="1"/>
    <n v="5"/>
    <n v="5"/>
    <n v="2"/>
    <x v="1"/>
    <s v="In-person"/>
    <s v="Great stay"/>
    <x v="2"/>
    <n v="21"/>
    <d v="2024-12-06T00:00:00"/>
    <x v="0"/>
    <x v="3"/>
    <x v="1"/>
  </r>
  <r>
    <n v="1335"/>
    <n v="65138"/>
    <s v="Terry Andrews"/>
    <x v="1"/>
    <x v="0"/>
    <x v="605"/>
    <d v="2024-04-17T00:00:00"/>
    <n v="4"/>
    <x v="2"/>
    <x v="3"/>
    <n v="1"/>
    <n v="4"/>
    <n v="4"/>
    <n v="5"/>
    <n v="3"/>
    <x v="0"/>
    <n v="5"/>
    <n v="1"/>
    <n v="5"/>
    <n v="5"/>
    <x v="0"/>
    <s v="Online Survey"/>
    <s v="Needs improvement"/>
    <x v="1"/>
    <n v="62"/>
    <d v="2024-04-17T00:00:00"/>
    <x v="2"/>
    <x v="11"/>
    <x v="0"/>
  </r>
  <r>
    <n v="1336"/>
    <n v="92155"/>
    <s v="Austin Lane"/>
    <x v="4"/>
    <x v="2"/>
    <x v="605"/>
    <d v="2024-01-18T00:00:00"/>
    <n v="14"/>
    <x v="0"/>
    <x v="0"/>
    <n v="1"/>
    <n v="3"/>
    <n v="2"/>
    <n v="4"/>
    <n v="4"/>
    <x v="3"/>
    <n v="5"/>
    <n v="5"/>
    <n v="4"/>
    <n v="5"/>
    <x v="1"/>
    <s v="In-person"/>
    <s v="Great stay"/>
    <x v="0"/>
    <n v="27"/>
    <d v="2024-01-18T00:00:00"/>
    <x v="3"/>
    <x v="16"/>
    <x v="0"/>
  </r>
  <r>
    <n v="1337"/>
    <n v="91567"/>
    <s v="Colin Garza"/>
    <x v="4"/>
    <x v="2"/>
    <x v="603"/>
    <d v="2024-09-26T00:00:00"/>
    <n v="10"/>
    <x v="1"/>
    <x v="3"/>
    <n v="3"/>
    <n v="4"/>
    <n v="4"/>
    <n v="1"/>
    <n v="3"/>
    <x v="3"/>
    <n v="2"/>
    <n v="4"/>
    <n v="1"/>
    <n v="4"/>
    <x v="0"/>
    <s v="Online Survey"/>
    <s v="Great stay"/>
    <x v="0"/>
    <n v="49"/>
    <d v="2024-09-26T00:00:00"/>
    <x v="1"/>
    <x v="2"/>
    <x v="0"/>
  </r>
  <r>
    <n v="1338"/>
    <n v="93302"/>
    <s v="Kendra Moore"/>
    <x v="1"/>
    <x v="0"/>
    <x v="52"/>
    <d v="2024-11-28T00:00:00"/>
    <n v="8"/>
    <x v="3"/>
    <x v="1"/>
    <n v="3"/>
    <n v="2"/>
    <n v="1"/>
    <n v="3"/>
    <n v="2"/>
    <x v="0"/>
    <n v="4"/>
    <n v="4"/>
    <n v="2"/>
    <n v="5"/>
    <x v="0"/>
    <s v="Feedback Form"/>
    <s v="Needs improvement"/>
    <x v="0"/>
    <n v="27"/>
    <d v="2024-11-28T00:00:00"/>
    <x v="3"/>
    <x v="4"/>
    <x v="1"/>
  </r>
  <r>
    <n v="1339"/>
    <n v="19006"/>
    <s v="Ashley Golden"/>
    <x v="1"/>
    <x v="2"/>
    <x v="524"/>
    <d v="2024-10-26T00:00:00"/>
    <n v="2"/>
    <x v="3"/>
    <x v="4"/>
    <n v="4"/>
    <n v="4"/>
    <n v="4"/>
    <n v="2"/>
    <n v="1"/>
    <x v="3"/>
    <n v="5"/>
    <n v="5"/>
    <n v="3"/>
    <n v="3"/>
    <x v="0"/>
    <s v="App Review"/>
    <s v="Needs improvement"/>
    <x v="0"/>
    <n v="60"/>
    <d v="2024-10-26T00:00:00"/>
    <x v="2"/>
    <x v="18"/>
    <x v="0"/>
  </r>
  <r>
    <n v="1340"/>
    <n v="53926"/>
    <s v="Raymond Newman"/>
    <x v="0"/>
    <x v="4"/>
    <x v="559"/>
    <d v="2023-06-07T00:00:00"/>
    <n v="6"/>
    <x v="0"/>
    <x v="2"/>
    <n v="5"/>
    <n v="1"/>
    <n v="3"/>
    <n v="4"/>
    <n v="4"/>
    <x v="2"/>
    <n v="3"/>
    <n v="5"/>
    <n v="5"/>
    <n v="2"/>
    <x v="1"/>
    <s v="App Review"/>
    <s v="Great stay"/>
    <x v="1"/>
    <n v="62"/>
    <d v="2023-06-07T00:00:00"/>
    <x v="2"/>
    <x v="13"/>
    <x v="0"/>
  </r>
  <r>
    <n v="1341"/>
    <n v="89118"/>
    <s v="Matthew Reese"/>
    <x v="3"/>
    <x v="4"/>
    <x v="606"/>
    <d v="2024-10-30T00:00:00"/>
    <n v="3"/>
    <x v="3"/>
    <x v="4"/>
    <n v="2"/>
    <n v="3"/>
    <n v="1"/>
    <n v="5"/>
    <n v="4"/>
    <x v="4"/>
    <n v="4"/>
    <n v="4"/>
    <n v="2"/>
    <n v="2"/>
    <x v="0"/>
    <s v="In-person"/>
    <s v="Will visit again"/>
    <x v="0"/>
    <n v="27"/>
    <d v="2024-10-30T00:00:00"/>
    <x v="3"/>
    <x v="3"/>
    <x v="1"/>
  </r>
  <r>
    <n v="1342"/>
    <n v="36265"/>
    <s v="Kimberly Pearson"/>
    <x v="4"/>
    <x v="2"/>
    <x v="31"/>
    <d v="2024-09-06T00:00:00"/>
    <n v="8"/>
    <x v="3"/>
    <x v="2"/>
    <n v="1"/>
    <n v="1"/>
    <n v="4"/>
    <n v="1"/>
    <n v="2"/>
    <x v="0"/>
    <n v="4"/>
    <n v="2"/>
    <n v="2"/>
    <n v="5"/>
    <x v="0"/>
    <s v="In-person"/>
    <s v="Poor service"/>
    <x v="2"/>
    <n v="28"/>
    <d v="2024-09-06T00:00:00"/>
    <x v="3"/>
    <x v="14"/>
    <x v="1"/>
  </r>
  <r>
    <n v="1343"/>
    <n v="25908"/>
    <s v="Tiffany Contreras"/>
    <x v="0"/>
    <x v="0"/>
    <x v="607"/>
    <d v="2024-03-05T00:00:00"/>
    <n v="11"/>
    <x v="0"/>
    <x v="3"/>
    <n v="3"/>
    <n v="5"/>
    <n v="5"/>
    <n v="5"/>
    <n v="2"/>
    <x v="2"/>
    <n v="3"/>
    <n v="5"/>
    <n v="2"/>
    <n v="4"/>
    <x v="1"/>
    <s v="Email"/>
    <s v="Average"/>
    <x v="2"/>
    <n v="67"/>
    <d v="2024-03-05T00:00:00"/>
    <x v="2"/>
    <x v="11"/>
    <x v="0"/>
  </r>
  <r>
    <n v="1344"/>
    <n v="81165"/>
    <s v="Terry Harper"/>
    <x v="4"/>
    <x v="2"/>
    <x v="587"/>
    <d v="2023-09-10T00:00:00"/>
    <n v="8"/>
    <x v="3"/>
    <x v="1"/>
    <n v="5"/>
    <n v="1"/>
    <n v="4"/>
    <n v="3"/>
    <n v="4"/>
    <x v="2"/>
    <n v="3"/>
    <n v="3"/>
    <n v="2"/>
    <n v="4"/>
    <x v="1"/>
    <s v="Online Survey"/>
    <s v="Great stay"/>
    <x v="2"/>
    <n v="56"/>
    <d v="2023-12-11T00:00:00"/>
    <x v="2"/>
    <x v="0"/>
    <x v="0"/>
  </r>
  <r>
    <n v="1345"/>
    <n v="94406"/>
    <s v="Gary Odonnell"/>
    <x v="1"/>
    <x v="2"/>
    <x v="608"/>
    <d v="2024-10-25T00:00:00"/>
    <n v="11"/>
    <x v="2"/>
    <x v="2"/>
    <n v="1"/>
    <n v="1"/>
    <n v="1"/>
    <n v="5"/>
    <n v="2"/>
    <x v="1"/>
    <n v="3"/>
    <n v="3"/>
    <n v="4"/>
    <n v="4"/>
    <x v="1"/>
    <s v="Email"/>
    <s v="Needs improvement"/>
    <x v="1"/>
    <n v="26"/>
    <d v="2024-10-25T00:00:00"/>
    <x v="3"/>
    <x v="4"/>
    <x v="1"/>
  </r>
  <r>
    <n v="1346"/>
    <n v="28049"/>
    <s v="Pamela Wilson"/>
    <x v="0"/>
    <x v="1"/>
    <x v="352"/>
    <d v="2024-08-02T00:00:00"/>
    <n v="11"/>
    <x v="1"/>
    <x v="3"/>
    <n v="5"/>
    <n v="3"/>
    <n v="5"/>
    <n v="5"/>
    <n v="4"/>
    <x v="0"/>
    <n v="2"/>
    <n v="5"/>
    <n v="5"/>
    <n v="5"/>
    <x v="0"/>
    <s v="Online Survey"/>
    <s v="Great stay"/>
    <x v="1"/>
    <n v="30"/>
    <d v="2024-08-02T00:00:00"/>
    <x v="3"/>
    <x v="6"/>
    <x v="2"/>
  </r>
  <r>
    <n v="1347"/>
    <n v="20827"/>
    <s v="Dr. Timothy Palmer"/>
    <x v="0"/>
    <x v="3"/>
    <x v="267"/>
    <d v="2024-09-09T00:00:00"/>
    <n v="1"/>
    <x v="0"/>
    <x v="2"/>
    <n v="3"/>
    <n v="2"/>
    <n v="4"/>
    <n v="1"/>
    <n v="1"/>
    <x v="1"/>
    <n v="5"/>
    <n v="1"/>
    <n v="2"/>
    <n v="4"/>
    <x v="0"/>
    <s v="Feedback Form"/>
    <s v="Needs improvement"/>
    <x v="2"/>
    <n v="59"/>
    <d v="2024-09-09T00:00:00"/>
    <x v="2"/>
    <x v="3"/>
    <x v="1"/>
  </r>
  <r>
    <n v="1348"/>
    <n v="79522"/>
    <s v="David Shaw"/>
    <x v="0"/>
    <x v="0"/>
    <x v="511"/>
    <d v="2024-07-13T00:00:00"/>
    <n v="2"/>
    <x v="2"/>
    <x v="0"/>
    <n v="4"/>
    <n v="4"/>
    <n v="4"/>
    <n v="5"/>
    <n v="1"/>
    <x v="2"/>
    <n v="5"/>
    <n v="4"/>
    <n v="2"/>
    <n v="5"/>
    <x v="1"/>
    <s v="In-person"/>
    <s v="Great stay"/>
    <x v="0"/>
    <n v="35"/>
    <d v="2024-07-13T00:00:00"/>
    <x v="3"/>
    <x v="11"/>
    <x v="0"/>
  </r>
  <r>
    <n v="1349"/>
    <n v="50954"/>
    <s v="Luis Martin"/>
    <x v="3"/>
    <x v="3"/>
    <x v="474"/>
    <d v="2024-11-08T00:00:00"/>
    <n v="4"/>
    <x v="0"/>
    <x v="4"/>
    <n v="1"/>
    <n v="4"/>
    <n v="1"/>
    <n v="1"/>
    <n v="3"/>
    <x v="0"/>
    <n v="2"/>
    <n v="2"/>
    <n v="1"/>
    <n v="1"/>
    <x v="1"/>
    <s v="Online Survey"/>
    <s v="Needs improvement"/>
    <x v="0"/>
    <n v="64"/>
    <d v="2024-11-08T00:00:00"/>
    <x v="2"/>
    <x v="25"/>
    <x v="1"/>
  </r>
  <r>
    <n v="1350"/>
    <n v="77359"/>
    <s v="Michelle Harris"/>
    <x v="0"/>
    <x v="1"/>
    <x v="76"/>
    <d v="2023-06-21T00:00:00"/>
    <n v="1"/>
    <x v="0"/>
    <x v="1"/>
    <n v="1"/>
    <n v="3"/>
    <n v="5"/>
    <n v="3"/>
    <n v="4"/>
    <x v="1"/>
    <n v="4"/>
    <n v="3"/>
    <n v="5"/>
    <n v="5"/>
    <x v="1"/>
    <s v="App Review"/>
    <s v="Will visit again"/>
    <x v="0"/>
    <n v="54"/>
    <d v="2024-07-07T00:00:00"/>
    <x v="2"/>
    <x v="21"/>
    <x v="0"/>
  </r>
  <r>
    <n v="1351"/>
    <n v="72934"/>
    <s v="Heidi Watkins"/>
    <x v="4"/>
    <x v="3"/>
    <x v="25"/>
    <d v="2024-10-26T00:00:00"/>
    <n v="3"/>
    <x v="0"/>
    <x v="3"/>
    <n v="2"/>
    <n v="3"/>
    <n v="5"/>
    <n v="4"/>
    <n v="1"/>
    <x v="4"/>
    <n v="2"/>
    <n v="3"/>
    <n v="3"/>
    <n v="3"/>
    <x v="0"/>
    <s v="Feedback Form"/>
    <s v="Poor service"/>
    <x v="0"/>
    <n v="64"/>
    <d v="2024-10-26T00:00:00"/>
    <x v="2"/>
    <x v="5"/>
    <x v="1"/>
  </r>
  <r>
    <n v="1352"/>
    <n v="64980"/>
    <s v="Emily Roth"/>
    <x v="3"/>
    <x v="2"/>
    <x v="275"/>
    <d v="2024-11-19T00:00:00"/>
    <n v="4"/>
    <x v="1"/>
    <x v="1"/>
    <n v="1"/>
    <n v="2"/>
    <n v="4"/>
    <n v="1"/>
    <n v="1"/>
    <x v="0"/>
    <n v="5"/>
    <n v="1"/>
    <n v="2"/>
    <n v="4"/>
    <x v="1"/>
    <s v="App Review"/>
    <s v="Needs improvement"/>
    <x v="2"/>
    <n v="28"/>
    <d v="2024-11-19T00:00:00"/>
    <x v="3"/>
    <x v="8"/>
    <x v="1"/>
  </r>
  <r>
    <n v="1353"/>
    <n v="64582"/>
    <s v="Melissa Contreras"/>
    <x v="4"/>
    <x v="4"/>
    <x v="214"/>
    <d v="2023-11-16T00:00:00"/>
    <n v="10"/>
    <x v="2"/>
    <x v="4"/>
    <n v="3"/>
    <n v="2"/>
    <n v="3"/>
    <n v="4"/>
    <n v="5"/>
    <x v="1"/>
    <n v="1"/>
    <n v="5"/>
    <n v="4"/>
    <n v="4"/>
    <x v="0"/>
    <s v="Feedback Form"/>
    <s v="Will visit again"/>
    <x v="0"/>
    <n v="45"/>
    <d v="2024-10-26T00:00:00"/>
    <x v="1"/>
    <x v="11"/>
    <x v="0"/>
  </r>
  <r>
    <n v="1354"/>
    <n v="97256"/>
    <s v="James Gibson"/>
    <x v="0"/>
    <x v="0"/>
    <x v="249"/>
    <d v="2024-10-19T00:00:00"/>
    <n v="3"/>
    <x v="1"/>
    <x v="2"/>
    <n v="5"/>
    <n v="5"/>
    <n v="1"/>
    <n v="2"/>
    <n v="1"/>
    <x v="3"/>
    <n v="2"/>
    <n v="1"/>
    <n v="2"/>
    <n v="2"/>
    <x v="1"/>
    <s v="Online Survey"/>
    <s v="Poor service"/>
    <x v="1"/>
    <n v="23"/>
    <d v="2024-10-19T00:00:00"/>
    <x v="0"/>
    <x v="14"/>
    <x v="1"/>
  </r>
  <r>
    <n v="1355"/>
    <n v="96008"/>
    <s v="Jessica Quinn"/>
    <x v="0"/>
    <x v="0"/>
    <x v="574"/>
    <d v="2025-01-04T00:00:00"/>
    <n v="5"/>
    <x v="0"/>
    <x v="2"/>
    <n v="5"/>
    <n v="4"/>
    <n v="1"/>
    <n v="5"/>
    <n v="3"/>
    <x v="0"/>
    <n v="1"/>
    <n v="2"/>
    <n v="2"/>
    <n v="5"/>
    <x v="0"/>
    <s v="App Review"/>
    <s v="Needs improvement"/>
    <x v="0"/>
    <n v="50"/>
    <d v="2025-01-04T00:00:00"/>
    <x v="1"/>
    <x v="0"/>
    <x v="0"/>
  </r>
  <r>
    <n v="1356"/>
    <n v="10610"/>
    <s v="Donald Rodriguez"/>
    <x v="4"/>
    <x v="2"/>
    <x v="318"/>
    <d v="2024-02-03T00:00:00"/>
    <n v="11"/>
    <x v="3"/>
    <x v="1"/>
    <n v="4"/>
    <n v="4"/>
    <n v="2"/>
    <n v="4"/>
    <n v="1"/>
    <x v="3"/>
    <n v="1"/>
    <n v="5"/>
    <n v="2"/>
    <n v="1"/>
    <x v="1"/>
    <s v="Online Survey"/>
    <s v="Average"/>
    <x v="0"/>
    <n v="31"/>
    <d v="2024-06-11T00:00:00"/>
    <x v="3"/>
    <x v="3"/>
    <x v="1"/>
  </r>
  <r>
    <n v="1357"/>
    <n v="46636"/>
    <s v="Lisa Werner"/>
    <x v="2"/>
    <x v="3"/>
    <x v="357"/>
    <d v="2023-09-14T00:00:00"/>
    <n v="12"/>
    <x v="1"/>
    <x v="2"/>
    <n v="4"/>
    <n v="5"/>
    <n v="5"/>
    <n v="5"/>
    <n v="2"/>
    <x v="0"/>
    <n v="3"/>
    <n v="3"/>
    <n v="5"/>
    <n v="4"/>
    <x v="0"/>
    <s v="Email"/>
    <s v="Great stay"/>
    <x v="2"/>
    <n v="64"/>
    <d v="2023-09-14T00:00:00"/>
    <x v="2"/>
    <x v="20"/>
    <x v="0"/>
  </r>
  <r>
    <n v="1358"/>
    <n v="96245"/>
    <s v="Emily Simpson"/>
    <x v="0"/>
    <x v="0"/>
    <x v="85"/>
    <d v="2024-04-07T00:00:00"/>
    <n v="10"/>
    <x v="3"/>
    <x v="2"/>
    <n v="3"/>
    <n v="3"/>
    <n v="5"/>
    <n v="1"/>
    <n v="5"/>
    <x v="1"/>
    <n v="3"/>
    <n v="3"/>
    <n v="5"/>
    <n v="2"/>
    <x v="0"/>
    <s v="Feedback Form"/>
    <s v="Great stay"/>
    <x v="0"/>
    <n v="46"/>
    <d v="2024-11-07T00:00:00"/>
    <x v="1"/>
    <x v="18"/>
    <x v="0"/>
  </r>
  <r>
    <n v="1359"/>
    <n v="21884"/>
    <s v="Tanya Ray"/>
    <x v="0"/>
    <x v="1"/>
    <x v="533"/>
    <d v="2023-05-19T00:00:00"/>
    <n v="7"/>
    <x v="0"/>
    <x v="2"/>
    <n v="5"/>
    <n v="4"/>
    <n v="2"/>
    <n v="5"/>
    <n v="4"/>
    <x v="1"/>
    <n v="3"/>
    <n v="4"/>
    <n v="2"/>
    <n v="5"/>
    <x v="0"/>
    <s v="In-person"/>
    <s v="Great stay"/>
    <x v="2"/>
    <n v="56"/>
    <d v="2023-12-27T00:00:00"/>
    <x v="2"/>
    <x v="20"/>
    <x v="0"/>
  </r>
  <r>
    <n v="1360"/>
    <n v="96355"/>
    <s v="Lisa Patterson"/>
    <x v="3"/>
    <x v="1"/>
    <x v="377"/>
    <d v="2024-06-16T00:00:00"/>
    <n v="8"/>
    <x v="3"/>
    <x v="0"/>
    <n v="4"/>
    <n v="1"/>
    <n v="4"/>
    <n v="3"/>
    <n v="3"/>
    <x v="0"/>
    <n v="1"/>
    <n v="2"/>
    <n v="4"/>
    <n v="2"/>
    <x v="1"/>
    <s v="App Review"/>
    <s v="Needs improvement"/>
    <x v="2"/>
    <n v="32"/>
    <d v="2024-07-02T00:00:00"/>
    <x v="3"/>
    <x v="5"/>
    <x v="1"/>
  </r>
  <r>
    <n v="1361"/>
    <n v="61315"/>
    <s v="Brian Ritter"/>
    <x v="4"/>
    <x v="3"/>
    <x v="155"/>
    <d v="2024-09-09T00:00:00"/>
    <n v="8"/>
    <x v="1"/>
    <x v="3"/>
    <n v="4"/>
    <n v="3"/>
    <n v="4"/>
    <n v="4"/>
    <n v="1"/>
    <x v="2"/>
    <n v="5"/>
    <n v="3"/>
    <n v="3"/>
    <n v="1"/>
    <x v="0"/>
    <s v="Online Survey"/>
    <s v="Average"/>
    <x v="0"/>
    <n v="65"/>
    <d v="2024-12-11T00:00:00"/>
    <x v="2"/>
    <x v="2"/>
    <x v="0"/>
  </r>
  <r>
    <n v="1362"/>
    <n v="60901"/>
    <s v="Keith Johnson"/>
    <x v="0"/>
    <x v="1"/>
    <x v="217"/>
    <d v="2024-07-31T00:00:00"/>
    <n v="11"/>
    <x v="2"/>
    <x v="3"/>
    <n v="2"/>
    <n v="3"/>
    <n v="1"/>
    <n v="5"/>
    <n v="4"/>
    <x v="1"/>
    <n v="3"/>
    <n v="1"/>
    <n v="1"/>
    <n v="5"/>
    <x v="1"/>
    <s v="App Review"/>
    <s v="Average"/>
    <x v="2"/>
    <n v="22"/>
    <d v="2024-07-31T00:00:00"/>
    <x v="0"/>
    <x v="2"/>
    <x v="0"/>
  </r>
  <r>
    <n v="1363"/>
    <n v="31556"/>
    <s v="Amanda Williams"/>
    <x v="4"/>
    <x v="4"/>
    <x v="609"/>
    <d v="2024-10-16T00:00:00"/>
    <n v="2"/>
    <x v="3"/>
    <x v="4"/>
    <n v="2"/>
    <n v="2"/>
    <n v="4"/>
    <n v="4"/>
    <n v="1"/>
    <x v="0"/>
    <n v="3"/>
    <n v="3"/>
    <n v="3"/>
    <n v="4"/>
    <x v="0"/>
    <s v="Online Survey"/>
    <s v="Average"/>
    <x v="1"/>
    <n v="39"/>
    <d v="2024-10-16T00:00:00"/>
    <x v="1"/>
    <x v="4"/>
    <x v="1"/>
  </r>
  <r>
    <n v="1364"/>
    <n v="56676"/>
    <s v="Abigail Valencia"/>
    <x v="3"/>
    <x v="2"/>
    <x v="84"/>
    <d v="2024-06-01T00:00:00"/>
    <n v="1"/>
    <x v="1"/>
    <x v="2"/>
    <n v="3"/>
    <n v="5"/>
    <n v="3"/>
    <n v="4"/>
    <n v="5"/>
    <x v="0"/>
    <n v="4"/>
    <n v="1"/>
    <n v="4"/>
    <n v="5"/>
    <x v="0"/>
    <s v="Email"/>
    <s v="Poor service"/>
    <x v="2"/>
    <n v="69"/>
    <d v="2024-06-01T00:00:00"/>
    <x v="2"/>
    <x v="16"/>
    <x v="0"/>
  </r>
  <r>
    <n v="1365"/>
    <n v="88758"/>
    <s v="Judith Boyd"/>
    <x v="4"/>
    <x v="0"/>
    <x v="333"/>
    <d v="2024-02-28T00:00:00"/>
    <n v="13"/>
    <x v="2"/>
    <x v="1"/>
    <n v="3"/>
    <n v="3"/>
    <n v="3"/>
    <n v="3"/>
    <n v="4"/>
    <x v="4"/>
    <n v="1"/>
    <n v="1"/>
    <n v="4"/>
    <n v="4"/>
    <x v="0"/>
    <s v="In-person"/>
    <s v="Needs improvement"/>
    <x v="2"/>
    <n v="48"/>
    <d v="2024-02-28T00:00:00"/>
    <x v="1"/>
    <x v="5"/>
    <x v="1"/>
  </r>
  <r>
    <n v="1366"/>
    <n v="96603"/>
    <s v="Jeremy Hayes"/>
    <x v="4"/>
    <x v="2"/>
    <x v="610"/>
    <d v="2024-02-24T00:00:00"/>
    <n v="14"/>
    <x v="0"/>
    <x v="2"/>
    <n v="3"/>
    <n v="2"/>
    <n v="3"/>
    <n v="1"/>
    <n v="2"/>
    <x v="3"/>
    <n v="1"/>
    <n v="5"/>
    <n v="3"/>
    <n v="3"/>
    <x v="1"/>
    <s v="App Review"/>
    <s v="Will visit again"/>
    <x v="0"/>
    <n v="36"/>
    <d v="2024-12-14T00:00:00"/>
    <x v="1"/>
    <x v="5"/>
    <x v="1"/>
  </r>
  <r>
    <n v="1367"/>
    <n v="21018"/>
    <s v="Jennifer Sanford"/>
    <x v="3"/>
    <x v="3"/>
    <x v="576"/>
    <d v="2023-09-09T00:00:00"/>
    <n v="6"/>
    <x v="2"/>
    <x v="4"/>
    <n v="3"/>
    <n v="1"/>
    <n v="2"/>
    <n v="5"/>
    <n v="2"/>
    <x v="4"/>
    <n v="3"/>
    <n v="5"/>
    <n v="3"/>
    <n v="4"/>
    <x v="0"/>
    <s v="App Review"/>
    <s v="Poor service"/>
    <x v="0"/>
    <n v="68"/>
    <d v="2023-09-09T00:00:00"/>
    <x v="2"/>
    <x v="4"/>
    <x v="1"/>
  </r>
  <r>
    <n v="1368"/>
    <n v="46599"/>
    <s v="Kyle Mitchell"/>
    <x v="0"/>
    <x v="2"/>
    <x v="611"/>
    <d v="2023-10-11T00:00:00"/>
    <n v="1"/>
    <x v="0"/>
    <x v="2"/>
    <n v="5"/>
    <n v="1"/>
    <n v="3"/>
    <n v="2"/>
    <n v="4"/>
    <x v="3"/>
    <n v="4"/>
    <n v="3"/>
    <n v="2"/>
    <n v="2"/>
    <x v="0"/>
    <s v="Online Survey"/>
    <s v="Needs improvement"/>
    <x v="2"/>
    <n v="35"/>
    <d v="2023-10-23T00:00:00"/>
    <x v="3"/>
    <x v="2"/>
    <x v="0"/>
  </r>
  <r>
    <n v="1369"/>
    <n v="77915"/>
    <s v="Michael Tate"/>
    <x v="4"/>
    <x v="0"/>
    <x v="52"/>
    <d v="2024-11-28T00:00:00"/>
    <n v="6"/>
    <x v="1"/>
    <x v="0"/>
    <n v="1"/>
    <n v="4"/>
    <n v="2"/>
    <n v="4"/>
    <n v="2"/>
    <x v="3"/>
    <n v="4"/>
    <n v="3"/>
    <n v="3"/>
    <n v="1"/>
    <x v="1"/>
    <s v="Online Survey"/>
    <s v="Average"/>
    <x v="1"/>
    <n v="23"/>
    <d v="2024-11-28T00:00:00"/>
    <x v="0"/>
    <x v="3"/>
    <x v="1"/>
  </r>
  <r>
    <n v="1370"/>
    <n v="32489"/>
    <s v="Amy Malone"/>
    <x v="2"/>
    <x v="0"/>
    <x v="260"/>
    <d v="2024-05-19T00:00:00"/>
    <n v="13"/>
    <x v="1"/>
    <x v="4"/>
    <n v="3"/>
    <n v="5"/>
    <n v="1"/>
    <n v="1"/>
    <n v="3"/>
    <x v="4"/>
    <n v="2"/>
    <n v="1"/>
    <n v="3"/>
    <n v="5"/>
    <x v="1"/>
    <s v="App Review"/>
    <s v="Needs improvement"/>
    <x v="1"/>
    <n v="26"/>
    <d v="2024-05-19T00:00:00"/>
    <x v="3"/>
    <x v="14"/>
    <x v="1"/>
  </r>
  <r>
    <n v="1371"/>
    <n v="58071"/>
    <s v="Daniel Bright"/>
    <x v="0"/>
    <x v="3"/>
    <x v="241"/>
    <d v="2024-11-16T00:00:00"/>
    <n v="7"/>
    <x v="2"/>
    <x v="3"/>
    <n v="2"/>
    <n v="5"/>
    <n v="1"/>
    <n v="2"/>
    <n v="5"/>
    <x v="2"/>
    <n v="2"/>
    <n v="5"/>
    <n v="2"/>
    <n v="3"/>
    <x v="0"/>
    <s v="Email"/>
    <s v="Average"/>
    <x v="2"/>
    <n v="47"/>
    <d v="2024-11-16T00:00:00"/>
    <x v="1"/>
    <x v="4"/>
    <x v="1"/>
  </r>
  <r>
    <n v="1372"/>
    <n v="22394"/>
    <s v="Ashley Gonzalez"/>
    <x v="3"/>
    <x v="0"/>
    <x v="382"/>
    <d v="2024-08-06T00:00:00"/>
    <n v="9"/>
    <x v="1"/>
    <x v="3"/>
    <n v="1"/>
    <n v="2"/>
    <n v="3"/>
    <n v="4"/>
    <n v="3"/>
    <x v="0"/>
    <n v="3"/>
    <n v="3"/>
    <n v="4"/>
    <n v="3"/>
    <x v="0"/>
    <s v="App Review"/>
    <s v="Will visit again"/>
    <x v="2"/>
    <n v="48"/>
    <d v="2024-09-22T00:00:00"/>
    <x v="1"/>
    <x v="4"/>
    <x v="1"/>
  </r>
  <r>
    <n v="1373"/>
    <n v="24417"/>
    <s v="Cameron Pierce"/>
    <x v="1"/>
    <x v="1"/>
    <x v="612"/>
    <d v="2024-08-01T00:00:00"/>
    <n v="10"/>
    <x v="1"/>
    <x v="0"/>
    <n v="1"/>
    <n v="4"/>
    <n v="2"/>
    <n v="2"/>
    <n v="4"/>
    <x v="1"/>
    <n v="1"/>
    <n v="5"/>
    <n v="5"/>
    <n v="3"/>
    <x v="0"/>
    <s v="Feedback Form"/>
    <s v="Average"/>
    <x v="2"/>
    <n v="52"/>
    <d v="2024-08-01T00:00:00"/>
    <x v="2"/>
    <x v="10"/>
    <x v="0"/>
  </r>
  <r>
    <n v="1374"/>
    <n v="37849"/>
    <s v="Richard Adams Jr."/>
    <x v="2"/>
    <x v="2"/>
    <x v="419"/>
    <d v="2024-10-29T00:00:00"/>
    <n v="10"/>
    <x v="0"/>
    <x v="3"/>
    <n v="5"/>
    <n v="5"/>
    <n v="3"/>
    <n v="5"/>
    <n v="3"/>
    <x v="0"/>
    <n v="4"/>
    <n v="2"/>
    <n v="2"/>
    <n v="2"/>
    <x v="0"/>
    <s v="Feedback Form"/>
    <s v="Poor service"/>
    <x v="2"/>
    <n v="34"/>
    <d v="2024-10-29T00:00:00"/>
    <x v="3"/>
    <x v="13"/>
    <x v="0"/>
  </r>
  <r>
    <n v="1375"/>
    <n v="45207"/>
    <s v="Evan Garcia"/>
    <x v="0"/>
    <x v="4"/>
    <x v="290"/>
    <d v="2024-02-17T00:00:00"/>
    <n v="1"/>
    <x v="1"/>
    <x v="0"/>
    <n v="4"/>
    <n v="4"/>
    <n v="4"/>
    <n v="5"/>
    <n v="5"/>
    <x v="4"/>
    <n v="4"/>
    <n v="1"/>
    <n v="3"/>
    <n v="4"/>
    <x v="0"/>
    <s v="App Review"/>
    <s v="Needs improvement"/>
    <x v="0"/>
    <n v="59"/>
    <d v="2024-02-17T00:00:00"/>
    <x v="2"/>
    <x v="18"/>
    <x v="0"/>
  </r>
  <r>
    <n v="1376"/>
    <n v="71669"/>
    <s v="Kathryn Obrien"/>
    <x v="3"/>
    <x v="4"/>
    <x v="99"/>
    <d v="2023-08-13T00:00:00"/>
    <n v="7"/>
    <x v="3"/>
    <x v="3"/>
    <n v="1"/>
    <n v="2"/>
    <n v="2"/>
    <n v="4"/>
    <n v="5"/>
    <x v="2"/>
    <n v="4"/>
    <n v="5"/>
    <n v="1"/>
    <n v="3"/>
    <x v="1"/>
    <s v="Email"/>
    <s v="Great stay"/>
    <x v="2"/>
    <n v="33"/>
    <d v="2023-09-30T00:00:00"/>
    <x v="3"/>
    <x v="4"/>
    <x v="1"/>
  </r>
  <r>
    <n v="1377"/>
    <n v="34290"/>
    <s v="Mark Diaz"/>
    <x v="2"/>
    <x v="4"/>
    <x v="311"/>
    <d v="2024-07-28T00:00:00"/>
    <n v="4"/>
    <x v="0"/>
    <x v="3"/>
    <n v="5"/>
    <n v="4"/>
    <n v="2"/>
    <n v="4"/>
    <n v="4"/>
    <x v="1"/>
    <n v="1"/>
    <n v="3"/>
    <n v="3"/>
    <n v="1"/>
    <x v="0"/>
    <s v="Online Survey"/>
    <s v="Average"/>
    <x v="2"/>
    <n v="50"/>
    <d v="2024-12-05T00:00:00"/>
    <x v="1"/>
    <x v="10"/>
    <x v="0"/>
  </r>
  <r>
    <n v="1378"/>
    <n v="25115"/>
    <s v="Eugene Washington"/>
    <x v="0"/>
    <x v="3"/>
    <x v="298"/>
    <d v="2024-04-23T00:00:00"/>
    <n v="9"/>
    <x v="3"/>
    <x v="2"/>
    <n v="5"/>
    <n v="3"/>
    <n v="2"/>
    <n v="5"/>
    <n v="3"/>
    <x v="1"/>
    <n v="2"/>
    <n v="1"/>
    <n v="1"/>
    <n v="1"/>
    <x v="1"/>
    <s v="Online Survey"/>
    <s v="Average"/>
    <x v="1"/>
    <n v="21"/>
    <d v="2024-05-29T00:00:00"/>
    <x v="0"/>
    <x v="3"/>
    <x v="1"/>
  </r>
  <r>
    <n v="1379"/>
    <n v="42752"/>
    <s v="Kaitlyn Turner"/>
    <x v="1"/>
    <x v="4"/>
    <x v="547"/>
    <d v="2024-08-19T00:00:00"/>
    <n v="11"/>
    <x v="2"/>
    <x v="4"/>
    <n v="5"/>
    <n v="3"/>
    <n v="2"/>
    <n v="1"/>
    <n v="5"/>
    <x v="2"/>
    <n v="3"/>
    <n v="4"/>
    <n v="2"/>
    <n v="5"/>
    <x v="0"/>
    <s v="App Review"/>
    <s v="Great stay"/>
    <x v="2"/>
    <n v="48"/>
    <d v="2024-08-19T00:00:00"/>
    <x v="1"/>
    <x v="10"/>
    <x v="0"/>
  </r>
  <r>
    <n v="1380"/>
    <n v="56402"/>
    <s v="Rita Simpson"/>
    <x v="0"/>
    <x v="2"/>
    <x v="613"/>
    <d v="2023-08-11T00:00:00"/>
    <n v="4"/>
    <x v="3"/>
    <x v="3"/>
    <n v="3"/>
    <n v="3"/>
    <n v="4"/>
    <n v="2"/>
    <n v="4"/>
    <x v="1"/>
    <n v="2"/>
    <n v="1"/>
    <n v="5"/>
    <n v="1"/>
    <x v="1"/>
    <s v="In-person"/>
    <s v="Poor service"/>
    <x v="2"/>
    <n v="50"/>
    <d v="2023-08-11T00:00:00"/>
    <x v="1"/>
    <x v="2"/>
    <x v="0"/>
  </r>
  <r>
    <n v="1381"/>
    <n v="34241"/>
    <s v="Raymond Brown"/>
    <x v="1"/>
    <x v="0"/>
    <x v="614"/>
    <d v="2024-01-17T00:00:00"/>
    <n v="2"/>
    <x v="1"/>
    <x v="4"/>
    <n v="4"/>
    <n v="3"/>
    <n v="3"/>
    <n v="4"/>
    <n v="5"/>
    <x v="1"/>
    <n v="4"/>
    <n v="2"/>
    <n v="5"/>
    <n v="4"/>
    <x v="0"/>
    <s v="Online Survey"/>
    <s v="Will visit again"/>
    <x v="2"/>
    <n v="67"/>
    <d v="2024-01-17T00:00:00"/>
    <x v="2"/>
    <x v="20"/>
    <x v="0"/>
  </r>
  <r>
    <n v="1382"/>
    <n v="59021"/>
    <s v="Nancy Rogers"/>
    <x v="1"/>
    <x v="1"/>
    <x v="105"/>
    <d v="2024-09-10T00:00:00"/>
    <n v="1"/>
    <x v="2"/>
    <x v="4"/>
    <n v="3"/>
    <n v="1"/>
    <n v="1"/>
    <n v="4"/>
    <n v="1"/>
    <x v="2"/>
    <n v="4"/>
    <n v="1"/>
    <n v="1"/>
    <n v="4"/>
    <x v="1"/>
    <s v="Feedback Form"/>
    <s v="Will visit again"/>
    <x v="2"/>
    <n v="69"/>
    <d v="2024-09-10T00:00:00"/>
    <x v="2"/>
    <x v="19"/>
    <x v="1"/>
  </r>
  <r>
    <n v="1383"/>
    <n v="48197"/>
    <s v="Kenneth Madden"/>
    <x v="4"/>
    <x v="4"/>
    <x v="284"/>
    <d v="2024-09-25T00:00:00"/>
    <n v="7"/>
    <x v="1"/>
    <x v="3"/>
    <n v="2"/>
    <n v="1"/>
    <n v="5"/>
    <n v="3"/>
    <n v="1"/>
    <x v="4"/>
    <n v="1"/>
    <n v="5"/>
    <n v="4"/>
    <n v="3"/>
    <x v="1"/>
    <s v="Feedback Form"/>
    <s v="Poor service"/>
    <x v="2"/>
    <n v="53"/>
    <d v="2024-09-25T00:00:00"/>
    <x v="2"/>
    <x v="7"/>
    <x v="1"/>
  </r>
  <r>
    <n v="1384"/>
    <n v="74079"/>
    <s v="Emily Reed"/>
    <x v="3"/>
    <x v="4"/>
    <x v="416"/>
    <d v="2024-10-01T00:00:00"/>
    <n v="12"/>
    <x v="2"/>
    <x v="4"/>
    <n v="4"/>
    <n v="5"/>
    <n v="5"/>
    <n v="2"/>
    <n v="5"/>
    <x v="4"/>
    <n v="1"/>
    <n v="5"/>
    <n v="1"/>
    <n v="4"/>
    <x v="1"/>
    <s v="In-person"/>
    <s v="Needs improvement"/>
    <x v="1"/>
    <n v="28"/>
    <d v="2024-10-01T00:00:00"/>
    <x v="3"/>
    <x v="1"/>
    <x v="0"/>
  </r>
  <r>
    <n v="1385"/>
    <n v="99979"/>
    <s v="Carl Lamb"/>
    <x v="4"/>
    <x v="4"/>
    <x v="142"/>
    <d v="2024-06-07T00:00:00"/>
    <n v="7"/>
    <x v="2"/>
    <x v="0"/>
    <n v="3"/>
    <n v="1"/>
    <n v="2"/>
    <n v="5"/>
    <n v="4"/>
    <x v="1"/>
    <n v="1"/>
    <n v="3"/>
    <n v="1"/>
    <n v="4"/>
    <x v="1"/>
    <s v="In-person"/>
    <s v="Will visit again"/>
    <x v="0"/>
    <n v="21"/>
    <d v="2024-09-18T00:00:00"/>
    <x v="0"/>
    <x v="4"/>
    <x v="1"/>
  </r>
  <r>
    <n v="1386"/>
    <n v="46533"/>
    <s v="Cody Cruz"/>
    <x v="1"/>
    <x v="1"/>
    <x v="393"/>
    <d v="2024-02-02T00:00:00"/>
    <n v="3"/>
    <x v="0"/>
    <x v="1"/>
    <n v="4"/>
    <n v="4"/>
    <n v="2"/>
    <n v="4"/>
    <n v="1"/>
    <x v="4"/>
    <n v="3"/>
    <n v="3"/>
    <n v="2"/>
    <n v="3"/>
    <x v="1"/>
    <s v="Feedback Form"/>
    <s v="Poor service"/>
    <x v="0"/>
    <n v="68"/>
    <d v="2024-02-02T00:00:00"/>
    <x v="2"/>
    <x v="5"/>
    <x v="1"/>
  </r>
  <r>
    <n v="1387"/>
    <n v="87897"/>
    <s v="Melissa Chen"/>
    <x v="3"/>
    <x v="2"/>
    <x v="586"/>
    <d v="2023-10-13T00:00:00"/>
    <n v="5"/>
    <x v="3"/>
    <x v="0"/>
    <n v="2"/>
    <n v="4"/>
    <n v="1"/>
    <n v="4"/>
    <n v="5"/>
    <x v="4"/>
    <n v="5"/>
    <n v="1"/>
    <n v="3"/>
    <n v="5"/>
    <x v="1"/>
    <s v="App Review"/>
    <s v="Average"/>
    <x v="1"/>
    <n v="53"/>
    <d v="2024-07-31T00:00:00"/>
    <x v="2"/>
    <x v="0"/>
    <x v="0"/>
  </r>
  <r>
    <n v="1388"/>
    <n v="99832"/>
    <s v="Sandra Stark"/>
    <x v="3"/>
    <x v="4"/>
    <x v="615"/>
    <d v="2023-07-17T00:00:00"/>
    <n v="10"/>
    <x v="1"/>
    <x v="3"/>
    <n v="3"/>
    <n v="1"/>
    <n v="5"/>
    <n v="5"/>
    <n v="2"/>
    <x v="1"/>
    <n v="5"/>
    <n v="1"/>
    <n v="4"/>
    <n v="4"/>
    <x v="0"/>
    <s v="App Review"/>
    <s v="Great stay"/>
    <x v="2"/>
    <n v="22"/>
    <d v="2023-12-28T00:00:00"/>
    <x v="0"/>
    <x v="18"/>
    <x v="0"/>
  </r>
  <r>
    <n v="1389"/>
    <n v="84381"/>
    <s v="John Jackson"/>
    <x v="3"/>
    <x v="0"/>
    <x v="383"/>
    <d v="2025-01-07T00:00:00"/>
    <n v="12"/>
    <x v="2"/>
    <x v="0"/>
    <n v="4"/>
    <n v="4"/>
    <n v="2"/>
    <n v="2"/>
    <n v="3"/>
    <x v="1"/>
    <n v="3"/>
    <n v="1"/>
    <n v="1"/>
    <n v="4"/>
    <x v="0"/>
    <s v="App Review"/>
    <s v="Needs improvement"/>
    <x v="1"/>
    <n v="38"/>
    <d v="2025-01-07T00:00:00"/>
    <x v="1"/>
    <x v="4"/>
    <x v="1"/>
  </r>
  <r>
    <n v="1390"/>
    <n v="89283"/>
    <s v="Carla Contreras"/>
    <x v="2"/>
    <x v="3"/>
    <x v="375"/>
    <d v="2023-11-24T00:00:00"/>
    <n v="14"/>
    <x v="0"/>
    <x v="1"/>
    <n v="2"/>
    <n v="5"/>
    <n v="4"/>
    <n v="1"/>
    <n v="5"/>
    <x v="4"/>
    <n v="3"/>
    <n v="5"/>
    <n v="2"/>
    <n v="2"/>
    <x v="0"/>
    <s v="Feedback Form"/>
    <s v="Needs improvement"/>
    <x v="2"/>
    <n v="30"/>
    <d v="2023-11-24T00:00:00"/>
    <x v="3"/>
    <x v="2"/>
    <x v="0"/>
  </r>
  <r>
    <n v="1391"/>
    <n v="93093"/>
    <s v="Sarah Flores"/>
    <x v="0"/>
    <x v="1"/>
    <x v="473"/>
    <d v="2023-08-04T00:00:00"/>
    <n v="12"/>
    <x v="2"/>
    <x v="0"/>
    <n v="5"/>
    <n v="2"/>
    <n v="5"/>
    <n v="5"/>
    <n v="1"/>
    <x v="3"/>
    <n v="3"/>
    <n v="5"/>
    <n v="4"/>
    <n v="5"/>
    <x v="1"/>
    <s v="In-person"/>
    <s v="Average"/>
    <x v="0"/>
    <n v="21"/>
    <d v="2024-06-14T00:00:00"/>
    <x v="0"/>
    <x v="20"/>
    <x v="0"/>
  </r>
  <r>
    <n v="1392"/>
    <n v="77203"/>
    <s v="Bianca Williams"/>
    <x v="1"/>
    <x v="2"/>
    <x v="143"/>
    <d v="2023-08-22T00:00:00"/>
    <n v="7"/>
    <x v="3"/>
    <x v="4"/>
    <n v="4"/>
    <n v="1"/>
    <n v="4"/>
    <n v="1"/>
    <n v="5"/>
    <x v="2"/>
    <n v="2"/>
    <n v="4"/>
    <n v="5"/>
    <n v="3"/>
    <x v="0"/>
    <s v="Email"/>
    <s v="Will visit again"/>
    <x v="0"/>
    <n v="59"/>
    <d v="2024-06-09T00:00:00"/>
    <x v="2"/>
    <x v="0"/>
    <x v="0"/>
  </r>
  <r>
    <n v="1393"/>
    <n v="56963"/>
    <s v="Aaron Gallegos"/>
    <x v="3"/>
    <x v="0"/>
    <x v="572"/>
    <d v="2024-09-03T00:00:00"/>
    <n v="8"/>
    <x v="2"/>
    <x v="3"/>
    <n v="2"/>
    <n v="3"/>
    <n v="1"/>
    <n v="4"/>
    <n v="4"/>
    <x v="4"/>
    <n v="3"/>
    <n v="4"/>
    <n v="5"/>
    <n v="2"/>
    <x v="0"/>
    <s v="Feedback Form"/>
    <s v="Needs improvement"/>
    <x v="0"/>
    <n v="67"/>
    <d v="2024-09-03T00:00:00"/>
    <x v="2"/>
    <x v="4"/>
    <x v="1"/>
  </r>
  <r>
    <n v="1394"/>
    <n v="41034"/>
    <s v="Edward Grant"/>
    <x v="2"/>
    <x v="1"/>
    <x v="265"/>
    <d v="2023-08-11T00:00:00"/>
    <n v="14"/>
    <x v="3"/>
    <x v="4"/>
    <n v="5"/>
    <n v="4"/>
    <n v="1"/>
    <n v="1"/>
    <n v="1"/>
    <x v="4"/>
    <n v="2"/>
    <n v="4"/>
    <n v="2"/>
    <n v="2"/>
    <x v="0"/>
    <s v="Feedback Form"/>
    <s v="Great stay"/>
    <x v="2"/>
    <n v="52"/>
    <d v="2024-08-21T00:00:00"/>
    <x v="2"/>
    <x v="9"/>
    <x v="1"/>
  </r>
  <r>
    <n v="1395"/>
    <n v="24143"/>
    <s v="Patrick Martin"/>
    <x v="2"/>
    <x v="1"/>
    <x v="139"/>
    <d v="2024-03-29T00:00:00"/>
    <n v="12"/>
    <x v="2"/>
    <x v="4"/>
    <n v="2"/>
    <n v="4"/>
    <n v="5"/>
    <n v="1"/>
    <n v="4"/>
    <x v="3"/>
    <n v="1"/>
    <n v="3"/>
    <n v="4"/>
    <n v="5"/>
    <x v="0"/>
    <s v="Online Survey"/>
    <s v="Average"/>
    <x v="2"/>
    <n v="43"/>
    <d v="2024-03-29T00:00:00"/>
    <x v="1"/>
    <x v="1"/>
    <x v="0"/>
  </r>
  <r>
    <n v="1396"/>
    <n v="78857"/>
    <s v="Anthony Bennett"/>
    <x v="1"/>
    <x v="3"/>
    <x v="437"/>
    <d v="2024-09-28T00:00:00"/>
    <n v="9"/>
    <x v="3"/>
    <x v="3"/>
    <n v="1"/>
    <n v="2"/>
    <n v="3"/>
    <n v="5"/>
    <n v="4"/>
    <x v="0"/>
    <n v="4"/>
    <n v="5"/>
    <n v="3"/>
    <n v="4"/>
    <x v="1"/>
    <s v="App Review"/>
    <s v="Needs improvement"/>
    <x v="1"/>
    <n v="43"/>
    <d v="2024-09-28T00:00:00"/>
    <x v="1"/>
    <x v="13"/>
    <x v="0"/>
  </r>
  <r>
    <n v="1397"/>
    <n v="79662"/>
    <s v="Melissa Hogan"/>
    <x v="4"/>
    <x v="3"/>
    <x v="158"/>
    <d v="2023-11-01T00:00:00"/>
    <n v="10"/>
    <x v="1"/>
    <x v="3"/>
    <n v="2"/>
    <n v="5"/>
    <n v="5"/>
    <n v="4"/>
    <n v="4"/>
    <x v="0"/>
    <n v="5"/>
    <n v="1"/>
    <n v="2"/>
    <n v="3"/>
    <x v="0"/>
    <s v="Online Survey"/>
    <s v="Average"/>
    <x v="2"/>
    <n v="36"/>
    <d v="2023-11-01T00:00:00"/>
    <x v="1"/>
    <x v="13"/>
    <x v="0"/>
  </r>
  <r>
    <n v="1398"/>
    <n v="29177"/>
    <s v="Albert Hall"/>
    <x v="2"/>
    <x v="2"/>
    <x v="140"/>
    <d v="2024-09-06T00:00:00"/>
    <n v="10"/>
    <x v="3"/>
    <x v="2"/>
    <n v="3"/>
    <n v="4"/>
    <n v="4"/>
    <n v="2"/>
    <n v="5"/>
    <x v="2"/>
    <n v="4"/>
    <n v="1"/>
    <n v="3"/>
    <n v="5"/>
    <x v="0"/>
    <s v="Feedback Form"/>
    <s v="Will visit again"/>
    <x v="2"/>
    <n v="54"/>
    <d v="2024-11-13T00:00:00"/>
    <x v="2"/>
    <x v="1"/>
    <x v="0"/>
  </r>
  <r>
    <n v="1399"/>
    <n v="84835"/>
    <s v="Virginia Smith"/>
    <x v="1"/>
    <x v="4"/>
    <x v="261"/>
    <d v="2024-06-07T00:00:00"/>
    <n v="1"/>
    <x v="3"/>
    <x v="1"/>
    <n v="3"/>
    <n v="3"/>
    <n v="3"/>
    <n v="3"/>
    <n v="1"/>
    <x v="1"/>
    <n v="5"/>
    <n v="4"/>
    <n v="1"/>
    <n v="2"/>
    <x v="1"/>
    <s v="Feedback Form"/>
    <s v="Poor service"/>
    <x v="0"/>
    <n v="28"/>
    <d v="2024-10-02T00:00:00"/>
    <x v="3"/>
    <x v="2"/>
    <x v="0"/>
  </r>
  <r>
    <n v="1400"/>
    <n v="56051"/>
    <s v="Jessica Lucas"/>
    <x v="2"/>
    <x v="3"/>
    <x v="44"/>
    <d v="2023-12-09T00:00:00"/>
    <n v="9"/>
    <x v="1"/>
    <x v="4"/>
    <n v="3"/>
    <n v="2"/>
    <n v="4"/>
    <n v="1"/>
    <n v="4"/>
    <x v="4"/>
    <n v="1"/>
    <n v="3"/>
    <n v="3"/>
    <n v="1"/>
    <x v="0"/>
    <s v="Feedback Form"/>
    <s v="Average"/>
    <x v="2"/>
    <n v="19"/>
    <d v="2023-12-09T00:00:00"/>
    <x v="0"/>
    <x v="9"/>
    <x v="1"/>
  </r>
  <r>
    <n v="1401"/>
    <n v="81721"/>
    <s v="Patty Ferguson"/>
    <x v="1"/>
    <x v="2"/>
    <x v="2"/>
    <d v="2023-09-22T00:00:00"/>
    <n v="6"/>
    <x v="3"/>
    <x v="4"/>
    <n v="3"/>
    <n v="4"/>
    <n v="4"/>
    <n v="4"/>
    <n v="2"/>
    <x v="3"/>
    <n v="5"/>
    <n v="3"/>
    <n v="2"/>
    <n v="3"/>
    <x v="1"/>
    <s v="Email"/>
    <s v="Will visit again"/>
    <x v="1"/>
    <n v="48"/>
    <d v="2023-09-22T00:00:00"/>
    <x v="1"/>
    <x v="13"/>
    <x v="0"/>
  </r>
  <r>
    <n v="1402"/>
    <n v="62937"/>
    <s v="Teresa Reyes"/>
    <x v="3"/>
    <x v="1"/>
    <x v="385"/>
    <d v="2024-01-01T00:00:00"/>
    <n v="6"/>
    <x v="2"/>
    <x v="3"/>
    <n v="1"/>
    <n v="3"/>
    <n v="4"/>
    <n v="3"/>
    <n v="3"/>
    <x v="1"/>
    <n v="1"/>
    <n v="4"/>
    <n v="4"/>
    <n v="1"/>
    <x v="0"/>
    <s v="Online Survey"/>
    <s v="Needs improvement"/>
    <x v="1"/>
    <n v="35"/>
    <d v="2024-01-01T00:00:00"/>
    <x v="3"/>
    <x v="4"/>
    <x v="1"/>
  </r>
  <r>
    <n v="1403"/>
    <n v="69778"/>
    <s v="John Hall"/>
    <x v="4"/>
    <x v="4"/>
    <x v="616"/>
    <d v="2024-11-15T00:00:00"/>
    <n v="14"/>
    <x v="2"/>
    <x v="3"/>
    <n v="1"/>
    <n v="4"/>
    <n v="2"/>
    <n v="2"/>
    <n v="5"/>
    <x v="1"/>
    <n v="4"/>
    <n v="1"/>
    <n v="3"/>
    <n v="4"/>
    <x v="1"/>
    <s v="In-person"/>
    <s v="Needs improvement"/>
    <x v="0"/>
    <n v="28"/>
    <d v="2024-11-15T00:00:00"/>
    <x v="3"/>
    <x v="0"/>
    <x v="0"/>
  </r>
  <r>
    <n v="1404"/>
    <n v="83993"/>
    <s v="Rhonda Randall MD"/>
    <x v="2"/>
    <x v="0"/>
    <x v="134"/>
    <d v="2024-09-27T00:00:00"/>
    <n v="7"/>
    <x v="2"/>
    <x v="0"/>
    <n v="1"/>
    <n v="3"/>
    <n v="3"/>
    <n v="3"/>
    <n v="2"/>
    <x v="0"/>
    <n v="2"/>
    <n v="3"/>
    <n v="1"/>
    <n v="5"/>
    <x v="0"/>
    <s v="App Review"/>
    <s v="Will visit again"/>
    <x v="2"/>
    <n v="61"/>
    <d v="2024-09-27T00:00:00"/>
    <x v="2"/>
    <x v="7"/>
    <x v="1"/>
  </r>
  <r>
    <n v="1405"/>
    <n v="25942"/>
    <s v="Sarah Noble"/>
    <x v="2"/>
    <x v="1"/>
    <x v="409"/>
    <d v="2023-08-16T00:00:00"/>
    <n v="9"/>
    <x v="1"/>
    <x v="4"/>
    <n v="5"/>
    <n v="2"/>
    <n v="2"/>
    <n v="2"/>
    <n v="1"/>
    <x v="4"/>
    <n v="5"/>
    <n v="2"/>
    <n v="4"/>
    <n v="4"/>
    <x v="0"/>
    <s v="App Review"/>
    <s v="Needs improvement"/>
    <x v="0"/>
    <n v="33"/>
    <d v="2024-07-18T00:00:00"/>
    <x v="3"/>
    <x v="3"/>
    <x v="1"/>
  </r>
  <r>
    <n v="1406"/>
    <n v="77659"/>
    <s v="Lori Jimenez"/>
    <x v="2"/>
    <x v="2"/>
    <x v="430"/>
    <d v="2024-04-01T00:00:00"/>
    <n v="7"/>
    <x v="3"/>
    <x v="4"/>
    <n v="4"/>
    <n v="5"/>
    <n v="2"/>
    <n v="3"/>
    <n v="3"/>
    <x v="2"/>
    <n v="3"/>
    <n v="4"/>
    <n v="5"/>
    <n v="5"/>
    <x v="0"/>
    <s v="Email"/>
    <s v="Needs improvement"/>
    <x v="0"/>
    <n v="19"/>
    <d v="2024-04-01T00:00:00"/>
    <x v="0"/>
    <x v="11"/>
    <x v="0"/>
  </r>
  <r>
    <n v="1407"/>
    <n v="27894"/>
    <s v="Troy White"/>
    <x v="0"/>
    <x v="0"/>
    <x v="149"/>
    <d v="2025-01-10T00:00:00"/>
    <n v="7"/>
    <x v="3"/>
    <x v="3"/>
    <n v="3"/>
    <n v="1"/>
    <n v="4"/>
    <n v="2"/>
    <n v="4"/>
    <x v="3"/>
    <n v="2"/>
    <n v="1"/>
    <n v="5"/>
    <n v="2"/>
    <x v="0"/>
    <s v="Online Survey"/>
    <s v="Needs improvement"/>
    <x v="1"/>
    <n v="49"/>
    <d v="2025-01-10T00:00:00"/>
    <x v="1"/>
    <x v="3"/>
    <x v="1"/>
  </r>
  <r>
    <n v="1408"/>
    <n v="63927"/>
    <s v="Shawn Mason"/>
    <x v="0"/>
    <x v="1"/>
    <x v="480"/>
    <d v="2024-10-27T00:00:00"/>
    <n v="11"/>
    <x v="2"/>
    <x v="4"/>
    <n v="4"/>
    <n v="1"/>
    <n v="1"/>
    <n v="1"/>
    <n v="2"/>
    <x v="4"/>
    <n v="2"/>
    <n v="2"/>
    <n v="4"/>
    <n v="4"/>
    <x v="1"/>
    <s v="App Review"/>
    <s v="Will visit again"/>
    <x v="0"/>
    <n v="65"/>
    <d v="2024-10-27T00:00:00"/>
    <x v="2"/>
    <x v="19"/>
    <x v="1"/>
  </r>
  <r>
    <n v="1409"/>
    <n v="66160"/>
    <s v="Darrell Romero"/>
    <x v="3"/>
    <x v="3"/>
    <x v="483"/>
    <d v="2024-01-23T00:00:00"/>
    <n v="12"/>
    <x v="3"/>
    <x v="1"/>
    <n v="3"/>
    <n v="5"/>
    <n v="5"/>
    <n v="3"/>
    <n v="2"/>
    <x v="1"/>
    <n v="1"/>
    <n v="5"/>
    <n v="2"/>
    <n v="1"/>
    <x v="0"/>
    <s v="Feedback Form"/>
    <s v="Will visit again"/>
    <x v="0"/>
    <n v="65"/>
    <d v="2024-01-23T00:00:00"/>
    <x v="2"/>
    <x v="10"/>
    <x v="0"/>
  </r>
  <r>
    <n v="1410"/>
    <n v="46190"/>
    <s v="Candace Gardner"/>
    <x v="2"/>
    <x v="2"/>
    <x v="617"/>
    <d v="2024-05-20T00:00:00"/>
    <n v="3"/>
    <x v="2"/>
    <x v="2"/>
    <n v="3"/>
    <n v="4"/>
    <n v="1"/>
    <n v="2"/>
    <n v="4"/>
    <x v="1"/>
    <n v="4"/>
    <n v="1"/>
    <n v="3"/>
    <n v="2"/>
    <x v="0"/>
    <s v="Online Survey"/>
    <s v="Average"/>
    <x v="1"/>
    <n v="39"/>
    <d v="2024-06-08T00:00:00"/>
    <x v="1"/>
    <x v="4"/>
    <x v="1"/>
  </r>
  <r>
    <n v="1411"/>
    <n v="18432"/>
    <s v="Ashley Smith MD"/>
    <x v="4"/>
    <x v="0"/>
    <x v="37"/>
    <d v="2023-11-25T00:00:00"/>
    <n v="10"/>
    <x v="2"/>
    <x v="3"/>
    <n v="3"/>
    <n v="2"/>
    <n v="4"/>
    <n v="4"/>
    <n v="4"/>
    <x v="2"/>
    <n v="3"/>
    <n v="2"/>
    <n v="3"/>
    <n v="5"/>
    <x v="0"/>
    <s v="App Review"/>
    <s v="Great stay"/>
    <x v="0"/>
    <n v="53"/>
    <d v="2023-11-25T00:00:00"/>
    <x v="2"/>
    <x v="10"/>
    <x v="0"/>
  </r>
  <r>
    <n v="1412"/>
    <n v="67394"/>
    <s v="Jason Stewart"/>
    <x v="0"/>
    <x v="3"/>
    <x v="359"/>
    <d v="2024-10-23T00:00:00"/>
    <n v="9"/>
    <x v="2"/>
    <x v="3"/>
    <n v="1"/>
    <n v="3"/>
    <n v="5"/>
    <n v="5"/>
    <n v="2"/>
    <x v="0"/>
    <n v="4"/>
    <n v="5"/>
    <n v="4"/>
    <n v="2"/>
    <x v="1"/>
    <s v="Online Survey"/>
    <s v="Poor service"/>
    <x v="0"/>
    <n v="25"/>
    <d v="2024-10-23T00:00:00"/>
    <x v="0"/>
    <x v="13"/>
    <x v="0"/>
  </r>
  <r>
    <n v="1413"/>
    <n v="67819"/>
    <s v="Eric Austin"/>
    <x v="1"/>
    <x v="0"/>
    <x v="451"/>
    <d v="2024-06-05T00:00:00"/>
    <n v="4"/>
    <x v="1"/>
    <x v="4"/>
    <n v="5"/>
    <n v="2"/>
    <n v="5"/>
    <n v="3"/>
    <n v="1"/>
    <x v="2"/>
    <n v="4"/>
    <n v="3"/>
    <n v="3"/>
    <n v="1"/>
    <x v="1"/>
    <s v="Email"/>
    <s v="Needs improvement"/>
    <x v="2"/>
    <n v="53"/>
    <d v="2024-06-05T00:00:00"/>
    <x v="2"/>
    <x v="4"/>
    <x v="1"/>
  </r>
  <r>
    <n v="1414"/>
    <n v="42338"/>
    <s v="Kenneth Obrien"/>
    <x v="1"/>
    <x v="4"/>
    <x v="618"/>
    <d v="2024-08-26T00:00:00"/>
    <n v="6"/>
    <x v="0"/>
    <x v="2"/>
    <n v="3"/>
    <n v="5"/>
    <n v="4"/>
    <n v="3"/>
    <n v="5"/>
    <x v="2"/>
    <n v="2"/>
    <n v="1"/>
    <n v="5"/>
    <n v="3"/>
    <x v="1"/>
    <s v="In-person"/>
    <s v="Great stay"/>
    <x v="2"/>
    <n v="60"/>
    <d v="2024-08-26T00:00:00"/>
    <x v="2"/>
    <x v="1"/>
    <x v="0"/>
  </r>
  <r>
    <n v="1415"/>
    <n v="41583"/>
    <s v="Sean Snyder"/>
    <x v="1"/>
    <x v="4"/>
    <x v="619"/>
    <d v="2025-01-06T00:00:00"/>
    <n v="13"/>
    <x v="0"/>
    <x v="2"/>
    <n v="3"/>
    <n v="4"/>
    <n v="2"/>
    <n v="3"/>
    <n v="1"/>
    <x v="4"/>
    <n v="3"/>
    <n v="1"/>
    <n v="4"/>
    <n v="5"/>
    <x v="0"/>
    <s v="In-person"/>
    <s v="Great stay"/>
    <x v="2"/>
    <n v="42"/>
    <d v="2025-01-06T00:00:00"/>
    <x v="1"/>
    <x v="5"/>
    <x v="1"/>
  </r>
  <r>
    <n v="1416"/>
    <n v="23913"/>
    <s v="Phillip Madden"/>
    <x v="3"/>
    <x v="2"/>
    <x v="138"/>
    <d v="2024-07-27T00:00:00"/>
    <n v="7"/>
    <x v="3"/>
    <x v="3"/>
    <n v="3"/>
    <n v="4"/>
    <n v="5"/>
    <n v="3"/>
    <n v="1"/>
    <x v="0"/>
    <n v="5"/>
    <n v="3"/>
    <n v="3"/>
    <n v="3"/>
    <x v="1"/>
    <s v="Online Survey"/>
    <s v="Will visit again"/>
    <x v="2"/>
    <n v="57"/>
    <d v="2024-09-13T00:00:00"/>
    <x v="2"/>
    <x v="1"/>
    <x v="0"/>
  </r>
  <r>
    <n v="1417"/>
    <n v="24860"/>
    <s v="David Johnson"/>
    <x v="2"/>
    <x v="0"/>
    <x v="432"/>
    <d v="2024-04-06T00:00:00"/>
    <n v="12"/>
    <x v="2"/>
    <x v="3"/>
    <n v="2"/>
    <n v="5"/>
    <n v="5"/>
    <n v="5"/>
    <n v="5"/>
    <x v="1"/>
    <n v="3"/>
    <n v="1"/>
    <n v="1"/>
    <n v="2"/>
    <x v="1"/>
    <s v="Email"/>
    <s v="Will visit again"/>
    <x v="1"/>
    <n v="61"/>
    <d v="2024-04-06T00:00:00"/>
    <x v="2"/>
    <x v="13"/>
    <x v="0"/>
  </r>
  <r>
    <n v="1418"/>
    <n v="42924"/>
    <s v="Gail Marshall"/>
    <x v="2"/>
    <x v="4"/>
    <x v="620"/>
    <d v="2024-12-28T00:00:00"/>
    <n v="13"/>
    <x v="0"/>
    <x v="3"/>
    <n v="3"/>
    <n v="2"/>
    <n v="5"/>
    <n v="3"/>
    <n v="1"/>
    <x v="0"/>
    <n v="1"/>
    <n v="4"/>
    <n v="2"/>
    <n v="4"/>
    <x v="0"/>
    <s v="App Review"/>
    <s v="Great stay"/>
    <x v="1"/>
    <n v="48"/>
    <d v="2024-12-28T00:00:00"/>
    <x v="1"/>
    <x v="3"/>
    <x v="1"/>
  </r>
  <r>
    <n v="1419"/>
    <n v="83134"/>
    <s v="Kristen Smith"/>
    <x v="0"/>
    <x v="1"/>
    <x v="372"/>
    <d v="2024-03-20T00:00:00"/>
    <n v="12"/>
    <x v="0"/>
    <x v="1"/>
    <n v="1"/>
    <n v="1"/>
    <n v="5"/>
    <n v="1"/>
    <n v="3"/>
    <x v="4"/>
    <n v="2"/>
    <n v="2"/>
    <n v="1"/>
    <n v="5"/>
    <x v="1"/>
    <s v="Feedback Form"/>
    <s v="Will visit again"/>
    <x v="2"/>
    <n v="21"/>
    <d v="2024-03-20T00:00:00"/>
    <x v="0"/>
    <x v="19"/>
    <x v="1"/>
  </r>
  <r>
    <n v="1420"/>
    <n v="47529"/>
    <s v="Kelsey Fletcher"/>
    <x v="1"/>
    <x v="1"/>
    <x v="30"/>
    <d v="2024-10-17T00:00:00"/>
    <n v="9"/>
    <x v="3"/>
    <x v="4"/>
    <n v="1"/>
    <n v="2"/>
    <n v="3"/>
    <n v="1"/>
    <n v="4"/>
    <x v="4"/>
    <n v="3"/>
    <n v="5"/>
    <n v="1"/>
    <n v="2"/>
    <x v="1"/>
    <s v="Online Survey"/>
    <s v="Average"/>
    <x v="0"/>
    <n v="56"/>
    <d v="2024-10-17T00:00:00"/>
    <x v="2"/>
    <x v="9"/>
    <x v="1"/>
  </r>
  <r>
    <n v="1421"/>
    <n v="42453"/>
    <s v="Amy Carpenter"/>
    <x v="3"/>
    <x v="4"/>
    <x v="506"/>
    <d v="2024-12-05T00:00:00"/>
    <n v="13"/>
    <x v="1"/>
    <x v="1"/>
    <n v="4"/>
    <n v="4"/>
    <n v="2"/>
    <n v="4"/>
    <n v="2"/>
    <x v="2"/>
    <n v="1"/>
    <n v="5"/>
    <n v="3"/>
    <n v="5"/>
    <x v="1"/>
    <s v="Online Survey"/>
    <s v="Average"/>
    <x v="0"/>
    <n v="62"/>
    <d v="2024-12-05T00:00:00"/>
    <x v="2"/>
    <x v="10"/>
    <x v="0"/>
  </r>
  <r>
    <n v="1422"/>
    <n v="86511"/>
    <s v="David Wilson"/>
    <x v="4"/>
    <x v="4"/>
    <x v="562"/>
    <d v="2023-08-16T00:00:00"/>
    <n v="13"/>
    <x v="3"/>
    <x v="3"/>
    <n v="1"/>
    <n v="4"/>
    <n v="3"/>
    <n v="5"/>
    <n v="5"/>
    <x v="4"/>
    <n v="5"/>
    <n v="2"/>
    <n v="4"/>
    <n v="1"/>
    <x v="1"/>
    <s v="App Review"/>
    <s v="Poor service"/>
    <x v="0"/>
    <n v="60"/>
    <d v="2023-08-16T00:00:00"/>
    <x v="2"/>
    <x v="0"/>
    <x v="0"/>
  </r>
  <r>
    <n v="1423"/>
    <n v="64389"/>
    <s v="Corey Gonzalez"/>
    <x v="2"/>
    <x v="2"/>
    <x v="621"/>
    <d v="2024-07-20T00:00:00"/>
    <n v="10"/>
    <x v="3"/>
    <x v="2"/>
    <n v="4"/>
    <n v="5"/>
    <n v="3"/>
    <n v="4"/>
    <n v="1"/>
    <x v="0"/>
    <n v="4"/>
    <n v="4"/>
    <n v="5"/>
    <n v="2"/>
    <x v="0"/>
    <s v="Feedback Form"/>
    <s v="Poor service"/>
    <x v="2"/>
    <n v="27"/>
    <d v="2024-07-20T00:00:00"/>
    <x v="3"/>
    <x v="18"/>
    <x v="0"/>
  </r>
  <r>
    <n v="1424"/>
    <n v="96090"/>
    <s v="Justin Orozco"/>
    <x v="2"/>
    <x v="2"/>
    <x v="428"/>
    <d v="2024-08-27T00:00:00"/>
    <n v="12"/>
    <x v="2"/>
    <x v="4"/>
    <n v="5"/>
    <n v="2"/>
    <n v="4"/>
    <n v="1"/>
    <n v="2"/>
    <x v="2"/>
    <n v="4"/>
    <n v="1"/>
    <n v="4"/>
    <n v="4"/>
    <x v="1"/>
    <s v="Feedback Form"/>
    <s v="Poor service"/>
    <x v="0"/>
    <n v="44"/>
    <d v="2024-08-27T00:00:00"/>
    <x v="1"/>
    <x v="4"/>
    <x v="1"/>
  </r>
  <r>
    <n v="1425"/>
    <n v="64199"/>
    <s v="Ashley Thomas"/>
    <x v="3"/>
    <x v="1"/>
    <x v="67"/>
    <d v="2024-10-10T00:00:00"/>
    <n v="3"/>
    <x v="1"/>
    <x v="4"/>
    <n v="2"/>
    <n v="1"/>
    <n v="2"/>
    <n v="3"/>
    <n v="3"/>
    <x v="2"/>
    <n v="1"/>
    <n v="3"/>
    <n v="3"/>
    <n v="5"/>
    <x v="1"/>
    <s v="App Review"/>
    <s v="Needs improvement"/>
    <x v="1"/>
    <n v="58"/>
    <d v="2024-10-10T00:00:00"/>
    <x v="2"/>
    <x v="14"/>
    <x v="1"/>
  </r>
  <r>
    <n v="1426"/>
    <n v="41444"/>
    <s v="Clinton Ellis"/>
    <x v="0"/>
    <x v="3"/>
    <x v="84"/>
    <d v="2024-11-22T00:00:00"/>
    <n v="14"/>
    <x v="3"/>
    <x v="3"/>
    <n v="1"/>
    <n v="2"/>
    <n v="1"/>
    <n v="3"/>
    <n v="1"/>
    <x v="2"/>
    <n v="2"/>
    <n v="3"/>
    <n v="3"/>
    <n v="4"/>
    <x v="1"/>
    <s v="Online Survey"/>
    <s v="Average"/>
    <x v="2"/>
    <n v="55"/>
    <d v="2024-11-22T00:00:00"/>
    <x v="2"/>
    <x v="19"/>
    <x v="1"/>
  </r>
  <r>
    <n v="1427"/>
    <n v="58112"/>
    <s v="Kathleen Jones"/>
    <x v="3"/>
    <x v="0"/>
    <x v="622"/>
    <d v="2024-05-31T00:00:00"/>
    <n v="11"/>
    <x v="0"/>
    <x v="3"/>
    <n v="3"/>
    <n v="4"/>
    <n v="2"/>
    <n v="2"/>
    <n v="1"/>
    <x v="0"/>
    <n v="4"/>
    <n v="1"/>
    <n v="5"/>
    <n v="4"/>
    <x v="1"/>
    <s v="App Review"/>
    <s v="Needs improvement"/>
    <x v="2"/>
    <n v="34"/>
    <d v="2024-05-31T00:00:00"/>
    <x v="3"/>
    <x v="4"/>
    <x v="1"/>
  </r>
  <r>
    <n v="1428"/>
    <n v="28798"/>
    <s v="Susan Fisher"/>
    <x v="0"/>
    <x v="3"/>
    <x v="198"/>
    <d v="2024-02-23T00:00:00"/>
    <n v="2"/>
    <x v="0"/>
    <x v="3"/>
    <n v="5"/>
    <n v="2"/>
    <n v="1"/>
    <n v="5"/>
    <n v="1"/>
    <x v="2"/>
    <n v="2"/>
    <n v="5"/>
    <n v="1"/>
    <n v="1"/>
    <x v="0"/>
    <s v="In-person"/>
    <s v="Average"/>
    <x v="0"/>
    <n v="62"/>
    <d v="2024-02-23T00:00:00"/>
    <x v="2"/>
    <x v="14"/>
    <x v="1"/>
  </r>
  <r>
    <n v="1429"/>
    <n v="70147"/>
    <s v="Donald Key"/>
    <x v="2"/>
    <x v="2"/>
    <x v="20"/>
    <d v="2023-11-16T00:00:00"/>
    <n v="2"/>
    <x v="3"/>
    <x v="3"/>
    <n v="3"/>
    <n v="4"/>
    <n v="5"/>
    <n v="2"/>
    <n v="3"/>
    <x v="3"/>
    <n v="2"/>
    <n v="2"/>
    <n v="1"/>
    <n v="3"/>
    <x v="0"/>
    <s v="App Review"/>
    <s v="Great stay"/>
    <x v="2"/>
    <n v="55"/>
    <d v="2024-07-30T00:00:00"/>
    <x v="2"/>
    <x v="4"/>
    <x v="1"/>
  </r>
  <r>
    <n v="1430"/>
    <n v="21441"/>
    <s v="Mark Daniels"/>
    <x v="0"/>
    <x v="3"/>
    <x v="284"/>
    <d v="2024-09-25T00:00:00"/>
    <n v="2"/>
    <x v="2"/>
    <x v="3"/>
    <n v="4"/>
    <n v="4"/>
    <n v="1"/>
    <n v="5"/>
    <n v="4"/>
    <x v="3"/>
    <n v="4"/>
    <n v="2"/>
    <n v="4"/>
    <n v="2"/>
    <x v="0"/>
    <s v="Email"/>
    <s v="Needs improvement"/>
    <x v="0"/>
    <n v="42"/>
    <d v="2024-12-25T00:00:00"/>
    <x v="1"/>
    <x v="13"/>
    <x v="0"/>
  </r>
  <r>
    <n v="1431"/>
    <n v="77691"/>
    <s v="Charles Monroe"/>
    <x v="0"/>
    <x v="2"/>
    <x v="579"/>
    <d v="2024-02-10T00:00:00"/>
    <n v="9"/>
    <x v="2"/>
    <x v="3"/>
    <n v="4"/>
    <n v="3"/>
    <n v="1"/>
    <n v="5"/>
    <n v="2"/>
    <x v="0"/>
    <n v="5"/>
    <n v="5"/>
    <n v="2"/>
    <n v="3"/>
    <x v="0"/>
    <s v="Online Survey"/>
    <s v="Poor service"/>
    <x v="2"/>
    <n v="34"/>
    <d v="2024-02-10T00:00:00"/>
    <x v="3"/>
    <x v="1"/>
    <x v="0"/>
  </r>
  <r>
    <n v="1432"/>
    <n v="57792"/>
    <s v="Vanessa Smith"/>
    <x v="0"/>
    <x v="3"/>
    <x v="506"/>
    <d v="2023-05-11T00:00:00"/>
    <n v="8"/>
    <x v="3"/>
    <x v="4"/>
    <n v="2"/>
    <n v="1"/>
    <n v="1"/>
    <n v="3"/>
    <n v="1"/>
    <x v="1"/>
    <n v="3"/>
    <n v="2"/>
    <n v="3"/>
    <n v="3"/>
    <x v="0"/>
    <s v="Email"/>
    <s v="Average"/>
    <x v="0"/>
    <n v="30"/>
    <d v="2023-05-11T00:00:00"/>
    <x v="3"/>
    <x v="8"/>
    <x v="1"/>
  </r>
  <r>
    <n v="1433"/>
    <n v="72942"/>
    <s v="Diana Bell"/>
    <x v="0"/>
    <x v="1"/>
    <x v="298"/>
    <d v="2024-06-03T00:00:00"/>
    <n v="9"/>
    <x v="1"/>
    <x v="1"/>
    <n v="5"/>
    <n v="5"/>
    <n v="5"/>
    <n v="3"/>
    <n v="1"/>
    <x v="1"/>
    <n v="4"/>
    <n v="5"/>
    <n v="5"/>
    <n v="1"/>
    <x v="1"/>
    <s v="Online Survey"/>
    <s v="Poor service"/>
    <x v="0"/>
    <n v="38"/>
    <d v="2024-06-03T00:00:00"/>
    <x v="1"/>
    <x v="20"/>
    <x v="0"/>
  </r>
  <r>
    <n v="1434"/>
    <n v="95677"/>
    <s v="Nancy Fisher"/>
    <x v="1"/>
    <x v="2"/>
    <x v="623"/>
    <d v="2024-11-27T00:00:00"/>
    <n v="9"/>
    <x v="2"/>
    <x v="2"/>
    <n v="4"/>
    <n v="1"/>
    <n v="5"/>
    <n v="4"/>
    <n v="3"/>
    <x v="2"/>
    <n v="3"/>
    <n v="4"/>
    <n v="4"/>
    <n v="4"/>
    <x v="1"/>
    <s v="Online Survey"/>
    <s v="Will visit again"/>
    <x v="0"/>
    <n v="32"/>
    <d v="2024-11-27T00:00:00"/>
    <x v="3"/>
    <x v="13"/>
    <x v="0"/>
  </r>
  <r>
    <n v="1435"/>
    <n v="42860"/>
    <s v="Justin Oliver"/>
    <x v="1"/>
    <x v="1"/>
    <x v="486"/>
    <d v="2023-04-23T00:00:00"/>
    <n v="1"/>
    <x v="0"/>
    <x v="3"/>
    <n v="3"/>
    <n v="2"/>
    <n v="3"/>
    <n v="1"/>
    <n v="3"/>
    <x v="0"/>
    <n v="2"/>
    <n v="1"/>
    <n v="5"/>
    <n v="4"/>
    <x v="1"/>
    <s v="In-person"/>
    <s v="Average"/>
    <x v="0"/>
    <n v="65"/>
    <d v="2023-04-23T00:00:00"/>
    <x v="2"/>
    <x v="5"/>
    <x v="1"/>
  </r>
  <r>
    <n v="1436"/>
    <n v="22468"/>
    <s v="Heather Rhodes"/>
    <x v="1"/>
    <x v="3"/>
    <x v="423"/>
    <d v="2024-01-30T00:00:00"/>
    <n v="10"/>
    <x v="1"/>
    <x v="2"/>
    <n v="1"/>
    <n v="3"/>
    <n v="1"/>
    <n v="1"/>
    <n v="2"/>
    <x v="2"/>
    <n v="5"/>
    <n v="5"/>
    <n v="1"/>
    <n v="2"/>
    <x v="0"/>
    <s v="App Review"/>
    <s v="Average"/>
    <x v="0"/>
    <n v="41"/>
    <d v="2024-12-28T00:00:00"/>
    <x v="1"/>
    <x v="9"/>
    <x v="1"/>
  </r>
  <r>
    <n v="1437"/>
    <n v="68014"/>
    <s v="Sheena Butler"/>
    <x v="1"/>
    <x v="4"/>
    <x v="240"/>
    <d v="2024-02-07T00:00:00"/>
    <n v="10"/>
    <x v="3"/>
    <x v="4"/>
    <n v="1"/>
    <n v="4"/>
    <n v="2"/>
    <n v="3"/>
    <n v="2"/>
    <x v="2"/>
    <n v="2"/>
    <n v="4"/>
    <n v="1"/>
    <n v="1"/>
    <x v="0"/>
    <s v="App Review"/>
    <s v="Poor service"/>
    <x v="1"/>
    <n v="24"/>
    <d v="2024-02-07T00:00:00"/>
    <x v="0"/>
    <x v="19"/>
    <x v="1"/>
  </r>
  <r>
    <n v="1438"/>
    <n v="44911"/>
    <s v="Dan Estrada"/>
    <x v="3"/>
    <x v="4"/>
    <x v="38"/>
    <d v="2023-09-30T00:00:00"/>
    <n v="9"/>
    <x v="1"/>
    <x v="2"/>
    <n v="5"/>
    <n v="1"/>
    <n v="4"/>
    <n v="1"/>
    <n v="1"/>
    <x v="3"/>
    <n v="5"/>
    <n v="5"/>
    <n v="4"/>
    <n v="5"/>
    <x v="0"/>
    <s v="In-person"/>
    <s v="Poor service"/>
    <x v="1"/>
    <n v="62"/>
    <d v="2024-06-13T00:00:00"/>
    <x v="2"/>
    <x v="18"/>
    <x v="0"/>
  </r>
  <r>
    <n v="1439"/>
    <n v="65123"/>
    <s v="Mr. Jose Cook"/>
    <x v="4"/>
    <x v="0"/>
    <x v="418"/>
    <d v="2024-07-22T00:00:00"/>
    <n v="1"/>
    <x v="2"/>
    <x v="4"/>
    <n v="5"/>
    <n v="4"/>
    <n v="3"/>
    <n v="5"/>
    <n v="1"/>
    <x v="4"/>
    <n v="1"/>
    <n v="4"/>
    <n v="2"/>
    <n v="4"/>
    <x v="1"/>
    <s v="In-person"/>
    <s v="Poor service"/>
    <x v="0"/>
    <n v="55"/>
    <d v="2024-08-13T00:00:00"/>
    <x v="2"/>
    <x v="2"/>
    <x v="0"/>
  </r>
  <r>
    <n v="1440"/>
    <n v="71333"/>
    <s v="William Meyer DVM"/>
    <x v="0"/>
    <x v="4"/>
    <x v="251"/>
    <d v="2024-12-20T00:00:00"/>
    <n v="5"/>
    <x v="2"/>
    <x v="0"/>
    <n v="4"/>
    <n v="4"/>
    <n v="1"/>
    <n v="1"/>
    <n v="1"/>
    <x v="0"/>
    <n v="5"/>
    <n v="4"/>
    <n v="1"/>
    <n v="2"/>
    <x v="0"/>
    <s v="Feedback Form"/>
    <s v="Average"/>
    <x v="1"/>
    <n v="57"/>
    <d v="2024-12-20T00:00:00"/>
    <x v="2"/>
    <x v="7"/>
    <x v="1"/>
  </r>
  <r>
    <n v="1441"/>
    <n v="27986"/>
    <s v="Nicholas Weeks"/>
    <x v="3"/>
    <x v="0"/>
    <x v="55"/>
    <d v="2023-09-11T00:00:00"/>
    <n v="4"/>
    <x v="0"/>
    <x v="1"/>
    <n v="1"/>
    <n v="3"/>
    <n v="3"/>
    <n v="4"/>
    <n v="1"/>
    <x v="4"/>
    <n v="5"/>
    <n v="4"/>
    <n v="5"/>
    <n v="5"/>
    <x v="0"/>
    <s v="Email"/>
    <s v="Great stay"/>
    <x v="0"/>
    <n v="39"/>
    <d v="2023-12-31T00:00:00"/>
    <x v="1"/>
    <x v="10"/>
    <x v="0"/>
  </r>
  <r>
    <n v="1442"/>
    <n v="45719"/>
    <s v="Cody Adams"/>
    <x v="1"/>
    <x v="3"/>
    <x v="168"/>
    <d v="2024-08-19T00:00:00"/>
    <n v="8"/>
    <x v="3"/>
    <x v="0"/>
    <n v="2"/>
    <n v="1"/>
    <n v="1"/>
    <n v="1"/>
    <n v="1"/>
    <x v="3"/>
    <n v="2"/>
    <n v="1"/>
    <n v="3"/>
    <n v="3"/>
    <x v="1"/>
    <s v="Online Survey"/>
    <s v="Will visit again"/>
    <x v="0"/>
    <n v="59"/>
    <d v="2024-08-19T00:00:00"/>
    <x v="2"/>
    <x v="25"/>
    <x v="1"/>
  </r>
  <r>
    <n v="1443"/>
    <n v="69116"/>
    <s v="Alejandro Montgomery"/>
    <x v="0"/>
    <x v="0"/>
    <x v="576"/>
    <d v="2024-07-18T00:00:00"/>
    <n v="5"/>
    <x v="1"/>
    <x v="4"/>
    <n v="2"/>
    <n v="3"/>
    <n v="1"/>
    <n v="1"/>
    <n v="3"/>
    <x v="4"/>
    <n v="4"/>
    <n v="5"/>
    <n v="3"/>
    <n v="1"/>
    <x v="0"/>
    <s v="Feedback Form"/>
    <s v="Poor service"/>
    <x v="1"/>
    <n v="27"/>
    <d v="2024-08-07T00:00:00"/>
    <x v="3"/>
    <x v="8"/>
    <x v="1"/>
  </r>
  <r>
    <n v="1444"/>
    <n v="85794"/>
    <s v="Jose Walters"/>
    <x v="4"/>
    <x v="0"/>
    <x v="236"/>
    <d v="2023-10-06T00:00:00"/>
    <n v="12"/>
    <x v="1"/>
    <x v="0"/>
    <n v="2"/>
    <n v="4"/>
    <n v="3"/>
    <n v="4"/>
    <n v="4"/>
    <x v="3"/>
    <n v="4"/>
    <n v="5"/>
    <n v="2"/>
    <n v="5"/>
    <x v="1"/>
    <s v="App Review"/>
    <s v="Great stay"/>
    <x v="1"/>
    <n v="50"/>
    <d v="2024-02-29T00:00:00"/>
    <x v="1"/>
    <x v="16"/>
    <x v="0"/>
  </r>
  <r>
    <n v="1445"/>
    <n v="11310"/>
    <s v="John Diaz"/>
    <x v="0"/>
    <x v="0"/>
    <x v="355"/>
    <d v="2023-12-07T00:00:00"/>
    <n v="9"/>
    <x v="1"/>
    <x v="4"/>
    <n v="2"/>
    <n v="1"/>
    <n v="1"/>
    <n v="4"/>
    <n v="2"/>
    <x v="1"/>
    <n v="3"/>
    <n v="5"/>
    <n v="4"/>
    <n v="4"/>
    <x v="0"/>
    <s v="Feedback Form"/>
    <s v="Poor service"/>
    <x v="0"/>
    <n v="29"/>
    <d v="2024-05-17T00:00:00"/>
    <x v="3"/>
    <x v="0"/>
    <x v="0"/>
  </r>
  <r>
    <n v="1446"/>
    <n v="73798"/>
    <s v="Melissa Blackwell"/>
    <x v="2"/>
    <x v="1"/>
    <x v="440"/>
    <d v="2024-10-16T00:00:00"/>
    <n v="1"/>
    <x v="1"/>
    <x v="0"/>
    <n v="4"/>
    <n v="4"/>
    <n v="1"/>
    <n v="3"/>
    <n v="3"/>
    <x v="3"/>
    <n v="1"/>
    <n v="4"/>
    <n v="2"/>
    <n v="2"/>
    <x v="0"/>
    <s v="App Review"/>
    <s v="Average"/>
    <x v="1"/>
    <n v="25"/>
    <d v="2024-10-16T00:00:00"/>
    <x v="0"/>
    <x v="3"/>
    <x v="1"/>
  </r>
  <r>
    <n v="1447"/>
    <n v="81782"/>
    <s v="Christopher Clarke"/>
    <x v="2"/>
    <x v="0"/>
    <x v="624"/>
    <d v="2023-12-17T00:00:00"/>
    <n v="8"/>
    <x v="0"/>
    <x v="4"/>
    <n v="3"/>
    <n v="4"/>
    <n v="4"/>
    <n v="4"/>
    <n v="5"/>
    <x v="0"/>
    <n v="5"/>
    <n v="2"/>
    <n v="5"/>
    <n v="2"/>
    <x v="1"/>
    <s v="In-person"/>
    <s v="Great stay"/>
    <x v="2"/>
    <n v="57"/>
    <d v="2023-12-17T00:00:00"/>
    <x v="2"/>
    <x v="16"/>
    <x v="0"/>
  </r>
  <r>
    <n v="1448"/>
    <n v="92078"/>
    <s v="Leslie Robertson"/>
    <x v="3"/>
    <x v="2"/>
    <x v="575"/>
    <d v="2024-08-12T00:00:00"/>
    <n v="6"/>
    <x v="0"/>
    <x v="1"/>
    <n v="2"/>
    <n v="1"/>
    <n v="2"/>
    <n v="3"/>
    <n v="5"/>
    <x v="1"/>
    <n v="3"/>
    <n v="2"/>
    <n v="2"/>
    <n v="1"/>
    <x v="1"/>
    <s v="Online Survey"/>
    <s v="Average"/>
    <x v="1"/>
    <n v="39"/>
    <d v="2024-08-12T00:00:00"/>
    <x v="1"/>
    <x v="7"/>
    <x v="1"/>
  </r>
  <r>
    <n v="1449"/>
    <n v="30162"/>
    <s v="Brandi Coleman"/>
    <x v="4"/>
    <x v="3"/>
    <x v="479"/>
    <d v="2024-04-03T00:00:00"/>
    <n v="1"/>
    <x v="0"/>
    <x v="1"/>
    <n v="4"/>
    <n v="5"/>
    <n v="5"/>
    <n v="5"/>
    <n v="5"/>
    <x v="2"/>
    <n v="5"/>
    <n v="5"/>
    <n v="3"/>
    <n v="3"/>
    <x v="1"/>
    <s v="Online Survey"/>
    <s v="Needs improvement"/>
    <x v="0"/>
    <n v="56"/>
    <d v="2024-04-03T00:00:00"/>
    <x v="2"/>
    <x v="6"/>
    <x v="2"/>
  </r>
  <r>
    <n v="1450"/>
    <n v="26761"/>
    <s v="John Burnett"/>
    <x v="3"/>
    <x v="1"/>
    <x v="625"/>
    <d v="2025-01-05T00:00:00"/>
    <n v="13"/>
    <x v="2"/>
    <x v="1"/>
    <n v="2"/>
    <n v="3"/>
    <n v="4"/>
    <n v="2"/>
    <n v="2"/>
    <x v="0"/>
    <n v="5"/>
    <n v="2"/>
    <n v="1"/>
    <n v="4"/>
    <x v="0"/>
    <s v="Online Survey"/>
    <s v="Poor service"/>
    <x v="2"/>
    <n v="56"/>
    <d v="2025-01-05T00:00:00"/>
    <x v="2"/>
    <x v="3"/>
    <x v="1"/>
  </r>
  <r>
    <n v="1451"/>
    <n v="29679"/>
    <s v="Matthew Beard"/>
    <x v="0"/>
    <x v="2"/>
    <x v="611"/>
    <d v="2023-06-04T00:00:00"/>
    <n v="2"/>
    <x v="0"/>
    <x v="4"/>
    <n v="2"/>
    <n v="2"/>
    <n v="5"/>
    <n v="1"/>
    <n v="1"/>
    <x v="0"/>
    <n v="1"/>
    <n v="2"/>
    <n v="1"/>
    <n v="3"/>
    <x v="1"/>
    <s v="In-person"/>
    <s v="Will visit again"/>
    <x v="1"/>
    <n v="64"/>
    <d v="2024-10-19T00:00:00"/>
    <x v="2"/>
    <x v="17"/>
    <x v="1"/>
  </r>
  <r>
    <n v="1452"/>
    <n v="84441"/>
    <s v="Allison Greene"/>
    <x v="4"/>
    <x v="3"/>
    <x v="75"/>
    <d v="2024-07-02T00:00:00"/>
    <n v="4"/>
    <x v="0"/>
    <x v="2"/>
    <n v="3"/>
    <n v="4"/>
    <n v="5"/>
    <n v="4"/>
    <n v="5"/>
    <x v="0"/>
    <n v="1"/>
    <n v="2"/>
    <n v="4"/>
    <n v="1"/>
    <x v="0"/>
    <s v="App Review"/>
    <s v="Great stay"/>
    <x v="1"/>
    <n v="61"/>
    <d v="2024-10-28T00:00:00"/>
    <x v="2"/>
    <x v="10"/>
    <x v="0"/>
  </r>
  <r>
    <n v="1453"/>
    <n v="22379"/>
    <s v="Megan Sanchez"/>
    <x v="3"/>
    <x v="1"/>
    <x v="277"/>
    <d v="2024-12-26T00:00:00"/>
    <n v="14"/>
    <x v="3"/>
    <x v="0"/>
    <n v="2"/>
    <n v="3"/>
    <n v="2"/>
    <n v="1"/>
    <n v="5"/>
    <x v="4"/>
    <n v="3"/>
    <n v="4"/>
    <n v="5"/>
    <n v="1"/>
    <x v="1"/>
    <s v="In-person"/>
    <s v="Needs improvement"/>
    <x v="1"/>
    <n v="33"/>
    <d v="2024-12-26T00:00:00"/>
    <x v="3"/>
    <x v="5"/>
    <x v="1"/>
  </r>
  <r>
    <n v="1454"/>
    <n v="57770"/>
    <s v="Mark Webb"/>
    <x v="0"/>
    <x v="3"/>
    <x v="510"/>
    <d v="2024-05-24T00:00:00"/>
    <n v="5"/>
    <x v="3"/>
    <x v="0"/>
    <n v="4"/>
    <n v="3"/>
    <n v="4"/>
    <n v="5"/>
    <n v="4"/>
    <x v="4"/>
    <n v="4"/>
    <n v="5"/>
    <n v="4"/>
    <n v="3"/>
    <x v="0"/>
    <s v="Online Survey"/>
    <s v="Poor service"/>
    <x v="1"/>
    <n v="65"/>
    <d v="2024-05-24T00:00:00"/>
    <x v="2"/>
    <x v="16"/>
    <x v="0"/>
  </r>
  <r>
    <n v="1455"/>
    <n v="69567"/>
    <s v="Andrew Higgins"/>
    <x v="1"/>
    <x v="4"/>
    <x v="535"/>
    <d v="2024-08-16T00:00:00"/>
    <n v="14"/>
    <x v="3"/>
    <x v="0"/>
    <n v="4"/>
    <n v="1"/>
    <n v="1"/>
    <n v="2"/>
    <n v="3"/>
    <x v="2"/>
    <n v="5"/>
    <n v="5"/>
    <n v="2"/>
    <n v="5"/>
    <x v="1"/>
    <s v="Online Survey"/>
    <s v="Needs improvement"/>
    <x v="1"/>
    <n v="51"/>
    <d v="2024-08-16T00:00:00"/>
    <x v="2"/>
    <x v="2"/>
    <x v="0"/>
  </r>
  <r>
    <n v="1456"/>
    <n v="23421"/>
    <s v="Janet Brown"/>
    <x v="0"/>
    <x v="3"/>
    <x v="6"/>
    <d v="2024-07-19T00:00:00"/>
    <n v="1"/>
    <x v="3"/>
    <x v="0"/>
    <n v="1"/>
    <n v="1"/>
    <n v="2"/>
    <n v="4"/>
    <n v="2"/>
    <x v="4"/>
    <n v="2"/>
    <n v="3"/>
    <n v="2"/>
    <n v="5"/>
    <x v="1"/>
    <s v="Online Survey"/>
    <s v="Great stay"/>
    <x v="0"/>
    <n v="63"/>
    <d v="2024-07-19T00:00:00"/>
    <x v="2"/>
    <x v="9"/>
    <x v="1"/>
  </r>
  <r>
    <n v="1457"/>
    <n v="58938"/>
    <s v="Angel Daniel"/>
    <x v="3"/>
    <x v="4"/>
    <x v="117"/>
    <d v="2024-10-31T00:00:00"/>
    <n v="10"/>
    <x v="0"/>
    <x v="1"/>
    <n v="5"/>
    <n v="1"/>
    <n v="1"/>
    <n v="3"/>
    <n v="2"/>
    <x v="0"/>
    <n v="3"/>
    <n v="3"/>
    <n v="2"/>
    <n v="1"/>
    <x v="0"/>
    <s v="App Review"/>
    <s v="Will visit again"/>
    <x v="1"/>
    <n v="33"/>
    <d v="2024-10-31T00:00:00"/>
    <x v="3"/>
    <x v="8"/>
    <x v="1"/>
  </r>
  <r>
    <n v="1458"/>
    <n v="20974"/>
    <s v="Angela Smith"/>
    <x v="4"/>
    <x v="4"/>
    <x v="386"/>
    <d v="2024-01-05T00:00:00"/>
    <n v="7"/>
    <x v="0"/>
    <x v="2"/>
    <n v="2"/>
    <n v="3"/>
    <n v="1"/>
    <n v="3"/>
    <n v="4"/>
    <x v="3"/>
    <n v="5"/>
    <n v="2"/>
    <n v="5"/>
    <n v="5"/>
    <x v="1"/>
    <s v="App Review"/>
    <s v="Great stay"/>
    <x v="2"/>
    <n v="31"/>
    <d v="2024-01-10T00:00:00"/>
    <x v="3"/>
    <x v="13"/>
    <x v="0"/>
  </r>
  <r>
    <n v="1459"/>
    <n v="12500"/>
    <s v="Adam Lawson"/>
    <x v="4"/>
    <x v="3"/>
    <x v="457"/>
    <d v="2024-10-21T00:00:00"/>
    <n v="13"/>
    <x v="2"/>
    <x v="0"/>
    <n v="2"/>
    <n v="1"/>
    <n v="1"/>
    <n v="4"/>
    <n v="5"/>
    <x v="2"/>
    <n v="1"/>
    <n v="5"/>
    <n v="1"/>
    <n v="5"/>
    <x v="1"/>
    <s v="Feedback Form"/>
    <s v="Will visit again"/>
    <x v="1"/>
    <n v="23"/>
    <d v="2024-10-21T00:00:00"/>
    <x v="0"/>
    <x v="5"/>
    <x v="1"/>
  </r>
  <r>
    <n v="1460"/>
    <n v="70490"/>
    <s v="Jackson Johnson"/>
    <x v="1"/>
    <x v="4"/>
    <x v="407"/>
    <d v="2024-11-25T00:00:00"/>
    <n v="4"/>
    <x v="1"/>
    <x v="2"/>
    <n v="4"/>
    <n v="2"/>
    <n v="1"/>
    <n v="4"/>
    <n v="4"/>
    <x v="2"/>
    <n v="1"/>
    <n v="2"/>
    <n v="3"/>
    <n v="2"/>
    <x v="0"/>
    <s v="Feedback Form"/>
    <s v="Average"/>
    <x v="1"/>
    <n v="67"/>
    <d v="2024-11-25T00:00:00"/>
    <x v="2"/>
    <x v="14"/>
    <x v="1"/>
  </r>
  <r>
    <n v="1461"/>
    <n v="61015"/>
    <s v="Cynthia Mcconnell"/>
    <x v="3"/>
    <x v="1"/>
    <x v="528"/>
    <d v="2023-03-20T00:00:00"/>
    <n v="14"/>
    <x v="1"/>
    <x v="4"/>
    <n v="2"/>
    <n v="3"/>
    <n v="4"/>
    <n v="5"/>
    <n v="1"/>
    <x v="0"/>
    <n v="1"/>
    <n v="4"/>
    <n v="3"/>
    <n v="3"/>
    <x v="0"/>
    <s v="Email"/>
    <s v="Poor service"/>
    <x v="0"/>
    <n v="27"/>
    <d v="2023-04-13T00:00:00"/>
    <x v="3"/>
    <x v="4"/>
    <x v="1"/>
  </r>
  <r>
    <n v="1462"/>
    <n v="59643"/>
    <s v="Manuel Lee"/>
    <x v="1"/>
    <x v="4"/>
    <x v="565"/>
    <d v="2023-12-10T00:00:00"/>
    <n v="14"/>
    <x v="3"/>
    <x v="4"/>
    <n v="4"/>
    <n v="1"/>
    <n v="5"/>
    <n v="2"/>
    <n v="5"/>
    <x v="1"/>
    <n v="1"/>
    <n v="5"/>
    <n v="2"/>
    <n v="2"/>
    <x v="0"/>
    <s v="App Review"/>
    <s v="Needs improvement"/>
    <x v="0"/>
    <n v="41"/>
    <d v="2023-12-10T00:00:00"/>
    <x v="1"/>
    <x v="10"/>
    <x v="0"/>
  </r>
  <r>
    <n v="1463"/>
    <n v="83649"/>
    <s v="Kathryn Walters"/>
    <x v="2"/>
    <x v="0"/>
    <x v="285"/>
    <d v="2023-12-26T00:00:00"/>
    <n v="14"/>
    <x v="2"/>
    <x v="0"/>
    <n v="1"/>
    <n v="4"/>
    <n v="5"/>
    <n v="4"/>
    <n v="2"/>
    <x v="4"/>
    <n v="4"/>
    <n v="4"/>
    <n v="2"/>
    <n v="2"/>
    <x v="0"/>
    <s v="In-person"/>
    <s v="Average"/>
    <x v="2"/>
    <n v="44"/>
    <d v="2024-07-22T00:00:00"/>
    <x v="1"/>
    <x v="4"/>
    <x v="1"/>
  </r>
  <r>
    <n v="1464"/>
    <n v="21805"/>
    <s v="Andres Brown"/>
    <x v="0"/>
    <x v="1"/>
    <x v="440"/>
    <d v="2024-10-16T00:00:00"/>
    <n v="1"/>
    <x v="0"/>
    <x v="3"/>
    <n v="2"/>
    <n v="3"/>
    <n v="4"/>
    <n v="3"/>
    <n v="3"/>
    <x v="1"/>
    <n v="4"/>
    <n v="4"/>
    <n v="2"/>
    <n v="1"/>
    <x v="1"/>
    <s v="App Review"/>
    <s v="Poor service"/>
    <x v="0"/>
    <n v="64"/>
    <d v="2024-10-16T00:00:00"/>
    <x v="2"/>
    <x v="0"/>
    <x v="0"/>
  </r>
  <r>
    <n v="1465"/>
    <n v="17731"/>
    <s v="Brandon Watts"/>
    <x v="2"/>
    <x v="1"/>
    <x v="184"/>
    <d v="2024-05-29T00:00:00"/>
    <n v="12"/>
    <x v="1"/>
    <x v="1"/>
    <n v="1"/>
    <n v="5"/>
    <n v="5"/>
    <n v="2"/>
    <n v="4"/>
    <x v="0"/>
    <n v="5"/>
    <n v="5"/>
    <n v="5"/>
    <n v="1"/>
    <x v="1"/>
    <s v="Feedback Form"/>
    <s v="Needs improvement"/>
    <x v="2"/>
    <n v="67"/>
    <d v="2024-05-29T00:00:00"/>
    <x v="2"/>
    <x v="11"/>
    <x v="0"/>
  </r>
  <r>
    <n v="1466"/>
    <n v="61907"/>
    <s v="Anthony Hamilton"/>
    <x v="2"/>
    <x v="1"/>
    <x v="221"/>
    <d v="2024-09-19T00:00:00"/>
    <n v="6"/>
    <x v="3"/>
    <x v="0"/>
    <n v="1"/>
    <n v="5"/>
    <n v="2"/>
    <n v="4"/>
    <n v="4"/>
    <x v="1"/>
    <n v="5"/>
    <n v="2"/>
    <n v="3"/>
    <n v="1"/>
    <x v="0"/>
    <s v="Online Survey"/>
    <s v="Average"/>
    <x v="1"/>
    <n v="26"/>
    <d v="2024-09-19T00:00:00"/>
    <x v="3"/>
    <x v="10"/>
    <x v="0"/>
  </r>
  <r>
    <n v="1467"/>
    <n v="21460"/>
    <s v="Michael Anderson"/>
    <x v="1"/>
    <x v="0"/>
    <x v="255"/>
    <d v="2024-11-09T00:00:00"/>
    <n v="9"/>
    <x v="3"/>
    <x v="1"/>
    <n v="5"/>
    <n v="3"/>
    <n v="1"/>
    <n v="2"/>
    <n v="2"/>
    <x v="0"/>
    <n v="3"/>
    <n v="3"/>
    <n v="4"/>
    <n v="2"/>
    <x v="0"/>
    <s v="Feedback Form"/>
    <s v="Poor service"/>
    <x v="0"/>
    <n v="65"/>
    <d v="2024-11-09T00:00:00"/>
    <x v="2"/>
    <x v="3"/>
    <x v="1"/>
  </r>
  <r>
    <n v="1468"/>
    <n v="21294"/>
    <s v="Phillip Vega"/>
    <x v="1"/>
    <x v="0"/>
    <x v="626"/>
    <d v="2024-12-03T00:00:00"/>
    <n v="9"/>
    <x v="1"/>
    <x v="0"/>
    <n v="4"/>
    <n v="3"/>
    <n v="1"/>
    <n v="5"/>
    <n v="5"/>
    <x v="4"/>
    <n v="1"/>
    <n v="2"/>
    <n v="1"/>
    <n v="4"/>
    <x v="0"/>
    <s v="Feedback Form"/>
    <s v="Poor service"/>
    <x v="1"/>
    <n v="33"/>
    <d v="2024-12-03T00:00:00"/>
    <x v="3"/>
    <x v="5"/>
    <x v="1"/>
  </r>
  <r>
    <n v="1469"/>
    <n v="20059"/>
    <s v="Kenneth Reeves"/>
    <x v="0"/>
    <x v="0"/>
    <x v="263"/>
    <d v="2024-07-11T00:00:00"/>
    <n v="11"/>
    <x v="1"/>
    <x v="1"/>
    <n v="1"/>
    <n v="5"/>
    <n v="1"/>
    <n v="4"/>
    <n v="5"/>
    <x v="4"/>
    <n v="1"/>
    <n v="3"/>
    <n v="4"/>
    <n v="2"/>
    <x v="1"/>
    <s v="Feedback Form"/>
    <s v="Average"/>
    <x v="1"/>
    <n v="19"/>
    <d v="2024-07-11T00:00:00"/>
    <x v="0"/>
    <x v="5"/>
    <x v="1"/>
  </r>
  <r>
    <n v="1470"/>
    <n v="41856"/>
    <s v="James Lewis"/>
    <x v="1"/>
    <x v="0"/>
    <x v="627"/>
    <d v="2024-12-21T00:00:00"/>
    <n v="4"/>
    <x v="1"/>
    <x v="3"/>
    <n v="4"/>
    <n v="4"/>
    <n v="3"/>
    <n v="4"/>
    <n v="5"/>
    <x v="2"/>
    <n v="2"/>
    <n v="1"/>
    <n v="1"/>
    <n v="2"/>
    <x v="1"/>
    <s v="Email"/>
    <s v="Great stay"/>
    <x v="0"/>
    <n v="48"/>
    <d v="2024-12-21T00:00:00"/>
    <x v="1"/>
    <x v="3"/>
    <x v="1"/>
  </r>
  <r>
    <n v="1471"/>
    <n v="17817"/>
    <s v="Kelli White"/>
    <x v="1"/>
    <x v="0"/>
    <x v="605"/>
    <d v="2024-01-18T00:00:00"/>
    <n v="7"/>
    <x v="0"/>
    <x v="3"/>
    <n v="5"/>
    <n v="4"/>
    <n v="2"/>
    <n v="2"/>
    <n v="3"/>
    <x v="1"/>
    <n v="2"/>
    <n v="3"/>
    <n v="5"/>
    <n v="2"/>
    <x v="0"/>
    <s v="Email"/>
    <s v="Will visit again"/>
    <x v="0"/>
    <n v="64"/>
    <d v="2024-04-26T00:00:00"/>
    <x v="2"/>
    <x v="1"/>
    <x v="0"/>
  </r>
  <r>
    <n v="1472"/>
    <n v="13033"/>
    <s v="Mallory Alvarez"/>
    <x v="1"/>
    <x v="2"/>
    <x v="13"/>
    <d v="2024-01-14T00:00:00"/>
    <n v="10"/>
    <x v="1"/>
    <x v="4"/>
    <n v="4"/>
    <n v="4"/>
    <n v="3"/>
    <n v="4"/>
    <n v="3"/>
    <x v="1"/>
    <n v="1"/>
    <n v="5"/>
    <n v="1"/>
    <n v="5"/>
    <x v="1"/>
    <s v="Email"/>
    <s v="Will visit again"/>
    <x v="0"/>
    <n v="36"/>
    <d v="2024-10-17T00:00:00"/>
    <x v="1"/>
    <x v="18"/>
    <x v="0"/>
  </r>
  <r>
    <n v="1473"/>
    <n v="22971"/>
    <s v="Lisa Arnold"/>
    <x v="1"/>
    <x v="2"/>
    <x v="123"/>
    <d v="2024-10-09T00:00:00"/>
    <n v="1"/>
    <x v="2"/>
    <x v="0"/>
    <n v="5"/>
    <n v="2"/>
    <n v="4"/>
    <n v="2"/>
    <n v="5"/>
    <x v="1"/>
    <n v="2"/>
    <n v="3"/>
    <n v="5"/>
    <n v="5"/>
    <x v="0"/>
    <s v="In-person"/>
    <s v="Great stay"/>
    <x v="1"/>
    <n v="28"/>
    <d v="2024-10-09T00:00:00"/>
    <x v="3"/>
    <x v="21"/>
    <x v="0"/>
  </r>
  <r>
    <n v="1474"/>
    <n v="75925"/>
    <s v="Sean Higgins"/>
    <x v="1"/>
    <x v="0"/>
    <x v="326"/>
    <d v="2024-05-11T00:00:00"/>
    <n v="10"/>
    <x v="2"/>
    <x v="3"/>
    <n v="2"/>
    <n v="2"/>
    <n v="3"/>
    <n v="2"/>
    <n v="3"/>
    <x v="1"/>
    <n v="2"/>
    <n v="1"/>
    <n v="3"/>
    <n v="1"/>
    <x v="1"/>
    <s v="Email"/>
    <s v="Poor service"/>
    <x v="0"/>
    <n v="39"/>
    <d v="2024-05-11T00:00:00"/>
    <x v="1"/>
    <x v="8"/>
    <x v="1"/>
  </r>
  <r>
    <n v="1475"/>
    <n v="66986"/>
    <s v="Bruce Fernandez"/>
    <x v="2"/>
    <x v="1"/>
    <x v="380"/>
    <d v="2024-09-02T00:00:00"/>
    <n v="13"/>
    <x v="1"/>
    <x v="3"/>
    <n v="5"/>
    <n v="4"/>
    <n v="5"/>
    <n v="4"/>
    <n v="4"/>
    <x v="3"/>
    <n v="1"/>
    <n v="3"/>
    <n v="1"/>
    <n v="2"/>
    <x v="1"/>
    <s v="In-person"/>
    <s v="Needs improvement"/>
    <x v="2"/>
    <n v="46"/>
    <d v="2024-09-14T00:00:00"/>
    <x v="1"/>
    <x v="1"/>
    <x v="0"/>
  </r>
  <r>
    <n v="1476"/>
    <n v="40995"/>
    <s v="Johnny Coleman"/>
    <x v="2"/>
    <x v="4"/>
    <x v="251"/>
    <d v="2024-12-20T00:00:00"/>
    <n v="9"/>
    <x v="0"/>
    <x v="0"/>
    <n v="5"/>
    <n v="5"/>
    <n v="5"/>
    <n v="3"/>
    <n v="5"/>
    <x v="2"/>
    <n v="4"/>
    <n v="2"/>
    <n v="2"/>
    <n v="2"/>
    <x v="1"/>
    <s v="App Review"/>
    <s v="Great stay"/>
    <x v="2"/>
    <n v="48"/>
    <d v="2024-12-20T00:00:00"/>
    <x v="1"/>
    <x v="18"/>
    <x v="0"/>
  </r>
  <r>
    <n v="1477"/>
    <n v="84971"/>
    <s v="Gina Carter"/>
    <x v="0"/>
    <x v="4"/>
    <x v="182"/>
    <d v="2024-06-22T00:00:00"/>
    <n v="14"/>
    <x v="3"/>
    <x v="0"/>
    <n v="5"/>
    <n v="2"/>
    <n v="2"/>
    <n v="5"/>
    <n v="3"/>
    <x v="2"/>
    <n v="4"/>
    <n v="3"/>
    <n v="2"/>
    <n v="1"/>
    <x v="0"/>
    <s v="App Review"/>
    <s v="Poor service"/>
    <x v="0"/>
    <n v="25"/>
    <d v="2024-06-22T00:00:00"/>
    <x v="0"/>
    <x v="4"/>
    <x v="1"/>
  </r>
  <r>
    <n v="1478"/>
    <n v="29731"/>
    <s v="William Rivera"/>
    <x v="4"/>
    <x v="2"/>
    <x v="624"/>
    <d v="2023-12-17T00:00:00"/>
    <n v="1"/>
    <x v="1"/>
    <x v="4"/>
    <n v="3"/>
    <n v="1"/>
    <n v="3"/>
    <n v="2"/>
    <n v="4"/>
    <x v="3"/>
    <n v="5"/>
    <n v="5"/>
    <n v="5"/>
    <n v="3"/>
    <x v="0"/>
    <s v="Email"/>
    <s v="Average"/>
    <x v="2"/>
    <n v="27"/>
    <d v="2023-12-17T00:00:00"/>
    <x v="3"/>
    <x v="18"/>
    <x v="0"/>
  </r>
  <r>
    <n v="1479"/>
    <n v="10011"/>
    <s v="Dustin Watts"/>
    <x v="0"/>
    <x v="0"/>
    <x v="420"/>
    <d v="2024-02-11T00:00:00"/>
    <n v="14"/>
    <x v="1"/>
    <x v="3"/>
    <n v="1"/>
    <n v="2"/>
    <n v="3"/>
    <n v="3"/>
    <n v="4"/>
    <x v="1"/>
    <n v="4"/>
    <n v="5"/>
    <n v="3"/>
    <n v="4"/>
    <x v="0"/>
    <s v="App Review"/>
    <s v="Average"/>
    <x v="0"/>
    <n v="23"/>
    <d v="2024-10-16T00:00:00"/>
    <x v="0"/>
    <x v="13"/>
    <x v="0"/>
  </r>
  <r>
    <n v="1480"/>
    <n v="85244"/>
    <s v="Isaiah Miller"/>
    <x v="3"/>
    <x v="3"/>
    <x v="526"/>
    <d v="2024-10-31T00:00:00"/>
    <n v="9"/>
    <x v="1"/>
    <x v="1"/>
    <n v="4"/>
    <n v="5"/>
    <n v="1"/>
    <n v="2"/>
    <n v="3"/>
    <x v="3"/>
    <n v="1"/>
    <n v="4"/>
    <n v="5"/>
    <n v="4"/>
    <x v="1"/>
    <s v="App Review"/>
    <s v="Poor service"/>
    <x v="1"/>
    <n v="48"/>
    <d v="2024-10-31T00:00:00"/>
    <x v="1"/>
    <x v="1"/>
    <x v="0"/>
  </r>
  <r>
    <n v="1481"/>
    <n v="28004"/>
    <s v="Karen Jackson"/>
    <x v="0"/>
    <x v="4"/>
    <x v="237"/>
    <d v="2024-01-17T00:00:00"/>
    <n v="6"/>
    <x v="2"/>
    <x v="0"/>
    <n v="4"/>
    <n v="5"/>
    <n v="2"/>
    <n v="3"/>
    <n v="5"/>
    <x v="1"/>
    <n v="2"/>
    <n v="2"/>
    <n v="4"/>
    <n v="3"/>
    <x v="1"/>
    <s v="Online Survey"/>
    <s v="Average"/>
    <x v="2"/>
    <n v="68"/>
    <d v="2024-09-24T00:00:00"/>
    <x v="2"/>
    <x v="18"/>
    <x v="0"/>
  </r>
  <r>
    <n v="1482"/>
    <n v="32537"/>
    <s v="Wendy Ray"/>
    <x v="0"/>
    <x v="4"/>
    <x v="566"/>
    <d v="2024-05-04T00:00:00"/>
    <n v="10"/>
    <x v="2"/>
    <x v="0"/>
    <n v="3"/>
    <n v="3"/>
    <n v="1"/>
    <n v="4"/>
    <n v="5"/>
    <x v="3"/>
    <n v="1"/>
    <n v="2"/>
    <n v="4"/>
    <n v="1"/>
    <x v="0"/>
    <s v="Email"/>
    <s v="Will visit again"/>
    <x v="2"/>
    <n v="52"/>
    <d v="2024-06-28T00:00:00"/>
    <x v="2"/>
    <x v="3"/>
    <x v="1"/>
  </r>
  <r>
    <n v="1483"/>
    <n v="34836"/>
    <s v="Sheryl Coleman"/>
    <x v="1"/>
    <x v="1"/>
    <x v="95"/>
    <d v="2024-08-22T00:00:00"/>
    <n v="11"/>
    <x v="3"/>
    <x v="0"/>
    <n v="2"/>
    <n v="5"/>
    <n v="2"/>
    <n v="5"/>
    <n v="3"/>
    <x v="2"/>
    <n v="3"/>
    <n v="3"/>
    <n v="4"/>
    <n v="3"/>
    <x v="0"/>
    <s v="Email"/>
    <s v="Great stay"/>
    <x v="2"/>
    <n v="67"/>
    <d v="2024-08-22T00:00:00"/>
    <x v="2"/>
    <x v="10"/>
    <x v="0"/>
  </r>
  <r>
    <n v="1484"/>
    <n v="18511"/>
    <s v="Mr. Joseph Fuller"/>
    <x v="1"/>
    <x v="4"/>
    <x v="299"/>
    <d v="2024-09-02T00:00:00"/>
    <n v="7"/>
    <x v="0"/>
    <x v="0"/>
    <n v="1"/>
    <n v="4"/>
    <n v="2"/>
    <n v="3"/>
    <n v="3"/>
    <x v="3"/>
    <n v="2"/>
    <n v="3"/>
    <n v="2"/>
    <n v="4"/>
    <x v="0"/>
    <s v="Feedback Form"/>
    <s v="Will visit again"/>
    <x v="2"/>
    <n v="57"/>
    <d v="2024-12-27T00:00:00"/>
    <x v="2"/>
    <x v="3"/>
    <x v="1"/>
  </r>
  <r>
    <n v="1485"/>
    <n v="22473"/>
    <s v="Monica Daniels"/>
    <x v="1"/>
    <x v="2"/>
    <x v="320"/>
    <d v="2023-01-24T00:00:00"/>
    <n v="4"/>
    <x v="1"/>
    <x v="3"/>
    <n v="1"/>
    <n v="5"/>
    <n v="3"/>
    <n v="1"/>
    <n v="1"/>
    <x v="0"/>
    <n v="1"/>
    <n v="5"/>
    <n v="4"/>
    <n v="3"/>
    <x v="1"/>
    <s v="Feedback Form"/>
    <s v="Poor service"/>
    <x v="2"/>
    <n v="46"/>
    <d v="2023-12-22T00:00:00"/>
    <x v="1"/>
    <x v="5"/>
    <x v="1"/>
  </r>
  <r>
    <n v="1486"/>
    <n v="20468"/>
    <s v="Travis Best"/>
    <x v="4"/>
    <x v="0"/>
    <x v="66"/>
    <d v="2024-08-19T00:00:00"/>
    <n v="9"/>
    <x v="1"/>
    <x v="1"/>
    <n v="1"/>
    <n v="2"/>
    <n v="1"/>
    <n v="2"/>
    <n v="4"/>
    <x v="1"/>
    <n v="5"/>
    <n v="4"/>
    <n v="1"/>
    <n v="2"/>
    <x v="1"/>
    <s v="App Review"/>
    <s v="Great stay"/>
    <x v="1"/>
    <n v="38"/>
    <d v="2024-08-19T00:00:00"/>
    <x v="1"/>
    <x v="5"/>
    <x v="1"/>
  </r>
  <r>
    <n v="1487"/>
    <n v="65965"/>
    <s v="Andrea Park"/>
    <x v="1"/>
    <x v="0"/>
    <x v="587"/>
    <d v="2024-08-24T00:00:00"/>
    <n v="12"/>
    <x v="1"/>
    <x v="4"/>
    <n v="1"/>
    <n v="2"/>
    <n v="4"/>
    <n v="3"/>
    <n v="5"/>
    <x v="3"/>
    <n v="5"/>
    <n v="1"/>
    <n v="4"/>
    <n v="5"/>
    <x v="1"/>
    <s v="Feedback Form"/>
    <s v="Average"/>
    <x v="2"/>
    <n v="58"/>
    <d v="2024-08-24T00:00:00"/>
    <x v="2"/>
    <x v="13"/>
    <x v="0"/>
  </r>
  <r>
    <n v="1488"/>
    <n v="78368"/>
    <s v="Ann Crawford"/>
    <x v="3"/>
    <x v="4"/>
    <x v="360"/>
    <d v="2024-07-20T00:00:00"/>
    <n v="6"/>
    <x v="3"/>
    <x v="2"/>
    <n v="3"/>
    <n v="2"/>
    <n v="1"/>
    <n v="5"/>
    <n v="2"/>
    <x v="1"/>
    <n v="2"/>
    <n v="3"/>
    <n v="2"/>
    <n v="2"/>
    <x v="1"/>
    <s v="Online Survey"/>
    <s v="Great stay"/>
    <x v="0"/>
    <n v="22"/>
    <d v="2024-07-20T00:00:00"/>
    <x v="0"/>
    <x v="5"/>
    <x v="1"/>
  </r>
  <r>
    <n v="1489"/>
    <n v="98898"/>
    <s v="Bradley Wilson"/>
    <x v="2"/>
    <x v="3"/>
    <x v="511"/>
    <d v="2024-07-05T00:00:00"/>
    <n v="12"/>
    <x v="1"/>
    <x v="3"/>
    <n v="4"/>
    <n v="5"/>
    <n v="4"/>
    <n v="5"/>
    <n v="4"/>
    <x v="4"/>
    <n v="4"/>
    <n v="2"/>
    <n v="1"/>
    <n v="4"/>
    <x v="0"/>
    <s v="Email"/>
    <s v="Great stay"/>
    <x v="2"/>
    <n v="22"/>
    <d v="2024-10-13T00:00:00"/>
    <x v="0"/>
    <x v="13"/>
    <x v="0"/>
  </r>
  <r>
    <n v="1490"/>
    <n v="96036"/>
    <s v="Tiffany Hernandez"/>
    <x v="3"/>
    <x v="2"/>
    <x v="83"/>
    <d v="2024-05-20T00:00:00"/>
    <n v="6"/>
    <x v="2"/>
    <x v="3"/>
    <n v="2"/>
    <n v="4"/>
    <n v="5"/>
    <n v="5"/>
    <n v="5"/>
    <x v="1"/>
    <n v="5"/>
    <n v="3"/>
    <n v="3"/>
    <n v="5"/>
    <x v="1"/>
    <s v="Online Survey"/>
    <s v="Average"/>
    <x v="0"/>
    <n v="41"/>
    <d v="2024-05-20T00:00:00"/>
    <x v="1"/>
    <x v="6"/>
    <x v="2"/>
  </r>
  <r>
    <n v="1491"/>
    <n v="10015"/>
    <s v="Chase Mcconnell"/>
    <x v="4"/>
    <x v="4"/>
    <x v="161"/>
    <d v="2023-08-07T00:00:00"/>
    <n v="12"/>
    <x v="0"/>
    <x v="2"/>
    <n v="2"/>
    <n v="4"/>
    <n v="2"/>
    <n v="3"/>
    <n v="1"/>
    <x v="3"/>
    <n v="3"/>
    <n v="4"/>
    <n v="5"/>
    <n v="5"/>
    <x v="0"/>
    <s v="Email"/>
    <s v="Needs improvement"/>
    <x v="0"/>
    <n v="32"/>
    <d v="2024-04-13T00:00:00"/>
    <x v="3"/>
    <x v="1"/>
    <x v="0"/>
  </r>
  <r>
    <n v="1492"/>
    <n v="86255"/>
    <s v="Roger Miller"/>
    <x v="1"/>
    <x v="2"/>
    <x v="33"/>
    <d v="2024-04-27T00:00:00"/>
    <n v="14"/>
    <x v="2"/>
    <x v="2"/>
    <n v="2"/>
    <n v="3"/>
    <n v="1"/>
    <n v="3"/>
    <n v="4"/>
    <x v="1"/>
    <n v="2"/>
    <n v="2"/>
    <n v="5"/>
    <n v="3"/>
    <x v="1"/>
    <s v="In-person"/>
    <s v="Average"/>
    <x v="1"/>
    <n v="45"/>
    <d v="2024-04-27T00:00:00"/>
    <x v="1"/>
    <x v="2"/>
    <x v="0"/>
  </r>
  <r>
    <n v="1493"/>
    <n v="79402"/>
    <s v="Michael Weaver"/>
    <x v="0"/>
    <x v="3"/>
    <x v="394"/>
    <d v="2024-02-21T00:00:00"/>
    <n v="10"/>
    <x v="1"/>
    <x v="0"/>
    <n v="3"/>
    <n v="1"/>
    <n v="2"/>
    <n v="4"/>
    <n v="4"/>
    <x v="0"/>
    <n v="3"/>
    <n v="4"/>
    <n v="1"/>
    <n v="2"/>
    <x v="0"/>
    <s v="Email"/>
    <s v="Will visit again"/>
    <x v="2"/>
    <n v="51"/>
    <d v="2024-04-05T00:00:00"/>
    <x v="2"/>
    <x v="5"/>
    <x v="1"/>
  </r>
  <r>
    <n v="1494"/>
    <n v="25986"/>
    <s v="Jennifer Miller"/>
    <x v="2"/>
    <x v="2"/>
    <x v="492"/>
    <d v="2023-11-22T00:00:00"/>
    <n v="6"/>
    <x v="3"/>
    <x v="1"/>
    <n v="3"/>
    <n v="4"/>
    <n v="1"/>
    <n v="1"/>
    <n v="5"/>
    <x v="0"/>
    <n v="2"/>
    <n v="2"/>
    <n v="1"/>
    <n v="3"/>
    <x v="0"/>
    <s v="Online Survey"/>
    <s v="Needs improvement"/>
    <x v="1"/>
    <n v="30"/>
    <d v="2023-11-22T00:00:00"/>
    <x v="3"/>
    <x v="14"/>
    <x v="1"/>
  </r>
  <r>
    <n v="1495"/>
    <n v="12345"/>
    <s v="Gabriel Ramirez"/>
    <x v="4"/>
    <x v="2"/>
    <x v="628"/>
    <d v="2024-06-07T00:00:00"/>
    <n v="4"/>
    <x v="2"/>
    <x v="3"/>
    <n v="5"/>
    <n v="2"/>
    <n v="5"/>
    <n v="3"/>
    <n v="2"/>
    <x v="3"/>
    <n v="4"/>
    <n v="3"/>
    <n v="5"/>
    <n v="4"/>
    <x v="1"/>
    <s v="App Review"/>
    <s v="Will visit again"/>
    <x v="2"/>
    <n v="61"/>
    <d v="2024-06-28T00:00:00"/>
    <x v="2"/>
    <x v="16"/>
    <x v="0"/>
  </r>
  <r>
    <n v="1496"/>
    <n v="18450"/>
    <s v="Robert Hatfield MD"/>
    <x v="3"/>
    <x v="2"/>
    <x v="0"/>
    <d v="2024-10-10T00:00:00"/>
    <n v="13"/>
    <x v="0"/>
    <x v="3"/>
    <n v="3"/>
    <n v="3"/>
    <n v="1"/>
    <n v="4"/>
    <n v="3"/>
    <x v="3"/>
    <n v="1"/>
    <n v="4"/>
    <n v="5"/>
    <n v="5"/>
    <x v="1"/>
    <s v="Feedback Form"/>
    <s v="Poor service"/>
    <x v="2"/>
    <n v="49"/>
    <d v="2024-10-10T00:00:00"/>
    <x v="1"/>
    <x v="1"/>
    <x v="0"/>
  </r>
  <r>
    <n v="1497"/>
    <n v="25349"/>
    <s v="Deborah Johnston"/>
    <x v="1"/>
    <x v="0"/>
    <x v="507"/>
    <d v="2023-05-25T00:00:00"/>
    <n v="7"/>
    <x v="3"/>
    <x v="4"/>
    <n v="1"/>
    <n v="4"/>
    <n v="5"/>
    <n v="2"/>
    <n v="2"/>
    <x v="1"/>
    <n v="2"/>
    <n v="5"/>
    <n v="1"/>
    <n v="3"/>
    <x v="1"/>
    <s v="Feedback Form"/>
    <s v="Will visit again"/>
    <x v="1"/>
    <n v="39"/>
    <d v="2023-07-13T00:00:00"/>
    <x v="1"/>
    <x v="2"/>
    <x v="0"/>
  </r>
  <r>
    <n v="1498"/>
    <n v="76599"/>
    <s v="Allen Johnson"/>
    <x v="4"/>
    <x v="3"/>
    <x v="385"/>
    <d v="2023-07-31T00:00:00"/>
    <n v="14"/>
    <x v="1"/>
    <x v="2"/>
    <n v="4"/>
    <n v="4"/>
    <n v="2"/>
    <n v="1"/>
    <n v="1"/>
    <x v="2"/>
    <n v="1"/>
    <n v="2"/>
    <n v="5"/>
    <n v="5"/>
    <x v="1"/>
    <s v="Online Survey"/>
    <s v="Great stay"/>
    <x v="1"/>
    <n v="46"/>
    <d v="2024-01-28T00:00:00"/>
    <x v="1"/>
    <x v="5"/>
    <x v="1"/>
  </r>
  <r>
    <n v="1499"/>
    <n v="26659"/>
    <s v="Christine Gross"/>
    <x v="4"/>
    <x v="0"/>
    <x v="493"/>
    <d v="2024-10-28T00:00:00"/>
    <n v="2"/>
    <x v="1"/>
    <x v="2"/>
    <n v="2"/>
    <n v="1"/>
    <n v="3"/>
    <n v="5"/>
    <n v="4"/>
    <x v="0"/>
    <n v="2"/>
    <n v="4"/>
    <n v="3"/>
    <n v="2"/>
    <x v="0"/>
    <s v="Feedback Form"/>
    <s v="Poor service"/>
    <x v="0"/>
    <n v="20"/>
    <d v="2024-10-28T00:00:00"/>
    <x v="0"/>
    <x v="4"/>
    <x v="1"/>
  </r>
  <r>
    <n v="1500"/>
    <n v="53751"/>
    <s v="Jonathan Williams"/>
    <x v="0"/>
    <x v="1"/>
    <x v="435"/>
    <d v="2023-12-21T00:00:00"/>
    <n v="2"/>
    <x v="3"/>
    <x v="3"/>
    <n v="3"/>
    <n v="1"/>
    <n v="4"/>
    <n v="1"/>
    <n v="5"/>
    <x v="0"/>
    <n v="4"/>
    <n v="4"/>
    <n v="4"/>
    <n v="4"/>
    <x v="1"/>
    <s v="App Review"/>
    <s v="Needs improvement"/>
    <x v="0"/>
    <n v="22"/>
    <d v="2023-12-21T00:00:00"/>
    <x v="0"/>
    <x v="1"/>
    <x v="0"/>
  </r>
  <r>
    <n v="1501"/>
    <n v="31306"/>
    <s v="Alfred Trujillo"/>
    <x v="0"/>
    <x v="4"/>
    <x v="142"/>
    <d v="2024-08-31T00:00:00"/>
    <n v="13"/>
    <x v="2"/>
    <x v="2"/>
    <n v="4"/>
    <n v="1"/>
    <n v="2"/>
    <n v="2"/>
    <n v="4"/>
    <x v="4"/>
    <n v="3"/>
    <n v="1"/>
    <n v="4"/>
    <n v="2"/>
    <x v="1"/>
    <s v="Feedback Form"/>
    <s v="Will visit again"/>
    <x v="0"/>
    <n v="67"/>
    <d v="2024-11-15T00:00:00"/>
    <x v="2"/>
    <x v="8"/>
    <x v="1"/>
  </r>
  <r>
    <n v="1502"/>
    <n v="90476"/>
    <s v="Charles Long"/>
    <x v="0"/>
    <x v="0"/>
    <x v="246"/>
    <d v="2024-08-17T00:00:00"/>
    <n v="11"/>
    <x v="2"/>
    <x v="0"/>
    <n v="1"/>
    <n v="4"/>
    <n v="3"/>
    <n v="3"/>
    <n v="3"/>
    <x v="4"/>
    <n v="1"/>
    <n v="1"/>
    <n v="3"/>
    <n v="3"/>
    <x v="1"/>
    <s v="In-person"/>
    <s v="Poor service"/>
    <x v="1"/>
    <n v="28"/>
    <d v="2024-08-17T00:00:00"/>
    <x v="3"/>
    <x v="9"/>
    <x v="1"/>
  </r>
  <r>
    <n v="1503"/>
    <n v="79118"/>
    <s v="Glenn Cooper"/>
    <x v="3"/>
    <x v="2"/>
    <x v="442"/>
    <d v="2024-02-14T00:00:00"/>
    <n v="11"/>
    <x v="3"/>
    <x v="4"/>
    <n v="3"/>
    <n v="4"/>
    <n v="2"/>
    <n v="3"/>
    <n v="2"/>
    <x v="2"/>
    <n v="3"/>
    <n v="3"/>
    <n v="4"/>
    <n v="3"/>
    <x v="1"/>
    <s v="Email"/>
    <s v="Will visit again"/>
    <x v="2"/>
    <n v="65"/>
    <d v="2024-02-14T00:00:00"/>
    <x v="2"/>
    <x v="4"/>
    <x v="1"/>
  </r>
  <r>
    <n v="1504"/>
    <n v="76867"/>
    <s v="Dale Miller"/>
    <x v="0"/>
    <x v="1"/>
    <x v="289"/>
    <d v="2024-01-27T00:00:00"/>
    <n v="6"/>
    <x v="2"/>
    <x v="3"/>
    <n v="3"/>
    <n v="2"/>
    <n v="2"/>
    <n v="4"/>
    <n v="2"/>
    <x v="0"/>
    <n v="2"/>
    <n v="5"/>
    <n v="4"/>
    <n v="1"/>
    <x v="1"/>
    <s v="In-person"/>
    <s v="Great stay"/>
    <x v="0"/>
    <n v="58"/>
    <d v="2024-01-27T00:00:00"/>
    <x v="2"/>
    <x v="3"/>
    <x v="1"/>
  </r>
  <r>
    <n v="1505"/>
    <n v="18066"/>
    <s v="Robert Porter"/>
    <x v="4"/>
    <x v="3"/>
    <x v="629"/>
    <d v="2023-07-31T00:00:00"/>
    <n v="9"/>
    <x v="0"/>
    <x v="4"/>
    <n v="4"/>
    <n v="5"/>
    <n v="1"/>
    <n v="3"/>
    <n v="1"/>
    <x v="3"/>
    <n v="2"/>
    <n v="5"/>
    <n v="4"/>
    <n v="2"/>
    <x v="1"/>
    <s v="Email"/>
    <s v="Great stay"/>
    <x v="1"/>
    <n v="43"/>
    <d v="2024-01-28T00:00:00"/>
    <x v="1"/>
    <x v="0"/>
    <x v="0"/>
  </r>
  <r>
    <n v="1506"/>
    <n v="36132"/>
    <s v="Gabriel Peterson"/>
    <x v="4"/>
    <x v="3"/>
    <x v="228"/>
    <d v="2024-02-05T00:00:00"/>
    <n v="3"/>
    <x v="3"/>
    <x v="0"/>
    <n v="1"/>
    <n v="1"/>
    <n v="5"/>
    <n v="3"/>
    <n v="5"/>
    <x v="0"/>
    <n v="4"/>
    <n v="4"/>
    <n v="2"/>
    <n v="4"/>
    <x v="0"/>
    <s v="In-person"/>
    <s v="Needs improvement"/>
    <x v="0"/>
    <n v="26"/>
    <d v="2024-02-05T00:00:00"/>
    <x v="3"/>
    <x v="10"/>
    <x v="0"/>
  </r>
  <r>
    <n v="1507"/>
    <n v="88772"/>
    <s v="Shawn Jones"/>
    <x v="4"/>
    <x v="0"/>
    <x v="619"/>
    <d v="2024-08-18T00:00:00"/>
    <n v="7"/>
    <x v="0"/>
    <x v="4"/>
    <n v="3"/>
    <n v="2"/>
    <n v="5"/>
    <n v="1"/>
    <n v="3"/>
    <x v="3"/>
    <n v="2"/>
    <n v="4"/>
    <n v="3"/>
    <n v="5"/>
    <x v="0"/>
    <s v="Feedback Form"/>
    <s v="Average"/>
    <x v="2"/>
    <n v="61"/>
    <d v="2024-08-18T00:00:00"/>
    <x v="2"/>
    <x v="10"/>
    <x v="0"/>
  </r>
  <r>
    <n v="1508"/>
    <n v="76015"/>
    <s v="Samuel Burke"/>
    <x v="2"/>
    <x v="2"/>
    <x v="630"/>
    <d v="2025-01-09T00:00:00"/>
    <n v="9"/>
    <x v="3"/>
    <x v="2"/>
    <n v="4"/>
    <n v="2"/>
    <n v="1"/>
    <n v="2"/>
    <n v="3"/>
    <x v="3"/>
    <n v="4"/>
    <n v="4"/>
    <n v="5"/>
    <n v="1"/>
    <x v="0"/>
    <s v="Feedback Form"/>
    <s v="Average"/>
    <x v="1"/>
    <n v="28"/>
    <d v="2025-01-09T00:00:00"/>
    <x v="3"/>
    <x v="2"/>
    <x v="0"/>
  </r>
  <r>
    <n v="1509"/>
    <n v="30893"/>
    <s v="Robert Hays"/>
    <x v="2"/>
    <x v="2"/>
    <x v="383"/>
    <d v="2024-06-08T00:00:00"/>
    <n v="12"/>
    <x v="0"/>
    <x v="3"/>
    <n v="1"/>
    <n v="3"/>
    <n v="1"/>
    <n v="5"/>
    <n v="5"/>
    <x v="2"/>
    <n v="2"/>
    <n v="2"/>
    <n v="1"/>
    <n v="4"/>
    <x v="1"/>
    <s v="App Review"/>
    <s v="Great stay"/>
    <x v="1"/>
    <n v="18"/>
    <d v="2024-06-08T00:00:00"/>
    <x v="0"/>
    <x v="7"/>
    <x v="1"/>
  </r>
  <r>
    <n v="1510"/>
    <n v="78582"/>
    <s v="Jose Singleton"/>
    <x v="3"/>
    <x v="3"/>
    <x v="216"/>
    <d v="2024-06-28T00:00:00"/>
    <n v="9"/>
    <x v="1"/>
    <x v="4"/>
    <n v="3"/>
    <n v="2"/>
    <n v="2"/>
    <n v="5"/>
    <n v="1"/>
    <x v="0"/>
    <n v="3"/>
    <n v="3"/>
    <n v="3"/>
    <n v="2"/>
    <x v="0"/>
    <s v="In-person"/>
    <s v="Poor service"/>
    <x v="2"/>
    <n v="55"/>
    <d v="2024-06-28T00:00:00"/>
    <x v="2"/>
    <x v="5"/>
    <x v="1"/>
  </r>
  <r>
    <n v="1511"/>
    <n v="77024"/>
    <s v="Adriana Diaz"/>
    <x v="0"/>
    <x v="2"/>
    <x v="77"/>
    <d v="2023-08-15T00:00:00"/>
    <n v="3"/>
    <x v="1"/>
    <x v="1"/>
    <n v="3"/>
    <n v="1"/>
    <n v="5"/>
    <n v="4"/>
    <n v="3"/>
    <x v="1"/>
    <n v="2"/>
    <n v="3"/>
    <n v="3"/>
    <n v="5"/>
    <x v="1"/>
    <s v="Email"/>
    <s v="Needs improvement"/>
    <x v="1"/>
    <n v="62"/>
    <d v="2023-08-15T00:00:00"/>
    <x v="2"/>
    <x v="13"/>
    <x v="0"/>
  </r>
  <r>
    <n v="1512"/>
    <n v="23722"/>
    <s v="Sara Howard"/>
    <x v="4"/>
    <x v="4"/>
    <x v="190"/>
    <d v="2023-12-06T00:00:00"/>
    <n v="1"/>
    <x v="2"/>
    <x v="3"/>
    <n v="2"/>
    <n v="5"/>
    <n v="2"/>
    <n v="2"/>
    <n v="1"/>
    <x v="0"/>
    <n v="1"/>
    <n v="1"/>
    <n v="2"/>
    <n v="4"/>
    <x v="0"/>
    <s v="Email"/>
    <s v="Will visit again"/>
    <x v="1"/>
    <n v="45"/>
    <d v="2023-12-06T00:00:00"/>
    <x v="1"/>
    <x v="9"/>
    <x v="1"/>
  </r>
  <r>
    <n v="1513"/>
    <n v="37400"/>
    <s v="Michelle Campbell"/>
    <x v="0"/>
    <x v="0"/>
    <x v="631"/>
    <d v="2024-02-16T00:00:00"/>
    <n v="2"/>
    <x v="3"/>
    <x v="4"/>
    <n v="5"/>
    <n v="2"/>
    <n v="3"/>
    <n v="1"/>
    <n v="5"/>
    <x v="0"/>
    <n v="5"/>
    <n v="4"/>
    <n v="2"/>
    <n v="1"/>
    <x v="0"/>
    <s v="Feedback Form"/>
    <s v="Will visit again"/>
    <x v="1"/>
    <n v="40"/>
    <d v="2024-07-16T00:00:00"/>
    <x v="1"/>
    <x v="0"/>
    <x v="0"/>
  </r>
  <r>
    <n v="1514"/>
    <n v="94012"/>
    <s v="Laurie Jackson"/>
    <x v="4"/>
    <x v="0"/>
    <x v="372"/>
    <d v="2023-04-13T00:00:00"/>
    <n v="11"/>
    <x v="1"/>
    <x v="3"/>
    <n v="1"/>
    <n v="4"/>
    <n v="3"/>
    <n v="5"/>
    <n v="5"/>
    <x v="4"/>
    <n v="1"/>
    <n v="4"/>
    <n v="4"/>
    <n v="5"/>
    <x v="1"/>
    <s v="Feedback Form"/>
    <s v="Poor service"/>
    <x v="0"/>
    <n v="48"/>
    <d v="2023-10-30T00:00:00"/>
    <x v="1"/>
    <x v="1"/>
    <x v="0"/>
  </r>
  <r>
    <n v="1515"/>
    <n v="38946"/>
    <s v="Taylor Hancock"/>
    <x v="2"/>
    <x v="2"/>
    <x v="46"/>
    <d v="2024-01-08T00:00:00"/>
    <n v="8"/>
    <x v="3"/>
    <x v="4"/>
    <n v="4"/>
    <n v="4"/>
    <n v="1"/>
    <n v="4"/>
    <n v="5"/>
    <x v="2"/>
    <n v="1"/>
    <n v="2"/>
    <n v="2"/>
    <n v="2"/>
    <x v="0"/>
    <s v="Feedback Form"/>
    <s v="Average"/>
    <x v="2"/>
    <n v="19"/>
    <d v="2024-01-08T00:00:00"/>
    <x v="0"/>
    <x v="5"/>
    <x v="1"/>
  </r>
  <r>
    <n v="1516"/>
    <n v="36510"/>
    <s v="Lindsay Russell"/>
    <x v="4"/>
    <x v="3"/>
    <x v="497"/>
    <d v="2023-05-31T00:00:00"/>
    <n v="7"/>
    <x v="3"/>
    <x v="4"/>
    <n v="2"/>
    <n v="2"/>
    <n v="5"/>
    <n v="3"/>
    <n v="3"/>
    <x v="1"/>
    <n v="4"/>
    <n v="4"/>
    <n v="5"/>
    <n v="5"/>
    <x v="1"/>
    <s v="In-person"/>
    <s v="Great stay"/>
    <x v="0"/>
    <n v="35"/>
    <d v="2024-03-13T00:00:00"/>
    <x v="3"/>
    <x v="21"/>
    <x v="0"/>
  </r>
  <r>
    <n v="1517"/>
    <n v="58162"/>
    <s v="Jeffrey Martinez"/>
    <x v="3"/>
    <x v="4"/>
    <x v="116"/>
    <d v="2024-03-07T00:00:00"/>
    <n v="1"/>
    <x v="0"/>
    <x v="2"/>
    <n v="3"/>
    <n v="1"/>
    <n v="3"/>
    <n v="3"/>
    <n v="5"/>
    <x v="1"/>
    <n v="2"/>
    <n v="4"/>
    <n v="5"/>
    <n v="2"/>
    <x v="1"/>
    <s v="Email"/>
    <s v="Great stay"/>
    <x v="2"/>
    <n v="33"/>
    <d v="2024-10-24T00:00:00"/>
    <x v="3"/>
    <x v="1"/>
    <x v="0"/>
  </r>
  <r>
    <n v="1518"/>
    <n v="40199"/>
    <s v="Alexis Rich"/>
    <x v="1"/>
    <x v="4"/>
    <x v="288"/>
    <d v="2024-04-24T00:00:00"/>
    <n v="3"/>
    <x v="1"/>
    <x v="4"/>
    <n v="4"/>
    <n v="5"/>
    <n v="5"/>
    <n v="1"/>
    <n v="3"/>
    <x v="1"/>
    <n v="3"/>
    <n v="3"/>
    <n v="4"/>
    <n v="3"/>
    <x v="0"/>
    <s v="In-person"/>
    <s v="Needs improvement"/>
    <x v="1"/>
    <n v="59"/>
    <d v="2024-04-24T00:00:00"/>
    <x v="2"/>
    <x v="11"/>
    <x v="0"/>
  </r>
  <r>
    <n v="1519"/>
    <n v="34039"/>
    <s v="Karen Hebert"/>
    <x v="4"/>
    <x v="4"/>
    <x v="327"/>
    <d v="2024-07-10T00:00:00"/>
    <n v="8"/>
    <x v="2"/>
    <x v="1"/>
    <n v="2"/>
    <n v="5"/>
    <n v="5"/>
    <n v="5"/>
    <n v="1"/>
    <x v="3"/>
    <n v="2"/>
    <n v="4"/>
    <n v="2"/>
    <n v="3"/>
    <x v="0"/>
    <s v="Email"/>
    <s v="Great stay"/>
    <x v="2"/>
    <n v="34"/>
    <d v="2024-11-28T00:00:00"/>
    <x v="3"/>
    <x v="1"/>
    <x v="0"/>
  </r>
  <r>
    <n v="1520"/>
    <n v="29188"/>
    <s v="John Small"/>
    <x v="3"/>
    <x v="1"/>
    <x v="96"/>
    <d v="2024-03-04T00:00:00"/>
    <n v="7"/>
    <x v="2"/>
    <x v="2"/>
    <n v="2"/>
    <n v="1"/>
    <n v="4"/>
    <n v="3"/>
    <n v="4"/>
    <x v="2"/>
    <n v="5"/>
    <n v="2"/>
    <n v="4"/>
    <n v="2"/>
    <x v="0"/>
    <s v="Email"/>
    <s v="Average"/>
    <x v="1"/>
    <n v="65"/>
    <d v="2024-03-04T00:00:00"/>
    <x v="2"/>
    <x v="4"/>
    <x v="1"/>
  </r>
  <r>
    <n v="1521"/>
    <n v="17990"/>
    <s v="Charles Medina"/>
    <x v="2"/>
    <x v="2"/>
    <x v="239"/>
    <d v="2024-06-26T00:00:00"/>
    <n v="5"/>
    <x v="2"/>
    <x v="1"/>
    <n v="5"/>
    <n v="4"/>
    <n v="3"/>
    <n v="4"/>
    <n v="1"/>
    <x v="4"/>
    <n v="2"/>
    <n v="2"/>
    <n v="1"/>
    <n v="4"/>
    <x v="0"/>
    <s v="App Review"/>
    <s v="Average"/>
    <x v="1"/>
    <n v="34"/>
    <d v="2024-06-26T00:00:00"/>
    <x v="3"/>
    <x v="5"/>
    <x v="1"/>
  </r>
  <r>
    <n v="1522"/>
    <n v="18975"/>
    <s v="Anthony Carson"/>
    <x v="2"/>
    <x v="4"/>
    <x v="632"/>
    <d v="2024-06-08T00:00:00"/>
    <n v="3"/>
    <x v="3"/>
    <x v="1"/>
    <n v="2"/>
    <n v="4"/>
    <n v="3"/>
    <n v="4"/>
    <n v="3"/>
    <x v="3"/>
    <n v="5"/>
    <n v="5"/>
    <n v="2"/>
    <n v="1"/>
    <x v="0"/>
    <s v="Feedback Form"/>
    <s v="Poor service"/>
    <x v="2"/>
    <n v="64"/>
    <d v="2024-06-08T00:00:00"/>
    <x v="2"/>
    <x v="1"/>
    <x v="0"/>
  </r>
  <r>
    <n v="1523"/>
    <n v="14273"/>
    <s v="Dylan Brown"/>
    <x v="1"/>
    <x v="2"/>
    <x v="526"/>
    <d v="2024-10-18T00:00:00"/>
    <n v="7"/>
    <x v="2"/>
    <x v="0"/>
    <n v="1"/>
    <n v="3"/>
    <n v="2"/>
    <n v="5"/>
    <n v="2"/>
    <x v="1"/>
    <n v="5"/>
    <n v="5"/>
    <n v="2"/>
    <n v="3"/>
    <x v="1"/>
    <s v="In-person"/>
    <s v="Needs improvement"/>
    <x v="1"/>
    <n v="52"/>
    <d v="2024-10-18T00:00:00"/>
    <x v="2"/>
    <x v="1"/>
    <x v="0"/>
  </r>
  <r>
    <n v="1524"/>
    <n v="81997"/>
    <s v="Kaitlyn Davis"/>
    <x v="0"/>
    <x v="3"/>
    <x v="199"/>
    <d v="2024-06-10T00:00:00"/>
    <n v="5"/>
    <x v="3"/>
    <x v="1"/>
    <n v="5"/>
    <n v="2"/>
    <n v="2"/>
    <n v="1"/>
    <n v="2"/>
    <x v="3"/>
    <n v="1"/>
    <n v="1"/>
    <n v="2"/>
    <n v="4"/>
    <x v="0"/>
    <s v="In-person"/>
    <s v="Needs improvement"/>
    <x v="0"/>
    <n v="48"/>
    <d v="2024-09-18T00:00:00"/>
    <x v="1"/>
    <x v="8"/>
    <x v="1"/>
  </r>
  <r>
    <n v="1525"/>
    <n v="50326"/>
    <s v="Holly Murphy"/>
    <x v="0"/>
    <x v="3"/>
    <x v="258"/>
    <d v="2023-10-20T00:00:00"/>
    <n v="1"/>
    <x v="1"/>
    <x v="4"/>
    <n v="5"/>
    <n v="2"/>
    <n v="5"/>
    <n v="4"/>
    <n v="4"/>
    <x v="3"/>
    <n v="5"/>
    <n v="2"/>
    <n v="2"/>
    <n v="5"/>
    <x v="1"/>
    <s v="Feedback Form"/>
    <s v="Great stay"/>
    <x v="2"/>
    <n v="52"/>
    <d v="2024-07-25T00:00:00"/>
    <x v="2"/>
    <x v="21"/>
    <x v="0"/>
  </r>
  <r>
    <n v="1526"/>
    <n v="61350"/>
    <s v="Mr. Daniel Bird"/>
    <x v="4"/>
    <x v="3"/>
    <x v="547"/>
    <d v="2023-10-12T00:00:00"/>
    <n v="5"/>
    <x v="3"/>
    <x v="3"/>
    <n v="3"/>
    <n v="4"/>
    <n v="1"/>
    <n v="2"/>
    <n v="5"/>
    <x v="1"/>
    <n v="5"/>
    <n v="2"/>
    <n v="5"/>
    <n v="3"/>
    <x v="1"/>
    <s v="In-person"/>
    <s v="Will visit again"/>
    <x v="2"/>
    <n v="41"/>
    <d v="2024-02-25T00:00:00"/>
    <x v="1"/>
    <x v="18"/>
    <x v="0"/>
  </r>
  <r>
    <n v="1527"/>
    <n v="18732"/>
    <s v="Margaret Mccoy DVM"/>
    <x v="2"/>
    <x v="1"/>
    <x v="185"/>
    <d v="2024-12-28T00:00:00"/>
    <n v="3"/>
    <x v="2"/>
    <x v="2"/>
    <n v="3"/>
    <n v="2"/>
    <n v="2"/>
    <n v="4"/>
    <n v="1"/>
    <x v="1"/>
    <n v="3"/>
    <n v="3"/>
    <n v="4"/>
    <n v="4"/>
    <x v="1"/>
    <s v="App Review"/>
    <s v="Needs improvement"/>
    <x v="2"/>
    <n v="58"/>
    <d v="2024-12-28T00:00:00"/>
    <x v="2"/>
    <x v="0"/>
    <x v="0"/>
  </r>
  <r>
    <n v="1528"/>
    <n v="82911"/>
    <s v="Michael Kim"/>
    <x v="3"/>
    <x v="3"/>
    <x v="633"/>
    <d v="2023-08-27T00:00:00"/>
    <n v="2"/>
    <x v="1"/>
    <x v="2"/>
    <n v="1"/>
    <n v="1"/>
    <n v="2"/>
    <n v="1"/>
    <n v="1"/>
    <x v="4"/>
    <n v="4"/>
    <n v="5"/>
    <n v="5"/>
    <n v="1"/>
    <x v="0"/>
    <s v="In-person"/>
    <s v="Great stay"/>
    <x v="1"/>
    <n v="54"/>
    <d v="2023-10-24T00:00:00"/>
    <x v="2"/>
    <x v="19"/>
    <x v="1"/>
  </r>
  <r>
    <n v="1529"/>
    <n v="23660"/>
    <s v="David Bell"/>
    <x v="1"/>
    <x v="2"/>
    <x v="21"/>
    <d v="2024-09-23T00:00:00"/>
    <n v="13"/>
    <x v="2"/>
    <x v="2"/>
    <n v="4"/>
    <n v="5"/>
    <n v="5"/>
    <n v="4"/>
    <n v="3"/>
    <x v="2"/>
    <n v="2"/>
    <n v="1"/>
    <n v="4"/>
    <n v="5"/>
    <x v="0"/>
    <s v="Email"/>
    <s v="Will visit again"/>
    <x v="0"/>
    <n v="66"/>
    <d v="2024-09-23T00:00:00"/>
    <x v="2"/>
    <x v="18"/>
    <x v="0"/>
  </r>
  <r>
    <n v="1530"/>
    <n v="34273"/>
    <s v="Catherine Price"/>
    <x v="0"/>
    <x v="0"/>
    <x v="483"/>
    <d v="2024-06-15T00:00:00"/>
    <n v="3"/>
    <x v="3"/>
    <x v="3"/>
    <n v="1"/>
    <n v="3"/>
    <n v="3"/>
    <n v="3"/>
    <n v="4"/>
    <x v="0"/>
    <n v="3"/>
    <n v="3"/>
    <n v="1"/>
    <n v="3"/>
    <x v="0"/>
    <s v="Feedback Form"/>
    <s v="Great stay"/>
    <x v="2"/>
    <n v="47"/>
    <d v="2024-06-15T00:00:00"/>
    <x v="1"/>
    <x v="5"/>
    <x v="1"/>
  </r>
  <r>
    <n v="1531"/>
    <n v="75948"/>
    <s v="Christopher Reed"/>
    <x v="4"/>
    <x v="0"/>
    <x v="267"/>
    <d v="2024-08-13T00:00:00"/>
    <n v="10"/>
    <x v="3"/>
    <x v="1"/>
    <n v="5"/>
    <n v="1"/>
    <n v="2"/>
    <n v="1"/>
    <n v="5"/>
    <x v="0"/>
    <n v="4"/>
    <n v="3"/>
    <n v="2"/>
    <n v="3"/>
    <x v="1"/>
    <s v="Feedback Form"/>
    <s v="Poor service"/>
    <x v="1"/>
    <n v="35"/>
    <d v="2024-08-13T00:00:00"/>
    <x v="3"/>
    <x v="4"/>
    <x v="1"/>
  </r>
  <r>
    <n v="1532"/>
    <n v="65020"/>
    <s v="Rebecca Johnson"/>
    <x v="4"/>
    <x v="2"/>
    <x v="433"/>
    <d v="2024-07-21T00:00:00"/>
    <n v="4"/>
    <x v="2"/>
    <x v="0"/>
    <n v="3"/>
    <n v="1"/>
    <n v="1"/>
    <n v="3"/>
    <n v="4"/>
    <x v="0"/>
    <n v="1"/>
    <n v="5"/>
    <n v="3"/>
    <n v="1"/>
    <x v="0"/>
    <s v="App Review"/>
    <s v="Needs improvement"/>
    <x v="0"/>
    <n v="44"/>
    <d v="2024-10-22T00:00:00"/>
    <x v="1"/>
    <x v="14"/>
    <x v="1"/>
  </r>
  <r>
    <n v="1533"/>
    <n v="36359"/>
    <s v="Oscar Owens"/>
    <x v="2"/>
    <x v="0"/>
    <x v="189"/>
    <d v="2023-08-31T00:00:00"/>
    <n v="14"/>
    <x v="1"/>
    <x v="4"/>
    <n v="1"/>
    <n v="1"/>
    <n v="5"/>
    <n v="3"/>
    <n v="2"/>
    <x v="4"/>
    <n v="3"/>
    <n v="3"/>
    <n v="5"/>
    <n v="2"/>
    <x v="0"/>
    <s v="In-person"/>
    <s v="Great stay"/>
    <x v="1"/>
    <n v="33"/>
    <d v="2023-08-31T00:00:00"/>
    <x v="3"/>
    <x v="7"/>
    <x v="1"/>
  </r>
  <r>
    <n v="1534"/>
    <n v="81263"/>
    <s v="Jeff Fox"/>
    <x v="3"/>
    <x v="4"/>
    <x v="312"/>
    <d v="2024-11-07T00:00:00"/>
    <n v="13"/>
    <x v="3"/>
    <x v="2"/>
    <n v="3"/>
    <n v="2"/>
    <n v="3"/>
    <n v="5"/>
    <n v="4"/>
    <x v="3"/>
    <n v="3"/>
    <n v="5"/>
    <n v="3"/>
    <n v="3"/>
    <x v="0"/>
    <s v="Email"/>
    <s v="Poor service"/>
    <x v="1"/>
    <n v="37"/>
    <d v="2024-11-07T00:00:00"/>
    <x v="1"/>
    <x v="18"/>
    <x v="0"/>
  </r>
  <r>
    <n v="1535"/>
    <n v="25907"/>
    <s v="Mark Mcguire MD"/>
    <x v="3"/>
    <x v="0"/>
    <x v="535"/>
    <d v="2023-11-15T00:00:00"/>
    <n v="13"/>
    <x v="0"/>
    <x v="4"/>
    <n v="1"/>
    <n v="5"/>
    <n v="4"/>
    <n v="1"/>
    <n v="5"/>
    <x v="1"/>
    <n v="1"/>
    <n v="2"/>
    <n v="1"/>
    <n v="2"/>
    <x v="1"/>
    <s v="Online Survey"/>
    <s v="Great stay"/>
    <x v="0"/>
    <n v="58"/>
    <d v="2023-11-15T00:00:00"/>
    <x v="2"/>
    <x v="5"/>
    <x v="1"/>
  </r>
  <r>
    <n v="1536"/>
    <n v="88824"/>
    <s v="Lauren Hughes"/>
    <x v="0"/>
    <x v="1"/>
    <x v="295"/>
    <d v="2024-11-10T00:00:00"/>
    <n v="1"/>
    <x v="0"/>
    <x v="1"/>
    <n v="1"/>
    <n v="3"/>
    <n v="1"/>
    <n v="3"/>
    <n v="5"/>
    <x v="2"/>
    <n v="5"/>
    <n v="2"/>
    <n v="3"/>
    <n v="1"/>
    <x v="1"/>
    <s v="Email"/>
    <s v="Average"/>
    <x v="1"/>
    <n v="64"/>
    <d v="2024-11-10T00:00:00"/>
    <x v="2"/>
    <x v="7"/>
    <x v="1"/>
  </r>
  <r>
    <n v="1537"/>
    <n v="95430"/>
    <s v="David Mendez"/>
    <x v="4"/>
    <x v="3"/>
    <x v="110"/>
    <d v="2024-09-20T00:00:00"/>
    <n v="4"/>
    <x v="0"/>
    <x v="0"/>
    <n v="2"/>
    <n v="4"/>
    <n v="3"/>
    <n v="5"/>
    <n v="1"/>
    <x v="0"/>
    <n v="1"/>
    <n v="5"/>
    <n v="1"/>
    <n v="1"/>
    <x v="0"/>
    <s v="Email"/>
    <s v="Great stay"/>
    <x v="0"/>
    <n v="45"/>
    <d v="2024-09-20T00:00:00"/>
    <x v="1"/>
    <x v="7"/>
    <x v="1"/>
  </r>
  <r>
    <n v="1538"/>
    <n v="29780"/>
    <s v="Diana Chen"/>
    <x v="2"/>
    <x v="0"/>
    <x v="198"/>
    <d v="2023-10-25T00:00:00"/>
    <n v="9"/>
    <x v="0"/>
    <x v="2"/>
    <n v="1"/>
    <n v="1"/>
    <n v="5"/>
    <n v="5"/>
    <n v="1"/>
    <x v="2"/>
    <n v="2"/>
    <n v="4"/>
    <n v="5"/>
    <n v="4"/>
    <x v="0"/>
    <s v="In-person"/>
    <s v="Average"/>
    <x v="2"/>
    <n v="38"/>
    <d v="2024-04-21T00:00:00"/>
    <x v="1"/>
    <x v="2"/>
    <x v="0"/>
  </r>
  <r>
    <n v="1539"/>
    <n v="14677"/>
    <s v="Crystal Sanchez"/>
    <x v="3"/>
    <x v="0"/>
    <x v="515"/>
    <d v="2024-12-01T00:00:00"/>
    <n v="1"/>
    <x v="2"/>
    <x v="1"/>
    <n v="3"/>
    <n v="1"/>
    <n v="4"/>
    <n v="3"/>
    <n v="5"/>
    <x v="2"/>
    <n v="1"/>
    <n v="4"/>
    <n v="1"/>
    <n v="3"/>
    <x v="0"/>
    <s v="Online Survey"/>
    <s v="Needs improvement"/>
    <x v="2"/>
    <n v="58"/>
    <d v="2024-12-01T00:00:00"/>
    <x v="2"/>
    <x v="5"/>
    <x v="1"/>
  </r>
  <r>
    <n v="1540"/>
    <n v="56548"/>
    <s v="Rebecca Miller"/>
    <x v="4"/>
    <x v="1"/>
    <x v="140"/>
    <d v="2024-09-01T00:00:00"/>
    <n v="11"/>
    <x v="3"/>
    <x v="0"/>
    <n v="1"/>
    <n v="1"/>
    <n v="1"/>
    <n v="3"/>
    <n v="1"/>
    <x v="1"/>
    <n v="3"/>
    <n v="1"/>
    <n v="5"/>
    <n v="5"/>
    <x v="1"/>
    <s v="App Review"/>
    <s v="Great stay"/>
    <x v="0"/>
    <n v="62"/>
    <d v="2024-09-01T00:00:00"/>
    <x v="2"/>
    <x v="7"/>
    <x v="1"/>
  </r>
  <r>
    <n v="1541"/>
    <n v="17122"/>
    <s v="Carolyn Moody"/>
    <x v="3"/>
    <x v="1"/>
    <x v="212"/>
    <d v="2024-02-29T00:00:00"/>
    <n v="7"/>
    <x v="1"/>
    <x v="2"/>
    <n v="4"/>
    <n v="4"/>
    <n v="2"/>
    <n v="2"/>
    <n v="1"/>
    <x v="4"/>
    <n v="1"/>
    <n v="4"/>
    <n v="5"/>
    <n v="5"/>
    <x v="0"/>
    <s v="In-person"/>
    <s v="Poor service"/>
    <x v="1"/>
    <n v="50"/>
    <d v="2024-05-19T00:00:00"/>
    <x v="1"/>
    <x v="4"/>
    <x v="1"/>
  </r>
  <r>
    <n v="1542"/>
    <n v="60794"/>
    <s v="Meagan Pierce"/>
    <x v="1"/>
    <x v="0"/>
    <x v="549"/>
    <d v="2023-08-18T00:00:00"/>
    <n v="8"/>
    <x v="0"/>
    <x v="1"/>
    <n v="2"/>
    <n v="2"/>
    <n v="2"/>
    <n v="1"/>
    <n v="1"/>
    <x v="1"/>
    <n v="2"/>
    <n v="1"/>
    <n v="3"/>
    <n v="1"/>
    <x v="1"/>
    <s v="Feedback Form"/>
    <s v="Needs improvement"/>
    <x v="2"/>
    <n v="65"/>
    <d v="2023-08-18T00:00:00"/>
    <x v="2"/>
    <x v="15"/>
    <x v="1"/>
  </r>
  <r>
    <n v="1543"/>
    <n v="11294"/>
    <s v="Kirk Bradley"/>
    <x v="3"/>
    <x v="4"/>
    <x v="369"/>
    <d v="2024-02-15T00:00:00"/>
    <n v="9"/>
    <x v="2"/>
    <x v="4"/>
    <n v="1"/>
    <n v="2"/>
    <n v="1"/>
    <n v="5"/>
    <n v="5"/>
    <x v="4"/>
    <n v="5"/>
    <n v="5"/>
    <n v="4"/>
    <n v="5"/>
    <x v="1"/>
    <s v="Online Survey"/>
    <s v="Needs improvement"/>
    <x v="0"/>
    <n v="26"/>
    <d v="2024-04-09T00:00:00"/>
    <x v="3"/>
    <x v="13"/>
    <x v="0"/>
  </r>
  <r>
    <n v="1544"/>
    <n v="58070"/>
    <s v="Jeremiah Castillo"/>
    <x v="3"/>
    <x v="0"/>
    <x v="65"/>
    <d v="2024-04-12T00:00:00"/>
    <n v="7"/>
    <x v="1"/>
    <x v="3"/>
    <n v="4"/>
    <n v="5"/>
    <n v="2"/>
    <n v="1"/>
    <n v="1"/>
    <x v="3"/>
    <n v="5"/>
    <n v="5"/>
    <n v="4"/>
    <n v="5"/>
    <x v="1"/>
    <s v="Feedback Form"/>
    <s v="Average"/>
    <x v="0"/>
    <n v="41"/>
    <d v="2024-06-17T00:00:00"/>
    <x v="1"/>
    <x v="11"/>
    <x v="0"/>
  </r>
  <r>
    <n v="1545"/>
    <n v="50555"/>
    <s v="Matthew Kim"/>
    <x v="4"/>
    <x v="4"/>
    <x v="406"/>
    <d v="2024-04-13T00:00:00"/>
    <n v="13"/>
    <x v="2"/>
    <x v="2"/>
    <n v="3"/>
    <n v="2"/>
    <n v="5"/>
    <n v="5"/>
    <n v="2"/>
    <x v="2"/>
    <n v="4"/>
    <n v="5"/>
    <n v="4"/>
    <n v="5"/>
    <x v="1"/>
    <s v="Online Survey"/>
    <s v="Needs improvement"/>
    <x v="1"/>
    <n v="30"/>
    <d v="2024-04-13T00:00:00"/>
    <x v="3"/>
    <x v="16"/>
    <x v="0"/>
  </r>
  <r>
    <n v="1546"/>
    <n v="18555"/>
    <s v="Michael Green"/>
    <x v="3"/>
    <x v="3"/>
    <x v="479"/>
    <d v="2024-04-03T00:00:00"/>
    <n v="9"/>
    <x v="3"/>
    <x v="0"/>
    <n v="4"/>
    <n v="2"/>
    <n v="1"/>
    <n v="4"/>
    <n v="5"/>
    <x v="0"/>
    <n v="4"/>
    <n v="1"/>
    <n v="2"/>
    <n v="4"/>
    <x v="1"/>
    <s v="Feedback Form"/>
    <s v="Great stay"/>
    <x v="1"/>
    <n v="47"/>
    <d v="2024-04-03T00:00:00"/>
    <x v="1"/>
    <x v="2"/>
    <x v="0"/>
  </r>
  <r>
    <n v="1547"/>
    <n v="12116"/>
    <s v="Kathryn Kirk"/>
    <x v="3"/>
    <x v="2"/>
    <x v="243"/>
    <d v="2024-07-08T00:00:00"/>
    <n v="10"/>
    <x v="0"/>
    <x v="0"/>
    <n v="2"/>
    <n v="3"/>
    <n v="1"/>
    <n v="4"/>
    <n v="4"/>
    <x v="2"/>
    <n v="2"/>
    <n v="3"/>
    <n v="3"/>
    <n v="4"/>
    <x v="1"/>
    <s v="In-person"/>
    <s v="Great stay"/>
    <x v="2"/>
    <n v="63"/>
    <d v="2024-07-08T00:00:00"/>
    <x v="2"/>
    <x v="3"/>
    <x v="1"/>
  </r>
  <r>
    <n v="1548"/>
    <n v="20547"/>
    <s v="Timothy Hoover"/>
    <x v="1"/>
    <x v="3"/>
    <x v="634"/>
    <d v="2023-09-12T00:00:00"/>
    <n v="13"/>
    <x v="1"/>
    <x v="3"/>
    <n v="3"/>
    <n v="3"/>
    <n v="2"/>
    <n v="5"/>
    <n v="3"/>
    <x v="1"/>
    <n v="4"/>
    <n v="1"/>
    <n v="1"/>
    <n v="1"/>
    <x v="0"/>
    <s v="Online Survey"/>
    <s v="Average"/>
    <x v="2"/>
    <n v="60"/>
    <d v="2023-09-12T00:00:00"/>
    <x v="2"/>
    <x v="3"/>
    <x v="1"/>
  </r>
  <r>
    <n v="1549"/>
    <n v="22710"/>
    <s v="William Owens"/>
    <x v="3"/>
    <x v="0"/>
    <x v="436"/>
    <d v="2024-09-19T00:00:00"/>
    <n v="14"/>
    <x v="1"/>
    <x v="3"/>
    <n v="1"/>
    <n v="2"/>
    <n v="1"/>
    <n v="2"/>
    <n v="3"/>
    <x v="4"/>
    <n v="5"/>
    <n v="3"/>
    <n v="4"/>
    <n v="5"/>
    <x v="1"/>
    <s v="App Review"/>
    <s v="Great stay"/>
    <x v="2"/>
    <n v="50"/>
    <d v="2024-09-19T00:00:00"/>
    <x v="1"/>
    <x v="5"/>
    <x v="1"/>
  </r>
  <r>
    <n v="1550"/>
    <n v="78097"/>
    <s v="Bryan Smith"/>
    <x v="3"/>
    <x v="0"/>
    <x v="290"/>
    <d v="2024-02-17T00:00:00"/>
    <n v="3"/>
    <x v="2"/>
    <x v="1"/>
    <n v="1"/>
    <n v="3"/>
    <n v="4"/>
    <n v="4"/>
    <n v="2"/>
    <x v="3"/>
    <n v="5"/>
    <n v="2"/>
    <n v="3"/>
    <n v="1"/>
    <x v="1"/>
    <s v="In-person"/>
    <s v="Average"/>
    <x v="1"/>
    <n v="63"/>
    <d v="2024-02-17T00:00:00"/>
    <x v="2"/>
    <x v="4"/>
    <x v="1"/>
  </r>
  <r>
    <n v="1551"/>
    <n v="48807"/>
    <s v="Brianna Valencia"/>
    <x v="4"/>
    <x v="4"/>
    <x v="635"/>
    <d v="2024-05-30T00:00:00"/>
    <n v="1"/>
    <x v="2"/>
    <x v="3"/>
    <n v="4"/>
    <n v="5"/>
    <n v="1"/>
    <n v="1"/>
    <n v="5"/>
    <x v="3"/>
    <n v="4"/>
    <n v="2"/>
    <n v="2"/>
    <n v="1"/>
    <x v="1"/>
    <s v="Online Survey"/>
    <s v="Will visit again"/>
    <x v="2"/>
    <n v="41"/>
    <d v="2024-08-17T00:00:00"/>
    <x v="1"/>
    <x v="4"/>
    <x v="1"/>
  </r>
  <r>
    <n v="1552"/>
    <n v="50636"/>
    <s v="Jeffery Wilson DDS"/>
    <x v="2"/>
    <x v="1"/>
    <x v="636"/>
    <d v="2024-06-12T00:00:00"/>
    <n v="2"/>
    <x v="3"/>
    <x v="2"/>
    <n v="1"/>
    <n v="2"/>
    <n v="2"/>
    <n v="3"/>
    <n v="4"/>
    <x v="4"/>
    <n v="1"/>
    <n v="3"/>
    <n v="3"/>
    <n v="1"/>
    <x v="0"/>
    <s v="Feedback Form"/>
    <s v="Average"/>
    <x v="0"/>
    <n v="37"/>
    <d v="2024-06-12T00:00:00"/>
    <x v="1"/>
    <x v="17"/>
    <x v="1"/>
  </r>
  <r>
    <n v="1553"/>
    <n v="41086"/>
    <s v="Christina Smith"/>
    <x v="1"/>
    <x v="4"/>
    <x v="407"/>
    <d v="2024-01-24T00:00:00"/>
    <n v="14"/>
    <x v="1"/>
    <x v="3"/>
    <n v="3"/>
    <n v="3"/>
    <n v="2"/>
    <n v="1"/>
    <n v="5"/>
    <x v="4"/>
    <n v="5"/>
    <n v="3"/>
    <n v="1"/>
    <n v="4"/>
    <x v="1"/>
    <s v="Email"/>
    <s v="Poor service"/>
    <x v="0"/>
    <n v="67"/>
    <d v="2024-01-24T00:00:00"/>
    <x v="2"/>
    <x v="3"/>
    <x v="1"/>
  </r>
  <r>
    <n v="1554"/>
    <n v="65417"/>
    <s v="Briana Combs"/>
    <x v="3"/>
    <x v="1"/>
    <x v="230"/>
    <d v="2023-10-07T00:00:00"/>
    <n v="10"/>
    <x v="0"/>
    <x v="2"/>
    <n v="3"/>
    <n v="4"/>
    <n v="2"/>
    <n v="1"/>
    <n v="4"/>
    <x v="4"/>
    <n v="4"/>
    <n v="4"/>
    <n v="4"/>
    <n v="4"/>
    <x v="1"/>
    <s v="Online Survey"/>
    <s v="Poor service"/>
    <x v="2"/>
    <n v="18"/>
    <d v="2024-03-22T00:00:00"/>
    <x v="0"/>
    <x v="0"/>
    <x v="0"/>
  </r>
  <r>
    <n v="1555"/>
    <n v="45310"/>
    <s v="James Morales"/>
    <x v="2"/>
    <x v="1"/>
    <x v="372"/>
    <d v="2024-07-09T00:00:00"/>
    <n v="13"/>
    <x v="0"/>
    <x v="4"/>
    <n v="1"/>
    <n v="3"/>
    <n v="2"/>
    <n v="1"/>
    <n v="4"/>
    <x v="3"/>
    <n v="4"/>
    <n v="3"/>
    <n v="1"/>
    <n v="3"/>
    <x v="1"/>
    <s v="In-person"/>
    <s v="Great stay"/>
    <x v="1"/>
    <n v="40"/>
    <d v="2024-07-09T00:00:00"/>
    <x v="1"/>
    <x v="7"/>
    <x v="1"/>
  </r>
  <r>
    <n v="1556"/>
    <n v="49488"/>
    <s v="Craig Jones"/>
    <x v="4"/>
    <x v="1"/>
    <x v="1"/>
    <d v="2024-08-28T00:00:00"/>
    <n v="1"/>
    <x v="1"/>
    <x v="3"/>
    <n v="4"/>
    <n v="3"/>
    <n v="5"/>
    <n v="5"/>
    <n v="5"/>
    <x v="2"/>
    <n v="2"/>
    <n v="3"/>
    <n v="2"/>
    <n v="5"/>
    <x v="1"/>
    <s v="Feedback Form"/>
    <s v="Will visit again"/>
    <x v="2"/>
    <n v="50"/>
    <d v="2024-08-28T00:00:00"/>
    <x v="1"/>
    <x v="11"/>
    <x v="0"/>
  </r>
  <r>
    <n v="1557"/>
    <n v="63172"/>
    <s v="Derek Ramirez"/>
    <x v="1"/>
    <x v="1"/>
    <x v="481"/>
    <d v="2024-10-15T00:00:00"/>
    <n v="2"/>
    <x v="1"/>
    <x v="4"/>
    <n v="1"/>
    <n v="4"/>
    <n v="2"/>
    <n v="5"/>
    <n v="1"/>
    <x v="2"/>
    <n v="2"/>
    <n v="5"/>
    <n v="1"/>
    <n v="2"/>
    <x v="0"/>
    <s v="In-person"/>
    <s v="Poor service"/>
    <x v="0"/>
    <n v="34"/>
    <d v="2024-10-15T00:00:00"/>
    <x v="3"/>
    <x v="14"/>
    <x v="1"/>
  </r>
  <r>
    <n v="1558"/>
    <n v="92803"/>
    <s v="Michael Sosa"/>
    <x v="4"/>
    <x v="0"/>
    <x v="56"/>
    <d v="2023-07-22T00:00:00"/>
    <n v="9"/>
    <x v="3"/>
    <x v="0"/>
    <n v="5"/>
    <n v="5"/>
    <n v="4"/>
    <n v="1"/>
    <n v="3"/>
    <x v="3"/>
    <n v="5"/>
    <n v="1"/>
    <n v="2"/>
    <n v="4"/>
    <x v="1"/>
    <s v="Feedback Form"/>
    <s v="Poor service"/>
    <x v="2"/>
    <n v="19"/>
    <d v="2024-10-19T00:00:00"/>
    <x v="0"/>
    <x v="13"/>
    <x v="0"/>
  </r>
  <r>
    <n v="1559"/>
    <n v="11172"/>
    <s v="Gary Baker"/>
    <x v="2"/>
    <x v="2"/>
    <x v="521"/>
    <d v="2024-07-21T00:00:00"/>
    <n v="5"/>
    <x v="0"/>
    <x v="3"/>
    <n v="1"/>
    <n v="4"/>
    <n v="1"/>
    <n v="3"/>
    <n v="1"/>
    <x v="0"/>
    <n v="3"/>
    <n v="3"/>
    <n v="1"/>
    <n v="2"/>
    <x v="1"/>
    <s v="In-person"/>
    <s v="Poor service"/>
    <x v="0"/>
    <n v="48"/>
    <d v="2024-10-17T00:00:00"/>
    <x v="1"/>
    <x v="19"/>
    <x v="1"/>
  </r>
  <r>
    <n v="1560"/>
    <n v="49806"/>
    <s v="Jared Jones"/>
    <x v="1"/>
    <x v="2"/>
    <x v="17"/>
    <d v="2025-01-06T00:00:00"/>
    <n v="4"/>
    <x v="0"/>
    <x v="0"/>
    <n v="2"/>
    <n v="5"/>
    <n v="3"/>
    <n v="2"/>
    <n v="3"/>
    <x v="1"/>
    <n v="4"/>
    <n v="5"/>
    <n v="2"/>
    <n v="5"/>
    <x v="1"/>
    <s v="Online Survey"/>
    <s v="Great stay"/>
    <x v="1"/>
    <n v="48"/>
    <d v="2025-01-06T00:00:00"/>
    <x v="1"/>
    <x v="11"/>
    <x v="0"/>
  </r>
  <r>
    <n v="1561"/>
    <n v="97515"/>
    <s v="Kendra Bauer"/>
    <x v="3"/>
    <x v="3"/>
    <x v="508"/>
    <d v="2024-01-28T00:00:00"/>
    <n v="2"/>
    <x v="2"/>
    <x v="4"/>
    <n v="1"/>
    <n v="4"/>
    <n v="3"/>
    <n v="2"/>
    <n v="1"/>
    <x v="3"/>
    <n v="1"/>
    <n v="3"/>
    <n v="3"/>
    <n v="5"/>
    <x v="0"/>
    <s v="Online Survey"/>
    <s v="Needs improvement"/>
    <x v="0"/>
    <n v="33"/>
    <d v="2024-09-07T00:00:00"/>
    <x v="3"/>
    <x v="5"/>
    <x v="1"/>
  </r>
  <r>
    <n v="1562"/>
    <n v="63826"/>
    <s v="Nancy Porter"/>
    <x v="2"/>
    <x v="3"/>
    <x v="637"/>
    <d v="2024-07-03T00:00:00"/>
    <n v="3"/>
    <x v="2"/>
    <x v="0"/>
    <n v="5"/>
    <n v="5"/>
    <n v="5"/>
    <n v="4"/>
    <n v="5"/>
    <x v="0"/>
    <n v="3"/>
    <n v="4"/>
    <n v="3"/>
    <n v="4"/>
    <x v="0"/>
    <s v="Online Survey"/>
    <s v="Needs improvement"/>
    <x v="2"/>
    <n v="54"/>
    <d v="2024-07-03T00:00:00"/>
    <x v="2"/>
    <x v="23"/>
    <x v="2"/>
  </r>
  <r>
    <n v="1563"/>
    <n v="90221"/>
    <s v="Kristy Mcknight"/>
    <x v="4"/>
    <x v="3"/>
    <x v="132"/>
    <d v="2024-08-16T00:00:00"/>
    <n v="9"/>
    <x v="0"/>
    <x v="4"/>
    <n v="2"/>
    <n v="5"/>
    <n v="3"/>
    <n v="4"/>
    <n v="5"/>
    <x v="1"/>
    <n v="4"/>
    <n v="3"/>
    <n v="3"/>
    <n v="2"/>
    <x v="1"/>
    <s v="Feedback Form"/>
    <s v="Needs improvement"/>
    <x v="1"/>
    <n v="54"/>
    <d v="2024-08-16T00:00:00"/>
    <x v="2"/>
    <x v="11"/>
    <x v="0"/>
  </r>
  <r>
    <n v="1564"/>
    <n v="38544"/>
    <s v="Christopher Griffith"/>
    <x v="1"/>
    <x v="4"/>
    <x v="326"/>
    <d v="2024-02-16T00:00:00"/>
    <n v="14"/>
    <x v="1"/>
    <x v="1"/>
    <n v="4"/>
    <n v="1"/>
    <n v="2"/>
    <n v="3"/>
    <n v="4"/>
    <x v="2"/>
    <n v="3"/>
    <n v="3"/>
    <n v="3"/>
    <n v="1"/>
    <x v="0"/>
    <s v="App Review"/>
    <s v="Great stay"/>
    <x v="1"/>
    <n v="24"/>
    <d v="2024-09-07T00:00:00"/>
    <x v="0"/>
    <x v="7"/>
    <x v="1"/>
  </r>
  <r>
    <n v="1565"/>
    <n v="36738"/>
    <s v="Kristine Lewis"/>
    <x v="2"/>
    <x v="3"/>
    <x v="568"/>
    <d v="2024-04-18T00:00:00"/>
    <n v="13"/>
    <x v="1"/>
    <x v="4"/>
    <n v="2"/>
    <n v="1"/>
    <n v="3"/>
    <n v="1"/>
    <n v="2"/>
    <x v="4"/>
    <n v="4"/>
    <n v="5"/>
    <n v="1"/>
    <n v="1"/>
    <x v="0"/>
    <s v="In-person"/>
    <s v="Needs improvement"/>
    <x v="1"/>
    <n v="53"/>
    <d v="2024-04-18T00:00:00"/>
    <x v="2"/>
    <x v="17"/>
    <x v="1"/>
  </r>
  <r>
    <n v="1566"/>
    <n v="53635"/>
    <s v="Cynthia Cook"/>
    <x v="2"/>
    <x v="3"/>
    <x v="459"/>
    <d v="2024-11-01T00:00:00"/>
    <n v="13"/>
    <x v="2"/>
    <x v="1"/>
    <n v="3"/>
    <n v="3"/>
    <n v="4"/>
    <n v="5"/>
    <n v="5"/>
    <x v="1"/>
    <n v="4"/>
    <n v="3"/>
    <n v="5"/>
    <n v="4"/>
    <x v="1"/>
    <s v="App Review"/>
    <s v="Average"/>
    <x v="2"/>
    <n v="18"/>
    <d v="2024-12-10T00:00:00"/>
    <x v="0"/>
    <x v="23"/>
    <x v="2"/>
  </r>
  <r>
    <n v="1567"/>
    <n v="36670"/>
    <s v="Luis Leach"/>
    <x v="4"/>
    <x v="3"/>
    <x v="329"/>
    <d v="2023-08-11T00:00:00"/>
    <n v="14"/>
    <x v="1"/>
    <x v="0"/>
    <n v="5"/>
    <n v="4"/>
    <n v="2"/>
    <n v="4"/>
    <n v="3"/>
    <x v="4"/>
    <n v="3"/>
    <n v="5"/>
    <n v="2"/>
    <n v="2"/>
    <x v="1"/>
    <s v="App Review"/>
    <s v="Great stay"/>
    <x v="0"/>
    <n v="47"/>
    <d v="2023-08-28T00:00:00"/>
    <x v="1"/>
    <x v="0"/>
    <x v="0"/>
  </r>
  <r>
    <n v="1568"/>
    <n v="69665"/>
    <s v="Guy Simpson"/>
    <x v="4"/>
    <x v="0"/>
    <x v="432"/>
    <d v="2024-01-12T00:00:00"/>
    <n v="3"/>
    <x v="3"/>
    <x v="4"/>
    <n v="3"/>
    <n v="5"/>
    <n v="3"/>
    <n v="1"/>
    <n v="4"/>
    <x v="0"/>
    <n v="2"/>
    <n v="1"/>
    <n v="2"/>
    <n v="4"/>
    <x v="1"/>
    <s v="App Review"/>
    <s v="Great stay"/>
    <x v="2"/>
    <n v="35"/>
    <d v="2024-02-01T00:00:00"/>
    <x v="3"/>
    <x v="3"/>
    <x v="1"/>
  </r>
  <r>
    <n v="1569"/>
    <n v="34688"/>
    <s v="Brenda Watson"/>
    <x v="3"/>
    <x v="3"/>
    <x v="569"/>
    <d v="2024-02-16T00:00:00"/>
    <n v="8"/>
    <x v="1"/>
    <x v="1"/>
    <n v="3"/>
    <n v="1"/>
    <n v="2"/>
    <n v="2"/>
    <n v="3"/>
    <x v="3"/>
    <n v="4"/>
    <n v="5"/>
    <n v="5"/>
    <n v="1"/>
    <x v="0"/>
    <s v="Email"/>
    <s v="Will visit again"/>
    <x v="0"/>
    <n v="59"/>
    <d v="2024-04-24T00:00:00"/>
    <x v="2"/>
    <x v="2"/>
    <x v="0"/>
  </r>
  <r>
    <n v="1570"/>
    <n v="65840"/>
    <s v="Carrie Ruiz"/>
    <x v="3"/>
    <x v="2"/>
    <x v="477"/>
    <d v="2024-02-18T00:00:00"/>
    <n v="12"/>
    <x v="1"/>
    <x v="4"/>
    <n v="2"/>
    <n v="3"/>
    <n v="5"/>
    <n v="3"/>
    <n v="1"/>
    <x v="3"/>
    <n v="5"/>
    <n v="1"/>
    <n v="2"/>
    <n v="5"/>
    <x v="0"/>
    <s v="In-person"/>
    <s v="Poor service"/>
    <x v="1"/>
    <n v="56"/>
    <d v="2024-07-15T00:00:00"/>
    <x v="2"/>
    <x v="0"/>
    <x v="0"/>
  </r>
  <r>
    <n v="1571"/>
    <n v="82078"/>
    <s v="Ryan Lopez"/>
    <x v="2"/>
    <x v="0"/>
    <x v="638"/>
    <d v="2024-07-19T00:00:00"/>
    <n v="1"/>
    <x v="1"/>
    <x v="2"/>
    <n v="2"/>
    <n v="3"/>
    <n v="4"/>
    <n v="5"/>
    <n v="2"/>
    <x v="4"/>
    <n v="3"/>
    <n v="3"/>
    <n v="2"/>
    <n v="4"/>
    <x v="0"/>
    <s v="Email"/>
    <s v="Will visit again"/>
    <x v="0"/>
    <n v="43"/>
    <d v="2024-07-19T00:00:00"/>
    <x v="1"/>
    <x v="4"/>
    <x v="1"/>
  </r>
  <r>
    <n v="1572"/>
    <n v="36939"/>
    <s v="Bethany Rodriguez"/>
    <x v="4"/>
    <x v="1"/>
    <x v="10"/>
    <d v="2024-07-18T00:00:00"/>
    <n v="12"/>
    <x v="2"/>
    <x v="2"/>
    <n v="3"/>
    <n v="3"/>
    <n v="1"/>
    <n v="5"/>
    <n v="5"/>
    <x v="1"/>
    <n v="2"/>
    <n v="1"/>
    <n v="3"/>
    <n v="1"/>
    <x v="0"/>
    <s v="In-person"/>
    <s v="Needs improvement"/>
    <x v="1"/>
    <n v="28"/>
    <d v="2024-10-08T00:00:00"/>
    <x v="3"/>
    <x v="4"/>
    <x v="1"/>
  </r>
  <r>
    <n v="1573"/>
    <n v="62385"/>
    <s v="Edward Garcia"/>
    <x v="2"/>
    <x v="4"/>
    <x v="399"/>
    <d v="2023-12-09T00:00:00"/>
    <n v="5"/>
    <x v="1"/>
    <x v="0"/>
    <n v="4"/>
    <n v="1"/>
    <n v="2"/>
    <n v="4"/>
    <n v="1"/>
    <x v="1"/>
    <n v="1"/>
    <n v="2"/>
    <n v="2"/>
    <n v="5"/>
    <x v="1"/>
    <s v="Email"/>
    <s v="Great stay"/>
    <x v="1"/>
    <n v="18"/>
    <d v="2023-12-09T00:00:00"/>
    <x v="0"/>
    <x v="5"/>
    <x v="1"/>
  </r>
  <r>
    <n v="1574"/>
    <n v="91301"/>
    <s v="Amy Roberts"/>
    <x v="0"/>
    <x v="0"/>
    <x v="459"/>
    <d v="2023-03-09T00:00:00"/>
    <n v="2"/>
    <x v="0"/>
    <x v="2"/>
    <n v="1"/>
    <n v="2"/>
    <n v="4"/>
    <n v="1"/>
    <n v="4"/>
    <x v="0"/>
    <n v="4"/>
    <n v="2"/>
    <n v="2"/>
    <n v="4"/>
    <x v="1"/>
    <s v="In-person"/>
    <s v="Great stay"/>
    <x v="1"/>
    <n v="55"/>
    <d v="2023-06-17T00:00:00"/>
    <x v="2"/>
    <x v="5"/>
    <x v="1"/>
  </r>
  <r>
    <n v="1575"/>
    <n v="10143"/>
    <s v="Jay Garza"/>
    <x v="4"/>
    <x v="0"/>
    <x v="363"/>
    <d v="2024-08-30T00:00:00"/>
    <n v="4"/>
    <x v="2"/>
    <x v="3"/>
    <n v="1"/>
    <n v="3"/>
    <n v="5"/>
    <n v="5"/>
    <n v="3"/>
    <x v="3"/>
    <n v="4"/>
    <n v="5"/>
    <n v="4"/>
    <n v="4"/>
    <x v="0"/>
    <s v="Online Survey"/>
    <s v="Needs improvement"/>
    <x v="1"/>
    <n v="22"/>
    <d v="2024-08-30T00:00:00"/>
    <x v="0"/>
    <x v="21"/>
    <x v="0"/>
  </r>
  <r>
    <n v="1576"/>
    <n v="62839"/>
    <s v="Sherri Clark"/>
    <x v="0"/>
    <x v="2"/>
    <x v="415"/>
    <d v="2024-11-24T00:00:00"/>
    <n v="2"/>
    <x v="1"/>
    <x v="1"/>
    <n v="5"/>
    <n v="2"/>
    <n v="5"/>
    <n v="2"/>
    <n v="2"/>
    <x v="4"/>
    <n v="5"/>
    <n v="4"/>
    <n v="2"/>
    <n v="1"/>
    <x v="1"/>
    <s v="App Review"/>
    <s v="Poor service"/>
    <x v="2"/>
    <n v="39"/>
    <d v="2024-11-24T00:00:00"/>
    <x v="1"/>
    <x v="4"/>
    <x v="1"/>
  </r>
  <r>
    <n v="1577"/>
    <n v="81337"/>
    <s v="Anthony Baker"/>
    <x v="0"/>
    <x v="3"/>
    <x v="631"/>
    <d v="2023-07-26T00:00:00"/>
    <n v="3"/>
    <x v="1"/>
    <x v="3"/>
    <n v="2"/>
    <n v="2"/>
    <n v="4"/>
    <n v="2"/>
    <n v="5"/>
    <x v="2"/>
    <n v="2"/>
    <n v="3"/>
    <n v="5"/>
    <n v="1"/>
    <x v="1"/>
    <s v="Feedback Form"/>
    <s v="Will visit again"/>
    <x v="0"/>
    <n v="30"/>
    <d v="2024-07-02T00:00:00"/>
    <x v="3"/>
    <x v="3"/>
    <x v="1"/>
  </r>
  <r>
    <n v="1578"/>
    <n v="37151"/>
    <s v="Anthony Baker"/>
    <x v="4"/>
    <x v="1"/>
    <x v="380"/>
    <d v="2023-12-08T00:00:00"/>
    <n v="5"/>
    <x v="3"/>
    <x v="2"/>
    <n v="1"/>
    <n v="2"/>
    <n v="3"/>
    <n v="3"/>
    <n v="3"/>
    <x v="3"/>
    <n v="4"/>
    <n v="2"/>
    <n v="2"/>
    <n v="5"/>
    <x v="1"/>
    <s v="App Review"/>
    <s v="Poor service"/>
    <x v="2"/>
    <n v="34"/>
    <d v="2024-09-16T00:00:00"/>
    <x v="3"/>
    <x v="4"/>
    <x v="1"/>
  </r>
  <r>
    <n v="1579"/>
    <n v="97172"/>
    <s v="Richard Moreno"/>
    <x v="3"/>
    <x v="2"/>
    <x v="411"/>
    <d v="2024-06-16T00:00:00"/>
    <n v="2"/>
    <x v="1"/>
    <x v="0"/>
    <n v="4"/>
    <n v="3"/>
    <n v="4"/>
    <n v="3"/>
    <n v="5"/>
    <x v="3"/>
    <n v="2"/>
    <n v="4"/>
    <n v="5"/>
    <n v="3"/>
    <x v="0"/>
    <s v="In-person"/>
    <s v="Needs improvement"/>
    <x v="1"/>
    <n v="67"/>
    <d v="2024-08-09T00:00:00"/>
    <x v="2"/>
    <x v="16"/>
    <x v="0"/>
  </r>
  <r>
    <n v="1580"/>
    <n v="64770"/>
    <s v="Chad Bailey"/>
    <x v="2"/>
    <x v="2"/>
    <x v="402"/>
    <d v="2024-03-02T00:00:00"/>
    <n v="9"/>
    <x v="2"/>
    <x v="3"/>
    <n v="5"/>
    <n v="5"/>
    <n v="3"/>
    <n v="2"/>
    <n v="5"/>
    <x v="0"/>
    <n v="4"/>
    <n v="5"/>
    <n v="2"/>
    <n v="5"/>
    <x v="1"/>
    <s v="Feedback Form"/>
    <s v="Will visit again"/>
    <x v="0"/>
    <n v="24"/>
    <d v="2024-03-02T00:00:00"/>
    <x v="0"/>
    <x v="20"/>
    <x v="0"/>
  </r>
  <r>
    <n v="1581"/>
    <n v="96405"/>
    <s v="Mr. Joshua Cain"/>
    <x v="1"/>
    <x v="0"/>
    <x v="622"/>
    <d v="2023-12-25T00:00:00"/>
    <n v="8"/>
    <x v="1"/>
    <x v="0"/>
    <n v="2"/>
    <n v="2"/>
    <n v="3"/>
    <n v="2"/>
    <n v="3"/>
    <x v="3"/>
    <n v="1"/>
    <n v="1"/>
    <n v="5"/>
    <n v="4"/>
    <x v="1"/>
    <s v="App Review"/>
    <s v="Will visit again"/>
    <x v="0"/>
    <n v="55"/>
    <d v="2024-07-15T00:00:00"/>
    <x v="2"/>
    <x v="5"/>
    <x v="1"/>
  </r>
  <r>
    <n v="1582"/>
    <n v="82873"/>
    <s v="Joshua Skinner"/>
    <x v="1"/>
    <x v="1"/>
    <x v="452"/>
    <d v="2024-05-29T00:00:00"/>
    <n v="5"/>
    <x v="2"/>
    <x v="4"/>
    <n v="1"/>
    <n v="1"/>
    <n v="4"/>
    <n v="1"/>
    <n v="5"/>
    <x v="0"/>
    <n v="5"/>
    <n v="3"/>
    <n v="2"/>
    <n v="4"/>
    <x v="0"/>
    <s v="In-person"/>
    <s v="Poor service"/>
    <x v="0"/>
    <n v="24"/>
    <d v="2024-05-29T00:00:00"/>
    <x v="0"/>
    <x v="4"/>
    <x v="1"/>
  </r>
  <r>
    <n v="1583"/>
    <n v="34535"/>
    <s v="Allison Welch"/>
    <x v="4"/>
    <x v="2"/>
    <x v="25"/>
    <d v="2024-10-03T00:00:00"/>
    <n v="11"/>
    <x v="0"/>
    <x v="3"/>
    <n v="3"/>
    <n v="1"/>
    <n v="5"/>
    <n v="5"/>
    <n v="4"/>
    <x v="0"/>
    <n v="1"/>
    <n v="1"/>
    <n v="2"/>
    <n v="4"/>
    <x v="1"/>
    <s v="App Review"/>
    <s v="Poor service"/>
    <x v="2"/>
    <n v="29"/>
    <d v="2024-10-03T00:00:00"/>
    <x v="3"/>
    <x v="4"/>
    <x v="1"/>
  </r>
  <r>
    <n v="1584"/>
    <n v="52980"/>
    <s v="Holly Anderson"/>
    <x v="3"/>
    <x v="4"/>
    <x v="639"/>
    <d v="2024-01-12T00:00:00"/>
    <n v="1"/>
    <x v="1"/>
    <x v="4"/>
    <n v="4"/>
    <n v="2"/>
    <n v="1"/>
    <n v="1"/>
    <n v="2"/>
    <x v="2"/>
    <n v="1"/>
    <n v="3"/>
    <n v="4"/>
    <n v="1"/>
    <x v="1"/>
    <s v="In-person"/>
    <s v="Great stay"/>
    <x v="0"/>
    <n v="55"/>
    <d v="2024-08-23T00:00:00"/>
    <x v="2"/>
    <x v="17"/>
    <x v="1"/>
  </r>
  <r>
    <n v="1585"/>
    <n v="72623"/>
    <s v="Jeff Cruz"/>
    <x v="3"/>
    <x v="4"/>
    <x v="109"/>
    <d v="2024-11-07T00:00:00"/>
    <n v="5"/>
    <x v="2"/>
    <x v="3"/>
    <n v="4"/>
    <n v="2"/>
    <n v="1"/>
    <n v="3"/>
    <n v="1"/>
    <x v="1"/>
    <n v="3"/>
    <n v="2"/>
    <n v="4"/>
    <n v="4"/>
    <x v="0"/>
    <s v="Email"/>
    <s v="Great stay"/>
    <x v="0"/>
    <n v="40"/>
    <d v="2024-11-07T00:00:00"/>
    <x v="1"/>
    <x v="4"/>
    <x v="1"/>
  </r>
  <r>
    <n v="1586"/>
    <n v="18116"/>
    <s v="Kevin Smith"/>
    <x v="3"/>
    <x v="2"/>
    <x v="31"/>
    <d v="2023-11-02T00:00:00"/>
    <n v="4"/>
    <x v="0"/>
    <x v="1"/>
    <n v="2"/>
    <n v="2"/>
    <n v="4"/>
    <n v="3"/>
    <n v="2"/>
    <x v="3"/>
    <n v="1"/>
    <n v="4"/>
    <n v="2"/>
    <n v="4"/>
    <x v="1"/>
    <s v="Email"/>
    <s v="Poor service"/>
    <x v="0"/>
    <n v="65"/>
    <d v="2024-04-24T00:00:00"/>
    <x v="2"/>
    <x v="3"/>
    <x v="1"/>
  </r>
  <r>
    <n v="1587"/>
    <n v="95650"/>
    <s v="Sarah Fields"/>
    <x v="1"/>
    <x v="0"/>
    <x v="552"/>
    <d v="2024-01-05T00:00:00"/>
    <n v="14"/>
    <x v="2"/>
    <x v="0"/>
    <n v="4"/>
    <n v="1"/>
    <n v="2"/>
    <n v="3"/>
    <n v="1"/>
    <x v="0"/>
    <n v="5"/>
    <n v="5"/>
    <n v="4"/>
    <n v="5"/>
    <x v="1"/>
    <s v="Online Survey"/>
    <s v="Needs improvement"/>
    <x v="0"/>
    <n v="25"/>
    <d v="2024-01-05T00:00:00"/>
    <x v="0"/>
    <x v="1"/>
    <x v="0"/>
  </r>
  <r>
    <n v="1588"/>
    <n v="68092"/>
    <s v="Patrick Ortiz"/>
    <x v="0"/>
    <x v="4"/>
    <x v="233"/>
    <d v="2023-06-28T00:00:00"/>
    <n v="13"/>
    <x v="1"/>
    <x v="4"/>
    <n v="2"/>
    <n v="4"/>
    <n v="4"/>
    <n v="5"/>
    <n v="4"/>
    <x v="0"/>
    <n v="5"/>
    <n v="3"/>
    <n v="1"/>
    <n v="1"/>
    <x v="0"/>
    <s v="Feedback Form"/>
    <s v="Poor service"/>
    <x v="1"/>
    <n v="32"/>
    <d v="2024-02-08T00:00:00"/>
    <x v="3"/>
    <x v="10"/>
    <x v="0"/>
  </r>
  <r>
    <n v="1589"/>
    <n v="57515"/>
    <s v="Wendy Hughes"/>
    <x v="1"/>
    <x v="0"/>
    <x v="571"/>
    <d v="2023-08-24T00:00:00"/>
    <n v="9"/>
    <x v="2"/>
    <x v="2"/>
    <n v="4"/>
    <n v="5"/>
    <n v="1"/>
    <n v="4"/>
    <n v="2"/>
    <x v="1"/>
    <n v="4"/>
    <n v="2"/>
    <n v="1"/>
    <n v="5"/>
    <x v="1"/>
    <s v="Email"/>
    <s v="Great stay"/>
    <x v="0"/>
    <n v="47"/>
    <d v="2023-08-24T00:00:00"/>
    <x v="1"/>
    <x v="1"/>
    <x v="0"/>
  </r>
  <r>
    <n v="1590"/>
    <n v="23998"/>
    <s v="Mark Thomas"/>
    <x v="3"/>
    <x v="3"/>
    <x v="640"/>
    <d v="2024-01-13T00:00:00"/>
    <n v="2"/>
    <x v="1"/>
    <x v="3"/>
    <n v="1"/>
    <n v="4"/>
    <n v="4"/>
    <n v="3"/>
    <n v="4"/>
    <x v="1"/>
    <n v="1"/>
    <n v="5"/>
    <n v="3"/>
    <n v="3"/>
    <x v="1"/>
    <s v="In-person"/>
    <s v="Will visit again"/>
    <x v="1"/>
    <n v="26"/>
    <d v="2024-07-26T00:00:00"/>
    <x v="3"/>
    <x v="1"/>
    <x v="0"/>
  </r>
  <r>
    <n v="1591"/>
    <n v="40279"/>
    <s v="Brandon Ray"/>
    <x v="1"/>
    <x v="3"/>
    <x v="412"/>
    <d v="2023-10-15T00:00:00"/>
    <n v="7"/>
    <x v="2"/>
    <x v="4"/>
    <n v="2"/>
    <n v="1"/>
    <n v="5"/>
    <n v="3"/>
    <n v="3"/>
    <x v="0"/>
    <n v="2"/>
    <n v="3"/>
    <n v="3"/>
    <n v="5"/>
    <x v="0"/>
    <s v="App Review"/>
    <s v="Needs improvement"/>
    <x v="0"/>
    <n v="62"/>
    <d v="2023-10-27T00:00:00"/>
    <x v="2"/>
    <x v="2"/>
    <x v="0"/>
  </r>
  <r>
    <n v="1592"/>
    <n v="75150"/>
    <s v="Clinton Barber"/>
    <x v="1"/>
    <x v="0"/>
    <x v="616"/>
    <d v="2024-11-15T00:00:00"/>
    <n v="2"/>
    <x v="0"/>
    <x v="3"/>
    <n v="4"/>
    <n v="1"/>
    <n v="1"/>
    <n v="1"/>
    <n v="1"/>
    <x v="3"/>
    <n v="3"/>
    <n v="2"/>
    <n v="1"/>
    <n v="5"/>
    <x v="0"/>
    <s v="Online Survey"/>
    <s v="Great stay"/>
    <x v="0"/>
    <n v="38"/>
    <d v="2024-11-15T00:00:00"/>
    <x v="1"/>
    <x v="9"/>
    <x v="1"/>
  </r>
  <r>
    <n v="1593"/>
    <n v="62096"/>
    <s v="Gregory Ware"/>
    <x v="2"/>
    <x v="2"/>
    <x v="562"/>
    <d v="2024-04-12T00:00:00"/>
    <n v="13"/>
    <x v="1"/>
    <x v="3"/>
    <n v="1"/>
    <n v="3"/>
    <n v="1"/>
    <n v="1"/>
    <n v="3"/>
    <x v="3"/>
    <n v="3"/>
    <n v="5"/>
    <n v="3"/>
    <n v="3"/>
    <x v="0"/>
    <s v="App Review"/>
    <s v="Needs improvement"/>
    <x v="2"/>
    <n v="61"/>
    <d v="2024-04-12T00:00:00"/>
    <x v="2"/>
    <x v="5"/>
    <x v="1"/>
  </r>
  <r>
    <n v="1594"/>
    <n v="63955"/>
    <s v="Mitchell Price"/>
    <x v="4"/>
    <x v="3"/>
    <x v="641"/>
    <d v="2024-10-18T00:00:00"/>
    <n v="13"/>
    <x v="0"/>
    <x v="3"/>
    <n v="1"/>
    <n v="4"/>
    <n v="1"/>
    <n v="4"/>
    <n v="3"/>
    <x v="3"/>
    <n v="3"/>
    <n v="1"/>
    <n v="2"/>
    <n v="5"/>
    <x v="0"/>
    <s v="App Review"/>
    <s v="Needs improvement"/>
    <x v="2"/>
    <n v="31"/>
    <d v="2024-10-18T00:00:00"/>
    <x v="3"/>
    <x v="3"/>
    <x v="1"/>
  </r>
  <r>
    <n v="1595"/>
    <n v="60360"/>
    <s v="Misty Dudley"/>
    <x v="0"/>
    <x v="3"/>
    <x v="300"/>
    <d v="2024-05-18T00:00:00"/>
    <n v="11"/>
    <x v="1"/>
    <x v="4"/>
    <n v="1"/>
    <n v="2"/>
    <n v="5"/>
    <n v="4"/>
    <n v="2"/>
    <x v="1"/>
    <n v="5"/>
    <n v="4"/>
    <n v="2"/>
    <n v="4"/>
    <x v="0"/>
    <s v="Feedback Form"/>
    <s v="Will visit again"/>
    <x v="2"/>
    <n v="25"/>
    <d v="2024-05-18T00:00:00"/>
    <x v="0"/>
    <x v="13"/>
    <x v="0"/>
  </r>
  <r>
    <n v="1596"/>
    <n v="62885"/>
    <s v="Melissa Stewart"/>
    <x v="2"/>
    <x v="4"/>
    <x v="504"/>
    <d v="2024-08-07T00:00:00"/>
    <n v="12"/>
    <x v="2"/>
    <x v="4"/>
    <n v="2"/>
    <n v="2"/>
    <n v="1"/>
    <n v="4"/>
    <n v="5"/>
    <x v="3"/>
    <n v="5"/>
    <n v="4"/>
    <n v="3"/>
    <n v="4"/>
    <x v="0"/>
    <s v="App Review"/>
    <s v="Great stay"/>
    <x v="0"/>
    <n v="64"/>
    <d v="2024-08-07T00:00:00"/>
    <x v="2"/>
    <x v="13"/>
    <x v="0"/>
  </r>
  <r>
    <n v="1597"/>
    <n v="24905"/>
    <s v="Eric Thornton"/>
    <x v="4"/>
    <x v="2"/>
    <x v="433"/>
    <d v="2024-06-26T00:00:00"/>
    <n v="3"/>
    <x v="0"/>
    <x v="3"/>
    <n v="2"/>
    <n v="1"/>
    <n v="2"/>
    <n v="4"/>
    <n v="5"/>
    <x v="3"/>
    <n v="4"/>
    <n v="1"/>
    <n v="1"/>
    <n v="2"/>
    <x v="0"/>
    <s v="Feedback Form"/>
    <s v="Poor service"/>
    <x v="1"/>
    <n v="53"/>
    <d v="2024-08-27T00:00:00"/>
    <x v="2"/>
    <x v="7"/>
    <x v="1"/>
  </r>
  <r>
    <n v="1598"/>
    <n v="73706"/>
    <s v="Paula Roberts"/>
    <x v="3"/>
    <x v="0"/>
    <x v="397"/>
    <d v="2024-11-13T00:00:00"/>
    <n v="14"/>
    <x v="1"/>
    <x v="2"/>
    <n v="4"/>
    <n v="3"/>
    <n v="1"/>
    <n v="1"/>
    <n v="4"/>
    <x v="3"/>
    <n v="1"/>
    <n v="4"/>
    <n v="5"/>
    <n v="1"/>
    <x v="0"/>
    <s v="In-person"/>
    <s v="Needs improvement"/>
    <x v="2"/>
    <n v="26"/>
    <d v="2024-11-23T00:00:00"/>
    <x v="3"/>
    <x v="3"/>
    <x v="1"/>
  </r>
  <r>
    <n v="1599"/>
    <n v="22300"/>
    <s v="Tamara Williams"/>
    <x v="2"/>
    <x v="3"/>
    <x v="277"/>
    <d v="2024-12-26T00:00:00"/>
    <n v="3"/>
    <x v="0"/>
    <x v="0"/>
    <n v="3"/>
    <n v="4"/>
    <n v="4"/>
    <n v="3"/>
    <n v="2"/>
    <x v="1"/>
    <n v="5"/>
    <n v="4"/>
    <n v="2"/>
    <n v="4"/>
    <x v="1"/>
    <s v="App Review"/>
    <s v="Needs improvement"/>
    <x v="2"/>
    <n v="43"/>
    <d v="2024-12-26T00:00:00"/>
    <x v="1"/>
    <x v="11"/>
    <x v="0"/>
  </r>
  <r>
    <n v="1600"/>
    <n v="28202"/>
    <s v="Shannon Thompson"/>
    <x v="4"/>
    <x v="2"/>
    <x v="142"/>
    <d v="2023-11-09T00:00:00"/>
    <n v="10"/>
    <x v="3"/>
    <x v="3"/>
    <n v="3"/>
    <n v="3"/>
    <n v="2"/>
    <n v="1"/>
    <n v="3"/>
    <x v="4"/>
    <n v="3"/>
    <n v="3"/>
    <n v="4"/>
    <n v="1"/>
    <x v="0"/>
    <s v="App Review"/>
    <s v="Will visit again"/>
    <x v="0"/>
    <n v="37"/>
    <d v="2023-11-09T00:00:00"/>
    <x v="1"/>
    <x v="8"/>
    <x v="1"/>
  </r>
  <r>
    <n v="1601"/>
    <n v="79030"/>
    <s v="Bruce Gay"/>
    <x v="2"/>
    <x v="3"/>
    <x v="558"/>
    <d v="2024-08-22T00:00:00"/>
    <n v="8"/>
    <x v="0"/>
    <x v="2"/>
    <n v="5"/>
    <n v="5"/>
    <n v="3"/>
    <n v="2"/>
    <n v="4"/>
    <x v="4"/>
    <n v="5"/>
    <n v="2"/>
    <n v="5"/>
    <n v="5"/>
    <x v="0"/>
    <s v="App Review"/>
    <s v="Great stay"/>
    <x v="2"/>
    <n v="55"/>
    <d v="2024-12-21T00:00:00"/>
    <x v="2"/>
    <x v="16"/>
    <x v="0"/>
  </r>
  <r>
    <n v="1602"/>
    <n v="76021"/>
    <s v="Julie Cruz"/>
    <x v="1"/>
    <x v="4"/>
    <x v="9"/>
    <d v="2023-09-20T00:00:00"/>
    <n v="2"/>
    <x v="1"/>
    <x v="0"/>
    <n v="3"/>
    <n v="3"/>
    <n v="1"/>
    <n v="2"/>
    <n v="3"/>
    <x v="3"/>
    <n v="1"/>
    <n v="1"/>
    <n v="4"/>
    <n v="2"/>
    <x v="1"/>
    <s v="In-person"/>
    <s v="Needs improvement"/>
    <x v="0"/>
    <n v="23"/>
    <d v="2023-09-20T00:00:00"/>
    <x v="0"/>
    <x v="8"/>
    <x v="1"/>
  </r>
  <r>
    <n v="1603"/>
    <n v="94935"/>
    <s v="Susan Harris"/>
    <x v="1"/>
    <x v="2"/>
    <x v="391"/>
    <d v="2024-01-02T00:00:00"/>
    <n v="1"/>
    <x v="2"/>
    <x v="3"/>
    <n v="3"/>
    <n v="5"/>
    <n v="3"/>
    <n v="3"/>
    <n v="4"/>
    <x v="4"/>
    <n v="5"/>
    <n v="2"/>
    <n v="2"/>
    <n v="4"/>
    <x v="0"/>
    <s v="Email"/>
    <s v="Needs improvement"/>
    <x v="1"/>
    <n v="51"/>
    <d v="2024-01-02T00:00:00"/>
    <x v="2"/>
    <x v="10"/>
    <x v="0"/>
  </r>
  <r>
    <n v="1604"/>
    <n v="46247"/>
    <s v="Sarah Lee"/>
    <x v="2"/>
    <x v="1"/>
    <x v="96"/>
    <d v="2024-03-04T00:00:00"/>
    <n v="6"/>
    <x v="3"/>
    <x v="0"/>
    <n v="4"/>
    <n v="4"/>
    <n v="3"/>
    <n v="4"/>
    <n v="1"/>
    <x v="3"/>
    <n v="1"/>
    <n v="4"/>
    <n v="3"/>
    <n v="5"/>
    <x v="0"/>
    <s v="Email"/>
    <s v="Average"/>
    <x v="0"/>
    <n v="40"/>
    <d v="2024-03-04T00:00:00"/>
    <x v="1"/>
    <x v="1"/>
    <x v="0"/>
  </r>
  <r>
    <n v="1605"/>
    <n v="16929"/>
    <s v="Yolanda Tran"/>
    <x v="2"/>
    <x v="4"/>
    <x v="604"/>
    <d v="2024-05-01T00:00:00"/>
    <n v="6"/>
    <x v="3"/>
    <x v="3"/>
    <n v="2"/>
    <n v="2"/>
    <n v="5"/>
    <n v="3"/>
    <n v="4"/>
    <x v="1"/>
    <n v="4"/>
    <n v="2"/>
    <n v="4"/>
    <n v="2"/>
    <x v="0"/>
    <s v="In-person"/>
    <s v="Average"/>
    <x v="1"/>
    <n v="56"/>
    <d v="2024-05-01T00:00:00"/>
    <x v="2"/>
    <x v="1"/>
    <x v="0"/>
  </r>
  <r>
    <n v="1606"/>
    <n v="55174"/>
    <s v="Jamie Wright"/>
    <x v="0"/>
    <x v="0"/>
    <x v="184"/>
    <d v="2023-02-16T00:00:00"/>
    <n v="11"/>
    <x v="3"/>
    <x v="4"/>
    <n v="3"/>
    <n v="5"/>
    <n v="4"/>
    <n v="2"/>
    <n v="4"/>
    <x v="3"/>
    <n v="5"/>
    <n v="5"/>
    <n v="1"/>
    <n v="5"/>
    <x v="0"/>
    <s v="Online Survey"/>
    <s v="Needs improvement"/>
    <x v="1"/>
    <n v="50"/>
    <d v="2023-02-24T00:00:00"/>
    <x v="1"/>
    <x v="21"/>
    <x v="0"/>
  </r>
  <r>
    <n v="1607"/>
    <n v="38603"/>
    <s v="Deborah Jones"/>
    <x v="3"/>
    <x v="2"/>
    <x v="585"/>
    <d v="2023-12-26T00:00:00"/>
    <n v="1"/>
    <x v="0"/>
    <x v="3"/>
    <n v="5"/>
    <n v="2"/>
    <n v="4"/>
    <n v="3"/>
    <n v="3"/>
    <x v="2"/>
    <n v="1"/>
    <n v="1"/>
    <n v="4"/>
    <n v="1"/>
    <x v="1"/>
    <s v="Online Survey"/>
    <s v="Will visit again"/>
    <x v="0"/>
    <n v="38"/>
    <d v="2024-10-10T00:00:00"/>
    <x v="1"/>
    <x v="7"/>
    <x v="1"/>
  </r>
  <r>
    <n v="1608"/>
    <n v="55967"/>
    <s v="Kathleen Thompson"/>
    <x v="1"/>
    <x v="3"/>
    <x v="338"/>
    <d v="2024-10-05T00:00:00"/>
    <n v="5"/>
    <x v="1"/>
    <x v="3"/>
    <n v="4"/>
    <n v="3"/>
    <n v="3"/>
    <n v="4"/>
    <n v="5"/>
    <x v="0"/>
    <n v="1"/>
    <n v="1"/>
    <n v="1"/>
    <n v="5"/>
    <x v="0"/>
    <s v="Feedback Form"/>
    <s v="Poor service"/>
    <x v="0"/>
    <n v="58"/>
    <d v="2024-10-05T00:00:00"/>
    <x v="2"/>
    <x v="2"/>
    <x v="0"/>
  </r>
  <r>
    <n v="1609"/>
    <n v="14937"/>
    <s v="Amy Murphy"/>
    <x v="2"/>
    <x v="2"/>
    <x v="10"/>
    <d v="2024-07-29T00:00:00"/>
    <n v="9"/>
    <x v="0"/>
    <x v="3"/>
    <n v="1"/>
    <n v="3"/>
    <n v="5"/>
    <n v="1"/>
    <n v="3"/>
    <x v="1"/>
    <n v="2"/>
    <n v="1"/>
    <n v="5"/>
    <n v="5"/>
    <x v="0"/>
    <s v="In-person"/>
    <s v="Average"/>
    <x v="1"/>
    <n v="43"/>
    <d v="2024-07-29T00:00:00"/>
    <x v="1"/>
    <x v="0"/>
    <x v="0"/>
  </r>
  <r>
    <n v="1610"/>
    <n v="60175"/>
    <s v="Nicole Stanley"/>
    <x v="4"/>
    <x v="0"/>
    <x v="372"/>
    <d v="2024-03-07T00:00:00"/>
    <n v="10"/>
    <x v="3"/>
    <x v="3"/>
    <n v="1"/>
    <n v="4"/>
    <n v="2"/>
    <n v="4"/>
    <n v="2"/>
    <x v="2"/>
    <n v="4"/>
    <n v="3"/>
    <n v="5"/>
    <n v="5"/>
    <x v="0"/>
    <s v="Online Survey"/>
    <s v="Average"/>
    <x v="2"/>
    <n v="22"/>
    <d v="2024-03-07T00:00:00"/>
    <x v="0"/>
    <x v="10"/>
    <x v="0"/>
  </r>
  <r>
    <n v="1611"/>
    <n v="88610"/>
    <s v="Kim Williams"/>
    <x v="3"/>
    <x v="2"/>
    <x v="538"/>
    <d v="2024-07-10T00:00:00"/>
    <n v="11"/>
    <x v="3"/>
    <x v="2"/>
    <n v="5"/>
    <n v="2"/>
    <n v="1"/>
    <n v="1"/>
    <n v="3"/>
    <x v="2"/>
    <n v="5"/>
    <n v="2"/>
    <n v="3"/>
    <n v="2"/>
    <x v="0"/>
    <s v="Feedback Form"/>
    <s v="Great stay"/>
    <x v="0"/>
    <n v="26"/>
    <d v="2024-07-10T00:00:00"/>
    <x v="3"/>
    <x v="7"/>
    <x v="1"/>
  </r>
  <r>
    <n v="1612"/>
    <n v="75772"/>
    <s v="James Ferguson"/>
    <x v="4"/>
    <x v="3"/>
    <x v="59"/>
    <d v="2023-09-09T00:00:00"/>
    <n v="10"/>
    <x v="3"/>
    <x v="1"/>
    <n v="2"/>
    <n v="4"/>
    <n v="2"/>
    <n v="2"/>
    <n v="5"/>
    <x v="0"/>
    <n v="2"/>
    <n v="2"/>
    <n v="1"/>
    <n v="5"/>
    <x v="1"/>
    <s v="App Review"/>
    <s v="Poor service"/>
    <x v="0"/>
    <n v="62"/>
    <d v="2024-09-29T00:00:00"/>
    <x v="2"/>
    <x v="3"/>
    <x v="1"/>
  </r>
  <r>
    <n v="1613"/>
    <n v="33070"/>
    <s v="Dakota Hamilton"/>
    <x v="3"/>
    <x v="4"/>
    <x v="428"/>
    <d v="2024-03-09T00:00:00"/>
    <n v="5"/>
    <x v="0"/>
    <x v="2"/>
    <n v="1"/>
    <n v="5"/>
    <n v="1"/>
    <n v="5"/>
    <n v="2"/>
    <x v="2"/>
    <n v="5"/>
    <n v="3"/>
    <n v="3"/>
    <n v="2"/>
    <x v="0"/>
    <s v="App Review"/>
    <s v="Average"/>
    <x v="0"/>
    <n v="50"/>
    <d v="2024-03-09T00:00:00"/>
    <x v="1"/>
    <x v="4"/>
    <x v="1"/>
  </r>
  <r>
    <n v="1614"/>
    <n v="21476"/>
    <s v="Carl Smith"/>
    <x v="4"/>
    <x v="4"/>
    <x v="15"/>
    <d v="2024-01-06T00:00:00"/>
    <n v="12"/>
    <x v="3"/>
    <x v="2"/>
    <n v="2"/>
    <n v="3"/>
    <n v="3"/>
    <n v="3"/>
    <n v="5"/>
    <x v="0"/>
    <n v="3"/>
    <n v="1"/>
    <n v="4"/>
    <n v="2"/>
    <x v="1"/>
    <s v="Online Survey"/>
    <s v="Poor service"/>
    <x v="1"/>
    <n v="42"/>
    <d v="2024-01-06T00:00:00"/>
    <x v="1"/>
    <x v="4"/>
    <x v="1"/>
  </r>
  <r>
    <n v="1615"/>
    <n v="95263"/>
    <s v="Laura Stevens"/>
    <x v="1"/>
    <x v="3"/>
    <x v="586"/>
    <d v="2024-03-22T00:00:00"/>
    <n v="7"/>
    <x v="2"/>
    <x v="4"/>
    <n v="3"/>
    <n v="3"/>
    <n v="5"/>
    <n v="5"/>
    <n v="2"/>
    <x v="3"/>
    <n v="3"/>
    <n v="3"/>
    <n v="3"/>
    <n v="3"/>
    <x v="0"/>
    <s v="Feedback Form"/>
    <s v="Poor service"/>
    <x v="2"/>
    <n v="69"/>
    <d v="2024-03-22T00:00:00"/>
    <x v="2"/>
    <x v="13"/>
    <x v="0"/>
  </r>
  <r>
    <n v="1616"/>
    <n v="62369"/>
    <s v="Sharon Phillips"/>
    <x v="2"/>
    <x v="1"/>
    <x v="209"/>
    <d v="2023-03-12T00:00:00"/>
    <n v="6"/>
    <x v="1"/>
    <x v="3"/>
    <n v="3"/>
    <n v="3"/>
    <n v="5"/>
    <n v="4"/>
    <n v="3"/>
    <x v="1"/>
    <n v="1"/>
    <n v="3"/>
    <n v="4"/>
    <n v="5"/>
    <x v="1"/>
    <s v="Feedback Form"/>
    <s v="Great stay"/>
    <x v="0"/>
    <n v="64"/>
    <d v="2024-08-30T00:00:00"/>
    <x v="2"/>
    <x v="11"/>
    <x v="0"/>
  </r>
  <r>
    <n v="1617"/>
    <n v="28339"/>
    <s v="Jeffrey Contreras"/>
    <x v="2"/>
    <x v="1"/>
    <x v="172"/>
    <d v="2023-07-26T00:00:00"/>
    <n v="11"/>
    <x v="3"/>
    <x v="2"/>
    <n v="3"/>
    <n v="3"/>
    <n v="4"/>
    <n v="1"/>
    <n v="5"/>
    <x v="1"/>
    <n v="2"/>
    <n v="4"/>
    <n v="5"/>
    <n v="4"/>
    <x v="0"/>
    <s v="Email"/>
    <s v="Needs improvement"/>
    <x v="0"/>
    <n v="34"/>
    <d v="2024-10-11T00:00:00"/>
    <x v="3"/>
    <x v="11"/>
    <x v="0"/>
  </r>
  <r>
    <n v="1618"/>
    <n v="32539"/>
    <s v="Jamie Smith"/>
    <x v="0"/>
    <x v="4"/>
    <x v="516"/>
    <d v="2023-11-28T00:00:00"/>
    <n v="10"/>
    <x v="1"/>
    <x v="0"/>
    <n v="1"/>
    <n v="3"/>
    <n v="4"/>
    <n v="4"/>
    <n v="5"/>
    <x v="1"/>
    <n v="1"/>
    <n v="1"/>
    <n v="3"/>
    <n v="2"/>
    <x v="0"/>
    <s v="Online Survey"/>
    <s v="Needs improvement"/>
    <x v="2"/>
    <n v="57"/>
    <d v="2023-11-28T00:00:00"/>
    <x v="2"/>
    <x v="4"/>
    <x v="1"/>
  </r>
  <r>
    <n v="1619"/>
    <n v="67079"/>
    <s v="Caitlin Harding"/>
    <x v="2"/>
    <x v="0"/>
    <x v="267"/>
    <d v="2024-08-19T00:00:00"/>
    <n v="4"/>
    <x v="0"/>
    <x v="3"/>
    <n v="1"/>
    <n v="5"/>
    <n v="2"/>
    <n v="4"/>
    <n v="1"/>
    <x v="0"/>
    <n v="1"/>
    <n v="5"/>
    <n v="5"/>
    <n v="5"/>
    <x v="1"/>
    <s v="Email"/>
    <s v="Average"/>
    <x v="1"/>
    <n v="64"/>
    <d v="2024-08-19T00:00:00"/>
    <x v="2"/>
    <x v="10"/>
    <x v="0"/>
  </r>
  <r>
    <n v="1620"/>
    <n v="10228"/>
    <s v="Christopher Morgan"/>
    <x v="1"/>
    <x v="2"/>
    <x v="84"/>
    <d v="2024-06-09T00:00:00"/>
    <n v="13"/>
    <x v="3"/>
    <x v="4"/>
    <n v="2"/>
    <n v="5"/>
    <n v="4"/>
    <n v="2"/>
    <n v="1"/>
    <x v="0"/>
    <n v="1"/>
    <n v="4"/>
    <n v="4"/>
    <n v="4"/>
    <x v="0"/>
    <s v="In-person"/>
    <s v="Great stay"/>
    <x v="0"/>
    <n v="36"/>
    <d v="2024-09-04T00:00:00"/>
    <x v="1"/>
    <x v="2"/>
    <x v="0"/>
  </r>
  <r>
    <n v="1621"/>
    <n v="64090"/>
    <s v="Jason Mcintosh"/>
    <x v="3"/>
    <x v="3"/>
    <x v="313"/>
    <d v="2023-09-12T00:00:00"/>
    <n v="12"/>
    <x v="2"/>
    <x v="4"/>
    <n v="2"/>
    <n v="4"/>
    <n v="1"/>
    <n v="4"/>
    <n v="4"/>
    <x v="2"/>
    <n v="3"/>
    <n v="1"/>
    <n v="1"/>
    <n v="1"/>
    <x v="0"/>
    <s v="Feedback Form"/>
    <s v="Average"/>
    <x v="0"/>
    <n v="28"/>
    <d v="2023-09-12T00:00:00"/>
    <x v="3"/>
    <x v="9"/>
    <x v="1"/>
  </r>
  <r>
    <n v="1622"/>
    <n v="96980"/>
    <s v="Shari Jordan"/>
    <x v="3"/>
    <x v="0"/>
    <x v="461"/>
    <d v="2024-09-11T00:00:00"/>
    <n v="2"/>
    <x v="3"/>
    <x v="0"/>
    <n v="5"/>
    <n v="1"/>
    <n v="5"/>
    <n v="3"/>
    <n v="1"/>
    <x v="1"/>
    <n v="1"/>
    <n v="1"/>
    <n v="2"/>
    <n v="4"/>
    <x v="1"/>
    <s v="Email"/>
    <s v="Average"/>
    <x v="1"/>
    <n v="25"/>
    <d v="2024-09-11T00:00:00"/>
    <x v="0"/>
    <x v="3"/>
    <x v="1"/>
  </r>
  <r>
    <n v="1623"/>
    <n v="75202"/>
    <s v="Andrea Callahan"/>
    <x v="2"/>
    <x v="2"/>
    <x v="383"/>
    <d v="2023-12-26T00:00:00"/>
    <n v="10"/>
    <x v="2"/>
    <x v="4"/>
    <n v="3"/>
    <n v="3"/>
    <n v="5"/>
    <n v="2"/>
    <n v="5"/>
    <x v="2"/>
    <n v="1"/>
    <n v="1"/>
    <n v="4"/>
    <n v="2"/>
    <x v="0"/>
    <s v="Feedback Form"/>
    <s v="Needs improvement"/>
    <x v="0"/>
    <n v="23"/>
    <d v="2024-08-18T00:00:00"/>
    <x v="0"/>
    <x v="3"/>
    <x v="1"/>
  </r>
  <r>
    <n v="1624"/>
    <n v="33199"/>
    <s v="Alexandra Reyes"/>
    <x v="4"/>
    <x v="4"/>
    <x v="166"/>
    <d v="2024-03-05T00:00:00"/>
    <n v="13"/>
    <x v="2"/>
    <x v="3"/>
    <n v="4"/>
    <n v="3"/>
    <n v="3"/>
    <n v="5"/>
    <n v="4"/>
    <x v="3"/>
    <n v="1"/>
    <n v="2"/>
    <n v="4"/>
    <n v="2"/>
    <x v="0"/>
    <s v="In-person"/>
    <s v="Great stay"/>
    <x v="1"/>
    <n v="23"/>
    <d v="2024-03-05T00:00:00"/>
    <x v="0"/>
    <x v="10"/>
    <x v="0"/>
  </r>
  <r>
    <n v="1625"/>
    <n v="91628"/>
    <s v="David Lindsey"/>
    <x v="2"/>
    <x v="3"/>
    <x v="490"/>
    <d v="2024-07-09T00:00:00"/>
    <n v="5"/>
    <x v="1"/>
    <x v="1"/>
    <n v="4"/>
    <n v="1"/>
    <n v="3"/>
    <n v="4"/>
    <n v="3"/>
    <x v="2"/>
    <n v="1"/>
    <n v="1"/>
    <n v="2"/>
    <n v="2"/>
    <x v="0"/>
    <s v="Email"/>
    <s v="Poor service"/>
    <x v="2"/>
    <n v="25"/>
    <d v="2024-07-09T00:00:00"/>
    <x v="0"/>
    <x v="9"/>
    <x v="1"/>
  </r>
  <r>
    <n v="1626"/>
    <n v="22451"/>
    <s v="Jamie Taylor"/>
    <x v="3"/>
    <x v="0"/>
    <x v="387"/>
    <d v="2024-02-12T00:00:00"/>
    <n v="12"/>
    <x v="1"/>
    <x v="1"/>
    <n v="3"/>
    <n v="4"/>
    <n v="2"/>
    <n v="5"/>
    <n v="4"/>
    <x v="1"/>
    <n v="2"/>
    <n v="1"/>
    <n v="2"/>
    <n v="3"/>
    <x v="1"/>
    <s v="In-person"/>
    <s v="Needs improvement"/>
    <x v="2"/>
    <n v="41"/>
    <d v="2024-02-12T00:00:00"/>
    <x v="1"/>
    <x v="0"/>
    <x v="0"/>
  </r>
  <r>
    <n v="1627"/>
    <n v="89527"/>
    <s v="Roger Cannon"/>
    <x v="0"/>
    <x v="2"/>
    <x v="394"/>
    <d v="2024-02-21T00:00:00"/>
    <n v="12"/>
    <x v="0"/>
    <x v="2"/>
    <n v="5"/>
    <n v="5"/>
    <n v="3"/>
    <n v="3"/>
    <n v="2"/>
    <x v="0"/>
    <n v="5"/>
    <n v="5"/>
    <n v="5"/>
    <n v="4"/>
    <x v="1"/>
    <s v="Feedback Form"/>
    <s v="Average"/>
    <x v="1"/>
    <n v="36"/>
    <d v="2024-02-21T00:00:00"/>
    <x v="1"/>
    <x v="12"/>
    <x v="2"/>
  </r>
  <r>
    <n v="1628"/>
    <n v="22669"/>
    <s v="Karl Hardy"/>
    <x v="3"/>
    <x v="4"/>
    <x v="422"/>
    <d v="2024-11-16T00:00:00"/>
    <n v="14"/>
    <x v="2"/>
    <x v="4"/>
    <n v="2"/>
    <n v="3"/>
    <n v="1"/>
    <n v="3"/>
    <n v="4"/>
    <x v="2"/>
    <n v="2"/>
    <n v="1"/>
    <n v="4"/>
    <n v="5"/>
    <x v="0"/>
    <s v="Feedback Form"/>
    <s v="Average"/>
    <x v="1"/>
    <n v="69"/>
    <d v="2024-11-16T00:00:00"/>
    <x v="2"/>
    <x v="5"/>
    <x v="1"/>
  </r>
  <r>
    <n v="1629"/>
    <n v="82410"/>
    <s v="Ashley Lewis MD"/>
    <x v="4"/>
    <x v="4"/>
    <x v="290"/>
    <d v="2024-07-03T00:00:00"/>
    <n v="14"/>
    <x v="2"/>
    <x v="3"/>
    <n v="1"/>
    <n v="4"/>
    <n v="4"/>
    <n v="3"/>
    <n v="1"/>
    <x v="2"/>
    <n v="4"/>
    <n v="3"/>
    <n v="4"/>
    <n v="5"/>
    <x v="1"/>
    <s v="App Review"/>
    <s v="Will visit again"/>
    <x v="1"/>
    <n v="58"/>
    <d v="2024-07-03T00:00:00"/>
    <x v="2"/>
    <x v="0"/>
    <x v="0"/>
  </r>
  <r>
    <n v="1630"/>
    <n v="72885"/>
    <s v="Penny Castillo"/>
    <x v="4"/>
    <x v="2"/>
    <x v="103"/>
    <d v="2024-05-03T00:00:00"/>
    <n v="10"/>
    <x v="1"/>
    <x v="0"/>
    <n v="5"/>
    <n v="1"/>
    <n v="4"/>
    <n v="5"/>
    <n v="3"/>
    <x v="0"/>
    <n v="2"/>
    <n v="1"/>
    <n v="3"/>
    <n v="2"/>
    <x v="1"/>
    <s v="Feedback Form"/>
    <s v="Great stay"/>
    <x v="2"/>
    <n v="44"/>
    <d v="2024-05-03T00:00:00"/>
    <x v="1"/>
    <x v="4"/>
    <x v="1"/>
  </r>
  <r>
    <n v="1631"/>
    <n v="33989"/>
    <s v="Bryan Brooks"/>
    <x v="0"/>
    <x v="1"/>
    <x v="642"/>
    <d v="2024-11-23T00:00:00"/>
    <n v="13"/>
    <x v="0"/>
    <x v="0"/>
    <n v="5"/>
    <n v="5"/>
    <n v="2"/>
    <n v="5"/>
    <n v="2"/>
    <x v="0"/>
    <n v="4"/>
    <n v="1"/>
    <n v="2"/>
    <n v="4"/>
    <x v="1"/>
    <s v="App Review"/>
    <s v="Poor service"/>
    <x v="2"/>
    <n v="37"/>
    <d v="2024-11-23T00:00:00"/>
    <x v="1"/>
    <x v="1"/>
    <x v="0"/>
  </r>
  <r>
    <n v="1632"/>
    <n v="94739"/>
    <s v="Kevin Phillips"/>
    <x v="4"/>
    <x v="1"/>
    <x v="554"/>
    <d v="2023-11-18T00:00:00"/>
    <n v="9"/>
    <x v="1"/>
    <x v="3"/>
    <n v="3"/>
    <n v="5"/>
    <n v="4"/>
    <n v="1"/>
    <n v="4"/>
    <x v="1"/>
    <n v="3"/>
    <n v="1"/>
    <n v="1"/>
    <n v="1"/>
    <x v="1"/>
    <s v="In-person"/>
    <s v="Poor service"/>
    <x v="0"/>
    <n v="41"/>
    <d v="2024-01-29T00:00:00"/>
    <x v="1"/>
    <x v="3"/>
    <x v="1"/>
  </r>
  <r>
    <n v="1633"/>
    <n v="78525"/>
    <s v="Ariana Leon"/>
    <x v="2"/>
    <x v="2"/>
    <x v="87"/>
    <d v="2023-05-01T00:00:00"/>
    <n v="13"/>
    <x v="1"/>
    <x v="3"/>
    <n v="2"/>
    <n v="4"/>
    <n v="5"/>
    <n v="2"/>
    <n v="3"/>
    <x v="3"/>
    <n v="5"/>
    <n v="2"/>
    <n v="4"/>
    <n v="4"/>
    <x v="0"/>
    <s v="Online Survey"/>
    <s v="Average"/>
    <x v="1"/>
    <n v="55"/>
    <d v="2023-12-18T00:00:00"/>
    <x v="2"/>
    <x v="18"/>
    <x v="0"/>
  </r>
  <r>
    <n v="1634"/>
    <n v="82674"/>
    <s v="Kevin Mcclure"/>
    <x v="2"/>
    <x v="2"/>
    <x v="118"/>
    <d v="2024-07-23T00:00:00"/>
    <n v="3"/>
    <x v="0"/>
    <x v="0"/>
    <n v="4"/>
    <n v="2"/>
    <n v="4"/>
    <n v="4"/>
    <n v="1"/>
    <x v="1"/>
    <n v="1"/>
    <n v="4"/>
    <n v="3"/>
    <n v="5"/>
    <x v="0"/>
    <s v="In-person"/>
    <s v="Will visit again"/>
    <x v="1"/>
    <n v="22"/>
    <d v="2024-09-03T00:00:00"/>
    <x v="0"/>
    <x v="1"/>
    <x v="0"/>
  </r>
  <r>
    <n v="1635"/>
    <n v="44761"/>
    <s v="Toni Johnson"/>
    <x v="3"/>
    <x v="2"/>
    <x v="612"/>
    <d v="2024-08-01T00:00:00"/>
    <n v="3"/>
    <x v="2"/>
    <x v="4"/>
    <n v="4"/>
    <n v="2"/>
    <n v="3"/>
    <n v="2"/>
    <n v="3"/>
    <x v="2"/>
    <n v="4"/>
    <n v="2"/>
    <n v="1"/>
    <n v="2"/>
    <x v="1"/>
    <s v="App Review"/>
    <s v="Will visit again"/>
    <x v="0"/>
    <n v="33"/>
    <d v="2024-08-01T00:00:00"/>
    <x v="3"/>
    <x v="14"/>
    <x v="1"/>
  </r>
  <r>
    <n v="1636"/>
    <n v="45813"/>
    <s v="Angel Beck"/>
    <x v="1"/>
    <x v="4"/>
    <x v="643"/>
    <d v="2024-10-06T00:00:00"/>
    <n v="13"/>
    <x v="2"/>
    <x v="2"/>
    <n v="4"/>
    <n v="2"/>
    <n v="5"/>
    <n v="3"/>
    <n v="3"/>
    <x v="1"/>
    <n v="3"/>
    <n v="5"/>
    <n v="5"/>
    <n v="4"/>
    <x v="1"/>
    <s v="Online Survey"/>
    <s v="Great stay"/>
    <x v="0"/>
    <n v="56"/>
    <d v="2024-10-06T00:00:00"/>
    <x v="2"/>
    <x v="20"/>
    <x v="0"/>
  </r>
  <r>
    <n v="1637"/>
    <n v="81729"/>
    <s v="Kelsey Vance"/>
    <x v="2"/>
    <x v="3"/>
    <x v="64"/>
    <d v="2024-02-18T00:00:00"/>
    <n v="12"/>
    <x v="0"/>
    <x v="2"/>
    <n v="5"/>
    <n v="1"/>
    <n v="3"/>
    <n v="4"/>
    <n v="2"/>
    <x v="1"/>
    <n v="5"/>
    <n v="5"/>
    <n v="3"/>
    <n v="3"/>
    <x v="0"/>
    <s v="App Review"/>
    <s v="Average"/>
    <x v="2"/>
    <n v="50"/>
    <d v="2024-07-23T00:00:00"/>
    <x v="1"/>
    <x v="11"/>
    <x v="0"/>
  </r>
  <r>
    <n v="1638"/>
    <n v="26157"/>
    <s v="Amy Diaz"/>
    <x v="2"/>
    <x v="4"/>
    <x v="29"/>
    <d v="2024-12-23T00:00:00"/>
    <n v="11"/>
    <x v="2"/>
    <x v="2"/>
    <n v="1"/>
    <n v="2"/>
    <n v="3"/>
    <n v="1"/>
    <n v="5"/>
    <x v="0"/>
    <n v="4"/>
    <n v="3"/>
    <n v="1"/>
    <n v="2"/>
    <x v="1"/>
    <s v="Feedback Form"/>
    <s v="Average"/>
    <x v="0"/>
    <n v="27"/>
    <d v="2024-12-23T00:00:00"/>
    <x v="3"/>
    <x v="14"/>
    <x v="1"/>
  </r>
  <r>
    <n v="1639"/>
    <n v="93912"/>
    <s v="John Jordan"/>
    <x v="0"/>
    <x v="4"/>
    <x v="157"/>
    <d v="2024-01-21T00:00:00"/>
    <n v="7"/>
    <x v="0"/>
    <x v="3"/>
    <n v="2"/>
    <n v="4"/>
    <n v="2"/>
    <n v="2"/>
    <n v="1"/>
    <x v="3"/>
    <n v="3"/>
    <n v="3"/>
    <n v="4"/>
    <n v="3"/>
    <x v="0"/>
    <s v="App Review"/>
    <s v="Average"/>
    <x v="0"/>
    <n v="68"/>
    <d v="2024-01-21T00:00:00"/>
    <x v="2"/>
    <x v="3"/>
    <x v="1"/>
  </r>
  <r>
    <n v="1640"/>
    <n v="95519"/>
    <s v="Crystal Ayala"/>
    <x v="2"/>
    <x v="1"/>
    <x v="323"/>
    <d v="2024-08-27T00:00:00"/>
    <n v="14"/>
    <x v="0"/>
    <x v="0"/>
    <n v="1"/>
    <n v="5"/>
    <n v="2"/>
    <n v="3"/>
    <n v="2"/>
    <x v="3"/>
    <n v="1"/>
    <n v="5"/>
    <n v="3"/>
    <n v="2"/>
    <x v="0"/>
    <s v="Online Survey"/>
    <s v="Great stay"/>
    <x v="1"/>
    <n v="22"/>
    <d v="2024-08-27T00:00:00"/>
    <x v="0"/>
    <x v="3"/>
    <x v="1"/>
  </r>
  <r>
    <n v="1641"/>
    <n v="62739"/>
    <s v="Tiffany Thomas"/>
    <x v="3"/>
    <x v="2"/>
    <x v="328"/>
    <d v="2024-10-15T00:00:00"/>
    <n v="10"/>
    <x v="1"/>
    <x v="0"/>
    <n v="4"/>
    <n v="4"/>
    <n v="5"/>
    <n v="4"/>
    <n v="2"/>
    <x v="1"/>
    <n v="3"/>
    <n v="4"/>
    <n v="2"/>
    <n v="5"/>
    <x v="0"/>
    <s v="App Review"/>
    <s v="Poor service"/>
    <x v="0"/>
    <n v="69"/>
    <d v="2024-10-15T00:00:00"/>
    <x v="2"/>
    <x v="21"/>
    <x v="0"/>
  </r>
  <r>
    <n v="1642"/>
    <n v="74156"/>
    <s v="Christina Chapman"/>
    <x v="0"/>
    <x v="4"/>
    <x v="395"/>
    <d v="2023-08-21T00:00:00"/>
    <n v="2"/>
    <x v="2"/>
    <x v="0"/>
    <n v="1"/>
    <n v="4"/>
    <n v="4"/>
    <n v="4"/>
    <n v="2"/>
    <x v="0"/>
    <n v="3"/>
    <n v="4"/>
    <n v="1"/>
    <n v="1"/>
    <x v="0"/>
    <s v="Email"/>
    <s v="Needs improvement"/>
    <x v="1"/>
    <n v="36"/>
    <d v="2024-12-18T00:00:00"/>
    <x v="1"/>
    <x v="5"/>
    <x v="1"/>
  </r>
  <r>
    <n v="1643"/>
    <n v="98283"/>
    <s v="Mr. Todd Smith MD"/>
    <x v="2"/>
    <x v="4"/>
    <x v="414"/>
    <d v="2024-08-05T00:00:00"/>
    <n v="8"/>
    <x v="2"/>
    <x v="0"/>
    <n v="5"/>
    <n v="3"/>
    <n v="1"/>
    <n v="3"/>
    <n v="5"/>
    <x v="0"/>
    <n v="1"/>
    <n v="5"/>
    <n v="4"/>
    <n v="4"/>
    <x v="0"/>
    <s v="Email"/>
    <s v="Will visit again"/>
    <x v="1"/>
    <n v="68"/>
    <d v="2024-08-05T00:00:00"/>
    <x v="2"/>
    <x v="13"/>
    <x v="0"/>
  </r>
  <r>
    <n v="1644"/>
    <n v="41626"/>
    <s v="Travis Gutierrez"/>
    <x v="3"/>
    <x v="2"/>
    <x v="226"/>
    <d v="2024-03-09T00:00:00"/>
    <n v="7"/>
    <x v="0"/>
    <x v="0"/>
    <n v="3"/>
    <n v="1"/>
    <n v="4"/>
    <n v="5"/>
    <n v="5"/>
    <x v="2"/>
    <n v="4"/>
    <n v="1"/>
    <n v="3"/>
    <n v="4"/>
    <x v="0"/>
    <s v="In-person"/>
    <s v="Poor service"/>
    <x v="1"/>
    <n v="58"/>
    <d v="2024-09-08T00:00:00"/>
    <x v="2"/>
    <x v="10"/>
    <x v="0"/>
  </r>
  <r>
    <n v="1645"/>
    <n v="14452"/>
    <s v="Michelle Bowman"/>
    <x v="0"/>
    <x v="3"/>
    <x v="526"/>
    <d v="2024-05-06T00:00:00"/>
    <n v="8"/>
    <x v="1"/>
    <x v="1"/>
    <n v="1"/>
    <n v="5"/>
    <n v="5"/>
    <n v="2"/>
    <n v="4"/>
    <x v="4"/>
    <n v="3"/>
    <n v="2"/>
    <n v="1"/>
    <n v="2"/>
    <x v="0"/>
    <s v="In-person"/>
    <s v="Needs improvement"/>
    <x v="0"/>
    <n v="38"/>
    <d v="2024-07-16T00:00:00"/>
    <x v="1"/>
    <x v="7"/>
    <x v="1"/>
  </r>
  <r>
    <n v="1646"/>
    <n v="80623"/>
    <s v="Derrick Villanueva"/>
    <x v="1"/>
    <x v="1"/>
    <x v="316"/>
    <d v="2024-11-18T00:00:00"/>
    <n v="10"/>
    <x v="1"/>
    <x v="3"/>
    <n v="1"/>
    <n v="3"/>
    <n v="1"/>
    <n v="4"/>
    <n v="4"/>
    <x v="2"/>
    <n v="1"/>
    <n v="2"/>
    <n v="5"/>
    <n v="1"/>
    <x v="0"/>
    <s v="Online Survey"/>
    <s v="Poor service"/>
    <x v="0"/>
    <n v="20"/>
    <d v="2024-11-18T00:00:00"/>
    <x v="0"/>
    <x v="8"/>
    <x v="1"/>
  </r>
  <r>
    <n v="1647"/>
    <n v="60071"/>
    <s v="Meghan Hoover"/>
    <x v="3"/>
    <x v="0"/>
    <x v="390"/>
    <d v="2023-05-11T00:00:00"/>
    <n v="6"/>
    <x v="2"/>
    <x v="3"/>
    <n v="1"/>
    <n v="1"/>
    <n v="3"/>
    <n v="5"/>
    <n v="1"/>
    <x v="2"/>
    <n v="4"/>
    <n v="1"/>
    <n v="5"/>
    <n v="1"/>
    <x v="1"/>
    <s v="App Review"/>
    <s v="Poor service"/>
    <x v="1"/>
    <n v="45"/>
    <d v="2023-05-11T00:00:00"/>
    <x v="1"/>
    <x v="8"/>
    <x v="1"/>
  </r>
  <r>
    <n v="1648"/>
    <n v="24898"/>
    <s v="Taylor Becker"/>
    <x v="2"/>
    <x v="4"/>
    <x v="437"/>
    <d v="2023-04-16T00:00:00"/>
    <n v="5"/>
    <x v="3"/>
    <x v="1"/>
    <n v="4"/>
    <n v="5"/>
    <n v="3"/>
    <n v="1"/>
    <n v="1"/>
    <x v="2"/>
    <n v="1"/>
    <n v="4"/>
    <n v="2"/>
    <n v="5"/>
    <x v="0"/>
    <s v="Feedback Form"/>
    <s v="Poor service"/>
    <x v="2"/>
    <n v="58"/>
    <d v="2024-01-05T00:00:00"/>
    <x v="2"/>
    <x v="3"/>
    <x v="1"/>
  </r>
  <r>
    <n v="1649"/>
    <n v="51001"/>
    <s v="Michael Williams"/>
    <x v="0"/>
    <x v="3"/>
    <x v="419"/>
    <d v="2024-10-29T00:00:00"/>
    <n v="11"/>
    <x v="0"/>
    <x v="2"/>
    <n v="1"/>
    <n v="3"/>
    <n v="1"/>
    <n v="4"/>
    <n v="5"/>
    <x v="4"/>
    <n v="2"/>
    <n v="2"/>
    <n v="3"/>
    <n v="3"/>
    <x v="1"/>
    <s v="Online Survey"/>
    <s v="Poor service"/>
    <x v="2"/>
    <n v="36"/>
    <d v="2024-10-29T00:00:00"/>
    <x v="1"/>
    <x v="14"/>
    <x v="1"/>
  </r>
  <r>
    <n v="1650"/>
    <n v="24758"/>
    <s v="Patrick Cobb"/>
    <x v="1"/>
    <x v="0"/>
    <x v="185"/>
    <d v="2023-09-18T00:00:00"/>
    <n v="4"/>
    <x v="2"/>
    <x v="4"/>
    <n v="2"/>
    <n v="2"/>
    <n v="3"/>
    <n v="4"/>
    <n v="5"/>
    <x v="0"/>
    <n v="4"/>
    <n v="2"/>
    <n v="3"/>
    <n v="4"/>
    <x v="1"/>
    <s v="Online Survey"/>
    <s v="Average"/>
    <x v="1"/>
    <n v="33"/>
    <d v="2023-09-18T00:00:00"/>
    <x v="3"/>
    <x v="10"/>
    <x v="0"/>
  </r>
  <r>
    <n v="1651"/>
    <n v="57238"/>
    <s v="Lauren Snyder"/>
    <x v="3"/>
    <x v="2"/>
    <x v="644"/>
    <d v="2023-06-06T00:00:00"/>
    <n v="14"/>
    <x v="2"/>
    <x v="3"/>
    <n v="5"/>
    <n v="4"/>
    <n v="4"/>
    <n v="1"/>
    <n v="5"/>
    <x v="0"/>
    <n v="2"/>
    <n v="3"/>
    <n v="2"/>
    <n v="2"/>
    <x v="1"/>
    <s v="Online Survey"/>
    <s v="Poor service"/>
    <x v="2"/>
    <n v="19"/>
    <d v="2024-06-13T00:00:00"/>
    <x v="0"/>
    <x v="0"/>
    <x v="0"/>
  </r>
  <r>
    <n v="1652"/>
    <n v="25121"/>
    <s v="Amy Mathis"/>
    <x v="1"/>
    <x v="0"/>
    <x v="377"/>
    <d v="2024-06-16T00:00:00"/>
    <n v="8"/>
    <x v="3"/>
    <x v="3"/>
    <n v="2"/>
    <n v="2"/>
    <n v="2"/>
    <n v="1"/>
    <n v="2"/>
    <x v="3"/>
    <n v="3"/>
    <n v="4"/>
    <n v="3"/>
    <n v="1"/>
    <x v="1"/>
    <s v="In-person"/>
    <s v="Needs improvement"/>
    <x v="0"/>
    <n v="25"/>
    <d v="2024-06-16T00:00:00"/>
    <x v="0"/>
    <x v="8"/>
    <x v="1"/>
  </r>
  <r>
    <n v="1653"/>
    <n v="93202"/>
    <s v="Mary Jacobs"/>
    <x v="3"/>
    <x v="2"/>
    <x v="645"/>
    <d v="2024-12-16T00:00:00"/>
    <n v="14"/>
    <x v="3"/>
    <x v="1"/>
    <n v="2"/>
    <n v="5"/>
    <n v="4"/>
    <n v="4"/>
    <n v="5"/>
    <x v="3"/>
    <n v="3"/>
    <n v="5"/>
    <n v="5"/>
    <n v="4"/>
    <x v="1"/>
    <s v="Online Survey"/>
    <s v="Needs improvement"/>
    <x v="1"/>
    <n v="63"/>
    <d v="2024-12-16T00:00:00"/>
    <x v="2"/>
    <x v="23"/>
    <x v="2"/>
  </r>
  <r>
    <n v="1654"/>
    <n v="56270"/>
    <s v="Cathy Villarreal"/>
    <x v="2"/>
    <x v="3"/>
    <x v="314"/>
    <d v="2023-06-04T00:00:00"/>
    <n v="2"/>
    <x v="1"/>
    <x v="3"/>
    <n v="4"/>
    <n v="3"/>
    <n v="3"/>
    <n v="3"/>
    <n v="2"/>
    <x v="1"/>
    <n v="3"/>
    <n v="5"/>
    <n v="5"/>
    <n v="4"/>
    <x v="0"/>
    <s v="App Review"/>
    <s v="Will visit again"/>
    <x v="0"/>
    <n v="55"/>
    <d v="2024-10-11T00:00:00"/>
    <x v="2"/>
    <x v="16"/>
    <x v="0"/>
  </r>
  <r>
    <n v="1655"/>
    <n v="57851"/>
    <s v="Cynthia Ramos"/>
    <x v="3"/>
    <x v="0"/>
    <x v="413"/>
    <d v="2024-07-07T00:00:00"/>
    <n v="6"/>
    <x v="1"/>
    <x v="3"/>
    <n v="1"/>
    <n v="3"/>
    <n v="2"/>
    <n v="1"/>
    <n v="2"/>
    <x v="1"/>
    <n v="4"/>
    <n v="1"/>
    <n v="2"/>
    <n v="4"/>
    <x v="0"/>
    <s v="Online Survey"/>
    <s v="Great stay"/>
    <x v="2"/>
    <n v="29"/>
    <d v="2024-07-07T00:00:00"/>
    <x v="3"/>
    <x v="14"/>
    <x v="1"/>
  </r>
  <r>
    <n v="1656"/>
    <n v="70909"/>
    <s v="Nicholas Obrien"/>
    <x v="2"/>
    <x v="1"/>
    <x v="396"/>
    <d v="2023-11-25T00:00:00"/>
    <n v="14"/>
    <x v="1"/>
    <x v="2"/>
    <n v="5"/>
    <n v="3"/>
    <n v="4"/>
    <n v="5"/>
    <n v="1"/>
    <x v="1"/>
    <n v="5"/>
    <n v="2"/>
    <n v="4"/>
    <n v="1"/>
    <x v="0"/>
    <s v="Feedback Form"/>
    <s v="Needs improvement"/>
    <x v="2"/>
    <n v="41"/>
    <d v="2024-09-16T00:00:00"/>
    <x v="1"/>
    <x v="18"/>
    <x v="0"/>
  </r>
  <r>
    <n v="1657"/>
    <n v="58915"/>
    <s v="Morgan Hinton"/>
    <x v="3"/>
    <x v="3"/>
    <x v="591"/>
    <d v="2023-06-22T00:00:00"/>
    <n v="12"/>
    <x v="1"/>
    <x v="1"/>
    <n v="5"/>
    <n v="4"/>
    <n v="3"/>
    <n v="1"/>
    <n v="3"/>
    <x v="3"/>
    <n v="4"/>
    <n v="5"/>
    <n v="2"/>
    <n v="5"/>
    <x v="1"/>
    <s v="Online Survey"/>
    <s v="Needs improvement"/>
    <x v="0"/>
    <n v="18"/>
    <d v="2024-08-20T00:00:00"/>
    <x v="0"/>
    <x v="11"/>
    <x v="0"/>
  </r>
  <r>
    <n v="1658"/>
    <n v="58993"/>
    <s v="Andrew Bauer"/>
    <x v="0"/>
    <x v="0"/>
    <x v="540"/>
    <d v="2024-02-10T00:00:00"/>
    <n v="14"/>
    <x v="0"/>
    <x v="3"/>
    <n v="5"/>
    <n v="3"/>
    <n v="4"/>
    <n v="4"/>
    <n v="4"/>
    <x v="3"/>
    <n v="4"/>
    <n v="1"/>
    <n v="5"/>
    <n v="4"/>
    <x v="0"/>
    <s v="In-person"/>
    <s v="Needs improvement"/>
    <x v="2"/>
    <n v="35"/>
    <d v="2024-02-10T00:00:00"/>
    <x v="3"/>
    <x v="21"/>
    <x v="0"/>
  </r>
  <r>
    <n v="1659"/>
    <n v="44888"/>
    <s v="George Welch"/>
    <x v="3"/>
    <x v="4"/>
    <x v="187"/>
    <d v="2024-02-11T00:00:00"/>
    <n v="10"/>
    <x v="3"/>
    <x v="0"/>
    <n v="1"/>
    <n v="1"/>
    <n v="3"/>
    <n v="4"/>
    <n v="4"/>
    <x v="2"/>
    <n v="5"/>
    <n v="3"/>
    <n v="2"/>
    <n v="1"/>
    <x v="1"/>
    <s v="In-person"/>
    <s v="Needs improvement"/>
    <x v="2"/>
    <n v="40"/>
    <d v="2024-02-11T00:00:00"/>
    <x v="1"/>
    <x v="7"/>
    <x v="1"/>
  </r>
  <r>
    <n v="1660"/>
    <n v="23893"/>
    <s v="Sharon Wilson"/>
    <x v="3"/>
    <x v="0"/>
    <x v="445"/>
    <d v="2024-11-29T00:00:00"/>
    <n v="6"/>
    <x v="2"/>
    <x v="1"/>
    <n v="5"/>
    <n v="1"/>
    <n v="5"/>
    <n v="2"/>
    <n v="1"/>
    <x v="0"/>
    <n v="4"/>
    <n v="4"/>
    <n v="5"/>
    <n v="1"/>
    <x v="0"/>
    <s v="Feedback Form"/>
    <s v="Great stay"/>
    <x v="0"/>
    <n v="56"/>
    <d v="2024-11-29T00:00:00"/>
    <x v="2"/>
    <x v="0"/>
    <x v="0"/>
  </r>
  <r>
    <n v="1661"/>
    <n v="96416"/>
    <s v="Drew Carney"/>
    <x v="4"/>
    <x v="0"/>
    <x v="250"/>
    <d v="2023-12-29T00:00:00"/>
    <n v="5"/>
    <x v="1"/>
    <x v="2"/>
    <n v="5"/>
    <n v="1"/>
    <n v="1"/>
    <n v="5"/>
    <n v="1"/>
    <x v="3"/>
    <n v="2"/>
    <n v="2"/>
    <n v="4"/>
    <n v="2"/>
    <x v="1"/>
    <s v="Online Survey"/>
    <s v="Great stay"/>
    <x v="0"/>
    <n v="44"/>
    <d v="2024-06-27T00:00:00"/>
    <x v="1"/>
    <x v="5"/>
    <x v="1"/>
  </r>
  <r>
    <n v="1662"/>
    <n v="41712"/>
    <s v="Tristan Petersen"/>
    <x v="4"/>
    <x v="1"/>
    <x v="611"/>
    <d v="2024-02-05T00:00:00"/>
    <n v="2"/>
    <x v="2"/>
    <x v="4"/>
    <n v="3"/>
    <n v="2"/>
    <n v="3"/>
    <n v="2"/>
    <n v="5"/>
    <x v="4"/>
    <n v="5"/>
    <n v="2"/>
    <n v="5"/>
    <n v="5"/>
    <x v="1"/>
    <s v="Online Survey"/>
    <s v="Poor service"/>
    <x v="0"/>
    <n v="61"/>
    <d v="2024-05-13T00:00:00"/>
    <x v="2"/>
    <x v="1"/>
    <x v="0"/>
  </r>
  <r>
    <n v="1663"/>
    <n v="39943"/>
    <s v="Christina Alexander"/>
    <x v="3"/>
    <x v="3"/>
    <x v="261"/>
    <d v="2024-06-07T00:00:00"/>
    <n v="5"/>
    <x v="0"/>
    <x v="3"/>
    <n v="3"/>
    <n v="5"/>
    <n v="4"/>
    <n v="1"/>
    <n v="5"/>
    <x v="2"/>
    <n v="5"/>
    <n v="1"/>
    <n v="3"/>
    <n v="5"/>
    <x v="1"/>
    <s v="Online Survey"/>
    <s v="Needs improvement"/>
    <x v="0"/>
    <n v="61"/>
    <d v="2024-06-07T00:00:00"/>
    <x v="2"/>
    <x v="13"/>
    <x v="0"/>
  </r>
  <r>
    <n v="1664"/>
    <n v="15306"/>
    <s v="Jon Smith"/>
    <x v="4"/>
    <x v="4"/>
    <x v="366"/>
    <d v="2023-12-03T00:00:00"/>
    <n v="3"/>
    <x v="1"/>
    <x v="0"/>
    <n v="5"/>
    <n v="2"/>
    <n v="3"/>
    <n v="2"/>
    <n v="5"/>
    <x v="4"/>
    <n v="2"/>
    <n v="2"/>
    <n v="1"/>
    <n v="5"/>
    <x v="0"/>
    <s v="In-person"/>
    <s v="Needs improvement"/>
    <x v="2"/>
    <n v="23"/>
    <d v="2024-01-24T00:00:00"/>
    <x v="0"/>
    <x v="3"/>
    <x v="1"/>
  </r>
  <r>
    <n v="1665"/>
    <n v="75461"/>
    <s v="Amanda Fowler"/>
    <x v="2"/>
    <x v="3"/>
    <x v="534"/>
    <d v="2024-11-24T00:00:00"/>
    <n v="7"/>
    <x v="0"/>
    <x v="0"/>
    <n v="2"/>
    <n v="2"/>
    <n v="3"/>
    <n v="4"/>
    <n v="2"/>
    <x v="4"/>
    <n v="5"/>
    <n v="4"/>
    <n v="4"/>
    <n v="1"/>
    <x v="1"/>
    <s v="Online Survey"/>
    <s v="Will visit again"/>
    <x v="0"/>
    <n v="45"/>
    <d v="2024-11-24T00:00:00"/>
    <x v="1"/>
    <x v="3"/>
    <x v="1"/>
  </r>
  <r>
    <n v="1666"/>
    <n v="34107"/>
    <s v="Heather Sanchez"/>
    <x v="4"/>
    <x v="3"/>
    <x v="49"/>
    <d v="2023-12-31T00:00:00"/>
    <n v="7"/>
    <x v="1"/>
    <x v="4"/>
    <n v="1"/>
    <n v="4"/>
    <n v="4"/>
    <n v="3"/>
    <n v="2"/>
    <x v="0"/>
    <n v="5"/>
    <n v="5"/>
    <n v="1"/>
    <n v="1"/>
    <x v="0"/>
    <s v="In-person"/>
    <s v="Will visit again"/>
    <x v="1"/>
    <n v="40"/>
    <d v="2023-12-31T00:00:00"/>
    <x v="1"/>
    <x v="4"/>
    <x v="1"/>
  </r>
  <r>
    <n v="1667"/>
    <n v="20709"/>
    <s v="Kristin Jarvis"/>
    <x v="3"/>
    <x v="4"/>
    <x v="381"/>
    <d v="2024-12-05T00:00:00"/>
    <n v="8"/>
    <x v="2"/>
    <x v="1"/>
    <n v="2"/>
    <n v="2"/>
    <n v="4"/>
    <n v="1"/>
    <n v="5"/>
    <x v="4"/>
    <n v="2"/>
    <n v="1"/>
    <n v="4"/>
    <n v="5"/>
    <x v="0"/>
    <s v="In-person"/>
    <s v="Will visit again"/>
    <x v="2"/>
    <n v="69"/>
    <d v="2024-12-23T00:00:00"/>
    <x v="2"/>
    <x v="5"/>
    <x v="1"/>
  </r>
  <r>
    <n v="1668"/>
    <n v="24914"/>
    <s v="Nicholas Lopez"/>
    <x v="1"/>
    <x v="4"/>
    <x v="646"/>
    <d v="2023-06-13T00:00:00"/>
    <n v="11"/>
    <x v="0"/>
    <x v="2"/>
    <n v="2"/>
    <n v="4"/>
    <n v="2"/>
    <n v="4"/>
    <n v="2"/>
    <x v="4"/>
    <n v="1"/>
    <n v="4"/>
    <n v="4"/>
    <n v="1"/>
    <x v="1"/>
    <s v="App Review"/>
    <s v="Will visit again"/>
    <x v="2"/>
    <n v="51"/>
    <d v="2024-02-22T00:00:00"/>
    <x v="2"/>
    <x v="14"/>
    <x v="1"/>
  </r>
  <r>
    <n v="1669"/>
    <n v="38412"/>
    <s v="Lindsey Campbell"/>
    <x v="1"/>
    <x v="1"/>
    <x v="10"/>
    <d v="2024-07-18T00:00:00"/>
    <n v="12"/>
    <x v="1"/>
    <x v="3"/>
    <n v="1"/>
    <n v="1"/>
    <n v="3"/>
    <n v="1"/>
    <n v="1"/>
    <x v="4"/>
    <n v="1"/>
    <n v="2"/>
    <n v="4"/>
    <n v="5"/>
    <x v="1"/>
    <s v="Email"/>
    <s v="Poor service"/>
    <x v="0"/>
    <n v="42"/>
    <d v="2024-07-18T00:00:00"/>
    <x v="1"/>
    <x v="15"/>
    <x v="1"/>
  </r>
  <r>
    <n v="1670"/>
    <n v="75326"/>
    <s v="Leslie Phillips"/>
    <x v="3"/>
    <x v="2"/>
    <x v="431"/>
    <d v="2024-01-07T00:00:00"/>
    <n v="14"/>
    <x v="2"/>
    <x v="3"/>
    <n v="1"/>
    <n v="1"/>
    <n v="5"/>
    <n v="2"/>
    <n v="5"/>
    <x v="4"/>
    <n v="1"/>
    <n v="5"/>
    <n v="4"/>
    <n v="2"/>
    <x v="0"/>
    <s v="In-person"/>
    <s v="Average"/>
    <x v="2"/>
    <n v="28"/>
    <d v="2024-10-12T00:00:00"/>
    <x v="3"/>
    <x v="5"/>
    <x v="1"/>
  </r>
  <r>
    <n v="1671"/>
    <n v="26151"/>
    <s v="Diane Daniel"/>
    <x v="3"/>
    <x v="1"/>
    <x v="96"/>
    <d v="2024-03-04T00:00:00"/>
    <n v="10"/>
    <x v="2"/>
    <x v="3"/>
    <n v="4"/>
    <n v="2"/>
    <n v="1"/>
    <n v="2"/>
    <n v="4"/>
    <x v="2"/>
    <n v="2"/>
    <n v="4"/>
    <n v="5"/>
    <n v="3"/>
    <x v="1"/>
    <s v="Email"/>
    <s v="Will visit again"/>
    <x v="0"/>
    <n v="65"/>
    <d v="2024-08-20T00:00:00"/>
    <x v="2"/>
    <x v="4"/>
    <x v="1"/>
  </r>
  <r>
    <n v="1672"/>
    <n v="74690"/>
    <s v="Dr. Joshua Gomez"/>
    <x v="1"/>
    <x v="4"/>
    <x v="647"/>
    <d v="2024-10-15T00:00:00"/>
    <n v="11"/>
    <x v="2"/>
    <x v="0"/>
    <n v="4"/>
    <n v="2"/>
    <n v="3"/>
    <n v="1"/>
    <n v="4"/>
    <x v="2"/>
    <n v="3"/>
    <n v="5"/>
    <n v="3"/>
    <n v="3"/>
    <x v="0"/>
    <s v="App Review"/>
    <s v="Will visit again"/>
    <x v="2"/>
    <n v="18"/>
    <d v="2024-10-15T00:00:00"/>
    <x v="0"/>
    <x v="2"/>
    <x v="0"/>
  </r>
  <r>
    <n v="1673"/>
    <n v="15009"/>
    <s v="Nicholas Morrison"/>
    <x v="0"/>
    <x v="0"/>
    <x v="361"/>
    <d v="2023-09-28T00:00:00"/>
    <n v="14"/>
    <x v="1"/>
    <x v="1"/>
    <n v="4"/>
    <n v="1"/>
    <n v="4"/>
    <n v="1"/>
    <n v="2"/>
    <x v="0"/>
    <n v="4"/>
    <n v="5"/>
    <n v="5"/>
    <n v="3"/>
    <x v="0"/>
    <s v="Email"/>
    <s v="Great stay"/>
    <x v="0"/>
    <n v="55"/>
    <d v="2024-05-27T00:00:00"/>
    <x v="2"/>
    <x v="10"/>
    <x v="0"/>
  </r>
  <r>
    <n v="1674"/>
    <n v="95782"/>
    <s v="Ryan Avery"/>
    <x v="4"/>
    <x v="0"/>
    <x v="357"/>
    <d v="2024-11-12T00:00:00"/>
    <n v="9"/>
    <x v="2"/>
    <x v="4"/>
    <n v="5"/>
    <n v="3"/>
    <n v="2"/>
    <n v="2"/>
    <n v="4"/>
    <x v="0"/>
    <n v="5"/>
    <n v="1"/>
    <n v="5"/>
    <n v="3"/>
    <x v="0"/>
    <s v="Email"/>
    <s v="Needs improvement"/>
    <x v="2"/>
    <n v="27"/>
    <d v="2024-11-12T00:00:00"/>
    <x v="3"/>
    <x v="1"/>
    <x v="0"/>
  </r>
  <r>
    <n v="1675"/>
    <n v="59280"/>
    <s v="Caleb Reyes"/>
    <x v="0"/>
    <x v="3"/>
    <x v="376"/>
    <d v="2024-03-26T00:00:00"/>
    <n v="1"/>
    <x v="2"/>
    <x v="1"/>
    <n v="5"/>
    <n v="1"/>
    <n v="3"/>
    <n v="1"/>
    <n v="5"/>
    <x v="4"/>
    <n v="2"/>
    <n v="2"/>
    <n v="3"/>
    <n v="2"/>
    <x v="0"/>
    <s v="Feedback Form"/>
    <s v="Poor service"/>
    <x v="1"/>
    <n v="26"/>
    <d v="2024-08-12T00:00:00"/>
    <x v="3"/>
    <x v="14"/>
    <x v="1"/>
  </r>
  <r>
    <n v="1676"/>
    <n v="71818"/>
    <s v="Kevin Scott"/>
    <x v="2"/>
    <x v="3"/>
    <x v="17"/>
    <d v="2024-12-22T00:00:00"/>
    <n v="4"/>
    <x v="1"/>
    <x v="2"/>
    <n v="5"/>
    <n v="3"/>
    <n v="5"/>
    <n v="2"/>
    <n v="4"/>
    <x v="1"/>
    <n v="4"/>
    <n v="3"/>
    <n v="4"/>
    <n v="1"/>
    <x v="1"/>
    <s v="Feedback Form"/>
    <s v="Needs improvement"/>
    <x v="0"/>
    <n v="43"/>
    <d v="2024-12-22T00:00:00"/>
    <x v="1"/>
    <x v="11"/>
    <x v="0"/>
  </r>
  <r>
    <n v="1677"/>
    <n v="70530"/>
    <s v="Steven Peters"/>
    <x v="1"/>
    <x v="2"/>
    <x v="498"/>
    <d v="2024-03-10T00:00:00"/>
    <n v="6"/>
    <x v="0"/>
    <x v="2"/>
    <n v="4"/>
    <n v="1"/>
    <n v="4"/>
    <n v="1"/>
    <n v="1"/>
    <x v="4"/>
    <n v="2"/>
    <n v="3"/>
    <n v="3"/>
    <n v="2"/>
    <x v="1"/>
    <s v="Email"/>
    <s v="Average"/>
    <x v="0"/>
    <n v="27"/>
    <d v="2024-03-10T00:00:00"/>
    <x v="3"/>
    <x v="19"/>
    <x v="1"/>
  </r>
  <r>
    <n v="1678"/>
    <n v="11345"/>
    <s v="Ruben Shah"/>
    <x v="1"/>
    <x v="2"/>
    <x v="30"/>
    <d v="2024-10-17T00:00:00"/>
    <n v="7"/>
    <x v="2"/>
    <x v="4"/>
    <n v="1"/>
    <n v="5"/>
    <n v="5"/>
    <n v="3"/>
    <n v="2"/>
    <x v="4"/>
    <n v="5"/>
    <n v="3"/>
    <n v="1"/>
    <n v="4"/>
    <x v="0"/>
    <s v="In-person"/>
    <s v="Poor service"/>
    <x v="1"/>
    <n v="35"/>
    <d v="2024-10-17T00:00:00"/>
    <x v="3"/>
    <x v="2"/>
    <x v="0"/>
  </r>
  <r>
    <n v="1679"/>
    <n v="86164"/>
    <s v="Christina Harris"/>
    <x v="0"/>
    <x v="2"/>
    <x v="543"/>
    <d v="2024-08-03T00:00:00"/>
    <n v="11"/>
    <x v="1"/>
    <x v="0"/>
    <n v="5"/>
    <n v="4"/>
    <n v="5"/>
    <n v="1"/>
    <n v="4"/>
    <x v="0"/>
    <n v="3"/>
    <n v="4"/>
    <n v="3"/>
    <n v="1"/>
    <x v="1"/>
    <s v="Online Survey"/>
    <s v="Average"/>
    <x v="0"/>
    <n v="67"/>
    <d v="2024-08-03T00:00:00"/>
    <x v="2"/>
    <x v="1"/>
    <x v="0"/>
  </r>
  <r>
    <n v="1680"/>
    <n v="49900"/>
    <s v="Mr. Shawn Brown"/>
    <x v="2"/>
    <x v="2"/>
    <x v="27"/>
    <d v="2023-11-20T00:00:00"/>
    <n v="5"/>
    <x v="0"/>
    <x v="4"/>
    <n v="1"/>
    <n v="4"/>
    <n v="1"/>
    <n v="1"/>
    <n v="2"/>
    <x v="3"/>
    <n v="2"/>
    <n v="3"/>
    <n v="5"/>
    <n v="5"/>
    <x v="1"/>
    <s v="Online Survey"/>
    <s v="Needs improvement"/>
    <x v="2"/>
    <n v="26"/>
    <d v="2024-08-29T00:00:00"/>
    <x v="3"/>
    <x v="3"/>
    <x v="1"/>
  </r>
  <r>
    <n v="1681"/>
    <n v="96562"/>
    <s v="Lindsay Knight"/>
    <x v="0"/>
    <x v="0"/>
    <x v="387"/>
    <d v="2024-12-30T00:00:00"/>
    <n v="6"/>
    <x v="2"/>
    <x v="2"/>
    <n v="4"/>
    <n v="5"/>
    <n v="1"/>
    <n v="4"/>
    <n v="1"/>
    <x v="0"/>
    <n v="4"/>
    <n v="2"/>
    <n v="4"/>
    <n v="4"/>
    <x v="1"/>
    <s v="App Review"/>
    <s v="Great stay"/>
    <x v="2"/>
    <n v="62"/>
    <d v="2024-12-30T00:00:00"/>
    <x v="2"/>
    <x v="10"/>
    <x v="0"/>
  </r>
  <r>
    <n v="1682"/>
    <n v="39289"/>
    <s v="Eric Thomas"/>
    <x v="2"/>
    <x v="4"/>
    <x v="157"/>
    <d v="2024-08-12T00:00:00"/>
    <n v="1"/>
    <x v="1"/>
    <x v="0"/>
    <n v="1"/>
    <n v="3"/>
    <n v="3"/>
    <n v="3"/>
    <n v="4"/>
    <x v="2"/>
    <n v="4"/>
    <n v="3"/>
    <n v="5"/>
    <n v="4"/>
    <x v="0"/>
    <s v="In-person"/>
    <s v="Will visit again"/>
    <x v="2"/>
    <n v="43"/>
    <d v="2024-08-12T00:00:00"/>
    <x v="1"/>
    <x v="10"/>
    <x v="0"/>
  </r>
  <r>
    <n v="1683"/>
    <n v="39432"/>
    <s v="Nicholas Vasquez"/>
    <x v="3"/>
    <x v="2"/>
    <x v="189"/>
    <d v="2023-08-31T00:00:00"/>
    <n v="14"/>
    <x v="3"/>
    <x v="1"/>
    <n v="5"/>
    <n v="2"/>
    <n v="1"/>
    <n v="2"/>
    <n v="5"/>
    <x v="0"/>
    <n v="5"/>
    <n v="5"/>
    <n v="1"/>
    <n v="2"/>
    <x v="0"/>
    <s v="Email"/>
    <s v="Needs improvement"/>
    <x v="1"/>
    <n v="59"/>
    <d v="2023-08-31T00:00:00"/>
    <x v="2"/>
    <x v="0"/>
    <x v="0"/>
  </r>
  <r>
    <n v="1684"/>
    <n v="95143"/>
    <s v="Elizabeth Morgan"/>
    <x v="3"/>
    <x v="1"/>
    <x v="172"/>
    <d v="2023-12-15T00:00:00"/>
    <n v="11"/>
    <x v="1"/>
    <x v="2"/>
    <n v="1"/>
    <n v="2"/>
    <n v="3"/>
    <n v="2"/>
    <n v="3"/>
    <x v="3"/>
    <n v="1"/>
    <n v="5"/>
    <n v="4"/>
    <n v="4"/>
    <x v="0"/>
    <s v="Feedback Form"/>
    <s v="Poor service"/>
    <x v="1"/>
    <n v="26"/>
    <d v="2023-12-15T00:00:00"/>
    <x v="3"/>
    <x v="4"/>
    <x v="1"/>
  </r>
  <r>
    <n v="1685"/>
    <n v="74140"/>
    <s v="Beth Rivera"/>
    <x v="1"/>
    <x v="2"/>
    <x v="37"/>
    <d v="2023-04-26T00:00:00"/>
    <n v="5"/>
    <x v="2"/>
    <x v="0"/>
    <n v="4"/>
    <n v="4"/>
    <n v="3"/>
    <n v="5"/>
    <n v="4"/>
    <x v="4"/>
    <n v="5"/>
    <n v="5"/>
    <n v="2"/>
    <n v="2"/>
    <x v="0"/>
    <s v="Online Survey"/>
    <s v="Will visit again"/>
    <x v="2"/>
    <n v="53"/>
    <d v="2023-06-20T00:00:00"/>
    <x v="2"/>
    <x v="18"/>
    <x v="0"/>
  </r>
  <r>
    <n v="1686"/>
    <n v="29860"/>
    <s v="Brian Silva"/>
    <x v="3"/>
    <x v="0"/>
    <x v="555"/>
    <d v="2024-12-09T00:00:00"/>
    <n v="2"/>
    <x v="0"/>
    <x v="0"/>
    <n v="5"/>
    <n v="2"/>
    <n v="4"/>
    <n v="3"/>
    <n v="1"/>
    <x v="3"/>
    <n v="5"/>
    <n v="3"/>
    <n v="5"/>
    <n v="4"/>
    <x v="1"/>
    <s v="Email"/>
    <s v="Poor service"/>
    <x v="1"/>
    <n v="32"/>
    <d v="2024-12-09T00:00:00"/>
    <x v="3"/>
    <x v="11"/>
    <x v="0"/>
  </r>
  <r>
    <n v="1687"/>
    <n v="15097"/>
    <s v="Nicole Camacho"/>
    <x v="0"/>
    <x v="3"/>
    <x v="129"/>
    <d v="2024-12-15T00:00:00"/>
    <n v="14"/>
    <x v="0"/>
    <x v="3"/>
    <n v="5"/>
    <n v="3"/>
    <n v="4"/>
    <n v="3"/>
    <n v="3"/>
    <x v="0"/>
    <n v="1"/>
    <n v="2"/>
    <n v="5"/>
    <n v="2"/>
    <x v="0"/>
    <s v="Online Survey"/>
    <s v="Average"/>
    <x v="0"/>
    <n v="41"/>
    <d v="2024-12-15T00:00:00"/>
    <x v="1"/>
    <x v="0"/>
    <x v="0"/>
  </r>
  <r>
    <n v="1688"/>
    <n v="37114"/>
    <s v="Mrs. Jennifer Mack"/>
    <x v="2"/>
    <x v="1"/>
    <x v="263"/>
    <d v="2024-12-23T00:00:00"/>
    <n v="11"/>
    <x v="0"/>
    <x v="1"/>
    <n v="4"/>
    <n v="2"/>
    <n v="2"/>
    <n v="1"/>
    <n v="4"/>
    <x v="1"/>
    <n v="3"/>
    <n v="2"/>
    <n v="3"/>
    <n v="1"/>
    <x v="0"/>
    <s v="Feedback Form"/>
    <s v="Poor service"/>
    <x v="1"/>
    <n v="57"/>
    <d v="2024-12-23T00:00:00"/>
    <x v="2"/>
    <x v="5"/>
    <x v="1"/>
  </r>
  <r>
    <n v="1689"/>
    <n v="70198"/>
    <s v="Brenda Mclean"/>
    <x v="1"/>
    <x v="2"/>
    <x v="648"/>
    <d v="2024-10-09T00:00:00"/>
    <n v="2"/>
    <x v="2"/>
    <x v="0"/>
    <n v="2"/>
    <n v="1"/>
    <n v="1"/>
    <n v="4"/>
    <n v="2"/>
    <x v="2"/>
    <n v="2"/>
    <n v="3"/>
    <n v="4"/>
    <n v="4"/>
    <x v="1"/>
    <s v="Feedback Form"/>
    <s v="Great stay"/>
    <x v="0"/>
    <n v="19"/>
    <d v="2024-10-09T00:00:00"/>
    <x v="0"/>
    <x v="14"/>
    <x v="1"/>
  </r>
  <r>
    <n v="1690"/>
    <n v="23473"/>
    <s v="Anna Parker"/>
    <x v="3"/>
    <x v="0"/>
    <x v="136"/>
    <d v="2024-05-10T00:00:00"/>
    <n v="1"/>
    <x v="2"/>
    <x v="4"/>
    <n v="3"/>
    <n v="5"/>
    <n v="2"/>
    <n v="2"/>
    <n v="1"/>
    <x v="3"/>
    <n v="4"/>
    <n v="2"/>
    <n v="5"/>
    <n v="2"/>
    <x v="0"/>
    <s v="In-person"/>
    <s v="Average"/>
    <x v="2"/>
    <n v="21"/>
    <d v="2024-05-10T00:00:00"/>
    <x v="0"/>
    <x v="2"/>
    <x v="0"/>
  </r>
  <r>
    <n v="1691"/>
    <n v="73634"/>
    <s v="James Sexton"/>
    <x v="1"/>
    <x v="3"/>
    <x v="233"/>
    <d v="2024-06-18T00:00:00"/>
    <n v="10"/>
    <x v="0"/>
    <x v="1"/>
    <n v="4"/>
    <n v="4"/>
    <n v="5"/>
    <n v="2"/>
    <n v="4"/>
    <x v="0"/>
    <n v="2"/>
    <n v="3"/>
    <n v="1"/>
    <n v="3"/>
    <x v="0"/>
    <s v="Email"/>
    <s v="Needs improvement"/>
    <x v="2"/>
    <n v="55"/>
    <d v="2024-09-27T00:00:00"/>
    <x v="2"/>
    <x v="0"/>
    <x v="0"/>
  </r>
  <r>
    <n v="1692"/>
    <n v="34831"/>
    <s v="Kelly Clark"/>
    <x v="1"/>
    <x v="2"/>
    <x v="464"/>
    <d v="2024-10-31T00:00:00"/>
    <n v="9"/>
    <x v="0"/>
    <x v="1"/>
    <n v="1"/>
    <n v="2"/>
    <n v="3"/>
    <n v="4"/>
    <n v="1"/>
    <x v="4"/>
    <n v="2"/>
    <n v="2"/>
    <n v="4"/>
    <n v="3"/>
    <x v="0"/>
    <s v="Email"/>
    <s v="Will visit again"/>
    <x v="2"/>
    <n v="48"/>
    <d v="2024-12-27T00:00:00"/>
    <x v="1"/>
    <x v="9"/>
    <x v="1"/>
  </r>
  <r>
    <n v="1693"/>
    <n v="32106"/>
    <s v="Timothy Saunders"/>
    <x v="2"/>
    <x v="0"/>
    <x v="476"/>
    <d v="2024-05-10T00:00:00"/>
    <n v="4"/>
    <x v="0"/>
    <x v="2"/>
    <n v="2"/>
    <n v="3"/>
    <n v="3"/>
    <n v="4"/>
    <n v="5"/>
    <x v="0"/>
    <n v="4"/>
    <n v="1"/>
    <n v="4"/>
    <n v="4"/>
    <x v="0"/>
    <s v="App Review"/>
    <s v="Will visit again"/>
    <x v="1"/>
    <n v="37"/>
    <d v="2024-05-10T00:00:00"/>
    <x v="1"/>
    <x v="1"/>
    <x v="0"/>
  </r>
  <r>
    <n v="1694"/>
    <n v="86145"/>
    <s v="Thomas Hamilton"/>
    <x v="0"/>
    <x v="0"/>
    <x v="465"/>
    <d v="2023-12-01T00:00:00"/>
    <n v="4"/>
    <x v="0"/>
    <x v="1"/>
    <n v="4"/>
    <n v="2"/>
    <n v="4"/>
    <n v="3"/>
    <n v="3"/>
    <x v="4"/>
    <n v="1"/>
    <n v="1"/>
    <n v="3"/>
    <n v="2"/>
    <x v="0"/>
    <s v="App Review"/>
    <s v="Great stay"/>
    <x v="2"/>
    <n v="56"/>
    <d v="2023-12-01T00:00:00"/>
    <x v="2"/>
    <x v="8"/>
    <x v="1"/>
  </r>
  <r>
    <n v="1695"/>
    <n v="69097"/>
    <s v="Kelly Cook"/>
    <x v="0"/>
    <x v="4"/>
    <x v="494"/>
    <d v="2023-10-26T00:00:00"/>
    <n v="9"/>
    <x v="1"/>
    <x v="1"/>
    <n v="3"/>
    <n v="5"/>
    <n v="5"/>
    <n v="4"/>
    <n v="3"/>
    <x v="1"/>
    <n v="4"/>
    <n v="2"/>
    <n v="5"/>
    <n v="1"/>
    <x v="1"/>
    <s v="Feedback Form"/>
    <s v="Poor service"/>
    <x v="1"/>
    <n v="62"/>
    <d v="2023-10-26T00:00:00"/>
    <x v="2"/>
    <x v="16"/>
    <x v="0"/>
  </r>
  <r>
    <n v="1696"/>
    <n v="80282"/>
    <s v="Gina Wilson"/>
    <x v="4"/>
    <x v="0"/>
    <x v="430"/>
    <d v="2024-03-08T00:00:00"/>
    <n v="5"/>
    <x v="2"/>
    <x v="3"/>
    <n v="5"/>
    <n v="1"/>
    <n v="3"/>
    <n v="4"/>
    <n v="5"/>
    <x v="2"/>
    <n v="1"/>
    <n v="5"/>
    <n v="5"/>
    <n v="4"/>
    <x v="1"/>
    <s v="In-person"/>
    <s v="Needs improvement"/>
    <x v="2"/>
    <n v="43"/>
    <d v="2024-03-08T00:00:00"/>
    <x v="1"/>
    <x v="18"/>
    <x v="0"/>
  </r>
  <r>
    <n v="1697"/>
    <n v="40384"/>
    <s v="Daniel Webb"/>
    <x v="0"/>
    <x v="2"/>
    <x v="85"/>
    <d v="2024-02-29T00:00:00"/>
    <n v="4"/>
    <x v="3"/>
    <x v="1"/>
    <n v="3"/>
    <n v="4"/>
    <n v="3"/>
    <n v="1"/>
    <n v="3"/>
    <x v="3"/>
    <n v="1"/>
    <n v="1"/>
    <n v="2"/>
    <n v="1"/>
    <x v="0"/>
    <s v="Email"/>
    <s v="Poor service"/>
    <x v="0"/>
    <n v="22"/>
    <d v="2024-07-11T00:00:00"/>
    <x v="0"/>
    <x v="9"/>
    <x v="1"/>
  </r>
  <r>
    <n v="1698"/>
    <n v="72754"/>
    <s v="Cheryl Smith"/>
    <x v="3"/>
    <x v="0"/>
    <x v="184"/>
    <d v="2023-08-20T00:00:00"/>
    <n v="7"/>
    <x v="0"/>
    <x v="0"/>
    <n v="3"/>
    <n v="4"/>
    <n v="5"/>
    <n v="3"/>
    <n v="3"/>
    <x v="0"/>
    <n v="5"/>
    <n v="4"/>
    <n v="2"/>
    <n v="2"/>
    <x v="1"/>
    <s v="In-person"/>
    <s v="Poor service"/>
    <x v="1"/>
    <n v="21"/>
    <d v="2023-08-20T00:00:00"/>
    <x v="0"/>
    <x v="13"/>
    <x v="0"/>
  </r>
  <r>
    <n v="1699"/>
    <n v="62563"/>
    <s v="Julia Russell"/>
    <x v="4"/>
    <x v="1"/>
    <x v="178"/>
    <d v="2024-11-26T00:00:00"/>
    <n v="13"/>
    <x v="1"/>
    <x v="4"/>
    <n v="4"/>
    <n v="3"/>
    <n v="5"/>
    <n v="5"/>
    <n v="5"/>
    <x v="0"/>
    <n v="3"/>
    <n v="3"/>
    <n v="4"/>
    <n v="3"/>
    <x v="1"/>
    <s v="Feedback Form"/>
    <s v="Great stay"/>
    <x v="0"/>
    <n v="39"/>
    <d v="2024-11-26T00:00:00"/>
    <x v="1"/>
    <x v="21"/>
    <x v="0"/>
  </r>
  <r>
    <n v="1700"/>
    <n v="26459"/>
    <s v="Harry Weber"/>
    <x v="4"/>
    <x v="0"/>
    <x v="300"/>
    <d v="2024-03-24T00:00:00"/>
    <n v="13"/>
    <x v="3"/>
    <x v="3"/>
    <n v="5"/>
    <n v="1"/>
    <n v="3"/>
    <n v="5"/>
    <n v="2"/>
    <x v="3"/>
    <n v="5"/>
    <n v="4"/>
    <n v="5"/>
    <n v="2"/>
    <x v="1"/>
    <s v="Feedback Form"/>
    <s v="Average"/>
    <x v="0"/>
    <n v="23"/>
    <d v="2024-03-24T00:00:00"/>
    <x v="0"/>
    <x v="11"/>
    <x v="0"/>
  </r>
  <r>
    <n v="1701"/>
    <n v="41288"/>
    <s v="Justin Perez"/>
    <x v="4"/>
    <x v="0"/>
    <x v="512"/>
    <d v="2024-09-05T00:00:00"/>
    <n v="5"/>
    <x v="3"/>
    <x v="3"/>
    <n v="5"/>
    <n v="2"/>
    <n v="5"/>
    <n v="2"/>
    <n v="3"/>
    <x v="4"/>
    <n v="3"/>
    <n v="2"/>
    <n v="3"/>
    <n v="1"/>
    <x v="0"/>
    <s v="App Review"/>
    <s v="Average"/>
    <x v="0"/>
    <n v="54"/>
    <d v="2024-09-05T00:00:00"/>
    <x v="2"/>
    <x v="5"/>
    <x v="1"/>
  </r>
  <r>
    <n v="1702"/>
    <n v="46379"/>
    <s v="Rachel Graham"/>
    <x v="4"/>
    <x v="1"/>
    <x v="82"/>
    <d v="2024-09-18T00:00:00"/>
    <n v="8"/>
    <x v="0"/>
    <x v="3"/>
    <n v="3"/>
    <n v="2"/>
    <n v="1"/>
    <n v="4"/>
    <n v="2"/>
    <x v="2"/>
    <n v="1"/>
    <n v="2"/>
    <n v="5"/>
    <n v="3"/>
    <x v="1"/>
    <s v="App Review"/>
    <s v="Great stay"/>
    <x v="2"/>
    <n v="48"/>
    <d v="2024-09-18T00:00:00"/>
    <x v="1"/>
    <x v="14"/>
    <x v="1"/>
  </r>
  <r>
    <n v="1703"/>
    <n v="83537"/>
    <s v="Karen Marshall DVM"/>
    <x v="0"/>
    <x v="2"/>
    <x v="9"/>
    <d v="2024-01-04T00:00:00"/>
    <n v="3"/>
    <x v="0"/>
    <x v="3"/>
    <n v="4"/>
    <n v="3"/>
    <n v="5"/>
    <n v="1"/>
    <n v="1"/>
    <x v="1"/>
    <n v="5"/>
    <n v="5"/>
    <n v="3"/>
    <n v="4"/>
    <x v="1"/>
    <s v="Email"/>
    <s v="Great stay"/>
    <x v="0"/>
    <n v="22"/>
    <d v="2024-05-30T00:00:00"/>
    <x v="0"/>
    <x v="11"/>
    <x v="0"/>
  </r>
  <r>
    <n v="1704"/>
    <n v="85720"/>
    <s v="David Mills"/>
    <x v="4"/>
    <x v="3"/>
    <x v="567"/>
    <d v="2024-07-08T00:00:00"/>
    <n v="14"/>
    <x v="1"/>
    <x v="2"/>
    <n v="5"/>
    <n v="1"/>
    <n v="2"/>
    <n v="4"/>
    <n v="1"/>
    <x v="3"/>
    <n v="2"/>
    <n v="1"/>
    <n v="2"/>
    <n v="3"/>
    <x v="1"/>
    <s v="In-person"/>
    <s v="Great stay"/>
    <x v="0"/>
    <n v="24"/>
    <d v="2024-12-10T00:00:00"/>
    <x v="0"/>
    <x v="14"/>
    <x v="1"/>
  </r>
  <r>
    <n v="1705"/>
    <n v="22949"/>
    <s v="Wendy Young"/>
    <x v="3"/>
    <x v="4"/>
    <x v="331"/>
    <d v="2023-01-30T00:00:00"/>
    <n v="8"/>
    <x v="0"/>
    <x v="3"/>
    <n v="5"/>
    <n v="3"/>
    <n v="2"/>
    <n v="2"/>
    <n v="3"/>
    <x v="2"/>
    <n v="4"/>
    <n v="1"/>
    <n v="1"/>
    <n v="4"/>
    <x v="1"/>
    <s v="Feedback Form"/>
    <s v="Poor service"/>
    <x v="0"/>
    <n v="22"/>
    <d v="2024-07-16T00:00:00"/>
    <x v="0"/>
    <x v="5"/>
    <x v="1"/>
  </r>
  <r>
    <n v="1706"/>
    <n v="54338"/>
    <s v="Jennifer Schmidt"/>
    <x v="3"/>
    <x v="3"/>
    <x v="434"/>
    <d v="2024-07-13T00:00:00"/>
    <n v="11"/>
    <x v="3"/>
    <x v="2"/>
    <n v="1"/>
    <n v="5"/>
    <n v="3"/>
    <n v="4"/>
    <n v="1"/>
    <x v="0"/>
    <n v="4"/>
    <n v="4"/>
    <n v="5"/>
    <n v="4"/>
    <x v="0"/>
    <s v="App Review"/>
    <s v="Poor service"/>
    <x v="1"/>
    <n v="21"/>
    <d v="2024-07-13T00:00:00"/>
    <x v="0"/>
    <x v="13"/>
    <x v="0"/>
  </r>
  <r>
    <n v="1707"/>
    <n v="81655"/>
    <s v="Jorge Cantu"/>
    <x v="1"/>
    <x v="2"/>
    <x v="227"/>
    <d v="2024-09-01T00:00:00"/>
    <n v="6"/>
    <x v="0"/>
    <x v="2"/>
    <n v="3"/>
    <n v="5"/>
    <n v="3"/>
    <n v="5"/>
    <n v="5"/>
    <x v="2"/>
    <n v="4"/>
    <n v="1"/>
    <n v="2"/>
    <n v="3"/>
    <x v="0"/>
    <s v="In-person"/>
    <s v="Needs improvement"/>
    <x v="1"/>
    <n v="44"/>
    <d v="2024-09-01T00:00:00"/>
    <x v="1"/>
    <x v="1"/>
    <x v="0"/>
  </r>
  <r>
    <n v="1708"/>
    <n v="45162"/>
    <s v="Ryan Griffin"/>
    <x v="3"/>
    <x v="2"/>
    <x v="352"/>
    <d v="2024-12-04T00:00:00"/>
    <n v="14"/>
    <x v="1"/>
    <x v="1"/>
    <n v="2"/>
    <n v="2"/>
    <n v="4"/>
    <n v="3"/>
    <n v="3"/>
    <x v="1"/>
    <n v="3"/>
    <n v="2"/>
    <n v="1"/>
    <n v="3"/>
    <x v="1"/>
    <s v="Feedback Form"/>
    <s v="Great stay"/>
    <x v="1"/>
    <n v="26"/>
    <d v="2024-12-04T00:00:00"/>
    <x v="3"/>
    <x v="3"/>
    <x v="1"/>
  </r>
  <r>
    <n v="1709"/>
    <n v="44184"/>
    <s v="Katherine Anderson"/>
    <x v="1"/>
    <x v="1"/>
    <x v="86"/>
    <d v="2024-11-26T00:00:00"/>
    <n v="13"/>
    <x v="1"/>
    <x v="4"/>
    <n v="3"/>
    <n v="5"/>
    <n v="5"/>
    <n v="4"/>
    <n v="5"/>
    <x v="2"/>
    <n v="4"/>
    <n v="5"/>
    <n v="1"/>
    <n v="1"/>
    <x v="1"/>
    <s v="In-person"/>
    <s v="Poor service"/>
    <x v="1"/>
    <n v="54"/>
    <d v="2024-11-27T00:00:00"/>
    <x v="2"/>
    <x v="18"/>
    <x v="0"/>
  </r>
  <r>
    <n v="1710"/>
    <n v="72662"/>
    <s v="Donald Snow"/>
    <x v="3"/>
    <x v="3"/>
    <x v="649"/>
    <d v="2023-06-12T00:00:00"/>
    <n v="9"/>
    <x v="1"/>
    <x v="1"/>
    <n v="4"/>
    <n v="3"/>
    <n v="2"/>
    <n v="5"/>
    <n v="2"/>
    <x v="0"/>
    <n v="3"/>
    <n v="3"/>
    <n v="2"/>
    <n v="3"/>
    <x v="0"/>
    <s v="Online Survey"/>
    <s v="Average"/>
    <x v="1"/>
    <n v="19"/>
    <d v="2024-10-08T00:00:00"/>
    <x v="0"/>
    <x v="2"/>
    <x v="0"/>
  </r>
  <r>
    <n v="1711"/>
    <n v="83379"/>
    <s v="Jamie Kirby"/>
    <x v="4"/>
    <x v="0"/>
    <x v="204"/>
    <d v="2023-10-25T00:00:00"/>
    <n v="6"/>
    <x v="1"/>
    <x v="2"/>
    <n v="5"/>
    <n v="4"/>
    <n v="4"/>
    <n v="5"/>
    <n v="4"/>
    <x v="1"/>
    <n v="3"/>
    <n v="4"/>
    <n v="2"/>
    <n v="5"/>
    <x v="0"/>
    <s v="Online Survey"/>
    <s v="Great stay"/>
    <x v="1"/>
    <n v="66"/>
    <d v="2023-10-25T00:00:00"/>
    <x v="2"/>
    <x v="23"/>
    <x v="2"/>
  </r>
  <r>
    <n v="1712"/>
    <n v="36805"/>
    <s v="Angela Hays"/>
    <x v="2"/>
    <x v="1"/>
    <x v="155"/>
    <d v="2024-12-07T00:00:00"/>
    <n v="4"/>
    <x v="1"/>
    <x v="1"/>
    <n v="5"/>
    <n v="5"/>
    <n v="3"/>
    <n v="2"/>
    <n v="4"/>
    <x v="1"/>
    <n v="3"/>
    <n v="4"/>
    <n v="2"/>
    <n v="3"/>
    <x v="1"/>
    <s v="App Review"/>
    <s v="Average"/>
    <x v="1"/>
    <n v="36"/>
    <d v="2024-12-07T00:00:00"/>
    <x v="1"/>
    <x v="11"/>
    <x v="0"/>
  </r>
  <r>
    <n v="1713"/>
    <n v="18431"/>
    <s v="Dawn Suarez"/>
    <x v="4"/>
    <x v="1"/>
    <x v="567"/>
    <d v="2024-10-14T00:00:00"/>
    <n v="2"/>
    <x v="0"/>
    <x v="0"/>
    <n v="1"/>
    <n v="3"/>
    <n v="1"/>
    <n v="3"/>
    <n v="3"/>
    <x v="1"/>
    <n v="2"/>
    <n v="3"/>
    <n v="3"/>
    <n v="1"/>
    <x v="1"/>
    <s v="Online Survey"/>
    <s v="Will visit again"/>
    <x v="2"/>
    <n v="56"/>
    <d v="2024-10-14T00:00:00"/>
    <x v="2"/>
    <x v="14"/>
    <x v="1"/>
  </r>
  <r>
    <n v="1714"/>
    <n v="93697"/>
    <s v="Sarah Crawford"/>
    <x v="0"/>
    <x v="4"/>
    <x v="636"/>
    <d v="2024-06-12T00:00:00"/>
    <n v="11"/>
    <x v="2"/>
    <x v="3"/>
    <n v="5"/>
    <n v="4"/>
    <n v="5"/>
    <n v="2"/>
    <n v="5"/>
    <x v="0"/>
    <n v="1"/>
    <n v="2"/>
    <n v="4"/>
    <n v="5"/>
    <x v="1"/>
    <s v="Feedback Form"/>
    <s v="Needs improvement"/>
    <x v="1"/>
    <n v="34"/>
    <d v="2024-06-12T00:00:00"/>
    <x v="3"/>
    <x v="11"/>
    <x v="0"/>
  </r>
  <r>
    <n v="1715"/>
    <n v="38836"/>
    <s v="Theresa Murphy"/>
    <x v="1"/>
    <x v="1"/>
    <x v="650"/>
    <d v="2024-05-08T00:00:00"/>
    <n v="3"/>
    <x v="1"/>
    <x v="3"/>
    <n v="5"/>
    <n v="4"/>
    <n v="4"/>
    <n v="1"/>
    <n v="4"/>
    <x v="4"/>
    <n v="2"/>
    <n v="4"/>
    <n v="4"/>
    <n v="5"/>
    <x v="1"/>
    <s v="App Review"/>
    <s v="Will visit again"/>
    <x v="0"/>
    <n v="34"/>
    <d v="2024-05-08T00:00:00"/>
    <x v="3"/>
    <x v="13"/>
    <x v="0"/>
  </r>
  <r>
    <n v="1716"/>
    <n v="72393"/>
    <s v="Laura Ward"/>
    <x v="2"/>
    <x v="3"/>
    <x v="421"/>
    <d v="2023-08-14T00:00:00"/>
    <n v="7"/>
    <x v="2"/>
    <x v="2"/>
    <n v="2"/>
    <n v="5"/>
    <n v="1"/>
    <n v="3"/>
    <n v="3"/>
    <x v="0"/>
    <n v="1"/>
    <n v="1"/>
    <n v="4"/>
    <n v="2"/>
    <x v="1"/>
    <s v="In-person"/>
    <s v="Needs improvement"/>
    <x v="2"/>
    <n v="65"/>
    <d v="2023-08-14T00:00:00"/>
    <x v="2"/>
    <x v="14"/>
    <x v="1"/>
  </r>
  <r>
    <n v="1717"/>
    <n v="14146"/>
    <s v="Sean Barr"/>
    <x v="3"/>
    <x v="2"/>
    <x v="223"/>
    <d v="2024-06-30T00:00:00"/>
    <n v="10"/>
    <x v="0"/>
    <x v="1"/>
    <n v="3"/>
    <n v="1"/>
    <n v="3"/>
    <n v="1"/>
    <n v="4"/>
    <x v="4"/>
    <n v="2"/>
    <n v="1"/>
    <n v="3"/>
    <n v="5"/>
    <x v="0"/>
    <s v="Email"/>
    <s v="Great stay"/>
    <x v="1"/>
    <n v="57"/>
    <d v="2024-06-30T00:00:00"/>
    <x v="2"/>
    <x v="8"/>
    <x v="1"/>
  </r>
  <r>
    <n v="1718"/>
    <n v="94551"/>
    <s v="Jared Holmes"/>
    <x v="4"/>
    <x v="4"/>
    <x v="500"/>
    <d v="2023-02-16T00:00:00"/>
    <n v="5"/>
    <x v="1"/>
    <x v="0"/>
    <n v="5"/>
    <n v="5"/>
    <n v="2"/>
    <n v="3"/>
    <n v="4"/>
    <x v="4"/>
    <n v="3"/>
    <n v="1"/>
    <n v="2"/>
    <n v="4"/>
    <x v="0"/>
    <s v="Online Survey"/>
    <s v="Needs improvement"/>
    <x v="1"/>
    <n v="68"/>
    <d v="2023-10-08T00:00:00"/>
    <x v="2"/>
    <x v="2"/>
    <x v="0"/>
  </r>
  <r>
    <n v="1719"/>
    <n v="40762"/>
    <s v="Jenna Harris"/>
    <x v="1"/>
    <x v="0"/>
    <x v="172"/>
    <d v="2024-12-03T00:00:00"/>
    <n v="7"/>
    <x v="2"/>
    <x v="0"/>
    <n v="4"/>
    <n v="5"/>
    <n v="4"/>
    <n v="5"/>
    <n v="1"/>
    <x v="0"/>
    <n v="1"/>
    <n v="5"/>
    <n v="4"/>
    <n v="1"/>
    <x v="1"/>
    <s v="Online Survey"/>
    <s v="Poor service"/>
    <x v="0"/>
    <n v="67"/>
    <d v="2024-12-03T00:00:00"/>
    <x v="2"/>
    <x v="1"/>
    <x v="0"/>
  </r>
  <r>
    <n v="1720"/>
    <n v="53970"/>
    <s v="Joyce Armstrong"/>
    <x v="1"/>
    <x v="3"/>
    <x v="481"/>
    <d v="2024-01-26T00:00:00"/>
    <n v="7"/>
    <x v="2"/>
    <x v="0"/>
    <n v="2"/>
    <n v="1"/>
    <n v="4"/>
    <n v="1"/>
    <n v="3"/>
    <x v="2"/>
    <n v="4"/>
    <n v="3"/>
    <n v="3"/>
    <n v="2"/>
    <x v="1"/>
    <s v="App Review"/>
    <s v="Average"/>
    <x v="0"/>
    <n v="41"/>
    <d v="2024-01-26T00:00:00"/>
    <x v="1"/>
    <x v="14"/>
    <x v="1"/>
  </r>
  <r>
    <n v="1721"/>
    <n v="80976"/>
    <s v="Alexis Williams"/>
    <x v="3"/>
    <x v="0"/>
    <x v="116"/>
    <d v="2024-01-09T00:00:00"/>
    <n v="6"/>
    <x v="3"/>
    <x v="2"/>
    <n v="2"/>
    <n v="5"/>
    <n v="3"/>
    <n v="3"/>
    <n v="4"/>
    <x v="0"/>
    <n v="2"/>
    <n v="2"/>
    <n v="3"/>
    <n v="3"/>
    <x v="0"/>
    <s v="Feedback Form"/>
    <s v="Poor service"/>
    <x v="0"/>
    <n v="30"/>
    <d v="2024-01-09T00:00:00"/>
    <x v="3"/>
    <x v="2"/>
    <x v="0"/>
  </r>
  <r>
    <n v="1722"/>
    <n v="95309"/>
    <s v="Samantha Harris"/>
    <x v="1"/>
    <x v="1"/>
    <x v="421"/>
    <d v="2024-07-15T00:00:00"/>
    <n v="2"/>
    <x v="2"/>
    <x v="1"/>
    <n v="1"/>
    <n v="3"/>
    <n v="3"/>
    <n v="3"/>
    <n v="3"/>
    <x v="1"/>
    <n v="1"/>
    <n v="1"/>
    <n v="2"/>
    <n v="5"/>
    <x v="1"/>
    <s v="Online Survey"/>
    <s v="Great stay"/>
    <x v="2"/>
    <n v="45"/>
    <d v="2024-07-15T00:00:00"/>
    <x v="1"/>
    <x v="5"/>
    <x v="1"/>
  </r>
  <r>
    <n v="1723"/>
    <n v="58343"/>
    <s v="Anthony Phillips"/>
    <x v="3"/>
    <x v="3"/>
    <x v="156"/>
    <d v="2024-01-04T00:00:00"/>
    <n v="5"/>
    <x v="3"/>
    <x v="0"/>
    <n v="4"/>
    <n v="1"/>
    <n v="2"/>
    <n v="1"/>
    <n v="1"/>
    <x v="2"/>
    <n v="4"/>
    <n v="1"/>
    <n v="1"/>
    <n v="2"/>
    <x v="0"/>
    <s v="In-person"/>
    <s v="Will visit again"/>
    <x v="2"/>
    <n v="63"/>
    <d v="2024-08-28T00:00:00"/>
    <x v="2"/>
    <x v="25"/>
    <x v="1"/>
  </r>
  <r>
    <n v="1724"/>
    <n v="87804"/>
    <s v="Cheyenne Benson"/>
    <x v="3"/>
    <x v="4"/>
    <x v="101"/>
    <d v="2024-01-15T00:00:00"/>
    <n v="11"/>
    <x v="3"/>
    <x v="0"/>
    <n v="2"/>
    <n v="3"/>
    <n v="2"/>
    <n v="3"/>
    <n v="3"/>
    <x v="3"/>
    <n v="5"/>
    <n v="5"/>
    <n v="3"/>
    <n v="4"/>
    <x v="1"/>
    <s v="Feedback Form"/>
    <s v="Average"/>
    <x v="2"/>
    <n v="67"/>
    <d v="2024-02-27T00:00:00"/>
    <x v="2"/>
    <x v="13"/>
    <x v="0"/>
  </r>
  <r>
    <n v="1725"/>
    <n v="35790"/>
    <s v="Katelyn Cox MD"/>
    <x v="4"/>
    <x v="4"/>
    <x v="54"/>
    <d v="2024-01-15T00:00:00"/>
    <n v="10"/>
    <x v="2"/>
    <x v="1"/>
    <n v="3"/>
    <n v="4"/>
    <n v="2"/>
    <n v="2"/>
    <n v="1"/>
    <x v="3"/>
    <n v="3"/>
    <n v="1"/>
    <n v="5"/>
    <n v="2"/>
    <x v="1"/>
    <s v="Online Survey"/>
    <s v="Great stay"/>
    <x v="2"/>
    <n v="62"/>
    <d v="2024-01-15T00:00:00"/>
    <x v="2"/>
    <x v="5"/>
    <x v="1"/>
  </r>
  <r>
    <n v="1726"/>
    <n v="29945"/>
    <s v="Gina Cruz"/>
    <x v="1"/>
    <x v="0"/>
    <x v="651"/>
    <d v="2023-05-13T00:00:00"/>
    <n v="6"/>
    <x v="3"/>
    <x v="1"/>
    <n v="4"/>
    <n v="1"/>
    <n v="1"/>
    <n v="2"/>
    <n v="4"/>
    <x v="3"/>
    <n v="2"/>
    <n v="5"/>
    <n v="3"/>
    <n v="4"/>
    <x v="0"/>
    <s v="Online Survey"/>
    <s v="Poor service"/>
    <x v="0"/>
    <n v="59"/>
    <d v="2024-01-30T00:00:00"/>
    <x v="2"/>
    <x v="2"/>
    <x v="0"/>
  </r>
  <r>
    <n v="1727"/>
    <n v="31925"/>
    <s v="Emily Howe"/>
    <x v="0"/>
    <x v="2"/>
    <x v="150"/>
    <d v="2024-01-25T00:00:00"/>
    <n v="8"/>
    <x v="2"/>
    <x v="3"/>
    <n v="3"/>
    <n v="4"/>
    <n v="1"/>
    <n v="1"/>
    <n v="4"/>
    <x v="1"/>
    <n v="2"/>
    <n v="3"/>
    <n v="1"/>
    <n v="2"/>
    <x v="0"/>
    <s v="In-person"/>
    <s v="Poor service"/>
    <x v="0"/>
    <n v="31"/>
    <d v="2024-01-25T00:00:00"/>
    <x v="3"/>
    <x v="7"/>
    <x v="1"/>
  </r>
  <r>
    <n v="1728"/>
    <n v="17658"/>
    <s v="Brett Rodriguez"/>
    <x v="0"/>
    <x v="4"/>
    <x v="414"/>
    <d v="2024-08-20T00:00:00"/>
    <n v="1"/>
    <x v="3"/>
    <x v="4"/>
    <n v="1"/>
    <n v="2"/>
    <n v="3"/>
    <n v="5"/>
    <n v="4"/>
    <x v="1"/>
    <n v="5"/>
    <n v="4"/>
    <n v="1"/>
    <n v="2"/>
    <x v="1"/>
    <s v="Online Survey"/>
    <s v="Needs improvement"/>
    <x v="0"/>
    <n v="40"/>
    <d v="2024-08-20T00:00:00"/>
    <x v="1"/>
    <x v="10"/>
    <x v="0"/>
  </r>
  <r>
    <n v="1729"/>
    <n v="35191"/>
    <s v="Alicia Deleon"/>
    <x v="4"/>
    <x v="0"/>
    <x v="170"/>
    <d v="2024-07-26T00:00:00"/>
    <n v="12"/>
    <x v="1"/>
    <x v="4"/>
    <n v="1"/>
    <n v="2"/>
    <n v="4"/>
    <n v="4"/>
    <n v="1"/>
    <x v="4"/>
    <n v="1"/>
    <n v="1"/>
    <n v="5"/>
    <n v="3"/>
    <x v="0"/>
    <s v="Feedback Form"/>
    <s v="Needs improvement"/>
    <x v="0"/>
    <n v="40"/>
    <d v="2024-07-26T00:00:00"/>
    <x v="1"/>
    <x v="9"/>
    <x v="1"/>
  </r>
  <r>
    <n v="1730"/>
    <n v="47426"/>
    <s v="Brian Burnett"/>
    <x v="4"/>
    <x v="2"/>
    <x v="652"/>
    <d v="2024-12-18T00:00:00"/>
    <n v="12"/>
    <x v="1"/>
    <x v="0"/>
    <n v="5"/>
    <n v="3"/>
    <n v="1"/>
    <n v="1"/>
    <n v="2"/>
    <x v="1"/>
    <n v="2"/>
    <n v="1"/>
    <n v="4"/>
    <n v="3"/>
    <x v="0"/>
    <s v="Email"/>
    <s v="Will visit again"/>
    <x v="0"/>
    <n v="27"/>
    <d v="2024-12-18T00:00:00"/>
    <x v="3"/>
    <x v="5"/>
    <x v="1"/>
  </r>
  <r>
    <n v="1731"/>
    <n v="82957"/>
    <s v="Bradley Baker"/>
    <x v="3"/>
    <x v="3"/>
    <x v="110"/>
    <d v="2024-10-22T00:00:00"/>
    <n v="12"/>
    <x v="1"/>
    <x v="1"/>
    <n v="3"/>
    <n v="4"/>
    <n v="3"/>
    <n v="1"/>
    <n v="1"/>
    <x v="4"/>
    <n v="2"/>
    <n v="3"/>
    <n v="3"/>
    <n v="3"/>
    <x v="0"/>
    <s v="Email"/>
    <s v="Needs improvement"/>
    <x v="1"/>
    <n v="55"/>
    <d v="2024-10-22T00:00:00"/>
    <x v="2"/>
    <x v="8"/>
    <x v="1"/>
  </r>
  <r>
    <n v="1732"/>
    <n v="19322"/>
    <s v="John Watson"/>
    <x v="0"/>
    <x v="4"/>
    <x v="105"/>
    <d v="2024-09-10T00:00:00"/>
    <n v="10"/>
    <x v="2"/>
    <x v="3"/>
    <n v="3"/>
    <n v="4"/>
    <n v="1"/>
    <n v="1"/>
    <n v="1"/>
    <x v="3"/>
    <n v="2"/>
    <n v="4"/>
    <n v="2"/>
    <n v="2"/>
    <x v="1"/>
    <s v="Online Survey"/>
    <s v="Needs improvement"/>
    <x v="0"/>
    <n v="66"/>
    <d v="2024-09-10T00:00:00"/>
    <x v="2"/>
    <x v="8"/>
    <x v="1"/>
  </r>
  <r>
    <n v="1733"/>
    <n v="66613"/>
    <s v="David Castillo"/>
    <x v="1"/>
    <x v="4"/>
    <x v="606"/>
    <d v="2024-11-16T00:00:00"/>
    <n v="7"/>
    <x v="2"/>
    <x v="2"/>
    <n v="1"/>
    <n v="1"/>
    <n v="2"/>
    <n v="1"/>
    <n v="5"/>
    <x v="0"/>
    <n v="2"/>
    <n v="5"/>
    <n v="2"/>
    <n v="5"/>
    <x v="1"/>
    <s v="App Review"/>
    <s v="Needs improvement"/>
    <x v="0"/>
    <n v="34"/>
    <d v="2024-11-16T00:00:00"/>
    <x v="3"/>
    <x v="5"/>
    <x v="1"/>
  </r>
  <r>
    <n v="1734"/>
    <n v="32014"/>
    <s v="Dr. Javier Jenkins"/>
    <x v="0"/>
    <x v="0"/>
    <x v="491"/>
    <d v="2024-11-27T00:00:00"/>
    <n v="14"/>
    <x v="0"/>
    <x v="4"/>
    <n v="3"/>
    <n v="2"/>
    <n v="3"/>
    <n v="2"/>
    <n v="4"/>
    <x v="0"/>
    <n v="5"/>
    <n v="4"/>
    <n v="5"/>
    <n v="2"/>
    <x v="0"/>
    <s v="Feedback Form"/>
    <s v="Will visit again"/>
    <x v="1"/>
    <n v="44"/>
    <d v="2024-11-27T00:00:00"/>
    <x v="1"/>
    <x v="1"/>
    <x v="0"/>
  </r>
  <r>
    <n v="1735"/>
    <n v="80891"/>
    <s v="Monica Baker"/>
    <x v="4"/>
    <x v="4"/>
    <x v="653"/>
    <d v="2024-05-26T00:00:00"/>
    <n v="5"/>
    <x v="2"/>
    <x v="4"/>
    <n v="4"/>
    <n v="3"/>
    <n v="2"/>
    <n v="1"/>
    <n v="4"/>
    <x v="1"/>
    <n v="3"/>
    <n v="1"/>
    <n v="1"/>
    <n v="3"/>
    <x v="1"/>
    <s v="Email"/>
    <s v="Great stay"/>
    <x v="2"/>
    <n v="28"/>
    <d v="2024-05-26T00:00:00"/>
    <x v="3"/>
    <x v="5"/>
    <x v="1"/>
  </r>
  <r>
    <n v="1736"/>
    <n v="85249"/>
    <s v="Michael Nichols"/>
    <x v="4"/>
    <x v="0"/>
    <x v="544"/>
    <d v="2024-06-03T00:00:00"/>
    <n v="14"/>
    <x v="0"/>
    <x v="1"/>
    <n v="5"/>
    <n v="3"/>
    <n v="5"/>
    <n v="5"/>
    <n v="5"/>
    <x v="3"/>
    <n v="2"/>
    <n v="3"/>
    <n v="4"/>
    <n v="2"/>
    <x v="0"/>
    <s v="App Review"/>
    <s v="Average"/>
    <x v="0"/>
    <n v="36"/>
    <d v="2024-06-03T00:00:00"/>
    <x v="1"/>
    <x v="21"/>
    <x v="0"/>
  </r>
  <r>
    <n v="1737"/>
    <n v="74322"/>
    <s v="Bruce Baker"/>
    <x v="3"/>
    <x v="4"/>
    <x v="81"/>
    <d v="2024-06-30T00:00:00"/>
    <n v="14"/>
    <x v="0"/>
    <x v="2"/>
    <n v="5"/>
    <n v="1"/>
    <n v="4"/>
    <n v="4"/>
    <n v="2"/>
    <x v="3"/>
    <n v="5"/>
    <n v="2"/>
    <n v="3"/>
    <n v="5"/>
    <x v="0"/>
    <s v="Email"/>
    <s v="Great stay"/>
    <x v="1"/>
    <n v="62"/>
    <d v="2024-06-30T00:00:00"/>
    <x v="2"/>
    <x v="18"/>
    <x v="0"/>
  </r>
  <r>
    <n v="1738"/>
    <n v="30835"/>
    <s v="Greg Webb"/>
    <x v="1"/>
    <x v="0"/>
    <x v="654"/>
    <d v="2024-06-27T00:00:00"/>
    <n v="7"/>
    <x v="1"/>
    <x v="4"/>
    <n v="4"/>
    <n v="1"/>
    <n v="2"/>
    <n v="4"/>
    <n v="3"/>
    <x v="4"/>
    <n v="4"/>
    <n v="3"/>
    <n v="3"/>
    <n v="4"/>
    <x v="0"/>
    <s v="App Review"/>
    <s v="Great stay"/>
    <x v="1"/>
    <n v="61"/>
    <d v="2024-06-27T00:00:00"/>
    <x v="2"/>
    <x v="4"/>
    <x v="1"/>
  </r>
  <r>
    <n v="1739"/>
    <n v="54939"/>
    <s v="Veronica Nash"/>
    <x v="4"/>
    <x v="4"/>
    <x v="192"/>
    <d v="2024-11-04T00:00:00"/>
    <n v="3"/>
    <x v="2"/>
    <x v="3"/>
    <n v="2"/>
    <n v="3"/>
    <n v="4"/>
    <n v="5"/>
    <n v="4"/>
    <x v="4"/>
    <n v="2"/>
    <n v="5"/>
    <n v="3"/>
    <n v="1"/>
    <x v="0"/>
    <s v="Online Survey"/>
    <s v="Great stay"/>
    <x v="1"/>
    <n v="61"/>
    <d v="2024-11-04T00:00:00"/>
    <x v="2"/>
    <x v="2"/>
    <x v="0"/>
  </r>
  <r>
    <n v="1740"/>
    <n v="20086"/>
    <s v="Tanya West"/>
    <x v="1"/>
    <x v="3"/>
    <x v="339"/>
    <d v="2024-04-15T00:00:00"/>
    <n v="4"/>
    <x v="2"/>
    <x v="4"/>
    <n v="3"/>
    <n v="1"/>
    <n v="3"/>
    <n v="1"/>
    <n v="4"/>
    <x v="3"/>
    <n v="1"/>
    <n v="5"/>
    <n v="2"/>
    <n v="3"/>
    <x v="0"/>
    <s v="App Review"/>
    <s v="Poor service"/>
    <x v="1"/>
    <n v="44"/>
    <d v="2024-04-15T00:00:00"/>
    <x v="1"/>
    <x v="5"/>
    <x v="1"/>
  </r>
  <r>
    <n v="1741"/>
    <n v="44283"/>
    <s v="Bradley Bush"/>
    <x v="0"/>
    <x v="3"/>
    <x v="451"/>
    <d v="2024-08-29T00:00:00"/>
    <n v="2"/>
    <x v="0"/>
    <x v="1"/>
    <n v="2"/>
    <n v="4"/>
    <n v="5"/>
    <n v="4"/>
    <n v="1"/>
    <x v="1"/>
    <n v="5"/>
    <n v="1"/>
    <n v="4"/>
    <n v="2"/>
    <x v="1"/>
    <s v="Online Survey"/>
    <s v="Average"/>
    <x v="2"/>
    <n v="53"/>
    <d v="2024-08-29T00:00:00"/>
    <x v="2"/>
    <x v="1"/>
    <x v="0"/>
  </r>
  <r>
    <n v="1742"/>
    <n v="76119"/>
    <s v="William Dunn"/>
    <x v="3"/>
    <x v="0"/>
    <x v="177"/>
    <d v="2023-11-18T00:00:00"/>
    <n v="12"/>
    <x v="0"/>
    <x v="1"/>
    <n v="2"/>
    <n v="3"/>
    <n v="4"/>
    <n v="2"/>
    <n v="2"/>
    <x v="1"/>
    <n v="1"/>
    <n v="3"/>
    <n v="5"/>
    <n v="5"/>
    <x v="1"/>
    <s v="App Review"/>
    <s v="Average"/>
    <x v="2"/>
    <n v="33"/>
    <d v="2024-04-13T00:00:00"/>
    <x v="3"/>
    <x v="10"/>
    <x v="0"/>
  </r>
  <r>
    <n v="1743"/>
    <n v="41860"/>
    <s v="Dr. Sean Morgan"/>
    <x v="0"/>
    <x v="3"/>
    <x v="351"/>
    <d v="2024-01-02T00:00:00"/>
    <n v="6"/>
    <x v="2"/>
    <x v="2"/>
    <n v="3"/>
    <n v="5"/>
    <n v="1"/>
    <n v="4"/>
    <n v="2"/>
    <x v="3"/>
    <n v="3"/>
    <n v="2"/>
    <n v="2"/>
    <n v="3"/>
    <x v="1"/>
    <s v="App Review"/>
    <s v="Poor service"/>
    <x v="2"/>
    <n v="40"/>
    <d v="2024-02-17T00:00:00"/>
    <x v="1"/>
    <x v="4"/>
    <x v="1"/>
  </r>
  <r>
    <n v="1744"/>
    <n v="36622"/>
    <s v="Nancy Goodwin"/>
    <x v="4"/>
    <x v="0"/>
    <x v="655"/>
    <d v="2024-06-04T00:00:00"/>
    <n v="5"/>
    <x v="0"/>
    <x v="4"/>
    <n v="1"/>
    <n v="2"/>
    <n v="3"/>
    <n v="5"/>
    <n v="2"/>
    <x v="0"/>
    <n v="4"/>
    <n v="3"/>
    <n v="1"/>
    <n v="3"/>
    <x v="1"/>
    <s v="App Review"/>
    <s v="Poor service"/>
    <x v="0"/>
    <n v="50"/>
    <d v="2024-06-04T00:00:00"/>
    <x v="1"/>
    <x v="5"/>
    <x v="1"/>
  </r>
  <r>
    <n v="1745"/>
    <n v="59271"/>
    <s v="Sean Sexton"/>
    <x v="4"/>
    <x v="0"/>
    <x v="94"/>
    <d v="2023-05-07T00:00:00"/>
    <n v="1"/>
    <x v="2"/>
    <x v="2"/>
    <n v="3"/>
    <n v="2"/>
    <n v="5"/>
    <n v="4"/>
    <n v="2"/>
    <x v="0"/>
    <n v="1"/>
    <n v="5"/>
    <n v="4"/>
    <n v="4"/>
    <x v="0"/>
    <s v="Feedback Form"/>
    <s v="Needs improvement"/>
    <x v="1"/>
    <n v="69"/>
    <d v="2023-06-05T00:00:00"/>
    <x v="2"/>
    <x v="1"/>
    <x v="0"/>
  </r>
  <r>
    <n v="1746"/>
    <n v="62436"/>
    <s v="Walter Williams"/>
    <x v="1"/>
    <x v="1"/>
    <x v="386"/>
    <d v="2024-06-28T00:00:00"/>
    <n v="1"/>
    <x v="2"/>
    <x v="4"/>
    <n v="1"/>
    <n v="5"/>
    <n v="1"/>
    <n v="5"/>
    <n v="5"/>
    <x v="4"/>
    <n v="2"/>
    <n v="3"/>
    <n v="1"/>
    <n v="1"/>
    <x v="1"/>
    <s v="Email"/>
    <s v="Poor service"/>
    <x v="0"/>
    <n v="39"/>
    <d v="2024-06-28T00:00:00"/>
    <x v="1"/>
    <x v="14"/>
    <x v="1"/>
  </r>
  <r>
    <n v="1747"/>
    <n v="50676"/>
    <s v="Gina Mccarty"/>
    <x v="4"/>
    <x v="3"/>
    <x v="128"/>
    <d v="2024-07-17T00:00:00"/>
    <n v="8"/>
    <x v="3"/>
    <x v="0"/>
    <n v="4"/>
    <n v="5"/>
    <n v="1"/>
    <n v="1"/>
    <n v="1"/>
    <x v="3"/>
    <n v="5"/>
    <n v="1"/>
    <n v="3"/>
    <n v="2"/>
    <x v="0"/>
    <s v="App Review"/>
    <s v="Will visit again"/>
    <x v="1"/>
    <n v="31"/>
    <d v="2024-07-17T00:00:00"/>
    <x v="3"/>
    <x v="5"/>
    <x v="1"/>
  </r>
  <r>
    <n v="1748"/>
    <n v="62406"/>
    <s v="Lisa Nelson"/>
    <x v="1"/>
    <x v="1"/>
    <x v="626"/>
    <d v="2024-12-03T00:00:00"/>
    <n v="8"/>
    <x v="0"/>
    <x v="4"/>
    <n v="1"/>
    <n v="4"/>
    <n v="5"/>
    <n v="4"/>
    <n v="5"/>
    <x v="0"/>
    <n v="4"/>
    <n v="5"/>
    <n v="2"/>
    <n v="2"/>
    <x v="0"/>
    <s v="Online Survey"/>
    <s v="Poor service"/>
    <x v="1"/>
    <n v="30"/>
    <d v="2024-12-03T00:00:00"/>
    <x v="3"/>
    <x v="18"/>
    <x v="0"/>
  </r>
  <r>
    <n v="1749"/>
    <n v="73109"/>
    <s v="Kristen Johns"/>
    <x v="2"/>
    <x v="1"/>
    <x v="386"/>
    <d v="2024-08-01T00:00:00"/>
    <n v="6"/>
    <x v="1"/>
    <x v="1"/>
    <n v="2"/>
    <n v="3"/>
    <n v="2"/>
    <n v="5"/>
    <n v="5"/>
    <x v="1"/>
    <n v="5"/>
    <n v="3"/>
    <n v="4"/>
    <n v="3"/>
    <x v="0"/>
    <s v="App Review"/>
    <s v="Needs improvement"/>
    <x v="2"/>
    <n v="39"/>
    <d v="2024-08-01T00:00:00"/>
    <x v="1"/>
    <x v="16"/>
    <x v="0"/>
  </r>
  <r>
    <n v="1750"/>
    <n v="40173"/>
    <s v="Barbara Russell"/>
    <x v="4"/>
    <x v="4"/>
    <x v="495"/>
    <d v="2024-06-27T00:00:00"/>
    <n v="11"/>
    <x v="2"/>
    <x v="1"/>
    <n v="2"/>
    <n v="1"/>
    <n v="5"/>
    <n v="2"/>
    <n v="3"/>
    <x v="2"/>
    <n v="4"/>
    <n v="3"/>
    <n v="2"/>
    <n v="5"/>
    <x v="1"/>
    <s v="Feedback Form"/>
    <s v="Poor service"/>
    <x v="2"/>
    <n v="24"/>
    <d v="2024-06-27T00:00:00"/>
    <x v="0"/>
    <x v="4"/>
    <x v="1"/>
  </r>
  <r>
    <n v="1751"/>
    <n v="91791"/>
    <s v="Kathleen Stevenson"/>
    <x v="0"/>
    <x v="0"/>
    <x v="558"/>
    <d v="2024-01-12T00:00:00"/>
    <n v="9"/>
    <x v="0"/>
    <x v="0"/>
    <n v="2"/>
    <n v="2"/>
    <n v="5"/>
    <n v="2"/>
    <n v="1"/>
    <x v="2"/>
    <n v="1"/>
    <n v="1"/>
    <n v="4"/>
    <n v="3"/>
    <x v="1"/>
    <s v="Feedback Form"/>
    <s v="Will visit again"/>
    <x v="0"/>
    <n v="55"/>
    <d v="2024-01-12T00:00:00"/>
    <x v="2"/>
    <x v="9"/>
    <x v="1"/>
  </r>
  <r>
    <n v="1752"/>
    <n v="14459"/>
    <s v="Laura Byrd"/>
    <x v="0"/>
    <x v="2"/>
    <x v="308"/>
    <d v="2024-01-01T00:00:00"/>
    <n v="1"/>
    <x v="0"/>
    <x v="4"/>
    <n v="1"/>
    <n v="5"/>
    <n v="5"/>
    <n v="3"/>
    <n v="2"/>
    <x v="3"/>
    <n v="3"/>
    <n v="1"/>
    <n v="3"/>
    <n v="4"/>
    <x v="0"/>
    <s v="Feedback Form"/>
    <s v="Poor service"/>
    <x v="1"/>
    <n v="18"/>
    <d v="2024-10-07T00:00:00"/>
    <x v="0"/>
    <x v="0"/>
    <x v="0"/>
  </r>
  <r>
    <n v="1753"/>
    <n v="97485"/>
    <s v="Jared Dunn"/>
    <x v="1"/>
    <x v="1"/>
    <x v="395"/>
    <d v="2023-08-21T00:00:00"/>
    <n v="10"/>
    <x v="0"/>
    <x v="4"/>
    <n v="2"/>
    <n v="3"/>
    <n v="4"/>
    <n v="4"/>
    <n v="1"/>
    <x v="4"/>
    <n v="5"/>
    <n v="3"/>
    <n v="4"/>
    <n v="1"/>
    <x v="1"/>
    <s v="App Review"/>
    <s v="Great stay"/>
    <x v="1"/>
    <n v="68"/>
    <d v="2023-08-21T00:00:00"/>
    <x v="2"/>
    <x v="3"/>
    <x v="1"/>
  </r>
  <r>
    <n v="1754"/>
    <n v="77504"/>
    <s v="Russell Walker DDS"/>
    <x v="2"/>
    <x v="4"/>
    <x v="287"/>
    <d v="2024-11-21T00:00:00"/>
    <n v="8"/>
    <x v="2"/>
    <x v="1"/>
    <n v="5"/>
    <n v="1"/>
    <n v="2"/>
    <n v="1"/>
    <n v="2"/>
    <x v="2"/>
    <n v="2"/>
    <n v="2"/>
    <n v="3"/>
    <n v="4"/>
    <x v="1"/>
    <s v="App Review"/>
    <s v="Average"/>
    <x v="0"/>
    <n v="50"/>
    <d v="2024-11-21T00:00:00"/>
    <x v="1"/>
    <x v="8"/>
    <x v="1"/>
  </r>
  <r>
    <n v="1755"/>
    <n v="45299"/>
    <s v="Michael Lee"/>
    <x v="4"/>
    <x v="3"/>
    <x v="213"/>
    <d v="2024-11-01T00:00:00"/>
    <n v="2"/>
    <x v="2"/>
    <x v="0"/>
    <n v="3"/>
    <n v="2"/>
    <n v="3"/>
    <n v="3"/>
    <n v="3"/>
    <x v="1"/>
    <n v="5"/>
    <n v="5"/>
    <n v="2"/>
    <n v="5"/>
    <x v="0"/>
    <s v="App Review"/>
    <s v="Will visit again"/>
    <x v="2"/>
    <n v="39"/>
    <d v="2024-12-12T00:00:00"/>
    <x v="1"/>
    <x v="11"/>
    <x v="0"/>
  </r>
  <r>
    <n v="1756"/>
    <n v="61081"/>
    <s v="Gregory Hurst"/>
    <x v="3"/>
    <x v="2"/>
    <x v="171"/>
    <d v="2024-12-03T00:00:00"/>
    <n v="8"/>
    <x v="2"/>
    <x v="1"/>
    <n v="2"/>
    <n v="3"/>
    <n v="1"/>
    <n v="4"/>
    <n v="4"/>
    <x v="1"/>
    <n v="3"/>
    <n v="3"/>
    <n v="2"/>
    <n v="2"/>
    <x v="1"/>
    <s v="Email"/>
    <s v="Will visit again"/>
    <x v="1"/>
    <n v="40"/>
    <d v="2024-12-03T00:00:00"/>
    <x v="1"/>
    <x v="4"/>
    <x v="1"/>
  </r>
  <r>
    <n v="1757"/>
    <n v="84491"/>
    <s v="Joe Adams"/>
    <x v="3"/>
    <x v="0"/>
    <x v="656"/>
    <d v="2024-04-25T00:00:00"/>
    <n v="3"/>
    <x v="0"/>
    <x v="0"/>
    <n v="1"/>
    <n v="2"/>
    <n v="4"/>
    <n v="2"/>
    <n v="5"/>
    <x v="1"/>
    <n v="1"/>
    <n v="1"/>
    <n v="2"/>
    <n v="5"/>
    <x v="1"/>
    <s v="App Review"/>
    <s v="Will visit again"/>
    <x v="1"/>
    <n v="32"/>
    <d v="2024-09-30T00:00:00"/>
    <x v="3"/>
    <x v="3"/>
    <x v="1"/>
  </r>
  <r>
    <n v="1758"/>
    <n v="64428"/>
    <s v="Micheal Russell"/>
    <x v="0"/>
    <x v="4"/>
    <x v="417"/>
    <d v="2023-11-03T00:00:00"/>
    <n v="6"/>
    <x v="1"/>
    <x v="1"/>
    <n v="2"/>
    <n v="4"/>
    <n v="2"/>
    <n v="1"/>
    <n v="3"/>
    <x v="2"/>
    <n v="2"/>
    <n v="5"/>
    <n v="3"/>
    <n v="4"/>
    <x v="1"/>
    <s v="In-person"/>
    <s v="Great stay"/>
    <x v="1"/>
    <n v="61"/>
    <d v="2023-11-03T00:00:00"/>
    <x v="2"/>
    <x v="3"/>
    <x v="1"/>
  </r>
  <r>
    <n v="1759"/>
    <n v="64877"/>
    <s v="Wendy Carroll"/>
    <x v="4"/>
    <x v="2"/>
    <x v="302"/>
    <d v="2024-03-14T00:00:00"/>
    <n v="7"/>
    <x v="3"/>
    <x v="3"/>
    <n v="1"/>
    <n v="2"/>
    <n v="5"/>
    <n v="2"/>
    <n v="5"/>
    <x v="0"/>
    <n v="2"/>
    <n v="1"/>
    <n v="1"/>
    <n v="2"/>
    <x v="0"/>
    <s v="Feedback Form"/>
    <s v="Great stay"/>
    <x v="2"/>
    <n v="32"/>
    <d v="2024-12-22T00:00:00"/>
    <x v="3"/>
    <x v="8"/>
    <x v="1"/>
  </r>
  <r>
    <n v="1760"/>
    <n v="38387"/>
    <s v="Ashley Price"/>
    <x v="3"/>
    <x v="0"/>
    <x v="576"/>
    <d v="2024-03-01T00:00:00"/>
    <n v="3"/>
    <x v="1"/>
    <x v="4"/>
    <n v="3"/>
    <n v="4"/>
    <n v="4"/>
    <n v="4"/>
    <n v="2"/>
    <x v="1"/>
    <n v="1"/>
    <n v="5"/>
    <n v="1"/>
    <n v="1"/>
    <x v="0"/>
    <s v="App Review"/>
    <s v="Average"/>
    <x v="2"/>
    <n v="48"/>
    <d v="2024-09-27T00:00:00"/>
    <x v="1"/>
    <x v="2"/>
    <x v="0"/>
  </r>
  <r>
    <n v="1761"/>
    <n v="41084"/>
    <s v="Heather Fowler"/>
    <x v="1"/>
    <x v="0"/>
    <x v="44"/>
    <d v="2024-09-08T00:00:00"/>
    <n v="14"/>
    <x v="2"/>
    <x v="2"/>
    <n v="1"/>
    <n v="4"/>
    <n v="4"/>
    <n v="1"/>
    <n v="2"/>
    <x v="4"/>
    <n v="5"/>
    <n v="3"/>
    <n v="4"/>
    <n v="3"/>
    <x v="1"/>
    <s v="Email"/>
    <s v="Needs improvement"/>
    <x v="0"/>
    <n v="45"/>
    <d v="2024-09-08T00:00:00"/>
    <x v="1"/>
    <x v="3"/>
    <x v="1"/>
  </r>
  <r>
    <n v="1762"/>
    <n v="10901"/>
    <s v="Lauren Cooper"/>
    <x v="4"/>
    <x v="2"/>
    <x v="651"/>
    <d v="2024-03-12T00:00:00"/>
    <n v="2"/>
    <x v="2"/>
    <x v="3"/>
    <n v="3"/>
    <n v="4"/>
    <n v="1"/>
    <n v="1"/>
    <n v="3"/>
    <x v="3"/>
    <n v="2"/>
    <n v="4"/>
    <n v="2"/>
    <n v="1"/>
    <x v="1"/>
    <s v="Online Survey"/>
    <s v="Average"/>
    <x v="2"/>
    <n v="20"/>
    <d v="2024-03-12T00:00:00"/>
    <x v="0"/>
    <x v="14"/>
    <x v="1"/>
  </r>
  <r>
    <n v="1763"/>
    <n v="40905"/>
    <s v="Jessica Matthews"/>
    <x v="0"/>
    <x v="4"/>
    <x v="632"/>
    <d v="2024-06-08T00:00:00"/>
    <n v="1"/>
    <x v="2"/>
    <x v="1"/>
    <n v="2"/>
    <n v="1"/>
    <n v="3"/>
    <n v="3"/>
    <n v="4"/>
    <x v="3"/>
    <n v="5"/>
    <n v="4"/>
    <n v="1"/>
    <n v="3"/>
    <x v="1"/>
    <s v="Feedback Form"/>
    <s v="Will visit again"/>
    <x v="2"/>
    <n v="59"/>
    <d v="2024-06-08T00:00:00"/>
    <x v="2"/>
    <x v="2"/>
    <x v="0"/>
  </r>
  <r>
    <n v="1764"/>
    <n v="48733"/>
    <s v="Keith Arroyo Jr."/>
    <x v="2"/>
    <x v="2"/>
    <x v="30"/>
    <d v="2024-10-17T00:00:00"/>
    <n v="14"/>
    <x v="1"/>
    <x v="0"/>
    <n v="5"/>
    <n v="1"/>
    <n v="2"/>
    <n v="1"/>
    <n v="4"/>
    <x v="3"/>
    <n v="5"/>
    <n v="5"/>
    <n v="5"/>
    <n v="1"/>
    <x v="1"/>
    <s v="App Review"/>
    <s v="Will visit again"/>
    <x v="0"/>
    <n v="42"/>
    <d v="2024-10-17T00:00:00"/>
    <x v="1"/>
    <x v="1"/>
    <x v="0"/>
  </r>
  <r>
    <n v="1765"/>
    <n v="40999"/>
    <s v="Lisa Fisher"/>
    <x v="1"/>
    <x v="1"/>
    <x v="577"/>
    <d v="2024-05-21T00:00:00"/>
    <n v="5"/>
    <x v="1"/>
    <x v="2"/>
    <n v="2"/>
    <n v="4"/>
    <n v="2"/>
    <n v="4"/>
    <n v="5"/>
    <x v="0"/>
    <n v="1"/>
    <n v="1"/>
    <n v="2"/>
    <n v="2"/>
    <x v="1"/>
    <s v="App Review"/>
    <s v="Will visit again"/>
    <x v="0"/>
    <n v="50"/>
    <d v="2024-11-14T00:00:00"/>
    <x v="1"/>
    <x v="7"/>
    <x v="1"/>
  </r>
  <r>
    <n v="1766"/>
    <n v="66584"/>
    <s v="Bryan Lee"/>
    <x v="1"/>
    <x v="0"/>
    <x v="475"/>
    <d v="2024-03-28T00:00:00"/>
    <n v="1"/>
    <x v="2"/>
    <x v="0"/>
    <n v="3"/>
    <n v="3"/>
    <n v="2"/>
    <n v="5"/>
    <n v="2"/>
    <x v="3"/>
    <n v="3"/>
    <n v="1"/>
    <n v="5"/>
    <n v="2"/>
    <x v="1"/>
    <s v="Online Survey"/>
    <s v="Average"/>
    <x v="1"/>
    <n v="50"/>
    <d v="2024-03-28T00:00:00"/>
    <x v="1"/>
    <x v="2"/>
    <x v="0"/>
  </r>
  <r>
    <n v="1767"/>
    <n v="11693"/>
    <s v="Shannon Carter"/>
    <x v="4"/>
    <x v="3"/>
    <x v="562"/>
    <d v="2024-02-19T00:00:00"/>
    <n v="1"/>
    <x v="3"/>
    <x v="0"/>
    <n v="4"/>
    <n v="4"/>
    <n v="5"/>
    <n v="5"/>
    <n v="2"/>
    <x v="3"/>
    <n v="3"/>
    <n v="1"/>
    <n v="1"/>
    <n v="2"/>
    <x v="0"/>
    <s v="Email"/>
    <s v="Needs improvement"/>
    <x v="2"/>
    <n v="40"/>
    <d v="2024-02-19T00:00:00"/>
    <x v="1"/>
    <x v="0"/>
    <x v="0"/>
  </r>
  <r>
    <n v="1768"/>
    <n v="65647"/>
    <s v="Christie Bush"/>
    <x v="2"/>
    <x v="2"/>
    <x v="454"/>
    <d v="2023-09-18T00:00:00"/>
    <n v="5"/>
    <x v="3"/>
    <x v="4"/>
    <n v="4"/>
    <n v="3"/>
    <n v="5"/>
    <n v="1"/>
    <n v="4"/>
    <x v="2"/>
    <n v="5"/>
    <n v="3"/>
    <n v="3"/>
    <n v="3"/>
    <x v="1"/>
    <s v="In-person"/>
    <s v="Needs improvement"/>
    <x v="0"/>
    <n v="45"/>
    <d v="2023-09-18T00:00:00"/>
    <x v="1"/>
    <x v="1"/>
    <x v="0"/>
  </r>
  <r>
    <n v="1769"/>
    <n v="44897"/>
    <s v="Antonio King"/>
    <x v="1"/>
    <x v="2"/>
    <x v="503"/>
    <d v="2023-12-18T00:00:00"/>
    <n v="3"/>
    <x v="0"/>
    <x v="1"/>
    <n v="4"/>
    <n v="2"/>
    <n v="4"/>
    <n v="5"/>
    <n v="2"/>
    <x v="0"/>
    <n v="1"/>
    <n v="5"/>
    <n v="5"/>
    <n v="2"/>
    <x v="0"/>
    <s v="Online Survey"/>
    <s v="Average"/>
    <x v="0"/>
    <n v="33"/>
    <d v="2023-12-18T00:00:00"/>
    <x v="3"/>
    <x v="1"/>
    <x v="0"/>
  </r>
  <r>
    <n v="1770"/>
    <n v="46779"/>
    <s v="Victoria Contreras"/>
    <x v="2"/>
    <x v="0"/>
    <x v="657"/>
    <d v="2024-12-09T00:00:00"/>
    <n v="10"/>
    <x v="1"/>
    <x v="4"/>
    <n v="2"/>
    <n v="1"/>
    <n v="3"/>
    <n v="4"/>
    <n v="2"/>
    <x v="0"/>
    <n v="3"/>
    <n v="3"/>
    <n v="5"/>
    <n v="5"/>
    <x v="1"/>
    <s v="Email"/>
    <s v="Will visit again"/>
    <x v="1"/>
    <n v="54"/>
    <d v="2024-12-09T00:00:00"/>
    <x v="2"/>
    <x v="0"/>
    <x v="0"/>
  </r>
  <r>
    <n v="1771"/>
    <n v="11365"/>
    <s v="Alexis Robertson"/>
    <x v="0"/>
    <x v="0"/>
    <x v="49"/>
    <d v="2023-09-23T00:00:00"/>
    <n v="3"/>
    <x v="3"/>
    <x v="0"/>
    <n v="1"/>
    <n v="3"/>
    <n v="1"/>
    <n v="3"/>
    <n v="3"/>
    <x v="2"/>
    <n v="5"/>
    <n v="4"/>
    <n v="2"/>
    <n v="3"/>
    <x v="0"/>
    <s v="Email"/>
    <s v="Average"/>
    <x v="2"/>
    <n v="22"/>
    <d v="2023-09-23T00:00:00"/>
    <x v="0"/>
    <x v="5"/>
    <x v="1"/>
  </r>
  <r>
    <n v="1772"/>
    <n v="18387"/>
    <s v="Gwendolyn Mendoza"/>
    <x v="1"/>
    <x v="2"/>
    <x v="337"/>
    <d v="2024-10-20T00:00:00"/>
    <n v="11"/>
    <x v="2"/>
    <x v="4"/>
    <n v="5"/>
    <n v="3"/>
    <n v="1"/>
    <n v="2"/>
    <n v="4"/>
    <x v="4"/>
    <n v="2"/>
    <n v="4"/>
    <n v="4"/>
    <n v="2"/>
    <x v="0"/>
    <s v="App Review"/>
    <s v="Average"/>
    <x v="1"/>
    <n v="60"/>
    <d v="2024-10-20T00:00:00"/>
    <x v="2"/>
    <x v="3"/>
    <x v="1"/>
  </r>
  <r>
    <n v="1773"/>
    <n v="81739"/>
    <s v="Jessica Bond"/>
    <x v="3"/>
    <x v="3"/>
    <x v="513"/>
    <d v="2023-09-21T00:00:00"/>
    <n v="7"/>
    <x v="1"/>
    <x v="3"/>
    <n v="5"/>
    <n v="3"/>
    <n v="3"/>
    <n v="2"/>
    <n v="4"/>
    <x v="3"/>
    <n v="2"/>
    <n v="1"/>
    <n v="3"/>
    <n v="2"/>
    <x v="0"/>
    <s v="App Review"/>
    <s v="Poor service"/>
    <x v="2"/>
    <n v="28"/>
    <d v="2024-05-24T00:00:00"/>
    <x v="3"/>
    <x v="4"/>
    <x v="1"/>
  </r>
  <r>
    <n v="1774"/>
    <n v="42918"/>
    <s v="Sarah Ross"/>
    <x v="0"/>
    <x v="0"/>
    <x v="478"/>
    <d v="2024-12-13T00:00:00"/>
    <n v="3"/>
    <x v="0"/>
    <x v="0"/>
    <n v="2"/>
    <n v="5"/>
    <n v="2"/>
    <n v="4"/>
    <n v="1"/>
    <x v="4"/>
    <n v="4"/>
    <n v="1"/>
    <n v="2"/>
    <n v="1"/>
    <x v="1"/>
    <s v="Feedback Form"/>
    <s v="Poor service"/>
    <x v="0"/>
    <n v="29"/>
    <d v="2024-12-13T00:00:00"/>
    <x v="3"/>
    <x v="9"/>
    <x v="1"/>
  </r>
  <r>
    <n v="1775"/>
    <n v="15180"/>
    <s v="Michelle Rojas"/>
    <x v="0"/>
    <x v="0"/>
    <x v="155"/>
    <d v="2024-12-01T00:00:00"/>
    <n v="2"/>
    <x v="0"/>
    <x v="0"/>
    <n v="3"/>
    <n v="1"/>
    <n v="3"/>
    <n v="3"/>
    <n v="4"/>
    <x v="2"/>
    <n v="4"/>
    <n v="5"/>
    <n v="2"/>
    <n v="5"/>
    <x v="0"/>
    <s v="App Review"/>
    <s v="Great stay"/>
    <x v="1"/>
    <n v="38"/>
    <d v="2024-12-01T00:00:00"/>
    <x v="1"/>
    <x v="10"/>
    <x v="0"/>
  </r>
  <r>
    <n v="1776"/>
    <n v="40342"/>
    <s v="Joseph Padilla"/>
    <x v="1"/>
    <x v="1"/>
    <x v="92"/>
    <d v="2024-09-10T00:00:00"/>
    <n v="3"/>
    <x v="1"/>
    <x v="3"/>
    <n v="2"/>
    <n v="5"/>
    <n v="1"/>
    <n v="4"/>
    <n v="4"/>
    <x v="2"/>
    <n v="4"/>
    <n v="4"/>
    <n v="1"/>
    <n v="5"/>
    <x v="0"/>
    <s v="App Review"/>
    <s v="Great stay"/>
    <x v="2"/>
    <n v="35"/>
    <d v="2024-09-10T00:00:00"/>
    <x v="3"/>
    <x v="10"/>
    <x v="0"/>
  </r>
  <r>
    <n v="1777"/>
    <n v="66246"/>
    <s v="Jesus Watkins"/>
    <x v="3"/>
    <x v="4"/>
    <x v="641"/>
    <d v="2024-10-18T00:00:00"/>
    <n v="11"/>
    <x v="2"/>
    <x v="0"/>
    <n v="4"/>
    <n v="2"/>
    <n v="5"/>
    <n v="1"/>
    <n v="1"/>
    <x v="2"/>
    <n v="3"/>
    <n v="5"/>
    <n v="4"/>
    <n v="3"/>
    <x v="0"/>
    <s v="Email"/>
    <s v="Average"/>
    <x v="0"/>
    <n v="31"/>
    <d v="2024-10-18T00:00:00"/>
    <x v="3"/>
    <x v="2"/>
    <x v="0"/>
  </r>
  <r>
    <n v="1778"/>
    <n v="62476"/>
    <s v="Kathleen Carpenter"/>
    <x v="2"/>
    <x v="1"/>
    <x v="294"/>
    <d v="2024-12-12T00:00:00"/>
    <n v="4"/>
    <x v="3"/>
    <x v="2"/>
    <n v="3"/>
    <n v="3"/>
    <n v="3"/>
    <n v="3"/>
    <n v="2"/>
    <x v="2"/>
    <n v="2"/>
    <n v="4"/>
    <n v="4"/>
    <n v="5"/>
    <x v="0"/>
    <s v="App Review"/>
    <s v="Poor service"/>
    <x v="1"/>
    <n v="50"/>
    <d v="2024-12-12T00:00:00"/>
    <x v="1"/>
    <x v="0"/>
    <x v="0"/>
  </r>
  <r>
    <n v="1779"/>
    <n v="60106"/>
    <s v="Gary Johnson"/>
    <x v="3"/>
    <x v="3"/>
    <x v="105"/>
    <d v="2024-09-10T00:00:00"/>
    <n v="9"/>
    <x v="1"/>
    <x v="2"/>
    <n v="5"/>
    <n v="1"/>
    <n v="4"/>
    <n v="5"/>
    <n v="2"/>
    <x v="1"/>
    <n v="2"/>
    <n v="2"/>
    <n v="3"/>
    <n v="2"/>
    <x v="1"/>
    <s v="App Review"/>
    <s v="Will visit again"/>
    <x v="1"/>
    <n v="38"/>
    <d v="2024-09-10T00:00:00"/>
    <x v="1"/>
    <x v="0"/>
    <x v="0"/>
  </r>
  <r>
    <n v="1780"/>
    <n v="54649"/>
    <s v="Richard Lopez"/>
    <x v="0"/>
    <x v="4"/>
    <x v="190"/>
    <d v="2024-12-27T00:00:00"/>
    <n v="12"/>
    <x v="2"/>
    <x v="1"/>
    <n v="2"/>
    <n v="1"/>
    <n v="5"/>
    <n v="1"/>
    <n v="5"/>
    <x v="2"/>
    <n v="3"/>
    <n v="5"/>
    <n v="3"/>
    <n v="3"/>
    <x v="0"/>
    <s v="App Review"/>
    <s v="Great stay"/>
    <x v="0"/>
    <n v="43"/>
    <d v="2024-12-27T00:00:00"/>
    <x v="1"/>
    <x v="2"/>
    <x v="0"/>
  </r>
  <r>
    <n v="1781"/>
    <n v="82936"/>
    <s v="Anna Young"/>
    <x v="1"/>
    <x v="2"/>
    <x v="449"/>
    <d v="2024-02-27T00:00:00"/>
    <n v="2"/>
    <x v="1"/>
    <x v="1"/>
    <n v="1"/>
    <n v="1"/>
    <n v="4"/>
    <n v="5"/>
    <n v="2"/>
    <x v="4"/>
    <n v="2"/>
    <n v="2"/>
    <n v="4"/>
    <n v="4"/>
    <x v="0"/>
    <s v="In-person"/>
    <s v="Will visit again"/>
    <x v="2"/>
    <n v="42"/>
    <d v="2024-02-27T00:00:00"/>
    <x v="1"/>
    <x v="7"/>
    <x v="1"/>
  </r>
  <r>
    <n v="1782"/>
    <n v="53908"/>
    <s v="Cole Walters"/>
    <x v="3"/>
    <x v="3"/>
    <x v="211"/>
    <d v="2024-10-14T00:00:00"/>
    <n v="14"/>
    <x v="0"/>
    <x v="4"/>
    <n v="1"/>
    <n v="3"/>
    <n v="4"/>
    <n v="1"/>
    <n v="4"/>
    <x v="2"/>
    <n v="2"/>
    <n v="3"/>
    <n v="5"/>
    <n v="1"/>
    <x v="0"/>
    <s v="In-person"/>
    <s v="Will visit again"/>
    <x v="2"/>
    <n v="57"/>
    <d v="2024-10-14T00:00:00"/>
    <x v="2"/>
    <x v="7"/>
    <x v="1"/>
  </r>
  <r>
    <n v="1783"/>
    <n v="37817"/>
    <s v="Rebecca Johnson"/>
    <x v="3"/>
    <x v="3"/>
    <x v="658"/>
    <d v="2023-11-29T00:00:00"/>
    <n v="6"/>
    <x v="1"/>
    <x v="4"/>
    <n v="5"/>
    <n v="4"/>
    <n v="3"/>
    <n v="1"/>
    <n v="5"/>
    <x v="4"/>
    <n v="5"/>
    <n v="4"/>
    <n v="5"/>
    <n v="1"/>
    <x v="0"/>
    <s v="Feedback Form"/>
    <s v="Great stay"/>
    <x v="1"/>
    <n v="42"/>
    <d v="2023-11-29T00:00:00"/>
    <x v="1"/>
    <x v="13"/>
    <x v="0"/>
  </r>
  <r>
    <n v="1784"/>
    <n v="65512"/>
    <s v="Leslie Brown"/>
    <x v="0"/>
    <x v="1"/>
    <x v="207"/>
    <d v="2024-03-07T00:00:00"/>
    <n v="5"/>
    <x v="2"/>
    <x v="3"/>
    <n v="3"/>
    <n v="4"/>
    <n v="4"/>
    <n v="1"/>
    <n v="5"/>
    <x v="2"/>
    <n v="2"/>
    <n v="2"/>
    <n v="2"/>
    <n v="4"/>
    <x v="0"/>
    <s v="Online Survey"/>
    <s v="Average"/>
    <x v="0"/>
    <n v="52"/>
    <d v="2024-03-07T00:00:00"/>
    <x v="2"/>
    <x v="4"/>
    <x v="1"/>
  </r>
  <r>
    <n v="1785"/>
    <n v="86123"/>
    <s v="Mary Gonzalez"/>
    <x v="2"/>
    <x v="4"/>
    <x v="314"/>
    <d v="2024-05-08T00:00:00"/>
    <n v="6"/>
    <x v="2"/>
    <x v="3"/>
    <n v="4"/>
    <n v="4"/>
    <n v="2"/>
    <n v="1"/>
    <n v="2"/>
    <x v="2"/>
    <n v="5"/>
    <n v="3"/>
    <n v="4"/>
    <n v="3"/>
    <x v="1"/>
    <s v="Email"/>
    <s v="Poor service"/>
    <x v="2"/>
    <n v="67"/>
    <d v="2024-12-25T00:00:00"/>
    <x v="2"/>
    <x v="2"/>
    <x v="0"/>
  </r>
  <r>
    <n v="1786"/>
    <n v="44812"/>
    <s v="Mary Burnett"/>
    <x v="3"/>
    <x v="3"/>
    <x v="555"/>
    <d v="2024-12-09T00:00:00"/>
    <n v="5"/>
    <x v="0"/>
    <x v="0"/>
    <n v="1"/>
    <n v="5"/>
    <n v="3"/>
    <n v="3"/>
    <n v="5"/>
    <x v="1"/>
    <n v="4"/>
    <n v="5"/>
    <n v="2"/>
    <n v="4"/>
    <x v="0"/>
    <s v="Feedback Form"/>
    <s v="Great stay"/>
    <x v="2"/>
    <n v="37"/>
    <d v="2024-12-09T00:00:00"/>
    <x v="1"/>
    <x v="16"/>
    <x v="0"/>
  </r>
  <r>
    <n v="1787"/>
    <n v="48413"/>
    <s v="Jean Scott"/>
    <x v="3"/>
    <x v="4"/>
    <x v="94"/>
    <d v="2023-12-11T00:00:00"/>
    <n v="6"/>
    <x v="2"/>
    <x v="1"/>
    <n v="1"/>
    <n v="3"/>
    <n v="1"/>
    <n v="3"/>
    <n v="1"/>
    <x v="2"/>
    <n v="1"/>
    <n v="2"/>
    <n v="5"/>
    <n v="5"/>
    <x v="1"/>
    <s v="Email"/>
    <s v="Needs improvement"/>
    <x v="2"/>
    <n v="19"/>
    <d v="2024-09-08T00:00:00"/>
    <x v="0"/>
    <x v="8"/>
    <x v="1"/>
  </r>
  <r>
    <n v="1788"/>
    <n v="98474"/>
    <s v="Melissa Moore"/>
    <x v="4"/>
    <x v="2"/>
    <x v="609"/>
    <d v="2024-05-14T00:00:00"/>
    <n v="12"/>
    <x v="2"/>
    <x v="1"/>
    <n v="2"/>
    <n v="2"/>
    <n v="2"/>
    <n v="1"/>
    <n v="5"/>
    <x v="3"/>
    <n v="5"/>
    <n v="2"/>
    <n v="3"/>
    <n v="2"/>
    <x v="1"/>
    <s v="Online Survey"/>
    <s v="Needs improvement"/>
    <x v="1"/>
    <n v="58"/>
    <d v="2024-08-29T00:00:00"/>
    <x v="2"/>
    <x v="3"/>
    <x v="1"/>
  </r>
  <r>
    <n v="1789"/>
    <n v="29983"/>
    <s v="William Preston"/>
    <x v="0"/>
    <x v="4"/>
    <x v="410"/>
    <d v="2024-02-26T00:00:00"/>
    <n v="4"/>
    <x v="0"/>
    <x v="1"/>
    <n v="5"/>
    <n v="5"/>
    <n v="5"/>
    <n v="4"/>
    <n v="3"/>
    <x v="1"/>
    <n v="2"/>
    <n v="3"/>
    <n v="4"/>
    <n v="4"/>
    <x v="0"/>
    <s v="Online Survey"/>
    <s v="Will visit again"/>
    <x v="1"/>
    <n v="68"/>
    <d v="2024-07-31T00:00:00"/>
    <x v="2"/>
    <x v="12"/>
    <x v="2"/>
  </r>
  <r>
    <n v="1790"/>
    <n v="66026"/>
    <s v="Elizabeth Schmitt"/>
    <x v="4"/>
    <x v="1"/>
    <x v="422"/>
    <d v="2024-11-16T00:00:00"/>
    <n v="8"/>
    <x v="2"/>
    <x v="1"/>
    <n v="1"/>
    <n v="1"/>
    <n v="3"/>
    <n v="1"/>
    <n v="1"/>
    <x v="1"/>
    <n v="4"/>
    <n v="2"/>
    <n v="1"/>
    <n v="4"/>
    <x v="1"/>
    <s v="Feedback Form"/>
    <s v="Needs improvement"/>
    <x v="1"/>
    <n v="29"/>
    <d v="2024-11-16T00:00:00"/>
    <x v="3"/>
    <x v="9"/>
    <x v="1"/>
  </r>
  <r>
    <n v="1791"/>
    <n v="33425"/>
    <s v="Mrs. Jessica Dunn"/>
    <x v="0"/>
    <x v="1"/>
    <x v="659"/>
    <d v="2024-05-16T00:00:00"/>
    <n v="12"/>
    <x v="2"/>
    <x v="4"/>
    <n v="2"/>
    <n v="4"/>
    <n v="1"/>
    <n v="1"/>
    <n v="4"/>
    <x v="3"/>
    <n v="1"/>
    <n v="3"/>
    <n v="2"/>
    <n v="5"/>
    <x v="1"/>
    <s v="In-person"/>
    <s v="Will visit again"/>
    <x v="2"/>
    <n v="49"/>
    <d v="2024-05-16T00:00:00"/>
    <x v="1"/>
    <x v="5"/>
    <x v="1"/>
  </r>
  <r>
    <n v="1792"/>
    <n v="15010"/>
    <s v="Andrew Miller"/>
    <x v="0"/>
    <x v="3"/>
    <x v="360"/>
    <d v="2024-07-20T00:00:00"/>
    <n v="9"/>
    <x v="1"/>
    <x v="2"/>
    <n v="3"/>
    <n v="1"/>
    <n v="1"/>
    <n v="4"/>
    <n v="2"/>
    <x v="1"/>
    <n v="1"/>
    <n v="4"/>
    <n v="4"/>
    <n v="3"/>
    <x v="0"/>
    <s v="In-person"/>
    <s v="Poor service"/>
    <x v="0"/>
    <n v="60"/>
    <d v="2024-07-20T00:00:00"/>
    <x v="2"/>
    <x v="3"/>
    <x v="1"/>
  </r>
  <r>
    <n v="1793"/>
    <n v="63142"/>
    <s v="Christopher Evans"/>
    <x v="4"/>
    <x v="4"/>
    <x v="660"/>
    <d v="2023-09-11T00:00:00"/>
    <n v="10"/>
    <x v="1"/>
    <x v="3"/>
    <n v="1"/>
    <n v="5"/>
    <n v="3"/>
    <n v="4"/>
    <n v="2"/>
    <x v="2"/>
    <n v="4"/>
    <n v="4"/>
    <n v="1"/>
    <n v="2"/>
    <x v="0"/>
    <s v="In-person"/>
    <s v="Great stay"/>
    <x v="0"/>
    <n v="50"/>
    <d v="2023-12-03T00:00:00"/>
    <x v="1"/>
    <x v="3"/>
    <x v="1"/>
  </r>
  <r>
    <n v="1794"/>
    <n v="83384"/>
    <s v="Natasha Carr"/>
    <x v="2"/>
    <x v="1"/>
    <x v="555"/>
    <d v="2024-12-09T00:00:00"/>
    <n v="7"/>
    <x v="1"/>
    <x v="3"/>
    <n v="5"/>
    <n v="4"/>
    <n v="2"/>
    <n v="1"/>
    <n v="3"/>
    <x v="3"/>
    <n v="4"/>
    <n v="4"/>
    <n v="2"/>
    <n v="2"/>
    <x v="0"/>
    <s v="App Review"/>
    <s v="Great stay"/>
    <x v="0"/>
    <n v="65"/>
    <d v="2024-12-09T00:00:00"/>
    <x v="2"/>
    <x v="0"/>
    <x v="0"/>
  </r>
  <r>
    <n v="1795"/>
    <n v="97565"/>
    <s v="Sarah Smith"/>
    <x v="2"/>
    <x v="0"/>
    <x v="309"/>
    <d v="2024-04-29T00:00:00"/>
    <n v="14"/>
    <x v="1"/>
    <x v="1"/>
    <n v="2"/>
    <n v="3"/>
    <n v="1"/>
    <n v="2"/>
    <n v="2"/>
    <x v="2"/>
    <n v="1"/>
    <n v="2"/>
    <n v="5"/>
    <n v="1"/>
    <x v="1"/>
    <s v="App Review"/>
    <s v="Poor service"/>
    <x v="1"/>
    <n v="48"/>
    <d v="2024-04-29T00:00:00"/>
    <x v="1"/>
    <x v="17"/>
    <x v="1"/>
  </r>
  <r>
    <n v="1796"/>
    <n v="54974"/>
    <s v="Fred Alexander"/>
    <x v="0"/>
    <x v="1"/>
    <x v="123"/>
    <d v="2024-01-05T00:00:00"/>
    <n v="14"/>
    <x v="3"/>
    <x v="1"/>
    <n v="3"/>
    <n v="4"/>
    <n v="3"/>
    <n v="2"/>
    <n v="4"/>
    <x v="1"/>
    <n v="1"/>
    <n v="2"/>
    <n v="2"/>
    <n v="2"/>
    <x v="0"/>
    <s v="Feedback Form"/>
    <s v="Will visit again"/>
    <x v="2"/>
    <n v="50"/>
    <d v="2024-10-03T00:00:00"/>
    <x v="1"/>
    <x v="3"/>
    <x v="1"/>
  </r>
  <r>
    <n v="1797"/>
    <n v="57346"/>
    <s v="Anthony Ramos"/>
    <x v="4"/>
    <x v="2"/>
    <x v="205"/>
    <d v="2024-12-08T00:00:00"/>
    <n v="14"/>
    <x v="1"/>
    <x v="4"/>
    <n v="2"/>
    <n v="4"/>
    <n v="3"/>
    <n v="4"/>
    <n v="5"/>
    <x v="0"/>
    <n v="2"/>
    <n v="1"/>
    <n v="3"/>
    <n v="2"/>
    <x v="1"/>
    <s v="App Review"/>
    <s v="Average"/>
    <x v="2"/>
    <n v="37"/>
    <d v="2024-12-08T00:00:00"/>
    <x v="1"/>
    <x v="4"/>
    <x v="1"/>
  </r>
  <r>
    <n v="1798"/>
    <n v="91726"/>
    <s v="Micheal Mitchell"/>
    <x v="3"/>
    <x v="0"/>
    <x v="253"/>
    <d v="2024-11-27T00:00:00"/>
    <n v="11"/>
    <x v="1"/>
    <x v="4"/>
    <n v="4"/>
    <n v="4"/>
    <n v="4"/>
    <n v="1"/>
    <n v="2"/>
    <x v="3"/>
    <n v="5"/>
    <n v="1"/>
    <n v="2"/>
    <n v="2"/>
    <x v="0"/>
    <s v="Email"/>
    <s v="Needs improvement"/>
    <x v="0"/>
    <n v="58"/>
    <d v="2024-11-27T00:00:00"/>
    <x v="2"/>
    <x v="4"/>
    <x v="1"/>
  </r>
  <r>
    <n v="1799"/>
    <n v="59113"/>
    <s v="Thomas Hammond"/>
    <x v="0"/>
    <x v="4"/>
    <x v="661"/>
    <d v="2024-10-02T00:00:00"/>
    <n v="12"/>
    <x v="1"/>
    <x v="3"/>
    <n v="5"/>
    <n v="5"/>
    <n v="3"/>
    <n v="5"/>
    <n v="4"/>
    <x v="4"/>
    <n v="5"/>
    <n v="3"/>
    <n v="2"/>
    <n v="2"/>
    <x v="0"/>
    <s v="Feedback Form"/>
    <s v="Poor service"/>
    <x v="2"/>
    <n v="54"/>
    <d v="2024-10-02T00:00:00"/>
    <x v="2"/>
    <x v="18"/>
    <x v="0"/>
  </r>
  <r>
    <n v="1800"/>
    <n v="69399"/>
    <s v="Daniel Rollins"/>
    <x v="0"/>
    <x v="3"/>
    <x v="157"/>
    <d v="2024-01-21T00:00:00"/>
    <n v="1"/>
    <x v="0"/>
    <x v="1"/>
    <n v="5"/>
    <n v="4"/>
    <n v="1"/>
    <n v="5"/>
    <n v="1"/>
    <x v="1"/>
    <n v="1"/>
    <n v="2"/>
    <n v="4"/>
    <n v="5"/>
    <x v="1"/>
    <s v="Feedback Form"/>
    <s v="Needs improvement"/>
    <x v="0"/>
    <n v="54"/>
    <d v="2024-10-03T00:00:00"/>
    <x v="2"/>
    <x v="1"/>
    <x v="0"/>
  </r>
  <r>
    <n v="1801"/>
    <n v="27959"/>
    <s v="Alexander Turner"/>
    <x v="1"/>
    <x v="0"/>
    <x v="93"/>
    <d v="2025-01-04T00:00:00"/>
    <n v="5"/>
    <x v="1"/>
    <x v="1"/>
    <n v="1"/>
    <n v="5"/>
    <n v="4"/>
    <n v="1"/>
    <n v="4"/>
    <x v="0"/>
    <n v="1"/>
    <n v="3"/>
    <n v="4"/>
    <n v="1"/>
    <x v="0"/>
    <s v="Online Survey"/>
    <s v="Average"/>
    <x v="1"/>
    <n v="57"/>
    <d v="2025-01-04T00:00:00"/>
    <x v="2"/>
    <x v="5"/>
    <x v="1"/>
  </r>
  <r>
    <n v="1802"/>
    <n v="81290"/>
    <s v="Christy Warner"/>
    <x v="2"/>
    <x v="1"/>
    <x v="399"/>
    <d v="2024-06-18T00:00:00"/>
    <n v="7"/>
    <x v="3"/>
    <x v="3"/>
    <n v="2"/>
    <n v="1"/>
    <n v="1"/>
    <n v="1"/>
    <n v="3"/>
    <x v="1"/>
    <n v="3"/>
    <n v="5"/>
    <n v="5"/>
    <n v="4"/>
    <x v="1"/>
    <s v="Online Survey"/>
    <s v="Will visit again"/>
    <x v="0"/>
    <n v="31"/>
    <d v="2024-06-18T00:00:00"/>
    <x v="3"/>
    <x v="2"/>
    <x v="0"/>
  </r>
  <r>
    <n v="1803"/>
    <n v="12213"/>
    <s v="Mr. Aaron Morse"/>
    <x v="4"/>
    <x v="3"/>
    <x v="410"/>
    <d v="2024-02-26T00:00:00"/>
    <n v="5"/>
    <x v="3"/>
    <x v="4"/>
    <n v="3"/>
    <n v="3"/>
    <n v="2"/>
    <n v="1"/>
    <n v="4"/>
    <x v="2"/>
    <n v="1"/>
    <n v="2"/>
    <n v="3"/>
    <n v="1"/>
    <x v="1"/>
    <s v="Feedback Form"/>
    <s v="Needs improvement"/>
    <x v="1"/>
    <n v="53"/>
    <d v="2024-06-29T00:00:00"/>
    <x v="2"/>
    <x v="19"/>
    <x v="1"/>
  </r>
  <r>
    <n v="1804"/>
    <n v="60378"/>
    <s v="Lawrence Salazar"/>
    <x v="3"/>
    <x v="3"/>
    <x v="573"/>
    <d v="2024-11-09T00:00:00"/>
    <n v="5"/>
    <x v="3"/>
    <x v="3"/>
    <n v="1"/>
    <n v="4"/>
    <n v="2"/>
    <n v="5"/>
    <n v="2"/>
    <x v="2"/>
    <n v="5"/>
    <n v="5"/>
    <n v="3"/>
    <n v="3"/>
    <x v="0"/>
    <s v="In-person"/>
    <s v="Will visit again"/>
    <x v="2"/>
    <n v="29"/>
    <d v="2024-11-09T00:00:00"/>
    <x v="3"/>
    <x v="10"/>
    <x v="0"/>
  </r>
  <r>
    <n v="1805"/>
    <n v="19855"/>
    <s v="Gary Hart"/>
    <x v="3"/>
    <x v="3"/>
    <x v="433"/>
    <d v="2024-03-11T00:00:00"/>
    <n v="12"/>
    <x v="2"/>
    <x v="4"/>
    <n v="5"/>
    <n v="5"/>
    <n v="1"/>
    <n v="5"/>
    <n v="5"/>
    <x v="2"/>
    <n v="2"/>
    <n v="2"/>
    <n v="5"/>
    <n v="4"/>
    <x v="1"/>
    <s v="Online Survey"/>
    <s v="Average"/>
    <x v="2"/>
    <n v="43"/>
    <d v="2024-03-11T00:00:00"/>
    <x v="1"/>
    <x v="11"/>
    <x v="0"/>
  </r>
  <r>
    <n v="1806"/>
    <n v="84091"/>
    <s v="Katrina Jones"/>
    <x v="0"/>
    <x v="3"/>
    <x v="310"/>
    <d v="2023-11-17T00:00:00"/>
    <n v="5"/>
    <x v="0"/>
    <x v="4"/>
    <n v="2"/>
    <n v="4"/>
    <n v="5"/>
    <n v="4"/>
    <n v="4"/>
    <x v="0"/>
    <n v="3"/>
    <n v="4"/>
    <n v="1"/>
    <n v="1"/>
    <x v="0"/>
    <s v="App Review"/>
    <s v="Will visit again"/>
    <x v="1"/>
    <n v="51"/>
    <d v="2023-11-17T00:00:00"/>
    <x v="2"/>
    <x v="0"/>
    <x v="0"/>
  </r>
  <r>
    <n v="1807"/>
    <n v="58279"/>
    <s v="Brandi Hart"/>
    <x v="3"/>
    <x v="4"/>
    <x v="601"/>
    <d v="2024-09-18T00:00:00"/>
    <n v="5"/>
    <x v="1"/>
    <x v="4"/>
    <n v="3"/>
    <n v="4"/>
    <n v="5"/>
    <n v="3"/>
    <n v="3"/>
    <x v="2"/>
    <n v="5"/>
    <n v="3"/>
    <n v="2"/>
    <n v="1"/>
    <x v="0"/>
    <s v="Feedback Form"/>
    <s v="Average"/>
    <x v="2"/>
    <n v="23"/>
    <d v="2024-09-18T00:00:00"/>
    <x v="0"/>
    <x v="0"/>
    <x v="0"/>
  </r>
  <r>
    <n v="1808"/>
    <n v="15544"/>
    <s v="Sharon Booth"/>
    <x v="3"/>
    <x v="4"/>
    <x v="599"/>
    <d v="2024-06-18T00:00:00"/>
    <n v="13"/>
    <x v="1"/>
    <x v="1"/>
    <n v="5"/>
    <n v="4"/>
    <n v="5"/>
    <n v="4"/>
    <n v="1"/>
    <x v="1"/>
    <n v="2"/>
    <n v="1"/>
    <n v="4"/>
    <n v="1"/>
    <x v="0"/>
    <s v="Email"/>
    <s v="Great stay"/>
    <x v="1"/>
    <n v="63"/>
    <d v="2024-06-18T00:00:00"/>
    <x v="2"/>
    <x v="10"/>
    <x v="0"/>
  </r>
  <r>
    <n v="1809"/>
    <n v="31137"/>
    <s v="John Parker"/>
    <x v="0"/>
    <x v="4"/>
    <x v="34"/>
    <d v="2023-12-09T00:00:00"/>
    <n v="11"/>
    <x v="2"/>
    <x v="3"/>
    <n v="3"/>
    <n v="2"/>
    <n v="1"/>
    <n v="4"/>
    <n v="3"/>
    <x v="1"/>
    <n v="3"/>
    <n v="4"/>
    <n v="5"/>
    <n v="1"/>
    <x v="1"/>
    <s v="Feedback Form"/>
    <s v="Needs improvement"/>
    <x v="0"/>
    <n v="30"/>
    <d v="2023-12-09T00:00:00"/>
    <x v="3"/>
    <x v="0"/>
    <x v="0"/>
  </r>
  <r>
    <n v="1810"/>
    <n v="81124"/>
    <s v="Thomas Duncan"/>
    <x v="2"/>
    <x v="1"/>
    <x v="114"/>
    <d v="2024-07-28T00:00:00"/>
    <n v="5"/>
    <x v="0"/>
    <x v="4"/>
    <n v="2"/>
    <n v="3"/>
    <n v="3"/>
    <n v="2"/>
    <n v="1"/>
    <x v="1"/>
    <n v="3"/>
    <n v="1"/>
    <n v="5"/>
    <n v="1"/>
    <x v="1"/>
    <s v="Email"/>
    <s v="Needs improvement"/>
    <x v="1"/>
    <n v="39"/>
    <d v="2024-08-28T00:00:00"/>
    <x v="1"/>
    <x v="7"/>
    <x v="1"/>
  </r>
  <r>
    <n v="1811"/>
    <n v="49426"/>
    <s v="Levi Perry"/>
    <x v="1"/>
    <x v="4"/>
    <x v="74"/>
    <d v="2024-11-25T00:00:00"/>
    <n v="1"/>
    <x v="2"/>
    <x v="2"/>
    <n v="3"/>
    <n v="3"/>
    <n v="4"/>
    <n v="4"/>
    <n v="4"/>
    <x v="3"/>
    <n v="3"/>
    <n v="2"/>
    <n v="4"/>
    <n v="1"/>
    <x v="1"/>
    <s v="Online Survey"/>
    <s v="Average"/>
    <x v="0"/>
    <n v="52"/>
    <d v="2024-11-25T00:00:00"/>
    <x v="2"/>
    <x v="10"/>
    <x v="0"/>
  </r>
  <r>
    <n v="1812"/>
    <n v="74588"/>
    <s v="Tony Le"/>
    <x v="2"/>
    <x v="3"/>
    <x v="93"/>
    <d v="2023-05-15T00:00:00"/>
    <n v="12"/>
    <x v="3"/>
    <x v="4"/>
    <n v="1"/>
    <n v="5"/>
    <n v="3"/>
    <n v="4"/>
    <n v="5"/>
    <x v="1"/>
    <n v="3"/>
    <n v="5"/>
    <n v="4"/>
    <n v="5"/>
    <x v="0"/>
    <s v="In-person"/>
    <s v="Average"/>
    <x v="2"/>
    <n v="36"/>
    <d v="2024-01-18T00:00:00"/>
    <x v="1"/>
    <x v="12"/>
    <x v="2"/>
  </r>
  <r>
    <n v="1813"/>
    <n v="85173"/>
    <s v="Deanna Smith"/>
    <x v="2"/>
    <x v="0"/>
    <x v="300"/>
    <d v="2024-01-31T00:00:00"/>
    <n v="6"/>
    <x v="2"/>
    <x v="4"/>
    <n v="1"/>
    <n v="1"/>
    <n v="1"/>
    <n v="4"/>
    <n v="3"/>
    <x v="2"/>
    <n v="3"/>
    <n v="5"/>
    <n v="1"/>
    <n v="5"/>
    <x v="0"/>
    <s v="Email"/>
    <s v="Poor service"/>
    <x v="0"/>
    <n v="54"/>
    <d v="2024-03-25T00:00:00"/>
    <x v="2"/>
    <x v="7"/>
    <x v="1"/>
  </r>
  <r>
    <n v="1814"/>
    <n v="14827"/>
    <s v="Tara Freeman"/>
    <x v="1"/>
    <x v="0"/>
    <x v="35"/>
    <d v="2024-04-18T00:00:00"/>
    <n v="11"/>
    <x v="0"/>
    <x v="4"/>
    <n v="2"/>
    <n v="1"/>
    <n v="3"/>
    <n v="4"/>
    <n v="5"/>
    <x v="3"/>
    <n v="3"/>
    <n v="4"/>
    <n v="3"/>
    <n v="4"/>
    <x v="0"/>
    <s v="In-person"/>
    <s v="Average"/>
    <x v="0"/>
    <n v="40"/>
    <d v="2024-04-18T00:00:00"/>
    <x v="1"/>
    <x v="1"/>
    <x v="0"/>
  </r>
  <r>
    <n v="1815"/>
    <n v="48906"/>
    <s v="Cynthia Valentine"/>
    <x v="0"/>
    <x v="0"/>
    <x v="468"/>
    <d v="2024-10-11T00:00:00"/>
    <n v="11"/>
    <x v="2"/>
    <x v="0"/>
    <n v="5"/>
    <n v="1"/>
    <n v="2"/>
    <n v="3"/>
    <n v="4"/>
    <x v="3"/>
    <n v="4"/>
    <n v="1"/>
    <n v="4"/>
    <n v="2"/>
    <x v="1"/>
    <s v="Email"/>
    <s v="Average"/>
    <x v="2"/>
    <n v="67"/>
    <d v="2024-10-11T00:00:00"/>
    <x v="2"/>
    <x v="2"/>
    <x v="0"/>
  </r>
  <r>
    <n v="1816"/>
    <n v="87184"/>
    <s v="Sean Lucas"/>
    <x v="2"/>
    <x v="0"/>
    <x v="193"/>
    <d v="2024-08-21T00:00:00"/>
    <n v="12"/>
    <x v="0"/>
    <x v="2"/>
    <n v="4"/>
    <n v="4"/>
    <n v="4"/>
    <n v="2"/>
    <n v="5"/>
    <x v="3"/>
    <n v="2"/>
    <n v="3"/>
    <n v="5"/>
    <n v="1"/>
    <x v="1"/>
    <s v="In-person"/>
    <s v="Will visit again"/>
    <x v="2"/>
    <n v="49"/>
    <d v="2024-08-21T00:00:00"/>
    <x v="1"/>
    <x v="13"/>
    <x v="0"/>
  </r>
  <r>
    <n v="1817"/>
    <n v="48747"/>
    <s v="Joseph Silva"/>
    <x v="4"/>
    <x v="0"/>
    <x v="244"/>
    <d v="2024-10-01T00:00:00"/>
    <n v="13"/>
    <x v="2"/>
    <x v="1"/>
    <n v="4"/>
    <n v="5"/>
    <n v="1"/>
    <n v="5"/>
    <n v="5"/>
    <x v="3"/>
    <n v="5"/>
    <n v="3"/>
    <n v="2"/>
    <n v="2"/>
    <x v="0"/>
    <s v="Email"/>
    <s v="Will visit again"/>
    <x v="0"/>
    <n v="61"/>
    <d v="2024-11-05T00:00:00"/>
    <x v="2"/>
    <x v="11"/>
    <x v="0"/>
  </r>
  <r>
    <n v="1818"/>
    <n v="25738"/>
    <s v="Paula Allen"/>
    <x v="4"/>
    <x v="2"/>
    <x v="390"/>
    <d v="2023-05-17T00:00:00"/>
    <n v="6"/>
    <x v="0"/>
    <x v="3"/>
    <n v="4"/>
    <n v="4"/>
    <n v="4"/>
    <n v="1"/>
    <n v="3"/>
    <x v="0"/>
    <n v="1"/>
    <n v="3"/>
    <n v="1"/>
    <n v="5"/>
    <x v="0"/>
    <s v="Feedback Form"/>
    <s v="Needs improvement"/>
    <x v="1"/>
    <n v="28"/>
    <d v="2024-09-25T00:00:00"/>
    <x v="3"/>
    <x v="4"/>
    <x v="1"/>
  </r>
  <r>
    <n v="1819"/>
    <n v="89075"/>
    <s v="Robert Lee"/>
    <x v="1"/>
    <x v="0"/>
    <x v="420"/>
    <d v="2023-10-18T00:00:00"/>
    <n v="8"/>
    <x v="1"/>
    <x v="3"/>
    <n v="5"/>
    <n v="2"/>
    <n v="5"/>
    <n v="5"/>
    <n v="4"/>
    <x v="1"/>
    <n v="5"/>
    <n v="1"/>
    <n v="2"/>
    <n v="3"/>
    <x v="1"/>
    <s v="Feedback Form"/>
    <s v="Will visit again"/>
    <x v="0"/>
    <n v="21"/>
    <d v="2023-10-18T00:00:00"/>
    <x v="0"/>
    <x v="16"/>
    <x v="0"/>
  </r>
  <r>
    <n v="1820"/>
    <n v="20357"/>
    <s v="Jennifer Montoya"/>
    <x v="4"/>
    <x v="0"/>
    <x v="608"/>
    <d v="2024-10-25T00:00:00"/>
    <n v="14"/>
    <x v="3"/>
    <x v="3"/>
    <n v="1"/>
    <n v="5"/>
    <n v="5"/>
    <n v="2"/>
    <n v="5"/>
    <x v="0"/>
    <n v="4"/>
    <n v="5"/>
    <n v="2"/>
    <n v="1"/>
    <x v="1"/>
    <s v="Online Survey"/>
    <s v="Will visit again"/>
    <x v="2"/>
    <n v="29"/>
    <d v="2024-10-25T00:00:00"/>
    <x v="3"/>
    <x v="1"/>
    <x v="0"/>
  </r>
  <r>
    <n v="1821"/>
    <n v="91130"/>
    <s v="Timothy Mccarty"/>
    <x v="0"/>
    <x v="0"/>
    <x v="662"/>
    <d v="2024-10-14T00:00:00"/>
    <n v="5"/>
    <x v="0"/>
    <x v="1"/>
    <n v="1"/>
    <n v="5"/>
    <n v="2"/>
    <n v="4"/>
    <n v="1"/>
    <x v="4"/>
    <n v="4"/>
    <n v="5"/>
    <n v="3"/>
    <n v="4"/>
    <x v="1"/>
    <s v="Feedback Form"/>
    <s v="Needs improvement"/>
    <x v="1"/>
    <n v="68"/>
    <d v="2024-10-14T00:00:00"/>
    <x v="2"/>
    <x v="2"/>
    <x v="0"/>
  </r>
  <r>
    <n v="1822"/>
    <n v="48055"/>
    <s v="Maria Griffin"/>
    <x v="3"/>
    <x v="1"/>
    <x v="296"/>
    <d v="2024-04-22T00:00:00"/>
    <n v="2"/>
    <x v="2"/>
    <x v="4"/>
    <n v="1"/>
    <n v="5"/>
    <n v="1"/>
    <n v="5"/>
    <n v="2"/>
    <x v="0"/>
    <n v="3"/>
    <n v="4"/>
    <n v="2"/>
    <n v="2"/>
    <x v="1"/>
    <s v="App Review"/>
    <s v="Great stay"/>
    <x v="0"/>
    <n v="56"/>
    <d v="2024-04-22T00:00:00"/>
    <x v="2"/>
    <x v="3"/>
    <x v="1"/>
  </r>
  <r>
    <n v="1823"/>
    <n v="53779"/>
    <s v="Kathy Smith"/>
    <x v="0"/>
    <x v="2"/>
    <x v="229"/>
    <d v="2024-08-15T00:00:00"/>
    <n v="13"/>
    <x v="2"/>
    <x v="2"/>
    <n v="2"/>
    <n v="2"/>
    <n v="5"/>
    <n v="4"/>
    <n v="1"/>
    <x v="3"/>
    <n v="4"/>
    <n v="1"/>
    <n v="5"/>
    <n v="4"/>
    <x v="0"/>
    <s v="Online Survey"/>
    <s v="Poor service"/>
    <x v="2"/>
    <n v="47"/>
    <d v="2024-08-16T00:00:00"/>
    <x v="1"/>
    <x v="10"/>
    <x v="0"/>
  </r>
  <r>
    <n v="1824"/>
    <n v="58033"/>
    <s v="Kimberly Martin"/>
    <x v="1"/>
    <x v="0"/>
    <x v="663"/>
    <d v="2023-05-12T00:00:00"/>
    <n v="7"/>
    <x v="3"/>
    <x v="3"/>
    <n v="1"/>
    <n v="5"/>
    <n v="4"/>
    <n v="3"/>
    <n v="5"/>
    <x v="1"/>
    <n v="5"/>
    <n v="2"/>
    <n v="5"/>
    <n v="1"/>
    <x v="1"/>
    <s v="Feedback Form"/>
    <s v="Will visit again"/>
    <x v="1"/>
    <n v="27"/>
    <d v="2024-05-02T00:00:00"/>
    <x v="3"/>
    <x v="11"/>
    <x v="0"/>
  </r>
  <r>
    <n v="1825"/>
    <n v="69072"/>
    <s v="Shelly Morris"/>
    <x v="3"/>
    <x v="4"/>
    <x v="228"/>
    <d v="2024-11-13T00:00:00"/>
    <n v="14"/>
    <x v="1"/>
    <x v="0"/>
    <n v="1"/>
    <n v="2"/>
    <n v="4"/>
    <n v="3"/>
    <n v="4"/>
    <x v="1"/>
    <n v="4"/>
    <n v="2"/>
    <n v="4"/>
    <n v="2"/>
    <x v="1"/>
    <s v="Feedback Form"/>
    <s v="Great stay"/>
    <x v="2"/>
    <n v="68"/>
    <d v="2024-11-13T00:00:00"/>
    <x v="2"/>
    <x v="0"/>
    <x v="0"/>
  </r>
  <r>
    <n v="1826"/>
    <n v="14617"/>
    <s v="Richard Mclaughlin"/>
    <x v="4"/>
    <x v="1"/>
    <x v="139"/>
    <d v="2024-11-04T00:00:00"/>
    <n v="1"/>
    <x v="1"/>
    <x v="0"/>
    <n v="1"/>
    <n v="1"/>
    <n v="2"/>
    <n v="2"/>
    <n v="1"/>
    <x v="2"/>
    <n v="5"/>
    <n v="3"/>
    <n v="3"/>
    <n v="2"/>
    <x v="0"/>
    <s v="App Review"/>
    <s v="Poor service"/>
    <x v="1"/>
    <n v="41"/>
    <d v="2024-11-04T00:00:00"/>
    <x v="1"/>
    <x v="19"/>
    <x v="1"/>
  </r>
  <r>
    <n v="1827"/>
    <n v="61536"/>
    <s v="Christina Jones"/>
    <x v="2"/>
    <x v="2"/>
    <x v="351"/>
    <d v="2023-12-13T00:00:00"/>
    <n v="5"/>
    <x v="1"/>
    <x v="2"/>
    <n v="4"/>
    <n v="5"/>
    <n v="5"/>
    <n v="5"/>
    <n v="4"/>
    <x v="0"/>
    <n v="3"/>
    <n v="5"/>
    <n v="4"/>
    <n v="1"/>
    <x v="0"/>
    <s v="In-person"/>
    <s v="Needs improvement"/>
    <x v="0"/>
    <n v="40"/>
    <d v="2024-04-26T00:00:00"/>
    <x v="1"/>
    <x v="20"/>
    <x v="0"/>
  </r>
  <r>
    <n v="1828"/>
    <n v="52342"/>
    <s v="Jennifer Douglas"/>
    <x v="4"/>
    <x v="4"/>
    <x v="208"/>
    <d v="2023-06-20T00:00:00"/>
    <n v="12"/>
    <x v="0"/>
    <x v="3"/>
    <n v="3"/>
    <n v="4"/>
    <n v="3"/>
    <n v="3"/>
    <n v="1"/>
    <x v="1"/>
    <n v="3"/>
    <n v="5"/>
    <n v="2"/>
    <n v="3"/>
    <x v="0"/>
    <s v="Feedback Form"/>
    <s v="Will visit again"/>
    <x v="1"/>
    <n v="18"/>
    <d v="2024-11-30T00:00:00"/>
    <x v="0"/>
    <x v="10"/>
    <x v="0"/>
  </r>
  <r>
    <n v="1829"/>
    <n v="20687"/>
    <s v="Samuel Parker"/>
    <x v="0"/>
    <x v="4"/>
    <x v="355"/>
    <d v="2025-01-02T00:00:00"/>
    <n v="5"/>
    <x v="3"/>
    <x v="4"/>
    <n v="1"/>
    <n v="3"/>
    <n v="5"/>
    <n v="2"/>
    <n v="4"/>
    <x v="4"/>
    <n v="4"/>
    <n v="1"/>
    <n v="5"/>
    <n v="1"/>
    <x v="0"/>
    <s v="Email"/>
    <s v="Will visit again"/>
    <x v="1"/>
    <n v="65"/>
    <d v="2025-01-02T00:00:00"/>
    <x v="2"/>
    <x v="5"/>
    <x v="1"/>
  </r>
  <r>
    <n v="1830"/>
    <n v="16796"/>
    <s v="Courtney Reed"/>
    <x v="0"/>
    <x v="1"/>
    <x v="315"/>
    <d v="2024-11-26T00:00:00"/>
    <n v="12"/>
    <x v="0"/>
    <x v="3"/>
    <n v="3"/>
    <n v="2"/>
    <n v="2"/>
    <n v="2"/>
    <n v="5"/>
    <x v="4"/>
    <n v="1"/>
    <n v="1"/>
    <n v="4"/>
    <n v="4"/>
    <x v="1"/>
    <s v="In-person"/>
    <s v="Average"/>
    <x v="0"/>
    <n v="21"/>
    <d v="2024-11-26T00:00:00"/>
    <x v="0"/>
    <x v="14"/>
    <x v="1"/>
  </r>
  <r>
    <n v="1831"/>
    <n v="62757"/>
    <s v="John Jackson"/>
    <x v="1"/>
    <x v="4"/>
    <x v="232"/>
    <d v="2023-09-18T00:00:00"/>
    <n v="3"/>
    <x v="0"/>
    <x v="4"/>
    <n v="1"/>
    <n v="1"/>
    <n v="5"/>
    <n v="2"/>
    <n v="3"/>
    <x v="0"/>
    <n v="3"/>
    <n v="4"/>
    <n v="5"/>
    <n v="5"/>
    <x v="0"/>
    <s v="Email"/>
    <s v="Will visit again"/>
    <x v="1"/>
    <n v="45"/>
    <d v="2024-07-03T00:00:00"/>
    <x v="1"/>
    <x v="10"/>
    <x v="0"/>
  </r>
  <r>
    <n v="1832"/>
    <n v="69191"/>
    <s v="Jesse Burton"/>
    <x v="2"/>
    <x v="3"/>
    <x v="482"/>
    <d v="2024-05-09T00:00:00"/>
    <n v="2"/>
    <x v="0"/>
    <x v="3"/>
    <n v="4"/>
    <n v="1"/>
    <n v="1"/>
    <n v="5"/>
    <n v="1"/>
    <x v="2"/>
    <n v="2"/>
    <n v="1"/>
    <n v="4"/>
    <n v="5"/>
    <x v="1"/>
    <s v="In-person"/>
    <s v="Will visit again"/>
    <x v="0"/>
    <n v="61"/>
    <d v="2024-05-09T00:00:00"/>
    <x v="2"/>
    <x v="7"/>
    <x v="1"/>
  </r>
  <r>
    <n v="1833"/>
    <n v="49801"/>
    <s v="Jessica Daniels"/>
    <x v="2"/>
    <x v="1"/>
    <x v="432"/>
    <d v="2024-04-16T00:00:00"/>
    <n v="11"/>
    <x v="0"/>
    <x v="0"/>
    <n v="4"/>
    <n v="3"/>
    <n v="2"/>
    <n v="5"/>
    <n v="4"/>
    <x v="4"/>
    <n v="2"/>
    <n v="4"/>
    <n v="1"/>
    <n v="5"/>
    <x v="1"/>
    <s v="Email"/>
    <s v="Great stay"/>
    <x v="2"/>
    <n v="62"/>
    <d v="2024-04-16T00:00:00"/>
    <x v="2"/>
    <x v="0"/>
    <x v="0"/>
  </r>
  <r>
    <n v="1834"/>
    <n v="69071"/>
    <s v="Sara Scott"/>
    <x v="3"/>
    <x v="1"/>
    <x v="75"/>
    <d v="2024-07-02T00:00:00"/>
    <n v="4"/>
    <x v="2"/>
    <x v="1"/>
    <n v="3"/>
    <n v="5"/>
    <n v="3"/>
    <n v="2"/>
    <n v="1"/>
    <x v="2"/>
    <n v="3"/>
    <n v="3"/>
    <n v="3"/>
    <n v="2"/>
    <x v="1"/>
    <s v="Feedback Form"/>
    <s v="Great stay"/>
    <x v="2"/>
    <n v="20"/>
    <d v="2024-07-02T00:00:00"/>
    <x v="0"/>
    <x v="5"/>
    <x v="1"/>
  </r>
  <r>
    <n v="1835"/>
    <n v="16747"/>
    <s v="Morgan Rivera"/>
    <x v="3"/>
    <x v="3"/>
    <x v="331"/>
    <d v="2023-09-04T00:00:00"/>
    <n v="7"/>
    <x v="2"/>
    <x v="2"/>
    <n v="4"/>
    <n v="4"/>
    <n v="4"/>
    <n v="1"/>
    <n v="4"/>
    <x v="0"/>
    <n v="4"/>
    <n v="3"/>
    <n v="4"/>
    <n v="2"/>
    <x v="0"/>
    <s v="Email"/>
    <s v="Will visit again"/>
    <x v="2"/>
    <n v="65"/>
    <d v="2024-04-08T00:00:00"/>
    <x v="2"/>
    <x v="1"/>
    <x v="0"/>
  </r>
  <r>
    <n v="1836"/>
    <n v="67996"/>
    <s v="Jordan Melendez"/>
    <x v="0"/>
    <x v="1"/>
    <x v="294"/>
    <d v="2024-12-12T00:00:00"/>
    <n v="10"/>
    <x v="2"/>
    <x v="4"/>
    <n v="2"/>
    <n v="3"/>
    <n v="5"/>
    <n v="5"/>
    <n v="4"/>
    <x v="1"/>
    <n v="3"/>
    <n v="5"/>
    <n v="2"/>
    <n v="1"/>
    <x v="0"/>
    <s v="Feedback Form"/>
    <s v="Poor service"/>
    <x v="0"/>
    <n v="19"/>
    <d v="2024-12-12T00:00:00"/>
    <x v="0"/>
    <x v="18"/>
    <x v="0"/>
  </r>
  <r>
    <n v="1837"/>
    <n v="17936"/>
    <s v="Leah Cowan"/>
    <x v="1"/>
    <x v="4"/>
    <x v="664"/>
    <d v="2024-07-24T00:00:00"/>
    <n v="3"/>
    <x v="0"/>
    <x v="1"/>
    <n v="5"/>
    <n v="5"/>
    <n v="4"/>
    <n v="5"/>
    <n v="3"/>
    <x v="2"/>
    <n v="4"/>
    <n v="5"/>
    <n v="5"/>
    <n v="2"/>
    <x v="1"/>
    <s v="App Review"/>
    <s v="Needs improvement"/>
    <x v="0"/>
    <n v="58"/>
    <d v="2024-12-17T00:00:00"/>
    <x v="2"/>
    <x v="12"/>
    <x v="2"/>
  </r>
  <r>
    <n v="1838"/>
    <n v="42293"/>
    <s v="Matthew Sanchez"/>
    <x v="0"/>
    <x v="4"/>
    <x v="432"/>
    <d v="2024-05-24T00:00:00"/>
    <n v="13"/>
    <x v="1"/>
    <x v="4"/>
    <n v="5"/>
    <n v="5"/>
    <n v="2"/>
    <n v="1"/>
    <n v="4"/>
    <x v="4"/>
    <n v="5"/>
    <n v="5"/>
    <n v="5"/>
    <n v="4"/>
    <x v="1"/>
    <s v="Email"/>
    <s v="Great stay"/>
    <x v="0"/>
    <n v="23"/>
    <d v="2024-05-24T00:00:00"/>
    <x v="0"/>
    <x v="16"/>
    <x v="0"/>
  </r>
  <r>
    <n v="1839"/>
    <n v="92678"/>
    <s v="Mr. Bill Velazquez"/>
    <x v="2"/>
    <x v="4"/>
    <x v="293"/>
    <d v="2024-11-30T00:00:00"/>
    <n v="14"/>
    <x v="2"/>
    <x v="2"/>
    <n v="1"/>
    <n v="2"/>
    <n v="4"/>
    <n v="5"/>
    <n v="1"/>
    <x v="2"/>
    <n v="1"/>
    <n v="2"/>
    <n v="3"/>
    <n v="1"/>
    <x v="0"/>
    <s v="Online Survey"/>
    <s v="Poor service"/>
    <x v="0"/>
    <n v="59"/>
    <d v="2024-11-30T00:00:00"/>
    <x v="2"/>
    <x v="19"/>
    <x v="1"/>
  </r>
  <r>
    <n v="1840"/>
    <n v="22696"/>
    <s v="Kevin Jones"/>
    <x v="2"/>
    <x v="3"/>
    <x v="287"/>
    <d v="2024-11-21T00:00:00"/>
    <n v="6"/>
    <x v="3"/>
    <x v="1"/>
    <n v="4"/>
    <n v="4"/>
    <n v="1"/>
    <n v="5"/>
    <n v="5"/>
    <x v="1"/>
    <n v="1"/>
    <n v="4"/>
    <n v="3"/>
    <n v="4"/>
    <x v="0"/>
    <s v="Online Survey"/>
    <s v="Will visit again"/>
    <x v="2"/>
    <n v="34"/>
    <d v="2024-11-21T00:00:00"/>
    <x v="3"/>
    <x v="11"/>
    <x v="0"/>
  </r>
  <r>
    <n v="1841"/>
    <n v="23097"/>
    <s v="Timothy Rocha"/>
    <x v="0"/>
    <x v="4"/>
    <x v="581"/>
    <d v="2024-03-03T00:00:00"/>
    <n v="7"/>
    <x v="2"/>
    <x v="1"/>
    <n v="5"/>
    <n v="4"/>
    <n v="2"/>
    <n v="3"/>
    <n v="2"/>
    <x v="1"/>
    <n v="5"/>
    <n v="3"/>
    <n v="1"/>
    <n v="5"/>
    <x v="1"/>
    <s v="Email"/>
    <s v="Average"/>
    <x v="0"/>
    <n v="54"/>
    <d v="2024-05-20T00:00:00"/>
    <x v="2"/>
    <x v="18"/>
    <x v="0"/>
  </r>
  <r>
    <n v="1842"/>
    <n v="16228"/>
    <s v="Matthew Martin"/>
    <x v="2"/>
    <x v="3"/>
    <x v="191"/>
    <d v="2024-12-16T00:00:00"/>
    <n v="13"/>
    <x v="0"/>
    <x v="2"/>
    <n v="3"/>
    <n v="2"/>
    <n v="2"/>
    <n v="1"/>
    <n v="4"/>
    <x v="4"/>
    <n v="5"/>
    <n v="4"/>
    <n v="4"/>
    <n v="4"/>
    <x v="0"/>
    <s v="Feedback Form"/>
    <s v="Great stay"/>
    <x v="2"/>
    <n v="61"/>
    <d v="2024-12-16T00:00:00"/>
    <x v="2"/>
    <x v="2"/>
    <x v="0"/>
  </r>
  <r>
    <n v="1843"/>
    <n v="70832"/>
    <s v="Julian Murphy"/>
    <x v="3"/>
    <x v="3"/>
    <x v="71"/>
    <d v="2024-11-20T00:00:00"/>
    <n v="2"/>
    <x v="0"/>
    <x v="2"/>
    <n v="3"/>
    <n v="5"/>
    <n v="5"/>
    <n v="3"/>
    <n v="2"/>
    <x v="2"/>
    <n v="5"/>
    <n v="2"/>
    <n v="1"/>
    <n v="5"/>
    <x v="0"/>
    <s v="In-person"/>
    <s v="Great stay"/>
    <x v="1"/>
    <n v="40"/>
    <d v="2024-11-20T00:00:00"/>
    <x v="1"/>
    <x v="1"/>
    <x v="0"/>
  </r>
  <r>
    <n v="1844"/>
    <n v="58056"/>
    <s v="Robert Steele"/>
    <x v="2"/>
    <x v="3"/>
    <x v="211"/>
    <d v="2023-11-16T00:00:00"/>
    <n v="3"/>
    <x v="0"/>
    <x v="4"/>
    <n v="3"/>
    <n v="5"/>
    <n v="2"/>
    <n v="1"/>
    <n v="5"/>
    <x v="2"/>
    <n v="1"/>
    <n v="2"/>
    <n v="4"/>
    <n v="2"/>
    <x v="1"/>
    <s v="App Review"/>
    <s v="Average"/>
    <x v="1"/>
    <n v="57"/>
    <d v="2023-11-16T00:00:00"/>
    <x v="2"/>
    <x v="5"/>
    <x v="1"/>
  </r>
  <r>
    <n v="1845"/>
    <n v="66868"/>
    <s v="Luis Moreno"/>
    <x v="3"/>
    <x v="1"/>
    <x v="665"/>
    <d v="2024-12-17T00:00:00"/>
    <n v="9"/>
    <x v="2"/>
    <x v="1"/>
    <n v="1"/>
    <n v="4"/>
    <n v="1"/>
    <n v="1"/>
    <n v="2"/>
    <x v="3"/>
    <n v="3"/>
    <n v="3"/>
    <n v="4"/>
    <n v="1"/>
    <x v="0"/>
    <s v="Email"/>
    <s v="Will visit again"/>
    <x v="2"/>
    <n v="38"/>
    <d v="2024-12-17T00:00:00"/>
    <x v="1"/>
    <x v="8"/>
    <x v="1"/>
  </r>
  <r>
    <n v="1846"/>
    <n v="72136"/>
    <s v="Kathryn Harrison"/>
    <x v="4"/>
    <x v="2"/>
    <x v="43"/>
    <d v="2024-05-04T00:00:00"/>
    <n v="1"/>
    <x v="1"/>
    <x v="2"/>
    <n v="5"/>
    <n v="4"/>
    <n v="5"/>
    <n v="1"/>
    <n v="4"/>
    <x v="4"/>
    <n v="2"/>
    <n v="3"/>
    <n v="3"/>
    <n v="3"/>
    <x v="1"/>
    <s v="App Review"/>
    <s v="Great stay"/>
    <x v="1"/>
    <n v="61"/>
    <d v="2024-05-04T00:00:00"/>
    <x v="2"/>
    <x v="0"/>
    <x v="0"/>
  </r>
  <r>
    <n v="1847"/>
    <n v="63345"/>
    <s v="Tyler Wilkins"/>
    <x v="1"/>
    <x v="3"/>
    <x v="666"/>
    <d v="2023-12-14T00:00:00"/>
    <n v="8"/>
    <x v="0"/>
    <x v="4"/>
    <n v="5"/>
    <n v="4"/>
    <n v="1"/>
    <n v="5"/>
    <n v="1"/>
    <x v="2"/>
    <n v="4"/>
    <n v="5"/>
    <n v="3"/>
    <n v="4"/>
    <x v="0"/>
    <s v="Feedback Form"/>
    <s v="Will visit again"/>
    <x v="2"/>
    <n v="48"/>
    <d v="2024-07-24T00:00:00"/>
    <x v="1"/>
    <x v="13"/>
    <x v="0"/>
  </r>
  <r>
    <n v="1848"/>
    <n v="24141"/>
    <s v="Matthew Rivera"/>
    <x v="1"/>
    <x v="4"/>
    <x v="385"/>
    <d v="2024-05-24T00:00:00"/>
    <n v="1"/>
    <x v="3"/>
    <x v="3"/>
    <n v="5"/>
    <n v="4"/>
    <n v="3"/>
    <n v="2"/>
    <n v="3"/>
    <x v="0"/>
    <n v="2"/>
    <n v="2"/>
    <n v="4"/>
    <n v="1"/>
    <x v="1"/>
    <s v="Online Survey"/>
    <s v="Poor service"/>
    <x v="0"/>
    <n v="29"/>
    <d v="2024-05-24T00:00:00"/>
    <x v="3"/>
    <x v="4"/>
    <x v="1"/>
  </r>
  <r>
    <n v="1849"/>
    <n v="95890"/>
    <s v="Claire Andrews"/>
    <x v="2"/>
    <x v="3"/>
    <x v="277"/>
    <d v="2024-12-26T00:00:00"/>
    <n v="3"/>
    <x v="0"/>
    <x v="2"/>
    <n v="3"/>
    <n v="5"/>
    <n v="5"/>
    <n v="4"/>
    <n v="4"/>
    <x v="3"/>
    <n v="4"/>
    <n v="5"/>
    <n v="3"/>
    <n v="3"/>
    <x v="1"/>
    <s v="Feedback Form"/>
    <s v="Great stay"/>
    <x v="2"/>
    <n v="46"/>
    <d v="2024-12-26T00:00:00"/>
    <x v="1"/>
    <x v="12"/>
    <x v="2"/>
  </r>
  <r>
    <n v="1850"/>
    <n v="77062"/>
    <s v="Pamela Rollins"/>
    <x v="1"/>
    <x v="0"/>
    <x v="349"/>
    <d v="2024-03-10T00:00:00"/>
    <n v="6"/>
    <x v="1"/>
    <x v="1"/>
    <n v="3"/>
    <n v="4"/>
    <n v="2"/>
    <n v="2"/>
    <n v="4"/>
    <x v="4"/>
    <n v="1"/>
    <n v="3"/>
    <n v="4"/>
    <n v="1"/>
    <x v="0"/>
    <s v="Feedback Form"/>
    <s v="Will visit again"/>
    <x v="0"/>
    <n v="59"/>
    <d v="2024-06-21T00:00:00"/>
    <x v="2"/>
    <x v="14"/>
    <x v="1"/>
  </r>
  <r>
    <n v="1851"/>
    <n v="42958"/>
    <s v="Dawn Thornton"/>
    <x v="4"/>
    <x v="1"/>
    <x v="6"/>
    <d v="2024-06-17T00:00:00"/>
    <n v="11"/>
    <x v="1"/>
    <x v="3"/>
    <n v="1"/>
    <n v="5"/>
    <n v="2"/>
    <n v="5"/>
    <n v="3"/>
    <x v="1"/>
    <n v="3"/>
    <n v="2"/>
    <n v="3"/>
    <n v="3"/>
    <x v="0"/>
    <s v="Email"/>
    <s v="Poor service"/>
    <x v="1"/>
    <n v="30"/>
    <d v="2024-06-27T00:00:00"/>
    <x v="3"/>
    <x v="10"/>
    <x v="0"/>
  </r>
  <r>
    <n v="1852"/>
    <n v="77409"/>
    <s v="Adrian Johnson"/>
    <x v="2"/>
    <x v="4"/>
    <x v="667"/>
    <d v="2024-08-23T00:00:00"/>
    <n v="8"/>
    <x v="1"/>
    <x v="2"/>
    <n v="2"/>
    <n v="2"/>
    <n v="2"/>
    <n v="5"/>
    <n v="3"/>
    <x v="4"/>
    <n v="2"/>
    <n v="2"/>
    <n v="2"/>
    <n v="1"/>
    <x v="0"/>
    <s v="App Review"/>
    <s v="Great stay"/>
    <x v="2"/>
    <n v="43"/>
    <d v="2024-08-23T00:00:00"/>
    <x v="1"/>
    <x v="19"/>
    <x v="1"/>
  </r>
  <r>
    <n v="1853"/>
    <n v="17958"/>
    <s v="Mr. Sean Doyle"/>
    <x v="3"/>
    <x v="1"/>
    <x v="668"/>
    <d v="2024-06-09T00:00:00"/>
    <n v="7"/>
    <x v="0"/>
    <x v="0"/>
    <n v="5"/>
    <n v="1"/>
    <n v="3"/>
    <n v="4"/>
    <n v="3"/>
    <x v="0"/>
    <n v="5"/>
    <n v="1"/>
    <n v="4"/>
    <n v="5"/>
    <x v="1"/>
    <s v="In-person"/>
    <s v="Needs improvement"/>
    <x v="0"/>
    <n v="50"/>
    <d v="2024-06-09T00:00:00"/>
    <x v="1"/>
    <x v="13"/>
    <x v="0"/>
  </r>
  <r>
    <n v="1854"/>
    <n v="86743"/>
    <s v="Eric Bird"/>
    <x v="4"/>
    <x v="1"/>
    <x v="402"/>
    <d v="2024-08-31T00:00:00"/>
    <n v="3"/>
    <x v="3"/>
    <x v="1"/>
    <n v="1"/>
    <n v="2"/>
    <n v="1"/>
    <n v="5"/>
    <n v="3"/>
    <x v="0"/>
    <n v="5"/>
    <n v="2"/>
    <n v="5"/>
    <n v="3"/>
    <x v="0"/>
    <s v="App Review"/>
    <s v="Will visit again"/>
    <x v="2"/>
    <n v="51"/>
    <d v="2024-08-31T00:00:00"/>
    <x v="2"/>
    <x v="2"/>
    <x v="0"/>
  </r>
  <r>
    <n v="1855"/>
    <n v="82904"/>
    <s v="Michael Casey"/>
    <x v="4"/>
    <x v="0"/>
    <x v="564"/>
    <d v="2024-10-04T00:00:00"/>
    <n v="12"/>
    <x v="3"/>
    <x v="1"/>
    <n v="3"/>
    <n v="2"/>
    <n v="2"/>
    <n v="1"/>
    <n v="3"/>
    <x v="1"/>
    <n v="5"/>
    <n v="5"/>
    <n v="2"/>
    <n v="1"/>
    <x v="1"/>
    <s v="In-person"/>
    <s v="Poor service"/>
    <x v="2"/>
    <n v="37"/>
    <d v="2024-10-04T00:00:00"/>
    <x v="1"/>
    <x v="4"/>
    <x v="1"/>
  </r>
  <r>
    <n v="1856"/>
    <n v="17489"/>
    <s v="Michael Gonzalez"/>
    <x v="1"/>
    <x v="3"/>
    <x v="639"/>
    <d v="2023-06-28T00:00:00"/>
    <n v="6"/>
    <x v="0"/>
    <x v="4"/>
    <n v="2"/>
    <n v="3"/>
    <n v="4"/>
    <n v="3"/>
    <n v="4"/>
    <x v="1"/>
    <n v="2"/>
    <n v="1"/>
    <n v="1"/>
    <n v="3"/>
    <x v="1"/>
    <s v="Online Survey"/>
    <s v="Needs improvement"/>
    <x v="2"/>
    <n v="64"/>
    <d v="2023-06-28T00:00:00"/>
    <x v="2"/>
    <x v="3"/>
    <x v="1"/>
  </r>
  <r>
    <n v="1857"/>
    <n v="34833"/>
    <s v="Jonathan Dunn"/>
    <x v="3"/>
    <x v="4"/>
    <x v="614"/>
    <d v="2024-09-09T00:00:00"/>
    <n v="1"/>
    <x v="2"/>
    <x v="0"/>
    <n v="4"/>
    <n v="2"/>
    <n v="2"/>
    <n v="3"/>
    <n v="2"/>
    <x v="1"/>
    <n v="3"/>
    <n v="2"/>
    <n v="3"/>
    <n v="5"/>
    <x v="0"/>
    <s v="App Review"/>
    <s v="Will visit again"/>
    <x v="1"/>
    <n v="27"/>
    <d v="2024-09-09T00:00:00"/>
    <x v="3"/>
    <x v="0"/>
    <x v="0"/>
  </r>
  <r>
    <n v="1858"/>
    <n v="18346"/>
    <s v="Rhonda Williams"/>
    <x v="0"/>
    <x v="2"/>
    <x v="662"/>
    <d v="2024-12-12T00:00:00"/>
    <n v="8"/>
    <x v="2"/>
    <x v="2"/>
    <n v="2"/>
    <n v="3"/>
    <n v="5"/>
    <n v="1"/>
    <n v="1"/>
    <x v="3"/>
    <n v="3"/>
    <n v="1"/>
    <n v="1"/>
    <n v="3"/>
    <x v="1"/>
    <s v="In-person"/>
    <s v="Great stay"/>
    <x v="0"/>
    <n v="18"/>
    <d v="2024-12-12T00:00:00"/>
    <x v="0"/>
    <x v="8"/>
    <x v="1"/>
  </r>
  <r>
    <n v="1859"/>
    <n v="48374"/>
    <s v="Julie Simmons"/>
    <x v="4"/>
    <x v="1"/>
    <x v="669"/>
    <d v="2024-02-23T00:00:00"/>
    <n v="9"/>
    <x v="3"/>
    <x v="0"/>
    <n v="1"/>
    <n v="3"/>
    <n v="5"/>
    <n v="2"/>
    <n v="4"/>
    <x v="0"/>
    <n v="5"/>
    <n v="2"/>
    <n v="5"/>
    <n v="3"/>
    <x v="1"/>
    <s v="App Review"/>
    <s v="Will visit again"/>
    <x v="1"/>
    <n v="69"/>
    <d v="2024-02-23T00:00:00"/>
    <x v="2"/>
    <x v="1"/>
    <x v="0"/>
  </r>
  <r>
    <n v="1860"/>
    <n v="55053"/>
    <s v="Logan Benton"/>
    <x v="1"/>
    <x v="2"/>
    <x v="243"/>
    <d v="2024-07-08T00:00:00"/>
    <n v="9"/>
    <x v="2"/>
    <x v="2"/>
    <n v="2"/>
    <n v="3"/>
    <n v="4"/>
    <n v="3"/>
    <n v="5"/>
    <x v="1"/>
    <n v="2"/>
    <n v="4"/>
    <n v="3"/>
    <n v="1"/>
    <x v="1"/>
    <s v="Feedback Form"/>
    <s v="Poor service"/>
    <x v="0"/>
    <n v="46"/>
    <d v="2024-07-08T00:00:00"/>
    <x v="1"/>
    <x v="10"/>
    <x v="0"/>
  </r>
  <r>
    <n v="1861"/>
    <n v="95822"/>
    <s v="Mr. James Andrade"/>
    <x v="4"/>
    <x v="2"/>
    <x v="408"/>
    <d v="2024-08-28T00:00:00"/>
    <n v="14"/>
    <x v="2"/>
    <x v="4"/>
    <n v="3"/>
    <n v="2"/>
    <n v="3"/>
    <n v="1"/>
    <n v="4"/>
    <x v="0"/>
    <n v="5"/>
    <n v="5"/>
    <n v="1"/>
    <n v="4"/>
    <x v="0"/>
    <s v="Online Survey"/>
    <s v="Great stay"/>
    <x v="2"/>
    <n v="39"/>
    <d v="2024-08-28T00:00:00"/>
    <x v="1"/>
    <x v="0"/>
    <x v="0"/>
  </r>
  <r>
    <n v="1862"/>
    <n v="53235"/>
    <s v="Jessica Dennis"/>
    <x v="3"/>
    <x v="3"/>
    <x v="670"/>
    <d v="2024-08-30T00:00:00"/>
    <n v="4"/>
    <x v="3"/>
    <x v="3"/>
    <n v="2"/>
    <n v="1"/>
    <n v="5"/>
    <n v="2"/>
    <n v="4"/>
    <x v="3"/>
    <n v="4"/>
    <n v="5"/>
    <n v="2"/>
    <n v="5"/>
    <x v="0"/>
    <s v="App Review"/>
    <s v="Great stay"/>
    <x v="1"/>
    <n v="67"/>
    <d v="2024-08-30T00:00:00"/>
    <x v="2"/>
    <x v="13"/>
    <x v="0"/>
  </r>
  <r>
    <n v="1863"/>
    <n v="49428"/>
    <s v="Shawn Rhodes"/>
    <x v="3"/>
    <x v="2"/>
    <x v="189"/>
    <d v="2023-08-31T00:00:00"/>
    <n v="4"/>
    <x v="2"/>
    <x v="0"/>
    <n v="3"/>
    <n v="3"/>
    <n v="3"/>
    <n v="3"/>
    <n v="2"/>
    <x v="3"/>
    <n v="4"/>
    <n v="1"/>
    <n v="1"/>
    <n v="1"/>
    <x v="0"/>
    <s v="Feedback Form"/>
    <s v="Great stay"/>
    <x v="0"/>
    <n v="18"/>
    <d v="2023-08-31T00:00:00"/>
    <x v="0"/>
    <x v="14"/>
    <x v="1"/>
  </r>
  <r>
    <n v="1864"/>
    <n v="67237"/>
    <s v="Jennifer Gonzalez"/>
    <x v="2"/>
    <x v="4"/>
    <x v="671"/>
    <d v="2024-01-21T00:00:00"/>
    <n v="7"/>
    <x v="2"/>
    <x v="1"/>
    <n v="2"/>
    <n v="4"/>
    <n v="3"/>
    <n v="1"/>
    <n v="3"/>
    <x v="0"/>
    <n v="2"/>
    <n v="4"/>
    <n v="3"/>
    <n v="2"/>
    <x v="0"/>
    <s v="Feedback Form"/>
    <s v="Average"/>
    <x v="0"/>
    <n v="61"/>
    <d v="2024-12-17T00:00:00"/>
    <x v="2"/>
    <x v="5"/>
    <x v="1"/>
  </r>
  <r>
    <n v="1865"/>
    <n v="28796"/>
    <s v="Patricia Collins"/>
    <x v="0"/>
    <x v="3"/>
    <x v="138"/>
    <d v="2024-07-27T00:00:00"/>
    <n v="7"/>
    <x v="0"/>
    <x v="2"/>
    <n v="1"/>
    <n v="4"/>
    <n v="4"/>
    <n v="3"/>
    <n v="5"/>
    <x v="1"/>
    <n v="4"/>
    <n v="1"/>
    <n v="2"/>
    <n v="3"/>
    <x v="0"/>
    <s v="Online Survey"/>
    <s v="Poor service"/>
    <x v="1"/>
    <n v="25"/>
    <d v="2024-07-27T00:00:00"/>
    <x v="0"/>
    <x v="10"/>
    <x v="0"/>
  </r>
  <r>
    <n v="1866"/>
    <n v="57566"/>
    <s v="Kimberly Bonilla"/>
    <x v="0"/>
    <x v="2"/>
    <x v="302"/>
    <d v="2024-12-08T00:00:00"/>
    <n v="11"/>
    <x v="2"/>
    <x v="0"/>
    <n v="4"/>
    <n v="5"/>
    <n v="5"/>
    <n v="3"/>
    <n v="2"/>
    <x v="4"/>
    <n v="1"/>
    <n v="1"/>
    <n v="5"/>
    <n v="2"/>
    <x v="0"/>
    <s v="App Review"/>
    <s v="Needs improvement"/>
    <x v="0"/>
    <n v="26"/>
    <d v="2024-12-08T00:00:00"/>
    <x v="3"/>
    <x v="4"/>
    <x v="1"/>
  </r>
  <r>
    <n v="1867"/>
    <n v="65776"/>
    <s v="Amber Mooney"/>
    <x v="1"/>
    <x v="3"/>
    <x v="479"/>
    <d v="2024-04-03T00:00:00"/>
    <n v="6"/>
    <x v="3"/>
    <x v="2"/>
    <n v="5"/>
    <n v="4"/>
    <n v="2"/>
    <n v="3"/>
    <n v="1"/>
    <x v="2"/>
    <n v="1"/>
    <n v="3"/>
    <n v="1"/>
    <n v="1"/>
    <x v="0"/>
    <s v="Email"/>
    <s v="Great stay"/>
    <x v="0"/>
    <n v="40"/>
    <d v="2024-07-07T00:00:00"/>
    <x v="1"/>
    <x v="9"/>
    <x v="1"/>
  </r>
  <r>
    <n v="1868"/>
    <n v="75457"/>
    <s v="Tara Roth"/>
    <x v="0"/>
    <x v="4"/>
    <x v="578"/>
    <d v="2024-03-18T00:00:00"/>
    <n v="7"/>
    <x v="0"/>
    <x v="0"/>
    <n v="2"/>
    <n v="4"/>
    <n v="3"/>
    <n v="4"/>
    <n v="5"/>
    <x v="0"/>
    <n v="1"/>
    <n v="1"/>
    <n v="4"/>
    <n v="4"/>
    <x v="0"/>
    <s v="Email"/>
    <s v="Poor service"/>
    <x v="2"/>
    <n v="37"/>
    <d v="2024-11-18T00:00:00"/>
    <x v="1"/>
    <x v="0"/>
    <x v="0"/>
  </r>
  <r>
    <n v="1869"/>
    <n v="78696"/>
    <s v="Lynn Bullock"/>
    <x v="3"/>
    <x v="1"/>
    <x v="143"/>
    <d v="2024-06-27T00:00:00"/>
    <n v="14"/>
    <x v="3"/>
    <x v="1"/>
    <n v="4"/>
    <n v="3"/>
    <n v="3"/>
    <n v="2"/>
    <n v="5"/>
    <x v="3"/>
    <n v="4"/>
    <n v="2"/>
    <n v="3"/>
    <n v="5"/>
    <x v="1"/>
    <s v="Email"/>
    <s v="Average"/>
    <x v="0"/>
    <n v="51"/>
    <d v="2024-06-27T00:00:00"/>
    <x v="2"/>
    <x v="18"/>
    <x v="0"/>
  </r>
  <r>
    <n v="1870"/>
    <n v="38181"/>
    <s v="Deborah Wilkerson"/>
    <x v="0"/>
    <x v="0"/>
    <x v="0"/>
    <d v="2024-02-13T00:00:00"/>
    <n v="1"/>
    <x v="0"/>
    <x v="2"/>
    <n v="2"/>
    <n v="2"/>
    <n v="5"/>
    <n v="3"/>
    <n v="2"/>
    <x v="1"/>
    <n v="3"/>
    <n v="3"/>
    <n v="4"/>
    <n v="1"/>
    <x v="1"/>
    <s v="Feedback Form"/>
    <s v="Average"/>
    <x v="0"/>
    <n v="33"/>
    <d v="2024-02-13T00:00:00"/>
    <x v="3"/>
    <x v="2"/>
    <x v="0"/>
  </r>
  <r>
    <n v="1871"/>
    <n v="13371"/>
    <s v="Kristin Love"/>
    <x v="1"/>
    <x v="3"/>
    <x v="35"/>
    <d v="2023-10-05T00:00:00"/>
    <n v="9"/>
    <x v="3"/>
    <x v="2"/>
    <n v="4"/>
    <n v="4"/>
    <n v="5"/>
    <n v="1"/>
    <n v="5"/>
    <x v="2"/>
    <n v="1"/>
    <n v="3"/>
    <n v="4"/>
    <n v="4"/>
    <x v="0"/>
    <s v="App Review"/>
    <s v="Great stay"/>
    <x v="1"/>
    <n v="39"/>
    <d v="2024-11-01T00:00:00"/>
    <x v="1"/>
    <x v="1"/>
    <x v="0"/>
  </r>
  <r>
    <n v="1872"/>
    <n v="69435"/>
    <s v="Austin Williams"/>
    <x v="4"/>
    <x v="0"/>
    <x v="472"/>
    <d v="2023-12-25T00:00:00"/>
    <n v="14"/>
    <x v="1"/>
    <x v="3"/>
    <n v="3"/>
    <n v="2"/>
    <n v="4"/>
    <n v="4"/>
    <n v="4"/>
    <x v="0"/>
    <n v="5"/>
    <n v="1"/>
    <n v="1"/>
    <n v="1"/>
    <x v="1"/>
    <s v="In-person"/>
    <s v="Poor service"/>
    <x v="0"/>
    <n v="63"/>
    <d v="2024-09-29T00:00:00"/>
    <x v="2"/>
    <x v="3"/>
    <x v="1"/>
  </r>
  <r>
    <n v="1873"/>
    <n v="52020"/>
    <s v="Paul Martinez"/>
    <x v="0"/>
    <x v="1"/>
    <x v="332"/>
    <d v="2023-11-08T00:00:00"/>
    <n v="13"/>
    <x v="0"/>
    <x v="4"/>
    <n v="4"/>
    <n v="1"/>
    <n v="1"/>
    <n v="5"/>
    <n v="4"/>
    <x v="4"/>
    <n v="3"/>
    <n v="3"/>
    <n v="4"/>
    <n v="4"/>
    <x v="1"/>
    <s v="App Review"/>
    <s v="Average"/>
    <x v="2"/>
    <n v="40"/>
    <d v="2024-01-20T00:00:00"/>
    <x v="1"/>
    <x v="2"/>
    <x v="0"/>
  </r>
  <r>
    <n v="1874"/>
    <n v="46119"/>
    <s v="Christopher King"/>
    <x v="0"/>
    <x v="4"/>
    <x v="124"/>
    <d v="2024-04-24T00:00:00"/>
    <n v="6"/>
    <x v="0"/>
    <x v="0"/>
    <n v="5"/>
    <n v="4"/>
    <n v="1"/>
    <n v="5"/>
    <n v="3"/>
    <x v="4"/>
    <n v="2"/>
    <n v="5"/>
    <n v="2"/>
    <n v="2"/>
    <x v="0"/>
    <s v="Online Survey"/>
    <s v="Great stay"/>
    <x v="1"/>
    <n v="18"/>
    <d v="2024-04-24T00:00:00"/>
    <x v="0"/>
    <x v="2"/>
    <x v="0"/>
  </r>
  <r>
    <n v="1875"/>
    <n v="77653"/>
    <s v="Deborah Jones"/>
    <x v="3"/>
    <x v="1"/>
    <x v="172"/>
    <d v="2024-11-08T00:00:00"/>
    <n v="8"/>
    <x v="0"/>
    <x v="1"/>
    <n v="4"/>
    <n v="1"/>
    <n v="1"/>
    <n v="2"/>
    <n v="2"/>
    <x v="3"/>
    <n v="4"/>
    <n v="3"/>
    <n v="5"/>
    <n v="4"/>
    <x v="0"/>
    <s v="In-person"/>
    <s v="Will visit again"/>
    <x v="1"/>
    <n v="31"/>
    <d v="2024-11-08T00:00:00"/>
    <x v="3"/>
    <x v="2"/>
    <x v="0"/>
  </r>
  <r>
    <n v="1876"/>
    <n v="81892"/>
    <s v="James Stephenson"/>
    <x v="3"/>
    <x v="0"/>
    <x v="278"/>
    <d v="2024-06-14T00:00:00"/>
    <n v="13"/>
    <x v="3"/>
    <x v="3"/>
    <n v="5"/>
    <n v="1"/>
    <n v="3"/>
    <n v="1"/>
    <n v="4"/>
    <x v="3"/>
    <n v="5"/>
    <n v="3"/>
    <n v="5"/>
    <n v="5"/>
    <x v="0"/>
    <s v="Online Survey"/>
    <s v="Will visit again"/>
    <x v="0"/>
    <n v="69"/>
    <d v="2024-09-19T00:00:00"/>
    <x v="2"/>
    <x v="11"/>
    <x v="0"/>
  </r>
  <r>
    <n v="1877"/>
    <n v="44374"/>
    <s v="David Hamilton"/>
    <x v="4"/>
    <x v="4"/>
    <x v="523"/>
    <d v="2024-12-14T00:00:00"/>
    <n v="5"/>
    <x v="1"/>
    <x v="3"/>
    <n v="5"/>
    <n v="5"/>
    <n v="4"/>
    <n v="4"/>
    <n v="5"/>
    <x v="3"/>
    <n v="2"/>
    <n v="2"/>
    <n v="4"/>
    <n v="2"/>
    <x v="0"/>
    <s v="App Review"/>
    <s v="Will visit again"/>
    <x v="1"/>
    <n v="66"/>
    <d v="2024-12-14T00:00:00"/>
    <x v="2"/>
    <x v="16"/>
    <x v="0"/>
  </r>
  <r>
    <n v="1878"/>
    <n v="42839"/>
    <s v="April Hansen"/>
    <x v="2"/>
    <x v="2"/>
    <x v="602"/>
    <d v="2024-05-15T00:00:00"/>
    <n v="12"/>
    <x v="0"/>
    <x v="4"/>
    <n v="4"/>
    <n v="2"/>
    <n v="1"/>
    <n v="1"/>
    <n v="5"/>
    <x v="0"/>
    <n v="4"/>
    <n v="5"/>
    <n v="3"/>
    <n v="3"/>
    <x v="0"/>
    <s v="Online Survey"/>
    <s v="Needs improvement"/>
    <x v="1"/>
    <n v="40"/>
    <d v="2024-08-03T00:00:00"/>
    <x v="1"/>
    <x v="0"/>
    <x v="0"/>
  </r>
  <r>
    <n v="1879"/>
    <n v="81887"/>
    <s v="Deborah Williams"/>
    <x v="0"/>
    <x v="2"/>
    <x v="672"/>
    <d v="2024-10-14T00:00:00"/>
    <n v="7"/>
    <x v="1"/>
    <x v="1"/>
    <n v="5"/>
    <n v="2"/>
    <n v="5"/>
    <n v="4"/>
    <n v="4"/>
    <x v="4"/>
    <n v="4"/>
    <n v="3"/>
    <n v="4"/>
    <n v="2"/>
    <x v="0"/>
    <s v="Feedback Form"/>
    <s v="Poor service"/>
    <x v="1"/>
    <n v="55"/>
    <d v="2024-10-14T00:00:00"/>
    <x v="2"/>
    <x v="13"/>
    <x v="0"/>
  </r>
  <r>
    <n v="1880"/>
    <n v="22464"/>
    <s v="Hunter Phillips Jr."/>
    <x v="3"/>
    <x v="3"/>
    <x v="673"/>
    <d v="2023-02-19T00:00:00"/>
    <n v="3"/>
    <x v="2"/>
    <x v="0"/>
    <n v="5"/>
    <n v="5"/>
    <n v="3"/>
    <n v="4"/>
    <n v="2"/>
    <x v="4"/>
    <n v="5"/>
    <n v="2"/>
    <n v="3"/>
    <n v="2"/>
    <x v="0"/>
    <s v="Email"/>
    <s v="Will visit again"/>
    <x v="2"/>
    <n v="57"/>
    <d v="2023-07-22T00:00:00"/>
    <x v="2"/>
    <x v="10"/>
    <x v="0"/>
  </r>
  <r>
    <n v="1881"/>
    <n v="10706"/>
    <s v="Denise Bryant"/>
    <x v="2"/>
    <x v="2"/>
    <x v="60"/>
    <d v="2023-10-14T00:00:00"/>
    <n v="10"/>
    <x v="0"/>
    <x v="2"/>
    <n v="3"/>
    <n v="3"/>
    <n v="3"/>
    <n v="5"/>
    <n v="2"/>
    <x v="3"/>
    <n v="4"/>
    <n v="5"/>
    <n v="5"/>
    <n v="3"/>
    <x v="1"/>
    <s v="App Review"/>
    <s v="Average"/>
    <x v="2"/>
    <n v="67"/>
    <d v="2023-10-14T00:00:00"/>
    <x v="2"/>
    <x v="16"/>
    <x v="0"/>
  </r>
  <r>
    <n v="1882"/>
    <n v="25660"/>
    <s v="Nancy Murray"/>
    <x v="0"/>
    <x v="0"/>
    <x v="5"/>
    <d v="2024-04-03T00:00:00"/>
    <n v="1"/>
    <x v="2"/>
    <x v="4"/>
    <n v="1"/>
    <n v="5"/>
    <n v="5"/>
    <n v="2"/>
    <n v="1"/>
    <x v="3"/>
    <n v="4"/>
    <n v="3"/>
    <n v="2"/>
    <n v="2"/>
    <x v="0"/>
    <s v="In-person"/>
    <s v="Needs improvement"/>
    <x v="0"/>
    <n v="25"/>
    <d v="2024-09-04T00:00:00"/>
    <x v="0"/>
    <x v="4"/>
    <x v="1"/>
  </r>
  <r>
    <n v="1883"/>
    <n v="93848"/>
    <s v="Jennifer Stephens"/>
    <x v="0"/>
    <x v="2"/>
    <x v="482"/>
    <d v="2024-05-09T00:00:00"/>
    <n v="7"/>
    <x v="0"/>
    <x v="2"/>
    <n v="3"/>
    <n v="5"/>
    <n v="4"/>
    <n v="2"/>
    <n v="2"/>
    <x v="1"/>
    <n v="4"/>
    <n v="1"/>
    <n v="3"/>
    <n v="2"/>
    <x v="1"/>
    <s v="In-person"/>
    <s v="Will visit again"/>
    <x v="2"/>
    <n v="49"/>
    <d v="2024-11-29T00:00:00"/>
    <x v="1"/>
    <x v="0"/>
    <x v="0"/>
  </r>
  <r>
    <n v="1884"/>
    <n v="72323"/>
    <s v="Tracy Davis"/>
    <x v="2"/>
    <x v="3"/>
    <x v="313"/>
    <d v="2024-08-14T00:00:00"/>
    <n v="5"/>
    <x v="1"/>
    <x v="3"/>
    <n v="1"/>
    <n v="5"/>
    <n v="4"/>
    <n v="1"/>
    <n v="4"/>
    <x v="4"/>
    <n v="3"/>
    <n v="3"/>
    <n v="5"/>
    <n v="3"/>
    <x v="1"/>
    <s v="Online Survey"/>
    <s v="Great stay"/>
    <x v="0"/>
    <n v="57"/>
    <d v="2024-08-14T00:00:00"/>
    <x v="2"/>
    <x v="2"/>
    <x v="0"/>
  </r>
  <r>
    <n v="1885"/>
    <n v="12798"/>
    <s v="Jeremy Thompson"/>
    <x v="3"/>
    <x v="4"/>
    <x v="567"/>
    <d v="2024-10-02T00:00:00"/>
    <n v="1"/>
    <x v="2"/>
    <x v="2"/>
    <n v="1"/>
    <n v="1"/>
    <n v="1"/>
    <n v="4"/>
    <n v="1"/>
    <x v="3"/>
    <n v="1"/>
    <n v="5"/>
    <n v="1"/>
    <n v="3"/>
    <x v="0"/>
    <s v="Email"/>
    <s v="Average"/>
    <x v="1"/>
    <n v="19"/>
    <d v="2024-10-02T00:00:00"/>
    <x v="0"/>
    <x v="19"/>
    <x v="1"/>
  </r>
  <r>
    <n v="1886"/>
    <n v="35753"/>
    <s v="Antonio Blake"/>
    <x v="4"/>
    <x v="2"/>
    <x v="331"/>
    <d v="2023-03-27T00:00:00"/>
    <n v="9"/>
    <x v="3"/>
    <x v="0"/>
    <n v="3"/>
    <n v="2"/>
    <n v="5"/>
    <n v="4"/>
    <n v="5"/>
    <x v="3"/>
    <n v="5"/>
    <n v="3"/>
    <n v="4"/>
    <n v="5"/>
    <x v="0"/>
    <s v="App Review"/>
    <s v="Needs improvement"/>
    <x v="2"/>
    <n v="65"/>
    <d v="2023-09-17T00:00:00"/>
    <x v="2"/>
    <x v="12"/>
    <x v="2"/>
  </r>
  <r>
    <n v="1887"/>
    <n v="51113"/>
    <s v="Maxwell Armstrong"/>
    <x v="0"/>
    <x v="3"/>
    <x v="353"/>
    <d v="2024-07-30T00:00:00"/>
    <n v="9"/>
    <x v="0"/>
    <x v="0"/>
    <n v="5"/>
    <n v="3"/>
    <n v="2"/>
    <n v="3"/>
    <n v="4"/>
    <x v="3"/>
    <n v="3"/>
    <n v="5"/>
    <n v="3"/>
    <n v="2"/>
    <x v="1"/>
    <s v="Feedback Form"/>
    <s v="Needs improvement"/>
    <x v="2"/>
    <n v="30"/>
    <d v="2024-07-30T00:00:00"/>
    <x v="3"/>
    <x v="13"/>
    <x v="0"/>
  </r>
  <r>
    <n v="1888"/>
    <n v="59181"/>
    <s v="Sylvia Gonzalez"/>
    <x v="1"/>
    <x v="2"/>
    <x v="488"/>
    <d v="2023-10-02T00:00:00"/>
    <n v="6"/>
    <x v="0"/>
    <x v="2"/>
    <n v="3"/>
    <n v="4"/>
    <n v="4"/>
    <n v="2"/>
    <n v="3"/>
    <x v="1"/>
    <n v="5"/>
    <n v="1"/>
    <n v="2"/>
    <n v="2"/>
    <x v="0"/>
    <s v="Online Survey"/>
    <s v="Average"/>
    <x v="2"/>
    <n v="44"/>
    <d v="2023-11-01T00:00:00"/>
    <x v="1"/>
    <x v="0"/>
    <x v="0"/>
  </r>
  <r>
    <n v="1889"/>
    <n v="39722"/>
    <s v="Ashley Myers"/>
    <x v="1"/>
    <x v="2"/>
    <x v="267"/>
    <d v="2024-08-13T00:00:00"/>
    <n v="11"/>
    <x v="1"/>
    <x v="2"/>
    <n v="5"/>
    <n v="4"/>
    <n v="1"/>
    <n v="4"/>
    <n v="3"/>
    <x v="4"/>
    <n v="3"/>
    <n v="3"/>
    <n v="4"/>
    <n v="2"/>
    <x v="1"/>
    <s v="App Review"/>
    <s v="Will visit again"/>
    <x v="2"/>
    <n v="63"/>
    <d v="2024-08-13T00:00:00"/>
    <x v="2"/>
    <x v="2"/>
    <x v="0"/>
  </r>
  <r>
    <n v="1890"/>
    <n v="96991"/>
    <s v="Abigail Johnson"/>
    <x v="1"/>
    <x v="0"/>
    <x v="148"/>
    <d v="2023-09-11T00:00:00"/>
    <n v="9"/>
    <x v="3"/>
    <x v="4"/>
    <n v="3"/>
    <n v="4"/>
    <n v="3"/>
    <n v="1"/>
    <n v="2"/>
    <x v="4"/>
    <n v="4"/>
    <n v="5"/>
    <n v="5"/>
    <n v="5"/>
    <x v="1"/>
    <s v="App Review"/>
    <s v="Great stay"/>
    <x v="1"/>
    <n v="24"/>
    <d v="2023-09-11T00:00:00"/>
    <x v="0"/>
    <x v="1"/>
    <x v="0"/>
  </r>
  <r>
    <n v="1891"/>
    <n v="78847"/>
    <s v="Jerry Perez"/>
    <x v="4"/>
    <x v="3"/>
    <x v="91"/>
    <d v="2024-08-29T00:00:00"/>
    <n v="7"/>
    <x v="0"/>
    <x v="0"/>
    <n v="3"/>
    <n v="3"/>
    <n v="4"/>
    <n v="5"/>
    <n v="1"/>
    <x v="4"/>
    <n v="4"/>
    <n v="2"/>
    <n v="5"/>
    <n v="2"/>
    <x v="1"/>
    <s v="Email"/>
    <s v="Great stay"/>
    <x v="1"/>
    <n v="20"/>
    <d v="2024-08-29T00:00:00"/>
    <x v="0"/>
    <x v="2"/>
    <x v="0"/>
  </r>
  <r>
    <n v="1892"/>
    <n v="71170"/>
    <s v="Valerie Simmons"/>
    <x v="0"/>
    <x v="3"/>
    <x v="18"/>
    <d v="2024-10-24T00:00:00"/>
    <n v="8"/>
    <x v="2"/>
    <x v="2"/>
    <n v="2"/>
    <n v="4"/>
    <n v="2"/>
    <n v="5"/>
    <n v="1"/>
    <x v="1"/>
    <n v="3"/>
    <n v="3"/>
    <n v="5"/>
    <n v="3"/>
    <x v="1"/>
    <s v="In-person"/>
    <s v="Great stay"/>
    <x v="2"/>
    <n v="38"/>
    <d v="2024-10-24T00:00:00"/>
    <x v="1"/>
    <x v="1"/>
    <x v="0"/>
  </r>
  <r>
    <n v="1893"/>
    <n v="39362"/>
    <s v="Jeffrey Johnson"/>
    <x v="3"/>
    <x v="1"/>
    <x v="558"/>
    <d v="2024-01-12T00:00:00"/>
    <n v="11"/>
    <x v="3"/>
    <x v="1"/>
    <n v="4"/>
    <n v="3"/>
    <n v="3"/>
    <n v="2"/>
    <n v="5"/>
    <x v="0"/>
    <n v="4"/>
    <n v="1"/>
    <n v="3"/>
    <n v="3"/>
    <x v="1"/>
    <s v="Email"/>
    <s v="Needs improvement"/>
    <x v="1"/>
    <n v="25"/>
    <d v="2024-08-12T00:00:00"/>
    <x v="0"/>
    <x v="0"/>
    <x v="0"/>
  </r>
  <r>
    <n v="1894"/>
    <n v="61026"/>
    <s v="Brian Frey"/>
    <x v="3"/>
    <x v="1"/>
    <x v="387"/>
    <d v="2024-10-31T00:00:00"/>
    <n v="2"/>
    <x v="3"/>
    <x v="4"/>
    <n v="3"/>
    <n v="4"/>
    <n v="3"/>
    <n v="2"/>
    <n v="2"/>
    <x v="1"/>
    <n v="1"/>
    <n v="2"/>
    <n v="1"/>
    <n v="3"/>
    <x v="0"/>
    <s v="Online Survey"/>
    <s v="Will visit again"/>
    <x v="1"/>
    <n v="18"/>
    <d v="2024-10-31T00:00:00"/>
    <x v="0"/>
    <x v="7"/>
    <x v="1"/>
  </r>
  <r>
    <n v="1895"/>
    <n v="57201"/>
    <s v="Katherine Cooke"/>
    <x v="4"/>
    <x v="3"/>
    <x v="463"/>
    <d v="2024-12-29T00:00:00"/>
    <n v="2"/>
    <x v="1"/>
    <x v="4"/>
    <n v="4"/>
    <n v="4"/>
    <n v="5"/>
    <n v="3"/>
    <n v="1"/>
    <x v="2"/>
    <n v="5"/>
    <n v="3"/>
    <n v="1"/>
    <n v="3"/>
    <x v="1"/>
    <s v="Online Survey"/>
    <s v="Average"/>
    <x v="1"/>
    <n v="34"/>
    <d v="2024-12-29T00:00:00"/>
    <x v="3"/>
    <x v="0"/>
    <x v="0"/>
  </r>
  <r>
    <n v="1896"/>
    <n v="58974"/>
    <s v="Robert Gentry"/>
    <x v="0"/>
    <x v="0"/>
    <x v="515"/>
    <d v="2023-09-18T00:00:00"/>
    <n v="4"/>
    <x v="2"/>
    <x v="4"/>
    <n v="5"/>
    <n v="3"/>
    <n v="5"/>
    <n v="2"/>
    <n v="4"/>
    <x v="1"/>
    <n v="4"/>
    <n v="5"/>
    <n v="5"/>
    <n v="4"/>
    <x v="1"/>
    <s v="Email"/>
    <s v="Poor service"/>
    <x v="0"/>
    <n v="43"/>
    <d v="2024-12-31T00:00:00"/>
    <x v="1"/>
    <x v="6"/>
    <x v="2"/>
  </r>
  <r>
    <n v="1897"/>
    <n v="22917"/>
    <s v="Carol Diaz"/>
    <x v="2"/>
    <x v="2"/>
    <x v="674"/>
    <d v="2024-03-10T00:00:00"/>
    <n v="1"/>
    <x v="2"/>
    <x v="4"/>
    <n v="2"/>
    <n v="2"/>
    <n v="4"/>
    <n v="4"/>
    <n v="5"/>
    <x v="2"/>
    <n v="2"/>
    <n v="4"/>
    <n v="4"/>
    <n v="3"/>
    <x v="0"/>
    <s v="App Review"/>
    <s v="Great stay"/>
    <x v="2"/>
    <n v="46"/>
    <d v="2024-03-10T00:00:00"/>
    <x v="1"/>
    <x v="10"/>
    <x v="0"/>
  </r>
  <r>
    <n v="1898"/>
    <n v="51577"/>
    <s v="Matthew Lee"/>
    <x v="2"/>
    <x v="4"/>
    <x v="640"/>
    <d v="2024-09-04T00:00:00"/>
    <n v="8"/>
    <x v="0"/>
    <x v="2"/>
    <n v="2"/>
    <n v="3"/>
    <n v="2"/>
    <n v="4"/>
    <n v="1"/>
    <x v="3"/>
    <n v="3"/>
    <n v="2"/>
    <n v="2"/>
    <n v="5"/>
    <x v="1"/>
    <s v="In-person"/>
    <s v="Average"/>
    <x v="0"/>
    <n v="25"/>
    <d v="2024-09-04T00:00:00"/>
    <x v="0"/>
    <x v="3"/>
    <x v="1"/>
  </r>
  <r>
    <n v="1899"/>
    <n v="27955"/>
    <s v="Brian Oconnor"/>
    <x v="0"/>
    <x v="2"/>
    <x v="329"/>
    <d v="2023-05-03T00:00:00"/>
    <n v="5"/>
    <x v="0"/>
    <x v="3"/>
    <n v="1"/>
    <n v="3"/>
    <n v="5"/>
    <n v="4"/>
    <n v="3"/>
    <x v="2"/>
    <n v="3"/>
    <n v="5"/>
    <n v="4"/>
    <n v="4"/>
    <x v="0"/>
    <s v="Online Survey"/>
    <s v="Average"/>
    <x v="0"/>
    <n v="55"/>
    <d v="2023-06-19T00:00:00"/>
    <x v="2"/>
    <x v="13"/>
    <x v="0"/>
  </r>
  <r>
    <n v="1900"/>
    <n v="66365"/>
    <s v="Heather Sloan"/>
    <x v="0"/>
    <x v="4"/>
    <x v="197"/>
    <d v="2024-10-06T00:00:00"/>
    <n v="12"/>
    <x v="3"/>
    <x v="1"/>
    <n v="4"/>
    <n v="5"/>
    <n v="1"/>
    <n v="4"/>
    <n v="3"/>
    <x v="1"/>
    <n v="4"/>
    <n v="2"/>
    <n v="3"/>
    <n v="2"/>
    <x v="0"/>
    <s v="Email"/>
    <s v="Great stay"/>
    <x v="1"/>
    <n v="68"/>
    <d v="2024-10-06T00:00:00"/>
    <x v="2"/>
    <x v="1"/>
    <x v="0"/>
  </r>
  <r>
    <n v="1901"/>
    <n v="94357"/>
    <s v="Alexis Fuller"/>
    <x v="3"/>
    <x v="0"/>
    <x v="317"/>
    <d v="2024-06-01T00:00:00"/>
    <n v="14"/>
    <x v="3"/>
    <x v="3"/>
    <n v="2"/>
    <n v="1"/>
    <n v="3"/>
    <n v="3"/>
    <n v="1"/>
    <x v="0"/>
    <n v="3"/>
    <n v="3"/>
    <n v="1"/>
    <n v="3"/>
    <x v="1"/>
    <s v="Online Survey"/>
    <s v="Poor service"/>
    <x v="0"/>
    <n v="60"/>
    <d v="2024-06-01T00:00:00"/>
    <x v="2"/>
    <x v="9"/>
    <x v="1"/>
  </r>
  <r>
    <n v="1902"/>
    <n v="33915"/>
    <s v="Linda Patterson"/>
    <x v="4"/>
    <x v="1"/>
    <x v="444"/>
    <d v="2024-11-10T00:00:00"/>
    <n v="7"/>
    <x v="1"/>
    <x v="3"/>
    <n v="5"/>
    <n v="1"/>
    <n v="1"/>
    <n v="2"/>
    <n v="3"/>
    <x v="4"/>
    <n v="2"/>
    <n v="1"/>
    <n v="2"/>
    <n v="2"/>
    <x v="0"/>
    <s v="In-person"/>
    <s v="Needs improvement"/>
    <x v="1"/>
    <n v="25"/>
    <d v="2024-11-10T00:00:00"/>
    <x v="0"/>
    <x v="15"/>
    <x v="1"/>
  </r>
  <r>
    <n v="1903"/>
    <n v="71799"/>
    <s v="Mrs. Jasmine Donaldson"/>
    <x v="4"/>
    <x v="3"/>
    <x v="163"/>
    <d v="2024-12-15T00:00:00"/>
    <n v="12"/>
    <x v="3"/>
    <x v="2"/>
    <n v="1"/>
    <n v="2"/>
    <n v="3"/>
    <n v="2"/>
    <n v="4"/>
    <x v="1"/>
    <n v="3"/>
    <n v="1"/>
    <n v="5"/>
    <n v="3"/>
    <x v="1"/>
    <s v="Feedback Form"/>
    <s v="Needs improvement"/>
    <x v="1"/>
    <n v="25"/>
    <d v="2024-12-15T00:00:00"/>
    <x v="0"/>
    <x v="4"/>
    <x v="1"/>
  </r>
  <r>
    <n v="1904"/>
    <n v="84706"/>
    <s v="Shelley Mason"/>
    <x v="3"/>
    <x v="0"/>
    <x v="390"/>
    <d v="2024-06-27T00:00:00"/>
    <n v="2"/>
    <x v="1"/>
    <x v="4"/>
    <n v="2"/>
    <n v="2"/>
    <n v="1"/>
    <n v="2"/>
    <n v="5"/>
    <x v="4"/>
    <n v="2"/>
    <n v="2"/>
    <n v="5"/>
    <n v="3"/>
    <x v="1"/>
    <s v="Feedback Form"/>
    <s v="Will visit again"/>
    <x v="0"/>
    <n v="42"/>
    <d v="2024-06-27T00:00:00"/>
    <x v="1"/>
    <x v="14"/>
    <x v="1"/>
  </r>
  <r>
    <n v="1905"/>
    <n v="18706"/>
    <s v="Erin Cruz"/>
    <x v="1"/>
    <x v="4"/>
    <x v="98"/>
    <d v="2024-07-09T00:00:00"/>
    <n v="5"/>
    <x v="1"/>
    <x v="4"/>
    <n v="5"/>
    <n v="2"/>
    <n v="3"/>
    <n v="3"/>
    <n v="4"/>
    <x v="2"/>
    <n v="3"/>
    <n v="4"/>
    <n v="3"/>
    <n v="4"/>
    <x v="1"/>
    <s v="App Review"/>
    <s v="Needs improvement"/>
    <x v="2"/>
    <n v="59"/>
    <d v="2024-07-09T00:00:00"/>
    <x v="2"/>
    <x v="1"/>
    <x v="0"/>
  </r>
  <r>
    <n v="1906"/>
    <n v="73409"/>
    <s v="Craig Allen"/>
    <x v="2"/>
    <x v="3"/>
    <x v="147"/>
    <d v="2023-08-25T00:00:00"/>
    <n v="9"/>
    <x v="2"/>
    <x v="2"/>
    <n v="4"/>
    <n v="1"/>
    <n v="5"/>
    <n v="3"/>
    <n v="3"/>
    <x v="3"/>
    <n v="3"/>
    <n v="3"/>
    <n v="3"/>
    <n v="3"/>
    <x v="1"/>
    <s v="App Review"/>
    <s v="Average"/>
    <x v="2"/>
    <n v="59"/>
    <d v="2024-05-15T00:00:00"/>
    <x v="2"/>
    <x v="10"/>
    <x v="0"/>
  </r>
  <r>
    <n v="1907"/>
    <n v="27193"/>
    <s v="Douglas Galloway"/>
    <x v="0"/>
    <x v="4"/>
    <x v="113"/>
    <d v="2024-02-20T00:00:00"/>
    <n v="9"/>
    <x v="2"/>
    <x v="2"/>
    <n v="5"/>
    <n v="2"/>
    <n v="1"/>
    <n v="4"/>
    <n v="1"/>
    <x v="3"/>
    <n v="2"/>
    <n v="5"/>
    <n v="3"/>
    <n v="3"/>
    <x v="1"/>
    <s v="Feedback Form"/>
    <s v="Needs improvement"/>
    <x v="1"/>
    <n v="62"/>
    <d v="2024-02-20T00:00:00"/>
    <x v="2"/>
    <x v="2"/>
    <x v="0"/>
  </r>
  <r>
    <n v="1908"/>
    <n v="82934"/>
    <s v="Diane Michael"/>
    <x v="2"/>
    <x v="2"/>
    <x v="414"/>
    <d v="2024-08-05T00:00:00"/>
    <n v="2"/>
    <x v="3"/>
    <x v="0"/>
    <n v="5"/>
    <n v="2"/>
    <n v="4"/>
    <n v="3"/>
    <n v="1"/>
    <x v="1"/>
    <n v="5"/>
    <n v="3"/>
    <n v="3"/>
    <n v="1"/>
    <x v="0"/>
    <s v="In-person"/>
    <s v="Will visit again"/>
    <x v="0"/>
    <n v="44"/>
    <d v="2024-08-05T00:00:00"/>
    <x v="1"/>
    <x v="10"/>
    <x v="0"/>
  </r>
  <r>
    <n v="1909"/>
    <n v="93366"/>
    <s v="Mary Clark"/>
    <x v="2"/>
    <x v="2"/>
    <x v="671"/>
    <d v="2024-12-26T00:00:00"/>
    <n v="14"/>
    <x v="3"/>
    <x v="4"/>
    <n v="5"/>
    <n v="3"/>
    <n v="4"/>
    <n v="3"/>
    <n v="5"/>
    <x v="2"/>
    <n v="1"/>
    <n v="4"/>
    <n v="5"/>
    <n v="5"/>
    <x v="0"/>
    <s v="Email"/>
    <s v="Average"/>
    <x v="2"/>
    <n v="39"/>
    <d v="2024-12-26T00:00:00"/>
    <x v="1"/>
    <x v="16"/>
    <x v="0"/>
  </r>
  <r>
    <n v="1910"/>
    <n v="26852"/>
    <s v="Brittany Mcintyre"/>
    <x v="4"/>
    <x v="2"/>
    <x v="338"/>
    <d v="2024-10-05T00:00:00"/>
    <n v="11"/>
    <x v="2"/>
    <x v="1"/>
    <n v="3"/>
    <n v="3"/>
    <n v="2"/>
    <n v="1"/>
    <n v="3"/>
    <x v="2"/>
    <n v="2"/>
    <n v="5"/>
    <n v="5"/>
    <n v="5"/>
    <x v="1"/>
    <s v="Email"/>
    <s v="Average"/>
    <x v="0"/>
    <n v="20"/>
    <d v="2024-10-05T00:00:00"/>
    <x v="0"/>
    <x v="0"/>
    <x v="0"/>
  </r>
  <r>
    <n v="1911"/>
    <n v="27013"/>
    <s v="Emily Sullivan"/>
    <x v="3"/>
    <x v="3"/>
    <x v="643"/>
    <d v="2024-10-06T00:00:00"/>
    <n v="2"/>
    <x v="3"/>
    <x v="0"/>
    <n v="2"/>
    <n v="1"/>
    <n v="2"/>
    <n v="4"/>
    <n v="3"/>
    <x v="4"/>
    <n v="1"/>
    <n v="4"/>
    <n v="3"/>
    <n v="2"/>
    <x v="1"/>
    <s v="In-person"/>
    <s v="Poor service"/>
    <x v="0"/>
    <n v="66"/>
    <d v="2024-10-06T00:00:00"/>
    <x v="2"/>
    <x v="9"/>
    <x v="1"/>
  </r>
  <r>
    <n v="1912"/>
    <n v="95302"/>
    <s v="Danielle Conrad"/>
    <x v="1"/>
    <x v="1"/>
    <x v="675"/>
    <d v="2024-12-11T00:00:00"/>
    <n v="5"/>
    <x v="2"/>
    <x v="3"/>
    <n v="5"/>
    <n v="3"/>
    <n v="2"/>
    <n v="4"/>
    <n v="3"/>
    <x v="2"/>
    <n v="3"/>
    <n v="3"/>
    <n v="5"/>
    <n v="2"/>
    <x v="1"/>
    <s v="Email"/>
    <s v="Great stay"/>
    <x v="0"/>
    <n v="64"/>
    <d v="2024-12-11T00:00:00"/>
    <x v="2"/>
    <x v="10"/>
    <x v="0"/>
  </r>
  <r>
    <n v="1913"/>
    <n v="16538"/>
    <s v="Angel Valdez"/>
    <x v="1"/>
    <x v="1"/>
    <x v="419"/>
    <d v="2024-10-29T00:00:00"/>
    <n v="3"/>
    <x v="0"/>
    <x v="4"/>
    <n v="1"/>
    <n v="2"/>
    <n v="1"/>
    <n v="1"/>
    <n v="2"/>
    <x v="0"/>
    <n v="5"/>
    <n v="3"/>
    <n v="3"/>
    <n v="4"/>
    <x v="1"/>
    <s v="App Review"/>
    <s v="Great stay"/>
    <x v="1"/>
    <n v="55"/>
    <d v="2024-10-29T00:00:00"/>
    <x v="2"/>
    <x v="14"/>
    <x v="1"/>
  </r>
  <r>
    <n v="1914"/>
    <n v="60377"/>
    <s v="David Fisher"/>
    <x v="3"/>
    <x v="4"/>
    <x v="570"/>
    <d v="2024-11-22T00:00:00"/>
    <n v="13"/>
    <x v="3"/>
    <x v="2"/>
    <n v="3"/>
    <n v="3"/>
    <n v="3"/>
    <n v="2"/>
    <n v="1"/>
    <x v="3"/>
    <n v="2"/>
    <n v="2"/>
    <n v="2"/>
    <n v="2"/>
    <x v="0"/>
    <s v="Email"/>
    <s v="Great stay"/>
    <x v="1"/>
    <n v="66"/>
    <d v="2024-11-22T00:00:00"/>
    <x v="2"/>
    <x v="8"/>
    <x v="1"/>
  </r>
  <r>
    <n v="1915"/>
    <n v="57645"/>
    <s v="Sheila Stephens"/>
    <x v="2"/>
    <x v="1"/>
    <x v="549"/>
    <d v="2024-08-23T00:00:00"/>
    <n v="1"/>
    <x v="1"/>
    <x v="2"/>
    <n v="5"/>
    <n v="5"/>
    <n v="2"/>
    <n v="1"/>
    <n v="3"/>
    <x v="0"/>
    <n v="5"/>
    <n v="4"/>
    <n v="3"/>
    <n v="1"/>
    <x v="1"/>
    <s v="Email"/>
    <s v="Will visit again"/>
    <x v="1"/>
    <n v="41"/>
    <d v="2024-08-23T00:00:00"/>
    <x v="1"/>
    <x v="10"/>
    <x v="0"/>
  </r>
  <r>
    <n v="1916"/>
    <n v="31867"/>
    <s v="Monica Williams"/>
    <x v="3"/>
    <x v="1"/>
    <x v="137"/>
    <d v="2024-06-23T00:00:00"/>
    <n v="11"/>
    <x v="0"/>
    <x v="2"/>
    <n v="5"/>
    <n v="3"/>
    <n v="5"/>
    <n v="1"/>
    <n v="5"/>
    <x v="0"/>
    <n v="2"/>
    <n v="1"/>
    <n v="3"/>
    <n v="2"/>
    <x v="1"/>
    <s v="App Review"/>
    <s v="Needs improvement"/>
    <x v="2"/>
    <n v="50"/>
    <d v="2024-06-23T00:00:00"/>
    <x v="1"/>
    <x v="2"/>
    <x v="0"/>
  </r>
  <r>
    <n v="1917"/>
    <n v="88070"/>
    <s v="Kimberly Ortiz"/>
    <x v="3"/>
    <x v="4"/>
    <x v="340"/>
    <d v="2024-03-19T00:00:00"/>
    <n v="13"/>
    <x v="0"/>
    <x v="4"/>
    <n v="2"/>
    <n v="1"/>
    <n v="4"/>
    <n v="1"/>
    <n v="2"/>
    <x v="4"/>
    <n v="4"/>
    <n v="4"/>
    <n v="2"/>
    <n v="3"/>
    <x v="0"/>
    <s v="Online Survey"/>
    <s v="Great stay"/>
    <x v="0"/>
    <n v="52"/>
    <d v="2024-05-29T00:00:00"/>
    <x v="2"/>
    <x v="8"/>
    <x v="1"/>
  </r>
  <r>
    <n v="1918"/>
    <n v="93536"/>
    <s v="Julie Taylor MD"/>
    <x v="0"/>
    <x v="4"/>
    <x v="12"/>
    <d v="2024-03-18T00:00:00"/>
    <n v="1"/>
    <x v="3"/>
    <x v="1"/>
    <n v="3"/>
    <n v="2"/>
    <n v="4"/>
    <n v="3"/>
    <n v="3"/>
    <x v="2"/>
    <n v="2"/>
    <n v="4"/>
    <n v="1"/>
    <n v="2"/>
    <x v="0"/>
    <s v="Feedback Form"/>
    <s v="Needs improvement"/>
    <x v="1"/>
    <n v="57"/>
    <d v="2024-12-09T00:00:00"/>
    <x v="2"/>
    <x v="7"/>
    <x v="1"/>
  </r>
  <r>
    <n v="1919"/>
    <n v="46085"/>
    <s v="Elizabeth Kelly"/>
    <x v="0"/>
    <x v="4"/>
    <x v="334"/>
    <d v="2024-01-10T00:00:00"/>
    <n v="5"/>
    <x v="2"/>
    <x v="2"/>
    <n v="5"/>
    <n v="2"/>
    <n v="5"/>
    <n v="1"/>
    <n v="1"/>
    <x v="4"/>
    <n v="1"/>
    <n v="5"/>
    <n v="4"/>
    <n v="2"/>
    <x v="0"/>
    <s v="Email"/>
    <s v="Great stay"/>
    <x v="0"/>
    <n v="46"/>
    <d v="2024-01-10T00:00:00"/>
    <x v="1"/>
    <x v="5"/>
    <x v="1"/>
  </r>
  <r>
    <n v="1920"/>
    <n v="99271"/>
    <s v="Carl Brown"/>
    <x v="2"/>
    <x v="3"/>
    <x v="454"/>
    <d v="2024-11-07T00:00:00"/>
    <n v="3"/>
    <x v="1"/>
    <x v="4"/>
    <n v="5"/>
    <n v="1"/>
    <n v="4"/>
    <n v="5"/>
    <n v="2"/>
    <x v="3"/>
    <n v="4"/>
    <n v="5"/>
    <n v="3"/>
    <n v="3"/>
    <x v="0"/>
    <s v="Feedback Form"/>
    <s v="Poor service"/>
    <x v="0"/>
    <n v="25"/>
    <d v="2024-11-11T00:00:00"/>
    <x v="0"/>
    <x v="11"/>
    <x v="0"/>
  </r>
  <r>
    <n v="1921"/>
    <n v="99500"/>
    <s v="Andrew Hill"/>
    <x v="4"/>
    <x v="4"/>
    <x v="208"/>
    <d v="2024-05-28T00:00:00"/>
    <n v="9"/>
    <x v="2"/>
    <x v="3"/>
    <n v="4"/>
    <n v="3"/>
    <n v="1"/>
    <n v="1"/>
    <n v="4"/>
    <x v="4"/>
    <n v="3"/>
    <n v="2"/>
    <n v="2"/>
    <n v="1"/>
    <x v="0"/>
    <s v="Feedback Form"/>
    <s v="Needs improvement"/>
    <x v="1"/>
    <n v="28"/>
    <d v="2024-05-28T00:00:00"/>
    <x v="3"/>
    <x v="19"/>
    <x v="1"/>
  </r>
  <r>
    <n v="1922"/>
    <n v="63792"/>
    <s v="Martin Mendez"/>
    <x v="1"/>
    <x v="3"/>
    <x v="292"/>
    <d v="2024-05-22T00:00:00"/>
    <n v="13"/>
    <x v="3"/>
    <x v="0"/>
    <n v="1"/>
    <n v="2"/>
    <n v="5"/>
    <n v="2"/>
    <n v="5"/>
    <x v="0"/>
    <n v="2"/>
    <n v="1"/>
    <n v="2"/>
    <n v="5"/>
    <x v="1"/>
    <s v="In-person"/>
    <s v="Will visit again"/>
    <x v="2"/>
    <n v="33"/>
    <d v="2024-11-12T00:00:00"/>
    <x v="3"/>
    <x v="3"/>
    <x v="1"/>
  </r>
  <r>
    <n v="1923"/>
    <n v="15733"/>
    <s v="Wanda Shaw"/>
    <x v="0"/>
    <x v="3"/>
    <x v="145"/>
    <d v="2024-11-15T00:00:00"/>
    <n v="12"/>
    <x v="2"/>
    <x v="4"/>
    <n v="1"/>
    <n v="2"/>
    <n v="1"/>
    <n v="2"/>
    <n v="1"/>
    <x v="4"/>
    <n v="1"/>
    <n v="3"/>
    <n v="5"/>
    <n v="1"/>
    <x v="1"/>
    <s v="In-person"/>
    <s v="Will visit again"/>
    <x v="1"/>
    <n v="50"/>
    <d v="2024-11-15T00:00:00"/>
    <x v="1"/>
    <x v="26"/>
    <x v="1"/>
  </r>
  <r>
    <n v="1924"/>
    <n v="96733"/>
    <s v="Kristin Rodriguez"/>
    <x v="2"/>
    <x v="3"/>
    <x v="676"/>
    <d v="2023-12-23T00:00:00"/>
    <n v="3"/>
    <x v="3"/>
    <x v="4"/>
    <n v="2"/>
    <n v="5"/>
    <n v="4"/>
    <n v="2"/>
    <n v="4"/>
    <x v="2"/>
    <n v="3"/>
    <n v="1"/>
    <n v="3"/>
    <n v="1"/>
    <x v="1"/>
    <s v="In-person"/>
    <s v="Needs improvement"/>
    <x v="0"/>
    <n v="28"/>
    <d v="2024-04-22T00:00:00"/>
    <x v="3"/>
    <x v="5"/>
    <x v="1"/>
  </r>
  <r>
    <n v="1925"/>
    <n v="88601"/>
    <s v="Kelly Mcgrath"/>
    <x v="3"/>
    <x v="4"/>
    <x v="12"/>
    <d v="2024-10-16T00:00:00"/>
    <n v="3"/>
    <x v="3"/>
    <x v="2"/>
    <n v="3"/>
    <n v="1"/>
    <n v="5"/>
    <n v="1"/>
    <n v="1"/>
    <x v="4"/>
    <n v="1"/>
    <n v="1"/>
    <n v="2"/>
    <n v="4"/>
    <x v="1"/>
    <s v="Online Survey"/>
    <s v="Will visit again"/>
    <x v="0"/>
    <n v="46"/>
    <d v="2024-10-16T00:00:00"/>
    <x v="1"/>
    <x v="15"/>
    <x v="1"/>
  </r>
  <r>
    <n v="1926"/>
    <n v="45305"/>
    <s v="Maria Kane"/>
    <x v="0"/>
    <x v="1"/>
    <x v="149"/>
    <d v="2024-02-29T00:00:00"/>
    <n v="3"/>
    <x v="1"/>
    <x v="0"/>
    <n v="5"/>
    <n v="3"/>
    <n v="5"/>
    <n v="4"/>
    <n v="5"/>
    <x v="2"/>
    <n v="3"/>
    <n v="1"/>
    <n v="1"/>
    <n v="4"/>
    <x v="0"/>
    <s v="Online Survey"/>
    <s v="Average"/>
    <x v="2"/>
    <n v="66"/>
    <d v="2024-04-23T00:00:00"/>
    <x v="2"/>
    <x v="1"/>
    <x v="0"/>
  </r>
  <r>
    <n v="1927"/>
    <n v="57318"/>
    <s v="Cynthia Pena"/>
    <x v="3"/>
    <x v="1"/>
    <x v="611"/>
    <d v="2024-10-03T00:00:00"/>
    <n v="14"/>
    <x v="3"/>
    <x v="0"/>
    <n v="3"/>
    <n v="3"/>
    <n v="5"/>
    <n v="2"/>
    <n v="3"/>
    <x v="0"/>
    <n v="2"/>
    <n v="2"/>
    <n v="1"/>
    <n v="3"/>
    <x v="0"/>
    <s v="Feedback Form"/>
    <s v="Will visit again"/>
    <x v="1"/>
    <n v="62"/>
    <d v="2024-10-03T00:00:00"/>
    <x v="2"/>
    <x v="5"/>
    <x v="1"/>
  </r>
  <r>
    <n v="1928"/>
    <n v="95094"/>
    <s v="Sandra Lloyd"/>
    <x v="3"/>
    <x v="4"/>
    <x v="628"/>
    <d v="2024-05-04T00:00:00"/>
    <n v="1"/>
    <x v="1"/>
    <x v="2"/>
    <n v="2"/>
    <n v="2"/>
    <n v="4"/>
    <n v="1"/>
    <n v="4"/>
    <x v="2"/>
    <n v="5"/>
    <n v="2"/>
    <n v="4"/>
    <n v="4"/>
    <x v="0"/>
    <s v="Feedback Form"/>
    <s v="Poor service"/>
    <x v="0"/>
    <n v="41"/>
    <d v="2024-05-04T00:00:00"/>
    <x v="1"/>
    <x v="2"/>
    <x v="0"/>
  </r>
  <r>
    <n v="1929"/>
    <n v="67126"/>
    <s v="John Holt"/>
    <x v="0"/>
    <x v="1"/>
    <x v="47"/>
    <d v="2023-04-22T00:00:00"/>
    <n v="3"/>
    <x v="0"/>
    <x v="1"/>
    <n v="4"/>
    <n v="4"/>
    <n v="4"/>
    <n v="2"/>
    <n v="4"/>
    <x v="2"/>
    <n v="3"/>
    <n v="1"/>
    <n v="5"/>
    <n v="5"/>
    <x v="0"/>
    <s v="Feedback Form"/>
    <s v="Poor service"/>
    <x v="0"/>
    <n v="19"/>
    <d v="2023-04-22T00:00:00"/>
    <x v="0"/>
    <x v="13"/>
    <x v="0"/>
  </r>
  <r>
    <n v="1930"/>
    <n v="94142"/>
    <s v="Laura Hernandez"/>
    <x v="2"/>
    <x v="4"/>
    <x v="121"/>
    <d v="2023-11-23T00:00:00"/>
    <n v="5"/>
    <x v="2"/>
    <x v="4"/>
    <n v="2"/>
    <n v="5"/>
    <n v="4"/>
    <n v="3"/>
    <n v="2"/>
    <x v="2"/>
    <n v="5"/>
    <n v="3"/>
    <n v="5"/>
    <n v="3"/>
    <x v="0"/>
    <s v="Feedback Form"/>
    <s v="Needs improvement"/>
    <x v="0"/>
    <n v="22"/>
    <d v="2023-11-23T00:00:00"/>
    <x v="0"/>
    <x v="13"/>
    <x v="0"/>
  </r>
  <r>
    <n v="1931"/>
    <n v="75587"/>
    <s v="Samantha Mooney"/>
    <x v="1"/>
    <x v="3"/>
    <x v="445"/>
    <d v="2024-11-29T00:00:00"/>
    <n v="8"/>
    <x v="3"/>
    <x v="2"/>
    <n v="1"/>
    <n v="5"/>
    <n v="2"/>
    <n v="3"/>
    <n v="3"/>
    <x v="2"/>
    <n v="3"/>
    <n v="3"/>
    <n v="5"/>
    <n v="4"/>
    <x v="1"/>
    <s v="App Review"/>
    <s v="Will visit again"/>
    <x v="0"/>
    <n v="41"/>
    <d v="2024-11-29T00:00:00"/>
    <x v="1"/>
    <x v="0"/>
    <x v="0"/>
  </r>
  <r>
    <n v="1932"/>
    <n v="94264"/>
    <s v="Alicia Smith"/>
    <x v="2"/>
    <x v="2"/>
    <x v="591"/>
    <d v="2023-12-10T00:00:00"/>
    <n v="7"/>
    <x v="2"/>
    <x v="1"/>
    <n v="4"/>
    <n v="5"/>
    <n v="2"/>
    <n v="1"/>
    <n v="5"/>
    <x v="3"/>
    <n v="5"/>
    <n v="3"/>
    <n v="3"/>
    <n v="2"/>
    <x v="1"/>
    <s v="Feedback Form"/>
    <s v="Needs improvement"/>
    <x v="1"/>
    <n v="61"/>
    <d v="2024-07-06T00:00:00"/>
    <x v="2"/>
    <x v="13"/>
    <x v="0"/>
  </r>
  <r>
    <n v="1933"/>
    <n v="89835"/>
    <s v="Lauren Green"/>
    <x v="4"/>
    <x v="0"/>
    <x v="315"/>
    <d v="2023-12-26T00:00:00"/>
    <n v="12"/>
    <x v="2"/>
    <x v="2"/>
    <n v="5"/>
    <n v="2"/>
    <n v="3"/>
    <n v="2"/>
    <n v="2"/>
    <x v="1"/>
    <n v="2"/>
    <n v="2"/>
    <n v="1"/>
    <n v="4"/>
    <x v="1"/>
    <s v="In-person"/>
    <s v="Great stay"/>
    <x v="1"/>
    <n v="64"/>
    <d v="2023-12-26T00:00:00"/>
    <x v="2"/>
    <x v="3"/>
    <x v="1"/>
  </r>
  <r>
    <n v="1934"/>
    <n v="96984"/>
    <s v="Sandra King"/>
    <x v="4"/>
    <x v="4"/>
    <x v="176"/>
    <d v="2023-12-28T00:00:00"/>
    <n v="13"/>
    <x v="1"/>
    <x v="3"/>
    <n v="2"/>
    <n v="1"/>
    <n v="5"/>
    <n v="2"/>
    <n v="4"/>
    <x v="3"/>
    <n v="1"/>
    <n v="5"/>
    <n v="3"/>
    <n v="5"/>
    <x v="0"/>
    <s v="Feedback Form"/>
    <s v="Average"/>
    <x v="1"/>
    <n v="24"/>
    <d v="2024-06-11T00:00:00"/>
    <x v="0"/>
    <x v="10"/>
    <x v="0"/>
  </r>
  <r>
    <n v="1935"/>
    <n v="98406"/>
    <s v="John Jones"/>
    <x v="1"/>
    <x v="3"/>
    <x v="677"/>
    <d v="2024-09-19T00:00:00"/>
    <n v="13"/>
    <x v="2"/>
    <x v="1"/>
    <n v="3"/>
    <n v="1"/>
    <n v="4"/>
    <n v="5"/>
    <n v="1"/>
    <x v="4"/>
    <n v="2"/>
    <n v="3"/>
    <n v="2"/>
    <n v="4"/>
    <x v="1"/>
    <s v="In-person"/>
    <s v="Needs improvement"/>
    <x v="1"/>
    <n v="48"/>
    <d v="2024-09-19T00:00:00"/>
    <x v="1"/>
    <x v="7"/>
    <x v="1"/>
  </r>
  <r>
    <n v="1936"/>
    <n v="97750"/>
    <s v="John Gibson"/>
    <x v="4"/>
    <x v="2"/>
    <x v="678"/>
    <d v="2024-02-16T00:00:00"/>
    <n v="11"/>
    <x v="2"/>
    <x v="1"/>
    <n v="3"/>
    <n v="5"/>
    <n v="5"/>
    <n v="2"/>
    <n v="5"/>
    <x v="3"/>
    <n v="3"/>
    <n v="5"/>
    <n v="4"/>
    <n v="3"/>
    <x v="1"/>
    <s v="In-person"/>
    <s v="Needs improvement"/>
    <x v="1"/>
    <n v="47"/>
    <d v="2024-02-16T00:00:00"/>
    <x v="1"/>
    <x v="20"/>
    <x v="0"/>
  </r>
  <r>
    <n v="1937"/>
    <n v="79802"/>
    <s v="Richard Gutierrez"/>
    <x v="3"/>
    <x v="3"/>
    <x v="45"/>
    <d v="2024-05-23T00:00:00"/>
    <n v="4"/>
    <x v="2"/>
    <x v="0"/>
    <n v="1"/>
    <n v="4"/>
    <n v="1"/>
    <n v="4"/>
    <n v="2"/>
    <x v="3"/>
    <n v="4"/>
    <n v="1"/>
    <n v="4"/>
    <n v="2"/>
    <x v="1"/>
    <s v="Feedback Form"/>
    <s v="Needs improvement"/>
    <x v="2"/>
    <n v="23"/>
    <d v="2024-05-23T00:00:00"/>
    <x v="0"/>
    <x v="5"/>
    <x v="1"/>
  </r>
  <r>
    <n v="1938"/>
    <n v="21300"/>
    <s v="Laura Randolph"/>
    <x v="4"/>
    <x v="0"/>
    <x v="149"/>
    <d v="2024-02-29T00:00:00"/>
    <n v="4"/>
    <x v="3"/>
    <x v="4"/>
    <n v="1"/>
    <n v="4"/>
    <n v="1"/>
    <n v="3"/>
    <n v="3"/>
    <x v="2"/>
    <n v="1"/>
    <n v="3"/>
    <n v="3"/>
    <n v="3"/>
    <x v="0"/>
    <s v="Feedback Form"/>
    <s v="Needs improvement"/>
    <x v="1"/>
    <n v="22"/>
    <d v="2024-02-29T00:00:00"/>
    <x v="0"/>
    <x v="8"/>
    <x v="1"/>
  </r>
  <r>
    <n v="1939"/>
    <n v="77194"/>
    <s v="Elizabeth Orozco"/>
    <x v="0"/>
    <x v="1"/>
    <x v="657"/>
    <d v="2023-11-10T00:00:00"/>
    <n v="12"/>
    <x v="2"/>
    <x v="2"/>
    <n v="1"/>
    <n v="3"/>
    <n v="4"/>
    <n v="2"/>
    <n v="1"/>
    <x v="4"/>
    <n v="5"/>
    <n v="1"/>
    <n v="4"/>
    <n v="2"/>
    <x v="0"/>
    <s v="Email"/>
    <s v="Poor service"/>
    <x v="0"/>
    <n v="32"/>
    <d v="2024-06-16T00:00:00"/>
    <x v="3"/>
    <x v="8"/>
    <x v="1"/>
  </r>
  <r>
    <n v="1940"/>
    <n v="99288"/>
    <s v="Brooke Patel"/>
    <x v="3"/>
    <x v="1"/>
    <x v="261"/>
    <d v="2024-06-07T00:00:00"/>
    <n v="4"/>
    <x v="0"/>
    <x v="2"/>
    <n v="1"/>
    <n v="4"/>
    <n v="2"/>
    <n v="4"/>
    <n v="2"/>
    <x v="4"/>
    <n v="1"/>
    <n v="1"/>
    <n v="3"/>
    <n v="2"/>
    <x v="0"/>
    <s v="In-person"/>
    <s v="Average"/>
    <x v="1"/>
    <n v="44"/>
    <d v="2024-12-21T00:00:00"/>
    <x v="1"/>
    <x v="17"/>
    <x v="1"/>
  </r>
  <r>
    <n v="1941"/>
    <n v="38133"/>
    <s v="Holly Butler"/>
    <x v="2"/>
    <x v="3"/>
    <x v="149"/>
    <d v="2024-02-29T00:00:00"/>
    <n v="8"/>
    <x v="1"/>
    <x v="4"/>
    <n v="5"/>
    <n v="5"/>
    <n v="3"/>
    <n v="1"/>
    <n v="5"/>
    <x v="0"/>
    <n v="1"/>
    <n v="4"/>
    <n v="5"/>
    <n v="5"/>
    <x v="1"/>
    <s v="Feedback Form"/>
    <s v="Great stay"/>
    <x v="2"/>
    <n v="52"/>
    <d v="2024-02-29T00:00:00"/>
    <x v="2"/>
    <x v="16"/>
    <x v="0"/>
  </r>
  <r>
    <n v="1942"/>
    <n v="88278"/>
    <s v="Devin Jackson"/>
    <x v="1"/>
    <x v="0"/>
    <x v="517"/>
    <d v="2024-09-08T00:00:00"/>
    <n v="8"/>
    <x v="0"/>
    <x v="4"/>
    <n v="4"/>
    <n v="3"/>
    <n v="2"/>
    <n v="3"/>
    <n v="1"/>
    <x v="2"/>
    <n v="2"/>
    <n v="1"/>
    <n v="2"/>
    <n v="1"/>
    <x v="1"/>
    <s v="Feedback Form"/>
    <s v="Average"/>
    <x v="0"/>
    <n v="26"/>
    <d v="2024-09-08T00:00:00"/>
    <x v="3"/>
    <x v="17"/>
    <x v="1"/>
  </r>
  <r>
    <n v="1943"/>
    <n v="26059"/>
    <s v="Brooke Mcgee"/>
    <x v="0"/>
    <x v="3"/>
    <x v="12"/>
    <d v="2023-10-30T00:00:00"/>
    <n v="2"/>
    <x v="1"/>
    <x v="0"/>
    <n v="1"/>
    <n v="5"/>
    <n v="5"/>
    <n v="1"/>
    <n v="2"/>
    <x v="3"/>
    <n v="3"/>
    <n v="1"/>
    <n v="5"/>
    <n v="5"/>
    <x v="0"/>
    <s v="Email"/>
    <s v="Needs improvement"/>
    <x v="2"/>
    <n v="40"/>
    <d v="2023-10-30T00:00:00"/>
    <x v="1"/>
    <x v="10"/>
    <x v="0"/>
  </r>
  <r>
    <n v="1944"/>
    <n v="72166"/>
    <s v="Marcus Pugh"/>
    <x v="0"/>
    <x v="1"/>
    <x v="334"/>
    <d v="2024-01-10T00:00:00"/>
    <n v="7"/>
    <x v="2"/>
    <x v="4"/>
    <n v="2"/>
    <n v="1"/>
    <n v="2"/>
    <n v="2"/>
    <n v="2"/>
    <x v="0"/>
    <n v="2"/>
    <n v="2"/>
    <n v="4"/>
    <n v="1"/>
    <x v="1"/>
    <s v="App Review"/>
    <s v="Poor service"/>
    <x v="0"/>
    <n v="34"/>
    <d v="2024-02-23T00:00:00"/>
    <x v="3"/>
    <x v="17"/>
    <x v="1"/>
  </r>
  <r>
    <n v="1945"/>
    <n v="23720"/>
    <s v="Clinton Gordon"/>
    <x v="1"/>
    <x v="3"/>
    <x v="134"/>
    <d v="2024-09-24T00:00:00"/>
    <n v="12"/>
    <x v="1"/>
    <x v="3"/>
    <n v="5"/>
    <n v="5"/>
    <n v="4"/>
    <n v="1"/>
    <n v="5"/>
    <x v="0"/>
    <n v="3"/>
    <n v="1"/>
    <n v="2"/>
    <n v="1"/>
    <x v="1"/>
    <s v="In-person"/>
    <s v="Great stay"/>
    <x v="0"/>
    <n v="40"/>
    <d v="2024-09-24T00:00:00"/>
    <x v="1"/>
    <x v="2"/>
    <x v="0"/>
  </r>
  <r>
    <n v="1946"/>
    <n v="68230"/>
    <s v="Christina Adams"/>
    <x v="4"/>
    <x v="2"/>
    <x v="535"/>
    <d v="2023-11-05T00:00:00"/>
    <n v="11"/>
    <x v="3"/>
    <x v="0"/>
    <n v="4"/>
    <n v="3"/>
    <n v="2"/>
    <n v="3"/>
    <n v="3"/>
    <x v="3"/>
    <n v="4"/>
    <n v="3"/>
    <n v="1"/>
    <n v="5"/>
    <x v="1"/>
    <s v="In-person"/>
    <s v="Needs improvement"/>
    <x v="1"/>
    <n v="63"/>
    <d v="2024-05-05T00:00:00"/>
    <x v="2"/>
    <x v="10"/>
    <x v="0"/>
  </r>
  <r>
    <n v="1947"/>
    <n v="86530"/>
    <s v="Alicia Hughes"/>
    <x v="1"/>
    <x v="0"/>
    <x v="583"/>
    <d v="2024-12-01T00:00:00"/>
    <n v="14"/>
    <x v="3"/>
    <x v="1"/>
    <n v="5"/>
    <n v="5"/>
    <n v="1"/>
    <n v="1"/>
    <n v="1"/>
    <x v="4"/>
    <n v="2"/>
    <n v="2"/>
    <n v="3"/>
    <n v="4"/>
    <x v="1"/>
    <s v="Email"/>
    <s v="Needs improvement"/>
    <x v="2"/>
    <n v="56"/>
    <d v="2024-12-01T00:00:00"/>
    <x v="2"/>
    <x v="14"/>
    <x v="1"/>
  </r>
  <r>
    <n v="1948"/>
    <n v="97541"/>
    <s v="Carol Williams"/>
    <x v="1"/>
    <x v="1"/>
    <x v="63"/>
    <d v="2024-01-23T00:00:00"/>
    <n v="12"/>
    <x v="0"/>
    <x v="4"/>
    <n v="3"/>
    <n v="2"/>
    <n v="4"/>
    <n v="1"/>
    <n v="2"/>
    <x v="2"/>
    <n v="4"/>
    <n v="4"/>
    <n v="2"/>
    <n v="5"/>
    <x v="0"/>
    <s v="App Review"/>
    <s v="Will visit again"/>
    <x v="2"/>
    <n v="64"/>
    <d v="2024-01-23T00:00:00"/>
    <x v="2"/>
    <x v="4"/>
    <x v="1"/>
  </r>
  <r>
    <n v="1949"/>
    <n v="30394"/>
    <s v="Daniel Adams"/>
    <x v="4"/>
    <x v="3"/>
    <x v="137"/>
    <d v="2024-06-23T00:00:00"/>
    <n v="5"/>
    <x v="3"/>
    <x v="1"/>
    <n v="5"/>
    <n v="3"/>
    <n v="4"/>
    <n v="1"/>
    <n v="5"/>
    <x v="2"/>
    <n v="3"/>
    <n v="4"/>
    <n v="3"/>
    <n v="3"/>
    <x v="1"/>
    <s v="Online Survey"/>
    <s v="Average"/>
    <x v="0"/>
    <n v="46"/>
    <d v="2024-06-23T00:00:00"/>
    <x v="1"/>
    <x v="1"/>
    <x v="0"/>
  </r>
  <r>
    <n v="1950"/>
    <n v="10635"/>
    <s v="Angela Hamilton"/>
    <x v="2"/>
    <x v="0"/>
    <x v="590"/>
    <d v="2024-09-27T00:00:00"/>
    <n v="2"/>
    <x v="2"/>
    <x v="0"/>
    <n v="5"/>
    <n v="4"/>
    <n v="4"/>
    <n v="4"/>
    <n v="2"/>
    <x v="3"/>
    <n v="1"/>
    <n v="1"/>
    <n v="2"/>
    <n v="3"/>
    <x v="0"/>
    <s v="Email"/>
    <s v="Average"/>
    <x v="1"/>
    <n v="56"/>
    <d v="2024-09-27T00:00:00"/>
    <x v="2"/>
    <x v="2"/>
    <x v="0"/>
  </r>
  <r>
    <n v="1951"/>
    <n v="86742"/>
    <s v="Joshua Johnson"/>
    <x v="1"/>
    <x v="3"/>
    <x v="644"/>
    <d v="2023-08-25T00:00:00"/>
    <n v="13"/>
    <x v="0"/>
    <x v="3"/>
    <n v="3"/>
    <n v="1"/>
    <n v="2"/>
    <n v="4"/>
    <n v="5"/>
    <x v="2"/>
    <n v="4"/>
    <n v="5"/>
    <n v="4"/>
    <n v="3"/>
    <x v="0"/>
    <s v="Feedback Form"/>
    <s v="Average"/>
    <x v="0"/>
    <n v="62"/>
    <d v="2023-08-25T00:00:00"/>
    <x v="2"/>
    <x v="1"/>
    <x v="0"/>
  </r>
  <r>
    <n v="1952"/>
    <n v="74197"/>
    <s v="Lawrence Hensley"/>
    <x v="4"/>
    <x v="1"/>
    <x v="271"/>
    <d v="2024-12-30T00:00:00"/>
    <n v="3"/>
    <x v="0"/>
    <x v="3"/>
    <n v="3"/>
    <n v="4"/>
    <n v="1"/>
    <n v="2"/>
    <n v="5"/>
    <x v="1"/>
    <n v="4"/>
    <n v="4"/>
    <n v="5"/>
    <n v="3"/>
    <x v="1"/>
    <s v="Feedback Form"/>
    <s v="Will visit again"/>
    <x v="2"/>
    <n v="63"/>
    <d v="2024-12-30T00:00:00"/>
    <x v="2"/>
    <x v="11"/>
    <x v="0"/>
  </r>
  <r>
    <n v="1953"/>
    <n v="54845"/>
    <s v="James Gray"/>
    <x v="0"/>
    <x v="0"/>
    <x v="592"/>
    <d v="2023-07-14T00:00:00"/>
    <n v="11"/>
    <x v="0"/>
    <x v="4"/>
    <n v="3"/>
    <n v="5"/>
    <n v="2"/>
    <n v="1"/>
    <n v="2"/>
    <x v="0"/>
    <n v="3"/>
    <n v="4"/>
    <n v="4"/>
    <n v="1"/>
    <x v="0"/>
    <s v="Feedback Form"/>
    <s v="Poor service"/>
    <x v="0"/>
    <n v="28"/>
    <d v="2024-12-28T00:00:00"/>
    <x v="3"/>
    <x v="3"/>
    <x v="1"/>
  </r>
  <r>
    <n v="1954"/>
    <n v="32805"/>
    <s v="Robert Ward"/>
    <x v="1"/>
    <x v="1"/>
    <x v="404"/>
    <d v="2024-11-21T00:00:00"/>
    <n v="7"/>
    <x v="3"/>
    <x v="3"/>
    <n v="5"/>
    <n v="4"/>
    <n v="5"/>
    <n v="4"/>
    <n v="5"/>
    <x v="0"/>
    <n v="3"/>
    <n v="4"/>
    <n v="1"/>
    <n v="1"/>
    <x v="0"/>
    <s v="Online Survey"/>
    <s v="Poor service"/>
    <x v="1"/>
    <n v="67"/>
    <d v="2024-11-21T00:00:00"/>
    <x v="2"/>
    <x v="18"/>
    <x v="0"/>
  </r>
  <r>
    <n v="1955"/>
    <n v="69426"/>
    <s v="Todd Wilson"/>
    <x v="1"/>
    <x v="2"/>
    <x v="661"/>
    <d v="2025-01-02T00:00:00"/>
    <n v="6"/>
    <x v="1"/>
    <x v="2"/>
    <n v="3"/>
    <n v="3"/>
    <n v="3"/>
    <n v="3"/>
    <n v="1"/>
    <x v="1"/>
    <n v="2"/>
    <n v="3"/>
    <n v="4"/>
    <n v="5"/>
    <x v="1"/>
    <s v="Feedback Form"/>
    <s v="Poor service"/>
    <x v="2"/>
    <n v="30"/>
    <d v="2025-01-02T00:00:00"/>
    <x v="3"/>
    <x v="10"/>
    <x v="0"/>
  </r>
  <r>
    <n v="1956"/>
    <n v="35632"/>
    <s v="Daniel Kelly"/>
    <x v="2"/>
    <x v="2"/>
    <x v="287"/>
    <d v="2024-11-21T00:00:00"/>
    <n v="6"/>
    <x v="3"/>
    <x v="0"/>
    <n v="1"/>
    <n v="2"/>
    <n v="3"/>
    <n v="3"/>
    <n v="5"/>
    <x v="2"/>
    <n v="2"/>
    <n v="5"/>
    <n v="2"/>
    <n v="2"/>
    <x v="0"/>
    <s v="Online Survey"/>
    <s v="Great stay"/>
    <x v="0"/>
    <n v="29"/>
    <d v="2024-11-21T00:00:00"/>
    <x v="3"/>
    <x v="5"/>
    <x v="1"/>
  </r>
  <r>
    <n v="1957"/>
    <n v="21660"/>
    <s v="Rachel Tucker"/>
    <x v="2"/>
    <x v="4"/>
    <x v="94"/>
    <d v="2023-06-21T00:00:00"/>
    <n v="12"/>
    <x v="0"/>
    <x v="3"/>
    <n v="2"/>
    <n v="4"/>
    <n v="3"/>
    <n v="1"/>
    <n v="3"/>
    <x v="4"/>
    <n v="3"/>
    <n v="1"/>
    <n v="1"/>
    <n v="2"/>
    <x v="1"/>
    <s v="Email"/>
    <s v="Will visit again"/>
    <x v="1"/>
    <n v="19"/>
    <d v="2023-09-27T00:00:00"/>
    <x v="0"/>
    <x v="17"/>
    <x v="1"/>
  </r>
  <r>
    <n v="1958"/>
    <n v="36877"/>
    <s v="Robert Garcia"/>
    <x v="0"/>
    <x v="0"/>
    <x v="234"/>
    <d v="2024-11-17T00:00:00"/>
    <n v="7"/>
    <x v="1"/>
    <x v="0"/>
    <n v="2"/>
    <n v="5"/>
    <n v="5"/>
    <n v="2"/>
    <n v="3"/>
    <x v="1"/>
    <n v="4"/>
    <n v="1"/>
    <n v="2"/>
    <n v="1"/>
    <x v="1"/>
    <s v="Online Survey"/>
    <s v="Will visit again"/>
    <x v="2"/>
    <n v="59"/>
    <d v="2024-11-17T00:00:00"/>
    <x v="2"/>
    <x v="2"/>
    <x v="0"/>
  </r>
  <r>
    <n v="1959"/>
    <n v="84295"/>
    <s v="Heather Crawford"/>
    <x v="2"/>
    <x v="2"/>
    <x v="485"/>
    <d v="2024-08-17T00:00:00"/>
    <n v="6"/>
    <x v="0"/>
    <x v="0"/>
    <n v="3"/>
    <n v="4"/>
    <n v="5"/>
    <n v="4"/>
    <n v="5"/>
    <x v="1"/>
    <n v="5"/>
    <n v="2"/>
    <n v="5"/>
    <n v="4"/>
    <x v="1"/>
    <s v="Feedback Form"/>
    <s v="Poor service"/>
    <x v="1"/>
    <n v="28"/>
    <d v="2024-10-24T00:00:00"/>
    <x v="3"/>
    <x v="6"/>
    <x v="2"/>
  </r>
  <r>
    <n v="1960"/>
    <n v="48924"/>
    <s v="Michael Anderson"/>
    <x v="0"/>
    <x v="4"/>
    <x v="679"/>
    <d v="2023-08-28T00:00:00"/>
    <n v="11"/>
    <x v="0"/>
    <x v="2"/>
    <n v="4"/>
    <n v="4"/>
    <n v="5"/>
    <n v="4"/>
    <n v="1"/>
    <x v="0"/>
    <n v="2"/>
    <n v="3"/>
    <n v="3"/>
    <n v="1"/>
    <x v="1"/>
    <s v="In-person"/>
    <s v="Poor service"/>
    <x v="0"/>
    <n v="65"/>
    <d v="2023-10-01T00:00:00"/>
    <x v="2"/>
    <x v="2"/>
    <x v="0"/>
  </r>
  <r>
    <n v="1961"/>
    <n v="57153"/>
    <s v="Dr. Shawna Roberts"/>
    <x v="1"/>
    <x v="0"/>
    <x v="184"/>
    <d v="2023-09-28T00:00:00"/>
    <n v="2"/>
    <x v="1"/>
    <x v="4"/>
    <n v="5"/>
    <n v="3"/>
    <n v="1"/>
    <n v="4"/>
    <n v="4"/>
    <x v="4"/>
    <n v="3"/>
    <n v="5"/>
    <n v="5"/>
    <n v="4"/>
    <x v="1"/>
    <s v="Feedback Form"/>
    <s v="Poor service"/>
    <x v="2"/>
    <n v="66"/>
    <d v="2023-09-28T00:00:00"/>
    <x v="2"/>
    <x v="18"/>
    <x v="0"/>
  </r>
  <r>
    <n v="1962"/>
    <n v="69127"/>
    <s v="Angelica Castro"/>
    <x v="4"/>
    <x v="1"/>
    <x v="80"/>
    <d v="2023-07-06T00:00:00"/>
    <n v="8"/>
    <x v="1"/>
    <x v="0"/>
    <n v="2"/>
    <n v="5"/>
    <n v="4"/>
    <n v="2"/>
    <n v="4"/>
    <x v="4"/>
    <n v="5"/>
    <n v="2"/>
    <n v="5"/>
    <n v="2"/>
    <x v="0"/>
    <s v="Online Survey"/>
    <s v="Will visit again"/>
    <x v="1"/>
    <n v="31"/>
    <d v="2024-08-02T00:00:00"/>
    <x v="3"/>
    <x v="10"/>
    <x v="0"/>
  </r>
  <r>
    <n v="1963"/>
    <n v="58360"/>
    <s v="Chelsea Cook"/>
    <x v="2"/>
    <x v="3"/>
    <x v="548"/>
    <d v="2024-04-06T00:00:00"/>
    <n v="7"/>
    <x v="0"/>
    <x v="2"/>
    <n v="1"/>
    <n v="5"/>
    <n v="5"/>
    <n v="5"/>
    <n v="1"/>
    <x v="2"/>
    <n v="5"/>
    <n v="5"/>
    <n v="5"/>
    <n v="1"/>
    <x v="0"/>
    <s v="Online Survey"/>
    <s v="Poor service"/>
    <x v="2"/>
    <n v="39"/>
    <d v="2024-04-06T00:00:00"/>
    <x v="1"/>
    <x v="18"/>
    <x v="0"/>
  </r>
  <r>
    <n v="1964"/>
    <n v="58097"/>
    <s v="Mackenzie Clarke"/>
    <x v="0"/>
    <x v="3"/>
    <x v="86"/>
    <d v="2024-11-26T00:00:00"/>
    <n v="6"/>
    <x v="0"/>
    <x v="3"/>
    <n v="4"/>
    <n v="2"/>
    <n v="3"/>
    <n v="4"/>
    <n v="3"/>
    <x v="4"/>
    <n v="5"/>
    <n v="4"/>
    <n v="2"/>
    <n v="5"/>
    <x v="0"/>
    <s v="App Review"/>
    <s v="Average"/>
    <x v="0"/>
    <n v="38"/>
    <d v="2024-11-26T00:00:00"/>
    <x v="1"/>
    <x v="1"/>
    <x v="0"/>
  </r>
  <r>
    <n v="1965"/>
    <n v="34091"/>
    <s v="Susan Gibson"/>
    <x v="2"/>
    <x v="1"/>
    <x v="150"/>
    <d v="2024-09-02T00:00:00"/>
    <n v="5"/>
    <x v="3"/>
    <x v="1"/>
    <n v="4"/>
    <n v="3"/>
    <n v="3"/>
    <n v="1"/>
    <n v="5"/>
    <x v="2"/>
    <n v="5"/>
    <n v="5"/>
    <n v="3"/>
    <n v="3"/>
    <x v="0"/>
    <s v="App Review"/>
    <s v="Poor service"/>
    <x v="0"/>
    <n v="62"/>
    <d v="2024-09-02T00:00:00"/>
    <x v="2"/>
    <x v="13"/>
    <x v="0"/>
  </r>
  <r>
    <n v="1966"/>
    <n v="41335"/>
    <s v="Christina Williams"/>
    <x v="2"/>
    <x v="2"/>
    <x v="11"/>
    <d v="2024-12-14T00:00:00"/>
    <n v="11"/>
    <x v="3"/>
    <x v="4"/>
    <n v="1"/>
    <n v="3"/>
    <n v="2"/>
    <n v="4"/>
    <n v="2"/>
    <x v="3"/>
    <n v="1"/>
    <n v="2"/>
    <n v="2"/>
    <n v="2"/>
    <x v="1"/>
    <s v="App Review"/>
    <s v="Average"/>
    <x v="1"/>
    <n v="66"/>
    <d v="2024-12-14T00:00:00"/>
    <x v="2"/>
    <x v="9"/>
    <x v="1"/>
  </r>
  <r>
    <n v="1967"/>
    <n v="82545"/>
    <s v="Collin Walters"/>
    <x v="3"/>
    <x v="3"/>
    <x v="187"/>
    <d v="2025-01-03T00:00:00"/>
    <n v="6"/>
    <x v="3"/>
    <x v="1"/>
    <n v="5"/>
    <n v="1"/>
    <n v="4"/>
    <n v="4"/>
    <n v="5"/>
    <x v="1"/>
    <n v="2"/>
    <n v="3"/>
    <n v="1"/>
    <n v="1"/>
    <x v="0"/>
    <s v="Feedback Form"/>
    <s v="Needs improvement"/>
    <x v="2"/>
    <n v="54"/>
    <d v="2025-01-03T00:00:00"/>
    <x v="2"/>
    <x v="0"/>
    <x v="0"/>
  </r>
  <r>
    <n v="1968"/>
    <n v="77679"/>
    <s v="Adam Solomon"/>
    <x v="1"/>
    <x v="1"/>
    <x v="223"/>
    <d v="2024-06-30T00:00:00"/>
    <n v="14"/>
    <x v="2"/>
    <x v="2"/>
    <n v="5"/>
    <n v="2"/>
    <n v="5"/>
    <n v="5"/>
    <n v="5"/>
    <x v="1"/>
    <n v="5"/>
    <n v="3"/>
    <n v="2"/>
    <n v="1"/>
    <x v="0"/>
    <s v="Online Survey"/>
    <s v="Needs improvement"/>
    <x v="0"/>
    <n v="53"/>
    <d v="2024-06-30T00:00:00"/>
    <x v="2"/>
    <x v="21"/>
    <x v="0"/>
  </r>
  <r>
    <n v="1969"/>
    <n v="49767"/>
    <s v="Dr. Steven Guzman"/>
    <x v="2"/>
    <x v="4"/>
    <x v="561"/>
    <d v="2024-09-21T00:00:00"/>
    <n v="3"/>
    <x v="0"/>
    <x v="0"/>
    <n v="3"/>
    <n v="2"/>
    <n v="4"/>
    <n v="1"/>
    <n v="4"/>
    <x v="2"/>
    <n v="5"/>
    <n v="4"/>
    <n v="5"/>
    <n v="3"/>
    <x v="1"/>
    <s v="App Review"/>
    <s v="Will visit again"/>
    <x v="1"/>
    <n v="42"/>
    <d v="2024-09-21T00:00:00"/>
    <x v="1"/>
    <x v="1"/>
    <x v="0"/>
  </r>
  <r>
    <n v="1970"/>
    <n v="69584"/>
    <s v="Sara Lewis"/>
    <x v="4"/>
    <x v="4"/>
    <x v="293"/>
    <d v="2024-11-30T00:00:00"/>
    <n v="2"/>
    <x v="3"/>
    <x v="2"/>
    <n v="1"/>
    <n v="5"/>
    <n v="5"/>
    <n v="1"/>
    <n v="5"/>
    <x v="2"/>
    <n v="3"/>
    <n v="1"/>
    <n v="4"/>
    <n v="2"/>
    <x v="1"/>
    <s v="In-person"/>
    <s v="Great stay"/>
    <x v="1"/>
    <n v="60"/>
    <d v="2024-11-30T00:00:00"/>
    <x v="2"/>
    <x v="4"/>
    <x v="1"/>
  </r>
  <r>
    <n v="1971"/>
    <n v="53518"/>
    <s v="Caleb Brooks"/>
    <x v="3"/>
    <x v="1"/>
    <x v="359"/>
    <d v="2024-12-05T00:00:00"/>
    <n v="9"/>
    <x v="0"/>
    <x v="4"/>
    <n v="1"/>
    <n v="5"/>
    <n v="3"/>
    <n v="1"/>
    <n v="4"/>
    <x v="2"/>
    <n v="3"/>
    <n v="2"/>
    <n v="4"/>
    <n v="5"/>
    <x v="0"/>
    <s v="Email"/>
    <s v="Needs improvement"/>
    <x v="1"/>
    <n v="66"/>
    <d v="2024-12-05T00:00:00"/>
    <x v="2"/>
    <x v="2"/>
    <x v="0"/>
  </r>
  <r>
    <n v="1972"/>
    <n v="93394"/>
    <s v="Lisa Ross"/>
    <x v="0"/>
    <x v="0"/>
    <x v="70"/>
    <d v="2024-03-03T00:00:00"/>
    <n v="1"/>
    <x v="2"/>
    <x v="4"/>
    <n v="1"/>
    <n v="2"/>
    <n v="4"/>
    <n v="4"/>
    <n v="2"/>
    <x v="1"/>
    <n v="1"/>
    <n v="1"/>
    <n v="2"/>
    <n v="5"/>
    <x v="1"/>
    <s v="Email"/>
    <s v="Will visit again"/>
    <x v="2"/>
    <n v="20"/>
    <d v="2024-03-03T00:00:00"/>
    <x v="0"/>
    <x v="5"/>
    <x v="1"/>
  </r>
  <r>
    <n v="1973"/>
    <n v="99168"/>
    <s v="Brett Coleman"/>
    <x v="0"/>
    <x v="2"/>
    <x v="354"/>
    <d v="2023-05-18T00:00:00"/>
    <n v="2"/>
    <x v="3"/>
    <x v="3"/>
    <n v="3"/>
    <n v="3"/>
    <n v="4"/>
    <n v="4"/>
    <n v="5"/>
    <x v="2"/>
    <n v="5"/>
    <n v="4"/>
    <n v="5"/>
    <n v="5"/>
    <x v="1"/>
    <s v="App Review"/>
    <s v="Will visit again"/>
    <x v="0"/>
    <n v="19"/>
    <d v="2023-10-02T00:00:00"/>
    <x v="0"/>
    <x v="12"/>
    <x v="2"/>
  </r>
  <r>
    <n v="1974"/>
    <n v="96022"/>
    <s v="Lisa Lamb"/>
    <x v="4"/>
    <x v="2"/>
    <x v="56"/>
    <d v="2023-08-25T00:00:00"/>
    <n v="11"/>
    <x v="3"/>
    <x v="2"/>
    <n v="2"/>
    <n v="1"/>
    <n v="5"/>
    <n v="3"/>
    <n v="1"/>
    <x v="1"/>
    <n v="1"/>
    <n v="5"/>
    <n v="5"/>
    <n v="2"/>
    <x v="0"/>
    <s v="App Review"/>
    <s v="Average"/>
    <x v="0"/>
    <n v="44"/>
    <d v="2023-08-25T00:00:00"/>
    <x v="1"/>
    <x v="2"/>
    <x v="0"/>
  </r>
  <r>
    <n v="1975"/>
    <n v="75865"/>
    <s v="Rodney Hall"/>
    <x v="4"/>
    <x v="1"/>
    <x v="30"/>
    <d v="2024-10-17T00:00:00"/>
    <n v="10"/>
    <x v="0"/>
    <x v="4"/>
    <n v="5"/>
    <n v="5"/>
    <n v="5"/>
    <n v="5"/>
    <n v="5"/>
    <x v="1"/>
    <n v="3"/>
    <n v="5"/>
    <n v="4"/>
    <n v="5"/>
    <x v="0"/>
    <s v="App Review"/>
    <s v="Average"/>
    <x v="2"/>
    <n v="50"/>
    <d v="2024-10-17T00:00:00"/>
    <x v="1"/>
    <x v="28"/>
    <x v="3"/>
  </r>
  <r>
    <n v="1976"/>
    <n v="22370"/>
    <s v="Vanessa Thompson"/>
    <x v="1"/>
    <x v="3"/>
    <x v="108"/>
    <d v="2024-09-13T00:00:00"/>
    <n v="10"/>
    <x v="0"/>
    <x v="2"/>
    <n v="3"/>
    <n v="1"/>
    <n v="4"/>
    <n v="1"/>
    <n v="1"/>
    <x v="0"/>
    <n v="2"/>
    <n v="4"/>
    <n v="3"/>
    <n v="4"/>
    <x v="0"/>
    <s v="Email"/>
    <s v="Poor service"/>
    <x v="0"/>
    <n v="35"/>
    <d v="2024-09-13T00:00:00"/>
    <x v="3"/>
    <x v="7"/>
    <x v="1"/>
  </r>
  <r>
    <n v="1977"/>
    <n v="23847"/>
    <s v="Martha Peterson"/>
    <x v="4"/>
    <x v="2"/>
    <x v="680"/>
    <d v="2023-08-07T00:00:00"/>
    <n v="1"/>
    <x v="1"/>
    <x v="3"/>
    <n v="3"/>
    <n v="2"/>
    <n v="5"/>
    <n v="1"/>
    <n v="4"/>
    <x v="0"/>
    <n v="4"/>
    <n v="3"/>
    <n v="3"/>
    <n v="1"/>
    <x v="1"/>
    <s v="App Review"/>
    <s v="Needs improvement"/>
    <x v="1"/>
    <n v="65"/>
    <d v="2024-05-14T00:00:00"/>
    <x v="2"/>
    <x v="4"/>
    <x v="1"/>
  </r>
  <r>
    <n v="1978"/>
    <n v="61825"/>
    <s v="Rodney Rice"/>
    <x v="0"/>
    <x v="2"/>
    <x v="532"/>
    <d v="2023-11-26T00:00:00"/>
    <n v="8"/>
    <x v="1"/>
    <x v="3"/>
    <n v="3"/>
    <n v="3"/>
    <n v="4"/>
    <n v="3"/>
    <n v="5"/>
    <x v="3"/>
    <n v="4"/>
    <n v="2"/>
    <n v="5"/>
    <n v="4"/>
    <x v="0"/>
    <s v="In-person"/>
    <s v="Average"/>
    <x v="1"/>
    <n v="28"/>
    <d v="2023-11-26T00:00:00"/>
    <x v="3"/>
    <x v="16"/>
    <x v="0"/>
  </r>
  <r>
    <n v="1979"/>
    <n v="80158"/>
    <s v="Gary Ford"/>
    <x v="1"/>
    <x v="4"/>
    <x v="503"/>
    <d v="2023-07-01T00:00:00"/>
    <n v="4"/>
    <x v="3"/>
    <x v="2"/>
    <n v="1"/>
    <n v="1"/>
    <n v="2"/>
    <n v="4"/>
    <n v="4"/>
    <x v="3"/>
    <n v="1"/>
    <n v="4"/>
    <n v="1"/>
    <n v="2"/>
    <x v="0"/>
    <s v="In-person"/>
    <s v="Great stay"/>
    <x v="2"/>
    <n v="24"/>
    <d v="2023-08-19T00:00:00"/>
    <x v="0"/>
    <x v="8"/>
    <x v="1"/>
  </r>
  <r>
    <n v="1980"/>
    <n v="48000"/>
    <s v="Christina Morgan"/>
    <x v="4"/>
    <x v="4"/>
    <x v="681"/>
    <d v="2024-02-14T00:00:00"/>
    <n v="6"/>
    <x v="1"/>
    <x v="4"/>
    <n v="3"/>
    <n v="4"/>
    <n v="4"/>
    <n v="3"/>
    <n v="1"/>
    <x v="4"/>
    <n v="3"/>
    <n v="4"/>
    <n v="1"/>
    <n v="5"/>
    <x v="0"/>
    <s v="In-person"/>
    <s v="Will visit again"/>
    <x v="1"/>
    <n v="54"/>
    <d v="2024-02-14T00:00:00"/>
    <x v="2"/>
    <x v="4"/>
    <x v="1"/>
  </r>
  <r>
    <n v="1981"/>
    <n v="99941"/>
    <s v="Brian Miles"/>
    <x v="4"/>
    <x v="4"/>
    <x v="335"/>
    <d v="2025-01-01T00:00:00"/>
    <n v="11"/>
    <x v="3"/>
    <x v="0"/>
    <n v="2"/>
    <n v="2"/>
    <n v="1"/>
    <n v="3"/>
    <n v="4"/>
    <x v="2"/>
    <n v="4"/>
    <n v="2"/>
    <n v="1"/>
    <n v="5"/>
    <x v="0"/>
    <s v="In-person"/>
    <s v="Poor service"/>
    <x v="0"/>
    <n v="67"/>
    <d v="2025-01-01T00:00:00"/>
    <x v="2"/>
    <x v="7"/>
    <x v="1"/>
  </r>
  <r>
    <n v="1982"/>
    <n v="68367"/>
    <s v="Yvette Allen"/>
    <x v="0"/>
    <x v="2"/>
    <x v="356"/>
    <d v="2023-04-15T00:00:00"/>
    <n v="5"/>
    <x v="0"/>
    <x v="0"/>
    <n v="4"/>
    <n v="3"/>
    <n v="4"/>
    <n v="4"/>
    <n v="3"/>
    <x v="1"/>
    <n v="5"/>
    <n v="3"/>
    <n v="1"/>
    <n v="5"/>
    <x v="0"/>
    <s v="Online Survey"/>
    <s v="Average"/>
    <x v="0"/>
    <n v="53"/>
    <d v="2024-03-25T00:00:00"/>
    <x v="2"/>
    <x v="16"/>
    <x v="0"/>
  </r>
  <r>
    <n v="1983"/>
    <n v="77216"/>
    <s v="Terry Morse"/>
    <x v="1"/>
    <x v="2"/>
    <x v="608"/>
    <d v="2024-10-25T00:00:00"/>
    <n v="8"/>
    <x v="1"/>
    <x v="3"/>
    <n v="3"/>
    <n v="2"/>
    <n v="2"/>
    <n v="2"/>
    <n v="1"/>
    <x v="4"/>
    <n v="2"/>
    <n v="3"/>
    <n v="1"/>
    <n v="3"/>
    <x v="0"/>
    <s v="App Review"/>
    <s v="Average"/>
    <x v="2"/>
    <n v="44"/>
    <d v="2024-10-25T00:00:00"/>
    <x v="1"/>
    <x v="15"/>
    <x v="1"/>
  </r>
  <r>
    <n v="1984"/>
    <n v="57112"/>
    <s v="Julie Hebert"/>
    <x v="3"/>
    <x v="2"/>
    <x v="682"/>
    <d v="2024-09-04T00:00:00"/>
    <n v="10"/>
    <x v="3"/>
    <x v="4"/>
    <n v="2"/>
    <n v="2"/>
    <n v="2"/>
    <n v="5"/>
    <n v="4"/>
    <x v="0"/>
    <n v="3"/>
    <n v="2"/>
    <n v="4"/>
    <n v="3"/>
    <x v="0"/>
    <s v="Feedback Form"/>
    <s v="Average"/>
    <x v="1"/>
    <n v="39"/>
    <d v="2024-09-04T00:00:00"/>
    <x v="1"/>
    <x v="2"/>
    <x v="0"/>
  </r>
  <r>
    <n v="1985"/>
    <n v="48719"/>
    <s v="Kimberly Figueroa DDS"/>
    <x v="3"/>
    <x v="3"/>
    <x v="635"/>
    <d v="2024-09-06T00:00:00"/>
    <n v="7"/>
    <x v="0"/>
    <x v="3"/>
    <n v="1"/>
    <n v="1"/>
    <n v="3"/>
    <n v="2"/>
    <n v="5"/>
    <x v="1"/>
    <n v="1"/>
    <n v="1"/>
    <n v="5"/>
    <n v="5"/>
    <x v="0"/>
    <s v="Online Survey"/>
    <s v="Needs improvement"/>
    <x v="0"/>
    <n v="48"/>
    <d v="2024-09-06T00:00:00"/>
    <x v="1"/>
    <x v="4"/>
    <x v="1"/>
  </r>
  <r>
    <n v="1986"/>
    <n v="37832"/>
    <s v="Michael Keith"/>
    <x v="1"/>
    <x v="3"/>
    <x v="365"/>
    <d v="2024-06-29T00:00:00"/>
    <n v="1"/>
    <x v="3"/>
    <x v="3"/>
    <n v="4"/>
    <n v="1"/>
    <n v="3"/>
    <n v="2"/>
    <n v="4"/>
    <x v="4"/>
    <n v="3"/>
    <n v="5"/>
    <n v="2"/>
    <n v="1"/>
    <x v="1"/>
    <s v="Feedback Form"/>
    <s v="Average"/>
    <x v="0"/>
    <n v="57"/>
    <d v="2024-06-29T00:00:00"/>
    <x v="2"/>
    <x v="7"/>
    <x v="1"/>
  </r>
  <r>
    <n v="1987"/>
    <n v="82402"/>
    <s v="Aaron Watson"/>
    <x v="4"/>
    <x v="3"/>
    <x v="315"/>
    <d v="2024-01-15T00:00:00"/>
    <n v="8"/>
    <x v="2"/>
    <x v="3"/>
    <n v="5"/>
    <n v="4"/>
    <n v="1"/>
    <n v="5"/>
    <n v="2"/>
    <x v="0"/>
    <n v="2"/>
    <n v="2"/>
    <n v="4"/>
    <n v="3"/>
    <x v="1"/>
    <s v="Feedback Form"/>
    <s v="Will visit again"/>
    <x v="0"/>
    <n v="23"/>
    <d v="2024-12-15T00:00:00"/>
    <x v="0"/>
    <x v="0"/>
    <x v="0"/>
  </r>
  <r>
    <n v="1988"/>
    <n v="35479"/>
    <s v="Kyle Mcdaniel"/>
    <x v="4"/>
    <x v="0"/>
    <x v="683"/>
    <d v="2025-01-08T00:00:00"/>
    <n v="4"/>
    <x v="1"/>
    <x v="3"/>
    <n v="5"/>
    <n v="5"/>
    <n v="5"/>
    <n v="2"/>
    <n v="1"/>
    <x v="3"/>
    <n v="3"/>
    <n v="3"/>
    <n v="4"/>
    <n v="2"/>
    <x v="1"/>
    <s v="Online Survey"/>
    <s v="Average"/>
    <x v="1"/>
    <n v="50"/>
    <d v="2025-01-08T00:00:00"/>
    <x v="1"/>
    <x v="13"/>
    <x v="0"/>
  </r>
  <r>
    <n v="1989"/>
    <n v="59285"/>
    <s v="Jennifer Johnson"/>
    <x v="1"/>
    <x v="2"/>
    <x v="133"/>
    <d v="2024-08-25T00:00:00"/>
    <n v="7"/>
    <x v="2"/>
    <x v="2"/>
    <n v="1"/>
    <n v="4"/>
    <n v="5"/>
    <n v="4"/>
    <n v="4"/>
    <x v="2"/>
    <n v="1"/>
    <n v="1"/>
    <n v="5"/>
    <n v="5"/>
    <x v="1"/>
    <s v="App Review"/>
    <s v="Great stay"/>
    <x v="0"/>
    <n v="24"/>
    <d v="2024-10-10T00:00:00"/>
    <x v="0"/>
    <x v="10"/>
    <x v="0"/>
  </r>
  <r>
    <n v="1990"/>
    <n v="93045"/>
    <s v="Mitchell Tucker"/>
    <x v="3"/>
    <x v="2"/>
    <x v="450"/>
    <d v="2023-06-25T00:00:00"/>
    <n v="3"/>
    <x v="0"/>
    <x v="2"/>
    <n v="1"/>
    <n v="3"/>
    <n v="2"/>
    <n v="2"/>
    <n v="3"/>
    <x v="2"/>
    <n v="5"/>
    <n v="4"/>
    <n v="3"/>
    <n v="1"/>
    <x v="1"/>
    <s v="Online Survey"/>
    <s v="Average"/>
    <x v="1"/>
    <n v="23"/>
    <d v="2023-06-25T00:00:00"/>
    <x v="0"/>
    <x v="7"/>
    <x v="1"/>
  </r>
  <r>
    <n v="1991"/>
    <n v="56228"/>
    <s v="Linda Rice"/>
    <x v="2"/>
    <x v="1"/>
    <x v="223"/>
    <d v="2024-06-30T00:00:00"/>
    <n v="2"/>
    <x v="3"/>
    <x v="4"/>
    <n v="5"/>
    <n v="3"/>
    <n v="2"/>
    <n v="2"/>
    <n v="2"/>
    <x v="4"/>
    <n v="3"/>
    <n v="4"/>
    <n v="4"/>
    <n v="3"/>
    <x v="0"/>
    <s v="Email"/>
    <s v="Poor service"/>
    <x v="0"/>
    <n v="18"/>
    <d v="2024-09-18T00:00:00"/>
    <x v="0"/>
    <x v="4"/>
    <x v="1"/>
  </r>
  <r>
    <n v="1992"/>
    <n v="61191"/>
    <s v="George Mckenzie"/>
    <x v="0"/>
    <x v="1"/>
    <x v="684"/>
    <d v="2024-02-10T00:00:00"/>
    <n v="1"/>
    <x v="3"/>
    <x v="4"/>
    <n v="1"/>
    <n v="2"/>
    <n v="3"/>
    <n v="2"/>
    <n v="1"/>
    <x v="0"/>
    <n v="1"/>
    <n v="4"/>
    <n v="4"/>
    <n v="2"/>
    <x v="0"/>
    <s v="In-person"/>
    <s v="Poor service"/>
    <x v="1"/>
    <n v="56"/>
    <d v="2024-07-21T00:00:00"/>
    <x v="2"/>
    <x v="9"/>
    <x v="1"/>
  </r>
  <r>
    <n v="1993"/>
    <n v="14188"/>
    <s v="Lauren Johnson"/>
    <x v="1"/>
    <x v="0"/>
    <x v="242"/>
    <d v="2023-07-04T00:00:00"/>
    <n v="10"/>
    <x v="0"/>
    <x v="1"/>
    <n v="5"/>
    <n v="1"/>
    <n v="2"/>
    <n v="4"/>
    <n v="2"/>
    <x v="4"/>
    <n v="5"/>
    <n v="5"/>
    <n v="2"/>
    <n v="3"/>
    <x v="0"/>
    <s v="Online Survey"/>
    <s v="Great stay"/>
    <x v="0"/>
    <n v="63"/>
    <d v="2023-07-04T00:00:00"/>
    <x v="2"/>
    <x v="2"/>
    <x v="0"/>
  </r>
  <r>
    <n v="1994"/>
    <n v="45617"/>
    <s v="Kimberly Rojas"/>
    <x v="2"/>
    <x v="1"/>
    <x v="308"/>
    <d v="2024-09-22T00:00:00"/>
    <n v="5"/>
    <x v="2"/>
    <x v="0"/>
    <n v="1"/>
    <n v="2"/>
    <n v="4"/>
    <n v="3"/>
    <n v="5"/>
    <x v="0"/>
    <n v="4"/>
    <n v="3"/>
    <n v="1"/>
    <n v="2"/>
    <x v="1"/>
    <s v="Online Survey"/>
    <s v="Poor service"/>
    <x v="1"/>
    <n v="55"/>
    <d v="2024-09-22T00:00:00"/>
    <x v="2"/>
    <x v="3"/>
    <x v="1"/>
  </r>
  <r>
    <n v="1995"/>
    <n v="13366"/>
    <s v="David Fritz"/>
    <x v="0"/>
    <x v="3"/>
    <x v="349"/>
    <d v="2024-10-15T00:00:00"/>
    <n v="11"/>
    <x v="3"/>
    <x v="2"/>
    <n v="5"/>
    <n v="5"/>
    <n v="4"/>
    <n v="1"/>
    <n v="3"/>
    <x v="0"/>
    <n v="3"/>
    <n v="1"/>
    <n v="4"/>
    <n v="5"/>
    <x v="1"/>
    <s v="Email"/>
    <s v="Needs improvement"/>
    <x v="2"/>
    <n v="59"/>
    <d v="2024-10-15T00:00:00"/>
    <x v="2"/>
    <x v="13"/>
    <x v="0"/>
  </r>
  <r>
    <n v="1996"/>
    <n v="62063"/>
    <s v="Shari Contreras"/>
    <x v="2"/>
    <x v="0"/>
    <x v="315"/>
    <d v="2024-09-17T00:00:00"/>
    <n v="14"/>
    <x v="2"/>
    <x v="4"/>
    <n v="2"/>
    <n v="2"/>
    <n v="1"/>
    <n v="5"/>
    <n v="5"/>
    <x v="2"/>
    <n v="5"/>
    <n v="3"/>
    <n v="1"/>
    <n v="1"/>
    <x v="0"/>
    <s v="In-person"/>
    <s v="Will visit again"/>
    <x v="2"/>
    <n v="67"/>
    <d v="2024-09-17T00:00:00"/>
    <x v="2"/>
    <x v="5"/>
    <x v="1"/>
  </r>
  <r>
    <n v="1997"/>
    <n v="88597"/>
    <s v="Jason Stein"/>
    <x v="2"/>
    <x v="0"/>
    <x v="395"/>
    <d v="2023-09-07T00:00:00"/>
    <n v="3"/>
    <x v="2"/>
    <x v="3"/>
    <n v="1"/>
    <n v="3"/>
    <n v="4"/>
    <n v="5"/>
    <n v="4"/>
    <x v="3"/>
    <n v="4"/>
    <n v="5"/>
    <n v="5"/>
    <n v="4"/>
    <x v="1"/>
    <s v="Feedback Form"/>
    <s v="Will visit again"/>
    <x v="2"/>
    <n v="65"/>
    <d v="2023-12-02T00:00:00"/>
    <x v="2"/>
    <x v="20"/>
    <x v="0"/>
  </r>
  <r>
    <n v="1998"/>
    <n v="25952"/>
    <s v="Billy Diaz"/>
    <x v="0"/>
    <x v="0"/>
    <x v="514"/>
    <d v="2024-12-24T00:00:00"/>
    <n v="11"/>
    <x v="2"/>
    <x v="2"/>
    <n v="5"/>
    <n v="3"/>
    <n v="1"/>
    <n v="4"/>
    <n v="2"/>
    <x v="3"/>
    <n v="3"/>
    <n v="5"/>
    <n v="4"/>
    <n v="3"/>
    <x v="0"/>
    <s v="Email"/>
    <s v="Needs improvement"/>
    <x v="0"/>
    <n v="61"/>
    <d v="2024-12-24T00:00:00"/>
    <x v="2"/>
    <x v="13"/>
    <x v="0"/>
  </r>
  <r>
    <n v="1999"/>
    <n v="28975"/>
    <s v="Anthony Smith"/>
    <x v="2"/>
    <x v="4"/>
    <x v="156"/>
    <d v="2024-01-04T00:00:00"/>
    <n v="3"/>
    <x v="1"/>
    <x v="0"/>
    <n v="1"/>
    <n v="4"/>
    <n v="3"/>
    <n v="1"/>
    <n v="5"/>
    <x v="1"/>
    <n v="3"/>
    <n v="2"/>
    <n v="2"/>
    <n v="1"/>
    <x v="0"/>
    <s v="App Review"/>
    <s v="Poor service"/>
    <x v="1"/>
    <n v="46"/>
    <d v="2024-01-04T00:00:00"/>
    <x v="1"/>
    <x v="5"/>
    <x v="1"/>
  </r>
  <r>
    <n v="2000"/>
    <n v="14283"/>
    <s v="Sarah Smith"/>
    <x v="3"/>
    <x v="1"/>
    <x v="685"/>
    <d v="2025-01-02T00:00:00"/>
    <n v="8"/>
    <x v="2"/>
    <x v="2"/>
    <n v="5"/>
    <n v="2"/>
    <n v="4"/>
    <n v="2"/>
    <n v="4"/>
    <x v="0"/>
    <n v="2"/>
    <n v="3"/>
    <n v="2"/>
    <n v="4"/>
    <x v="1"/>
    <s v="Online Survey"/>
    <s v="Great stay"/>
    <x v="0"/>
    <n v="28"/>
    <d v="2025-01-02T00:00:00"/>
    <x v="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21364541832669323"/>
    <n v="0.2031538332494548"/>
    <n v="0.21111669177967521"/>
    <n v="0.21453634085213033"/>
  </r>
  <r>
    <x v="1"/>
    <n v="0.18359893758300133"/>
    <n v="0.18604261030028518"/>
    <n v="0.18550142307048384"/>
    <n v="0.18345864661654135"/>
  </r>
  <r>
    <x v="2"/>
    <n v="0.19322709163346613"/>
    <n v="0.19443046468713304"/>
    <n v="0.19069144483509123"/>
    <n v="0.18613199665831245"/>
  </r>
  <r>
    <x v="3"/>
    <n v="0.20119521912350596"/>
    <n v="0.19493373595034391"/>
    <n v="0.19922986773815504"/>
    <n v="0.20250626566416041"/>
  </r>
  <r>
    <x v="4"/>
    <n v="0.20833333333333334"/>
    <n v="0.2214393558127831"/>
    <n v="0.21346057257659468"/>
    <n v="0.21336675020885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C6411-E078-4CB2-B096-EBA8F8B92FB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TRAVEL PURPOSE" colHeaderCaption="RECOMMENDATION">
  <location ref="A212:C218" firstHeaderRow="1" firstDataRow="2" firstDataCol="1"/>
  <pivotFields count="32">
    <pivotField showAll="0"/>
    <pivotField dataField="1" showAll="0"/>
    <pivotField showAll="0"/>
    <pivotField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items count="5">
        <item x="1"/>
        <item x="2"/>
        <item x="3"/>
        <item x="0"/>
        <item t="default"/>
      </items>
    </pivotField>
    <pivotField axis="axisRow"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5">
    <i>
      <x/>
    </i>
    <i>
      <x v="1"/>
    </i>
    <i>
      <x v="2"/>
    </i>
    <i>
      <x v="3"/>
    </i>
    <i>
      <x v="4"/>
    </i>
  </rowItems>
  <colFields count="1">
    <field x="20"/>
  </colFields>
  <colItems count="2">
    <i>
      <x/>
    </i>
    <i>
      <x v="1"/>
    </i>
  </colItems>
  <dataFields count="1">
    <dataField name="TOTAL GUEST" fld="1" subtotal="count" baseField="9" baseItem="0"/>
  </dataFields>
  <formats count="5">
    <format dxfId="271">
      <pivotArea type="all" dataOnly="0" outline="0" fieldPosition="0"/>
    </format>
    <format dxfId="272">
      <pivotArea outline="0" collapsedLevelsAreSubtotals="1" fieldPosition="0"/>
    </format>
    <format dxfId="273">
      <pivotArea field="3" type="button" dataOnly="0" labelOnly="1" outline="0"/>
    </format>
    <format dxfId="274">
      <pivotArea dataOnly="0" labelOnly="1" grandRow="1" outline="0" fieldPosition="0"/>
    </format>
    <format dxfId="2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68E2D3-CFF0-4E84-B3EC-E89D95E4FC25}" name="SATIFI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TIFICATION">
  <location ref="A48:B53" firstHeaderRow="1" firstDataRow="1" firstDataCol="1"/>
  <pivotFields count="32">
    <pivotField showAll="0"/>
    <pivotField dataField="1" showAll="0"/>
    <pivotField showAll="0"/>
    <pivotField showAll="0" sortType="descending">
      <items count="6">
        <item sd="0" x="2"/>
        <item sd="0" x="0"/>
        <item sd="0" x="3"/>
        <item sd="0" x="1"/>
        <item sd="0" x="4"/>
        <item t="default" sd="0"/>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8"/>
  </rowFields>
  <rowItems count="5">
    <i>
      <x/>
    </i>
    <i>
      <x v="1"/>
    </i>
    <i>
      <x v="2"/>
    </i>
    <i>
      <x v="3"/>
    </i>
    <i t="grand">
      <x/>
    </i>
  </rowItems>
  <colItems count="1">
    <i/>
  </colItems>
  <dataFields count="1">
    <dataField name="TOTAL_GUESTS" fld="1" subtotal="count" baseField="3" baseItem="0"/>
  </dataFields>
  <formats count="5">
    <format dxfId="296">
      <pivotArea type="all" dataOnly="0" outline="0" fieldPosition="0"/>
    </format>
    <format dxfId="297">
      <pivotArea outline="0" collapsedLevelsAreSubtotals="1" fieldPosition="0"/>
    </format>
    <format dxfId="298">
      <pivotArea field="3" type="button" dataOnly="0" labelOnly="1" outline="0"/>
    </format>
    <format dxfId="299">
      <pivotArea dataOnly="0" labelOnly="1" grandRow="1" outline="0" fieldPosition="0"/>
    </format>
    <format dxfId="3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88A82C-C648-40A4-892D-020D60C92441}" name="HOT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location ref="A10:B16" firstHeaderRow="1" firstDataRow="1" firstDataCol="1"/>
  <pivotFields count="32">
    <pivotField showAll="0"/>
    <pivotField dataField="1" showAll="0"/>
    <pivotField showAll="0"/>
    <pivotField axis="axisRow" showAll="0" sortType="descending">
      <items count="6">
        <item sd="0" x="2"/>
        <item sd="0" x="0"/>
        <item sd="0" x="3"/>
        <item sd="0" x="1"/>
        <item sd="0" x="4"/>
        <item t="default" sd="0"/>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numFmtId="14" showAll="0"/>
    <pivotField showAll="0"/>
    <pivotField showAll="0"/>
    <pivotField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2"/>
    </i>
    <i>
      <x/>
    </i>
    <i>
      <x v="3"/>
    </i>
    <i t="grand">
      <x/>
    </i>
  </rowItems>
  <colItems count="1">
    <i/>
  </colItems>
  <dataFields count="1">
    <dataField name="TOTAL_GUESTS" fld="1" subtotal="count" baseField="3" baseItem="0"/>
  </dataFields>
  <formats count="6">
    <format dxfId="321">
      <pivotArea type="all" dataOnly="0" outline="0" fieldPosition="0"/>
    </format>
    <format dxfId="322">
      <pivotArea outline="0" collapsedLevelsAreSubtotals="1" fieldPosition="0"/>
    </format>
    <format dxfId="323">
      <pivotArea field="3" type="button" dataOnly="0" labelOnly="1" outline="0" axis="axisRow" fieldPosition="0"/>
    </format>
    <format dxfId="324">
      <pivotArea dataOnly="0" labelOnly="1" fieldPosition="0">
        <references count="1">
          <reference field="3" count="0"/>
        </references>
      </pivotArea>
    </format>
    <format dxfId="325">
      <pivotArea dataOnly="0" labelOnly="1" grandRow="1" outline="0" fieldPosition="0"/>
    </format>
    <format dxfId="3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2268A-5F67-44C5-B067-24452C5F9F47}" name="BOOKING SOUR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BOOKING SOURCE" colHeaderCaption="AGE CRITERA">
  <location ref="A107:B111" firstHeaderRow="1" firstDataRow="1" firstDataCol="1"/>
  <pivotFields count="32">
    <pivotField showAll="0"/>
    <pivotField dataField="1" showAll="0"/>
    <pivotField showAll="0"/>
    <pivotField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axis="axisRow" showAll="0">
      <items count="5">
        <item x="1"/>
        <item x="2"/>
        <item x="3"/>
        <item x="0"/>
        <item t="default"/>
      </items>
    </pivotField>
    <pivotField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4">
    <i>
      <x/>
    </i>
    <i>
      <x v="1"/>
    </i>
    <i>
      <x v="2"/>
    </i>
    <i>
      <x v="3"/>
    </i>
  </rowItems>
  <colItems count="1">
    <i/>
  </colItems>
  <dataFields count="1">
    <dataField name="Count of Guest_ID" fld="1" subtotal="count" baseField="8" baseItem="0"/>
  </dataFields>
  <formats count="5">
    <format dxfId="301">
      <pivotArea type="all" dataOnly="0" outline="0" fieldPosition="0"/>
    </format>
    <format dxfId="302">
      <pivotArea outline="0" collapsedLevelsAreSubtotals="1" fieldPosition="0"/>
    </format>
    <format dxfId="303">
      <pivotArea field="3" type="button" dataOnly="0" labelOnly="1" outline="0"/>
    </format>
    <format dxfId="304">
      <pivotArea dataOnly="0" labelOnly="1" grandRow="1" outline="0" fieldPosition="0"/>
    </format>
    <format dxfId="305">
      <pivotArea dataOnly="0" labelOnly="1" outline="0" axis="axisValues" fieldPosition="0"/>
    </format>
  </formats>
  <chartFormats count="14">
    <chartFormat chart="4" format="23" series="1">
      <pivotArea type="data" outline="0" fieldPosition="0">
        <references count="1">
          <reference field="8" count="1" selected="0">
            <x v="1"/>
          </reference>
        </references>
      </pivotArea>
    </chartFormat>
    <chartFormat chart="4" format="24" series="1">
      <pivotArea type="data" outline="0" fieldPosition="0">
        <references count="1">
          <reference field="8" count="1" selected="0">
            <x v="2"/>
          </reference>
        </references>
      </pivotArea>
    </chartFormat>
    <chartFormat chart="4" format="25" series="1">
      <pivotArea type="data" outline="0" fieldPosition="0">
        <references count="1">
          <reference field="8" count="1" selected="0">
            <x v="3"/>
          </reference>
        </references>
      </pivotArea>
    </chartFormat>
    <chartFormat chart="4" format="26" series="1">
      <pivotArea type="data" outline="0" fieldPosition="0">
        <references count="1">
          <reference field="8" count="1" selected="0">
            <x v="0"/>
          </reference>
        </references>
      </pivotArea>
    </chartFormat>
    <chartFormat chart="4" format="29" series="1">
      <pivotArea type="data" outline="0" fieldPosition="0">
        <references count="1">
          <reference field="4294967294" count="1" selected="0">
            <x v="0"/>
          </reference>
        </references>
      </pivotArea>
    </chartFormat>
    <chartFormat chart="4" format="30">
      <pivotArea type="data" outline="0" fieldPosition="0">
        <references count="2">
          <reference field="4294967294" count="1" selected="0">
            <x v="0"/>
          </reference>
          <reference field="8" count="1" selected="0">
            <x v="0"/>
          </reference>
        </references>
      </pivotArea>
    </chartFormat>
    <chartFormat chart="4" format="31">
      <pivotArea type="data" outline="0" fieldPosition="0">
        <references count="2">
          <reference field="4294967294" count="1" selected="0">
            <x v="0"/>
          </reference>
          <reference field="8" count="1" selected="0">
            <x v="1"/>
          </reference>
        </references>
      </pivotArea>
    </chartFormat>
    <chartFormat chart="4" format="32">
      <pivotArea type="data" outline="0" fieldPosition="0">
        <references count="2">
          <reference field="4294967294" count="1" selected="0">
            <x v="0"/>
          </reference>
          <reference field="8" count="1" selected="0">
            <x v="2"/>
          </reference>
        </references>
      </pivotArea>
    </chartFormat>
    <chartFormat chart="4" format="33">
      <pivotArea type="data" outline="0" fieldPosition="0">
        <references count="2">
          <reference field="4294967294" count="1" selected="0">
            <x v="0"/>
          </reference>
          <reference field="8" count="1" selected="0">
            <x v="3"/>
          </reference>
        </references>
      </pivotArea>
    </chartFormat>
    <chartFormat chart="15" format="39" series="1">
      <pivotArea type="data" outline="0" fieldPosition="0">
        <references count="1">
          <reference field="4294967294" count="1" selected="0">
            <x v="0"/>
          </reference>
        </references>
      </pivotArea>
    </chartFormat>
    <chartFormat chart="15" format="40">
      <pivotArea type="data" outline="0" fieldPosition="0">
        <references count="2">
          <reference field="4294967294" count="1" selected="0">
            <x v="0"/>
          </reference>
          <reference field="8" count="1" selected="0">
            <x v="0"/>
          </reference>
        </references>
      </pivotArea>
    </chartFormat>
    <chartFormat chart="15" format="41">
      <pivotArea type="data" outline="0" fieldPosition="0">
        <references count="2">
          <reference field="4294967294" count="1" selected="0">
            <x v="0"/>
          </reference>
          <reference field="8" count="1" selected="0">
            <x v="1"/>
          </reference>
        </references>
      </pivotArea>
    </chartFormat>
    <chartFormat chart="15" format="42">
      <pivotArea type="data" outline="0" fieldPosition="0">
        <references count="2">
          <reference field="4294967294" count="1" selected="0">
            <x v="0"/>
          </reference>
          <reference field="8" count="1" selected="0">
            <x v="2"/>
          </reference>
        </references>
      </pivotArea>
    </chartFormat>
    <chartFormat chart="15" format="4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9FA3E-5AE9-4603-88D8-F35724FC18E5}" name="AMENTITI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HOTEL" colHeaderCaption="AGE CRITERA">
  <location ref="A191:B196" firstHeaderRow="1" firstDataRow="1" firstDataCol="1"/>
  <pivotFields count="32">
    <pivotField showAll="0"/>
    <pivotField showAll="0"/>
    <pivotField showAll="0"/>
    <pivotField axis="axisRow"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items count="5">
        <item x="1"/>
        <item x="2"/>
        <item x="3"/>
        <item x="0"/>
        <item t="default"/>
      </items>
    </pivotField>
    <pivotField showAll="0">
      <items count="6">
        <item x="0"/>
        <item x="1"/>
        <item x="4"/>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x v="4"/>
    </i>
  </rowItems>
  <colItems count="1">
    <i/>
  </colItems>
  <dataFields count="1">
    <dataField name="Sum of Amenities_Satisfaction" fld="15" baseField="0" baseItem="0"/>
  </dataFields>
  <formats count="5">
    <format dxfId="276">
      <pivotArea type="all" dataOnly="0" outline="0" fieldPosition="0"/>
    </format>
    <format dxfId="277">
      <pivotArea outline="0" collapsedLevelsAreSubtotals="1" fieldPosition="0"/>
    </format>
    <format dxfId="278">
      <pivotArea field="3" type="button" dataOnly="0" labelOnly="1" outline="0" axis="axisRow" fieldPosition="0"/>
    </format>
    <format dxfId="279">
      <pivotArea dataOnly="0" labelOnly="1" grandRow="1" outline="0" fieldPosition="0"/>
    </format>
    <format dxfId="2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F1601E-5129-42A7-95EB-5BD6A7E1F05C}" name="FOO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HOTEL" colHeaderCaption="AGE CRITERA">
  <location ref="A169:B174" firstHeaderRow="1" firstDataRow="1" firstDataCol="1"/>
  <pivotFields count="32">
    <pivotField showAll="0"/>
    <pivotField showAll="0"/>
    <pivotField showAll="0"/>
    <pivotField axis="axisRow"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items count="5">
        <item x="1"/>
        <item x="2"/>
        <item x="3"/>
        <item x="0"/>
        <item t="default"/>
      </items>
    </pivotField>
    <pivotField showAll="0">
      <items count="6">
        <item x="0"/>
        <item x="1"/>
        <item x="4"/>
        <item x="3"/>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x v="4"/>
    </i>
  </rowItems>
  <colItems count="1">
    <i/>
  </colItems>
  <dataFields count="1">
    <dataField name="Sum of Food_Quality" fld="12" baseField="0" baseItem="0"/>
  </dataFields>
  <formats count="5">
    <format dxfId="281">
      <pivotArea type="all" dataOnly="0" outline="0" fieldPosition="0"/>
    </format>
    <format dxfId="282">
      <pivotArea outline="0" collapsedLevelsAreSubtotals="1" fieldPosition="0"/>
    </format>
    <format dxfId="283">
      <pivotArea field="3" type="button" dataOnly="0" labelOnly="1" outline="0" axis="axisRow" fieldPosition="0"/>
    </format>
    <format dxfId="284">
      <pivotArea dataOnly="0" labelOnly="1" grandRow="1" outline="0" fieldPosition="0"/>
    </format>
    <format dxfId="2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504CFF-9C00-47D6-B105-B659C25F74A7}" name="DATE_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GENDER" colHeaderCaption="AGE CRITERA">
  <location ref="A87:B99" firstHeaderRow="1" firstDataRow="1" firstDataCol="1"/>
  <pivotFields count="32">
    <pivotField showAll="0"/>
    <pivotField dataField="1" showAll="0"/>
    <pivotField showAll="0"/>
    <pivotField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pivotField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9"/>
  </rowFields>
  <rowItems count="12">
    <i>
      <x v="1"/>
    </i>
    <i>
      <x v="2"/>
    </i>
    <i>
      <x v="3"/>
    </i>
    <i>
      <x v="4"/>
    </i>
    <i>
      <x v="5"/>
    </i>
    <i>
      <x v="6"/>
    </i>
    <i>
      <x v="7"/>
    </i>
    <i>
      <x v="8"/>
    </i>
    <i>
      <x v="9"/>
    </i>
    <i>
      <x v="10"/>
    </i>
    <i>
      <x v="11"/>
    </i>
    <i>
      <x v="12"/>
    </i>
  </rowItems>
  <colItems count="1">
    <i/>
  </colItems>
  <dataFields count="1">
    <dataField name="Count of Guest_ID" fld="1" subtotal="count" baseField="3" baseItem="0"/>
  </dataFields>
  <formats count="5">
    <format dxfId="306">
      <pivotArea type="all" dataOnly="0" outline="0" fieldPosition="0"/>
    </format>
    <format dxfId="307">
      <pivotArea outline="0" collapsedLevelsAreSubtotals="1" fieldPosition="0"/>
    </format>
    <format dxfId="308">
      <pivotArea field="3" type="button" dataOnly="0" labelOnly="1" outline="0"/>
    </format>
    <format dxfId="309">
      <pivotArea dataOnly="0" labelOnly="1" grandRow="1" outline="0" fieldPosition="0"/>
    </format>
    <format dxfId="3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D5321B-CDA3-494B-B201-77A2EE0B1588}" name="SAFE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HOTEL" colHeaderCaption="AGE CRITERA">
  <location ref="A149:B154" firstHeaderRow="1" firstDataRow="1" firstDataCol="1"/>
  <pivotFields count="32">
    <pivotField showAll="0"/>
    <pivotField showAll="0"/>
    <pivotField showAll="0"/>
    <pivotField axis="axisRow"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items count="5">
        <item x="1"/>
        <item x="2"/>
        <item x="3"/>
        <item x="0"/>
        <item t="default"/>
      </items>
    </pivotField>
    <pivotField showAll="0">
      <items count="6">
        <item x="0"/>
        <item x="1"/>
        <item x="4"/>
        <item x="3"/>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x v="4"/>
    </i>
  </rowItems>
  <colItems count="1">
    <i/>
  </colItems>
  <dataFields count="1">
    <dataField name="Sum of Safety_Measures" fld="17" baseField="0" baseItem="0"/>
  </dataFields>
  <formats count="5">
    <format dxfId="286">
      <pivotArea type="all" dataOnly="0" outline="0" fieldPosition="0"/>
    </format>
    <format dxfId="287">
      <pivotArea outline="0" collapsedLevelsAreSubtotals="1" fieldPosition="0"/>
    </format>
    <format dxfId="288">
      <pivotArea field="3" type="button" dataOnly="0" labelOnly="1" outline="0" axis="axisRow" fieldPosition="0"/>
    </format>
    <format dxfId="289">
      <pivotArea dataOnly="0" labelOnly="1" grandRow="1" outline="0" fieldPosition="0"/>
    </format>
    <format dxfId="2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57104-3DD8-4ACA-9A9A-D670C1DC7F53}" name="GENDERW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GENDER" colHeaderCaption="AGE CRITERA">
  <location ref="A67:B70" firstHeaderRow="1" firstDataRow="1" firstDataCol="1"/>
  <pivotFields count="32">
    <pivotField showAll="0"/>
    <pivotField dataField="1" showAll="0"/>
    <pivotField showAll="0"/>
    <pivotField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pivotField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3">
    <i>
      <x/>
    </i>
    <i>
      <x v="1"/>
    </i>
    <i>
      <x v="2"/>
    </i>
  </rowItems>
  <colItems count="1">
    <i/>
  </colItems>
  <dataFields count="1">
    <dataField name="Count of Guest_ID" fld="1" subtotal="count" baseField="3" baseItem="0"/>
  </dataFields>
  <formats count="5">
    <format dxfId="311">
      <pivotArea type="all" dataOnly="0" outline="0" fieldPosition="0"/>
    </format>
    <format dxfId="312">
      <pivotArea outline="0" collapsedLevelsAreSubtotals="1" fieldPosition="0"/>
    </format>
    <format dxfId="313">
      <pivotArea field="3" type="button" dataOnly="0" labelOnly="1" outline="0"/>
    </format>
    <format dxfId="314">
      <pivotArea dataOnly="0" labelOnly="1" grandRow="1" outline="0" fieldPosition="0"/>
    </format>
    <format dxfId="3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F8DA1A-8602-4D18-B0C2-A3F998BB9A4B}" name="AGE_CRI"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CRITERIA" colHeaderCaption="AGE CRITERA">
  <location ref="A28:D33" firstHeaderRow="1" firstDataRow="2" firstDataCol="1"/>
  <pivotFields count="32">
    <pivotField showAll="0"/>
    <pivotField dataField="1" showAll="0"/>
    <pivotField showAll="0"/>
    <pivotField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pivotField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numFmtId="14" showAll="0"/>
    <pivotField axis="axisRow" showAll="0">
      <items count="5">
        <item x="3"/>
        <item x="1"/>
        <item x="2"/>
        <item x="0"/>
        <item t="default"/>
      </items>
    </pivotField>
    <pivotField showAll="0"/>
    <pivotField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4">
    <i>
      <x/>
    </i>
    <i>
      <x v="1"/>
    </i>
    <i>
      <x v="2"/>
    </i>
    <i>
      <x v="3"/>
    </i>
  </rowItems>
  <colFields count="1">
    <field x="23"/>
  </colFields>
  <colItems count="3">
    <i>
      <x/>
    </i>
    <i>
      <x v="1"/>
    </i>
    <i>
      <x v="2"/>
    </i>
  </colItems>
  <dataFields count="1">
    <dataField name="TOTAL_GUESTS" fld="1" subtotal="count" baseField="3" baseItem="0"/>
  </dataFields>
  <formats count="5">
    <format dxfId="316">
      <pivotArea type="all" dataOnly="0" outline="0" fieldPosition="0"/>
    </format>
    <format dxfId="317">
      <pivotArea outline="0" collapsedLevelsAreSubtotals="1" fieldPosition="0"/>
    </format>
    <format dxfId="318">
      <pivotArea field="3" type="button" dataOnly="0" labelOnly="1" outline="0"/>
    </format>
    <format dxfId="319">
      <pivotArea dataOnly="0" labelOnly="1" grandRow="1" outline="0" fieldPosition="0"/>
    </format>
    <format dxfId="320">
      <pivotArea dataOnly="0" labelOnly="1" outline="0" axis="axisValues" fieldPosition="0"/>
    </format>
  </formats>
  <chartFormats count="9">
    <chartFormat chart="0" format="5"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23" count="1" selected="0">
            <x v="0"/>
          </reference>
        </references>
      </pivotArea>
    </chartFormat>
    <chartFormat chart="3" format="1" series="1">
      <pivotArea type="data" outline="0" fieldPosition="0">
        <references count="2">
          <reference field="4294967294" count="1" selected="0">
            <x v="0"/>
          </reference>
          <reference field="23" count="1" selected="0">
            <x v="1"/>
          </reference>
        </references>
      </pivotArea>
    </chartFormat>
    <chartFormat chart="3" format="2" series="1">
      <pivotArea type="data" outline="0" fieldPosition="0">
        <references count="2">
          <reference field="4294967294" count="1" selected="0">
            <x v="0"/>
          </reference>
          <reference field="23" count="1" selected="0">
            <x v="2"/>
          </reference>
        </references>
      </pivotArea>
    </chartFormat>
    <chartFormat chart="3" format="3" series="1">
      <pivotArea type="data" outline="0" fieldPosition="0">
        <references count="1">
          <reference field="4294967294" count="1" selected="0">
            <x v="0"/>
          </reference>
        </references>
      </pivotArea>
    </chartFormat>
    <chartFormat chart="9" format="7" series="1">
      <pivotArea type="data" outline="0" fieldPosition="0">
        <references count="2">
          <reference field="4294967294" count="1" selected="0">
            <x v="0"/>
          </reference>
          <reference field="23" count="1" selected="0">
            <x v="0"/>
          </reference>
        </references>
      </pivotArea>
    </chartFormat>
    <chartFormat chart="9" format="8" series="1">
      <pivotArea type="data" outline="0" fieldPosition="0">
        <references count="2">
          <reference field="4294967294" count="1" selected="0">
            <x v="0"/>
          </reference>
          <reference field="23" count="1" selected="0">
            <x v="1"/>
          </reference>
        </references>
      </pivotArea>
    </chartFormat>
    <chartFormat chart="9" format="9" series="1">
      <pivotArea type="data" outline="0" fieldPosition="0">
        <references count="2">
          <reference field="4294967294" count="1" selected="0">
            <x v="0"/>
          </reference>
          <reference field="23" count="1" selected="0">
            <x v="2"/>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A53617-451D-41D9-BBAE-D189AF107A8E}" name="CLEAN ROOM"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HOTEL" colHeaderCaption="AGE CRITERA">
  <location ref="A127:B132" firstHeaderRow="1" firstDataRow="1" firstDataCol="1"/>
  <pivotFields count="32">
    <pivotField showAll="0"/>
    <pivotField showAll="0"/>
    <pivotField showAll="0"/>
    <pivotField axis="axisRow" showAll="0">
      <items count="6">
        <item x="2"/>
        <item x="0"/>
        <item x="3"/>
        <item x="1"/>
        <item x="4"/>
        <item t="default"/>
      </items>
    </pivotField>
    <pivotField showAll="0">
      <items count="6">
        <item x="4"/>
        <item x="1"/>
        <item x="2"/>
        <item x="0"/>
        <item x="3"/>
        <item t="default"/>
      </items>
    </pivotField>
    <pivotField numFmtId="14" showAll="0">
      <items count="687">
        <item x="249"/>
        <item x="212"/>
        <item x="412"/>
        <item x="630"/>
        <item x="47"/>
        <item x="331"/>
        <item x="447"/>
        <item x="604"/>
        <item x="200"/>
        <item x="373"/>
        <item x="518"/>
        <item x="664"/>
        <item x="597"/>
        <item x="220"/>
        <item x="93"/>
        <item x="450"/>
        <item x="472"/>
        <item x="311"/>
        <item x="148"/>
        <item x="162"/>
        <item x="31"/>
        <item x="320"/>
        <item x="633"/>
        <item x="476"/>
        <item x="343"/>
        <item x="347"/>
        <item x="356"/>
        <item x="337"/>
        <item x="437"/>
        <item x="575"/>
        <item x="206"/>
        <item x="384"/>
        <item x="559"/>
        <item x="456"/>
        <item x="490"/>
        <item x="399"/>
        <item x="63"/>
        <item x="480"/>
        <item x="329"/>
        <item x="184"/>
        <item x="609"/>
        <item x="527"/>
        <item x="547"/>
        <item x="500"/>
        <item x="172"/>
        <item x="232"/>
        <item x="673"/>
        <item x="533"/>
        <item x="386"/>
        <item x="411"/>
        <item x="57"/>
        <item x="27"/>
        <item x="519"/>
        <item x="89"/>
        <item x="567"/>
        <item x="46"/>
        <item x="650"/>
        <item x="684"/>
        <item x="454"/>
        <item x="528"/>
        <item x="68"/>
        <item x="122"/>
        <item x="333"/>
        <item x="459"/>
        <item x="181"/>
        <item x="683"/>
        <item x="209"/>
        <item x="345"/>
        <item x="87"/>
        <item x="522"/>
        <item x="501"/>
        <item x="413"/>
        <item x="99"/>
        <item x="463"/>
        <item x="107"/>
        <item x="233"/>
        <item x="505"/>
        <item x="322"/>
        <item x="390"/>
        <item x="198"/>
        <item x="629"/>
        <item x="211"/>
        <item x="506"/>
        <item x="625"/>
        <item x="62"/>
        <item x="392"/>
        <item x="60"/>
        <item x="51"/>
        <item x="13"/>
        <item x="455"/>
        <item x="158"/>
        <item x="76"/>
        <item x="646"/>
        <item x="372"/>
        <item x="432"/>
        <item x="179"/>
        <item x="572"/>
        <item x="556"/>
        <item x="231"/>
        <item x="210"/>
        <item x="486"/>
        <item x="276"/>
        <item x="568"/>
        <item x="37"/>
        <item x="676"/>
        <item x="516"/>
        <item x="562"/>
        <item x="55"/>
        <item x="564"/>
        <item x="424"/>
        <item x="28"/>
        <item x="29"/>
        <item x="104"/>
        <item x="94"/>
        <item x="611"/>
        <item x="614"/>
        <item x="129"/>
        <item x="663"/>
        <item x="651"/>
        <item x="361"/>
        <item x="536"/>
        <item x="127"/>
        <item x="139"/>
        <item x="354"/>
        <item x="615"/>
        <item x="621"/>
        <item x="425"/>
        <item x="566"/>
        <item x="18"/>
        <item x="418"/>
        <item x="507"/>
        <item x="26"/>
        <item x="336"/>
        <item x="443"/>
        <item x="587"/>
        <item x="470"/>
        <item x="497"/>
        <item x="268"/>
        <item x="314"/>
        <item x="285"/>
        <item x="524"/>
        <item x="648"/>
        <item x="644"/>
        <item x="680"/>
        <item x="174"/>
        <item x="265"/>
        <item x="164"/>
        <item x="404"/>
        <item x="649"/>
        <item x="355"/>
        <item x="571"/>
        <item x="7"/>
        <item x="421"/>
        <item x="5"/>
        <item x="2"/>
        <item x="253"/>
        <item x="208"/>
        <item x="191"/>
        <item x="591"/>
        <item x="383"/>
        <item x="85"/>
        <item x="12"/>
        <item x="346"/>
        <item x="639"/>
        <item x="520"/>
        <item x="318"/>
        <item x="503"/>
        <item x="494"/>
        <item x="241"/>
        <item x="242"/>
        <item x="409"/>
        <item x="80"/>
        <item x="560"/>
        <item x="260"/>
        <item x="154"/>
        <item x="217"/>
        <item x="362"/>
        <item x="672"/>
        <item x="484"/>
        <item x="592"/>
        <item x="381"/>
        <item x="582"/>
        <item x="307"/>
        <item x="315"/>
        <item x="185"/>
        <item x="69"/>
        <item x="56"/>
        <item x="312"/>
        <item x="91"/>
        <item x="631"/>
        <item x="420"/>
        <item x="622"/>
        <item x="515"/>
        <item x="385"/>
        <item x="563"/>
        <item x="634"/>
        <item x="364"/>
        <item x="473"/>
        <item x="192"/>
        <item x="205"/>
        <item x="161"/>
        <item x="538"/>
        <item x="146"/>
        <item x="469"/>
        <item x="613"/>
        <item x="173"/>
        <item x="488"/>
        <item x="77"/>
        <item x="142"/>
        <item x="143"/>
        <item x="549"/>
        <item x="416"/>
        <item x="176"/>
        <item x="395"/>
        <item x="247"/>
        <item x="119"/>
        <item x="326"/>
        <item x="147"/>
        <item x="535"/>
        <item x="353"/>
        <item x="679"/>
        <item x="240"/>
        <item x="189"/>
        <item x="65"/>
        <item x="59"/>
        <item x="579"/>
        <item x="499"/>
        <item x="259"/>
        <item x="675"/>
        <item x="50"/>
        <item x="41"/>
        <item x="576"/>
        <item x="116"/>
        <item x="660"/>
        <item x="313"/>
        <item x="532"/>
        <item x="357"/>
        <item x="585"/>
        <item x="144"/>
        <item x="435"/>
        <item x="330"/>
        <item x="11"/>
        <item x="9"/>
        <item x="513"/>
        <item x="40"/>
        <item x="49"/>
        <item x="504"/>
        <item x="266"/>
        <item x="427"/>
        <item x="159"/>
        <item x="214"/>
        <item x="38"/>
        <item x="79"/>
        <item x="215"/>
        <item x="586"/>
        <item x="32"/>
        <item x="35"/>
        <item x="236"/>
        <item x="230"/>
        <item x="61"/>
        <item x="541"/>
        <item x="462"/>
        <item x="193"/>
        <item x="262"/>
        <item x="269"/>
        <item x="655"/>
        <item x="574"/>
        <item x="512"/>
        <item x="348"/>
        <item x="344"/>
        <item x="371"/>
        <item x="258"/>
        <item x="123"/>
        <item x="295"/>
        <item x="477"/>
        <item x="573"/>
        <item x="204"/>
        <item x="177"/>
        <item x="34"/>
        <item x="594"/>
        <item x="194"/>
        <item x="525"/>
        <item x="428"/>
        <item x="451"/>
        <item x="102"/>
        <item x="417"/>
        <item x="70"/>
        <item x="219"/>
        <item x="619"/>
        <item x="238"/>
        <item x="332"/>
        <item x="674"/>
        <item x="657"/>
        <item x="539"/>
        <item x="389"/>
        <item x="54"/>
        <item x="408"/>
        <item x="20"/>
        <item x="310"/>
        <item x="554"/>
        <item x="36"/>
        <item x="553"/>
        <item x="124"/>
        <item x="492"/>
        <item x="121"/>
        <item x="375"/>
        <item x="396"/>
        <item x="286"/>
        <item x="324"/>
        <item x="125"/>
        <item x="658"/>
        <item x="678"/>
        <item x="465"/>
        <item x="23"/>
        <item x="366"/>
        <item x="264"/>
        <item x="429"/>
        <item x="190"/>
        <item x="270"/>
        <item x="380"/>
        <item x="44"/>
        <item x="565"/>
        <item x="367"/>
        <item x="151"/>
        <item x="351"/>
        <item x="666"/>
        <item x="110"/>
        <item x="595"/>
        <item x="624"/>
        <item x="97"/>
        <item x="531"/>
        <item x="197"/>
        <item x="637"/>
        <item x="283"/>
        <item x="671"/>
        <item x="14"/>
        <item x="120"/>
        <item x="448"/>
        <item x="542"/>
        <item x="340"/>
        <item x="250"/>
        <item x="489"/>
        <item x="66"/>
        <item x="308"/>
        <item x="391"/>
        <item x="111"/>
        <item x="156"/>
        <item x="552"/>
        <item x="15"/>
        <item x="431"/>
        <item x="442"/>
        <item x="596"/>
        <item x="334"/>
        <item x="186"/>
        <item x="558"/>
        <item x="640"/>
        <item x="466"/>
        <item x="101"/>
        <item x="607"/>
        <item x="237"/>
        <item x="605"/>
        <item x="374"/>
        <item x="546"/>
        <item x="157"/>
        <item x="436"/>
        <item x="483"/>
        <item x="407"/>
        <item x="150"/>
        <item x="481"/>
        <item x="289"/>
        <item x="508"/>
        <item x="279"/>
        <item x="423"/>
        <item x="300"/>
        <item x="610"/>
        <item x="393"/>
        <item x="475"/>
        <item x="228"/>
        <item x="359"/>
        <item x="400"/>
        <item x="363"/>
        <item x="498"/>
        <item x="540"/>
        <item x="187"/>
        <item x="387"/>
        <item x="0"/>
        <item x="681"/>
        <item x="369"/>
        <item x="569"/>
        <item x="290"/>
        <item x="64"/>
        <item x="145"/>
        <item x="113"/>
        <item x="394"/>
        <item x="496"/>
        <item x="669"/>
        <item x="128"/>
        <item x="410"/>
        <item x="449"/>
        <item x="444"/>
        <item x="149"/>
        <item x="557"/>
        <item x="402"/>
        <item x="581"/>
        <item x="96"/>
        <item x="166"/>
        <item x="685"/>
        <item x="207"/>
        <item x="430"/>
        <item x="226"/>
        <item x="349"/>
        <item x="433"/>
        <item x="39"/>
        <item x="245"/>
        <item x="302"/>
        <item x="43"/>
        <item x="254"/>
        <item x="578"/>
        <item x="583"/>
        <item x="178"/>
        <item x="453"/>
        <item x="273"/>
        <item x="603"/>
        <item x="561"/>
        <item x="376"/>
        <item x="617"/>
        <item x="81"/>
        <item x="317"/>
        <item x="467"/>
        <item x="368"/>
        <item x="53"/>
        <item x="479"/>
        <item x="584"/>
        <item x="131"/>
        <item x="548"/>
        <item x="42"/>
        <item x="201"/>
        <item x="224"/>
        <item x="537"/>
        <item x="45"/>
        <item x="153"/>
        <item x="406"/>
        <item x="457"/>
        <item x="339"/>
        <item x="495"/>
        <item x="441"/>
        <item x="325"/>
        <item x="24"/>
        <item x="303"/>
        <item x="296"/>
        <item x="298"/>
        <item x="288"/>
        <item x="656"/>
        <item x="358"/>
        <item x="33"/>
        <item x="218"/>
        <item x="309"/>
        <item x="221"/>
        <item x="379"/>
        <item x="103"/>
        <item x="628"/>
        <item x="659"/>
        <item x="526"/>
        <item x="165"/>
        <item x="350"/>
        <item x="482"/>
        <item x="136"/>
        <item x="370"/>
        <item x="606"/>
        <item x="589"/>
        <item x="281"/>
        <item x="602"/>
        <item x="100"/>
        <item x="378"/>
        <item x="588"/>
        <item x="83"/>
        <item x="577"/>
        <item x="292"/>
        <item x="188"/>
        <item x="510"/>
        <item x="653"/>
        <item x="509"/>
        <item x="446"/>
        <item x="452"/>
        <item x="635"/>
        <item x="84"/>
        <item x="282"/>
        <item x="544"/>
        <item x="439"/>
        <item x="438"/>
        <item x="130"/>
        <item x="261"/>
        <item x="632"/>
        <item x="668"/>
        <item x="199"/>
        <item x="636"/>
        <item x="126"/>
        <item x="278"/>
        <item x="275"/>
        <item x="377"/>
        <item x="6"/>
        <item x="599"/>
        <item x="112"/>
        <item x="202"/>
        <item x="405"/>
        <item x="182"/>
        <item x="137"/>
        <item x="502"/>
        <item x="388"/>
        <item x="239"/>
        <item x="654"/>
        <item x="216"/>
        <item x="365"/>
        <item x="223"/>
        <item x="485"/>
        <item x="75"/>
        <item x="78"/>
        <item x="305"/>
        <item x="511"/>
        <item x="16"/>
        <item x="487"/>
        <item x="243"/>
        <item x="98"/>
        <item x="327"/>
        <item x="263"/>
        <item x="434"/>
        <item x="471"/>
        <item x="82"/>
        <item x="274"/>
        <item x="662"/>
        <item x="10"/>
        <item x="638"/>
        <item x="360"/>
        <item x="521"/>
        <item x="225"/>
        <item x="118"/>
        <item x="600"/>
        <item x="170"/>
        <item x="138"/>
        <item x="114"/>
        <item x="227"/>
        <item x="167"/>
        <item x="291"/>
        <item x="612"/>
        <item x="352"/>
        <item x="543"/>
        <item x="529"/>
        <item x="414"/>
        <item x="382"/>
        <item x="598"/>
        <item x="169"/>
        <item x="304"/>
        <item x="647"/>
        <item x="196"/>
        <item x="1"/>
        <item x="267"/>
        <item x="92"/>
        <item x="229"/>
        <item x="132"/>
        <item x="246"/>
        <item x="341"/>
        <item x="168"/>
        <item x="72"/>
        <item x="95"/>
        <item x="667"/>
        <item x="570"/>
        <item x="133"/>
        <item x="618"/>
        <item x="323"/>
        <item x="545"/>
        <item x="670"/>
        <item x="117"/>
        <item x="140"/>
        <item x="299"/>
        <item x="682"/>
        <item x="301"/>
        <item x="135"/>
        <item x="517"/>
        <item x="155"/>
        <item x="105"/>
        <item x="461"/>
        <item x="183"/>
        <item x="108"/>
        <item x="3"/>
        <item x="48"/>
        <item x="203"/>
        <item x="235"/>
        <item x="601"/>
        <item x="677"/>
        <item x="551"/>
        <item x="319"/>
        <item x="21"/>
        <item x="134"/>
        <item x="284"/>
        <item x="90"/>
        <item x="590"/>
        <item x="401"/>
        <item x="321"/>
        <item x="180"/>
        <item x="244"/>
        <item x="661"/>
        <item x="25"/>
        <item x="8"/>
        <item x="338"/>
        <item x="643"/>
        <item x="106"/>
        <item x="398"/>
        <item x="67"/>
        <item x="468"/>
        <item x="152"/>
        <item x="623"/>
        <item x="328"/>
        <item x="440"/>
        <item x="30"/>
        <item x="641"/>
        <item x="593"/>
        <item x="22"/>
        <item x="171"/>
        <item x="257"/>
        <item x="141"/>
        <item x="608"/>
        <item x="88"/>
        <item x="160"/>
        <item x="493"/>
        <item x="419"/>
        <item x="464"/>
        <item x="213"/>
        <item x="460"/>
        <item x="73"/>
        <item x="58"/>
        <item x="415"/>
        <item x="280"/>
        <item x="109"/>
        <item x="474"/>
        <item x="255"/>
        <item x="403"/>
        <item x="397"/>
        <item x="458"/>
        <item x="616"/>
        <item x="422"/>
        <item x="234"/>
        <item x="316"/>
        <item x="530"/>
        <item x="71"/>
        <item x="287"/>
        <item x="195"/>
        <item x="642"/>
        <item x="534"/>
        <item x="74"/>
        <item x="86"/>
        <item x="491"/>
        <item x="52"/>
        <item x="445"/>
        <item x="293"/>
        <item x="580"/>
        <item x="626"/>
        <item x="19"/>
        <item x="248"/>
        <item x="297"/>
        <item x="426"/>
        <item x="4"/>
        <item x="555"/>
        <item x="252"/>
        <item x="550"/>
        <item x="294"/>
        <item x="478"/>
        <item x="523"/>
        <item x="163"/>
        <item x="645"/>
        <item x="665"/>
        <item x="652"/>
        <item x="222"/>
        <item x="251"/>
        <item x="627"/>
        <item x="17"/>
        <item x="175"/>
        <item x="514"/>
        <item x="115"/>
        <item x="277"/>
        <item x="342"/>
        <item x="620"/>
        <item x="306"/>
        <item x="271"/>
        <item x="272"/>
        <item x="335"/>
        <item x="256"/>
        <item t="default"/>
      </items>
    </pivotField>
    <pivotField numFmtId="14" showAll="0"/>
    <pivotField showAll="0"/>
    <pivotField showAll="0">
      <items count="5">
        <item x="1"/>
        <item x="2"/>
        <item x="3"/>
        <item x="0"/>
        <item t="default"/>
      </items>
    </pivotField>
    <pivotField showAll="0">
      <items count="6">
        <item x="0"/>
        <item x="1"/>
        <item x="4"/>
        <item x="3"/>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numFmtId="14" showAll="0"/>
    <pivotField showAll="0">
      <items count="5">
        <item x="3"/>
        <item x="1"/>
        <item x="2"/>
        <item x="0"/>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x v="4"/>
    </i>
  </rowItems>
  <colItems count="1">
    <i/>
  </colItems>
  <dataFields count="1">
    <dataField name="Sum of Room_Cleanliness" fld="10" baseField="0" baseItem="0"/>
  </dataFields>
  <formats count="5">
    <format dxfId="291">
      <pivotArea type="all" dataOnly="0" outline="0" fieldPosition="0"/>
    </format>
    <format dxfId="292">
      <pivotArea outline="0" collapsedLevelsAreSubtotals="1" fieldPosition="0"/>
    </format>
    <format dxfId="293">
      <pivotArea field="3" type="button" dataOnly="0" labelOnly="1" outline="0" axis="axisRow" fieldPosition="0"/>
    </format>
    <format dxfId="294">
      <pivotArea dataOnly="0" labelOnly="1" grandRow="1" outline="0" fieldPosition="0"/>
    </format>
    <format dxfId="2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BEEFAB-B458-41D2-B1CD-44972838DE1E}" name="AMENITIES"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HOTEL">
  <location ref="A29:B34" firstHeaderRow="1" firstDataRow="1" firstDataCol="1"/>
  <pivotFields count="5">
    <pivotField axis="axisRow" showAll="0">
      <items count="6">
        <item x="2"/>
        <item x="0"/>
        <item x="3"/>
        <item x="1"/>
        <item x="4"/>
        <item t="default"/>
      </items>
    </pivotField>
    <pivotField numFmtId="9" showAll="0"/>
    <pivotField numFmtId="9" showAll="0"/>
    <pivotField numFmtId="9" showAll="0"/>
    <pivotField dataField="1" numFmtId="9" showAll="0"/>
  </pivotFields>
  <rowFields count="1">
    <field x="0"/>
  </rowFields>
  <rowItems count="5">
    <i>
      <x/>
    </i>
    <i>
      <x v="1"/>
    </i>
    <i>
      <x v="2"/>
    </i>
    <i>
      <x v="3"/>
    </i>
    <i>
      <x v="4"/>
    </i>
  </rowItems>
  <colItems count="1">
    <i/>
  </colItems>
  <dataFields count="1">
    <dataField name="AMENITIES SATISFICATION" fld="4" baseField="0" baseItem="0" numFmtId="9"/>
  </dataFields>
  <formats count="6">
    <format dxfId="332">
      <pivotArea type="all" dataOnly="0" outline="0" fieldPosition="0"/>
    </format>
    <format dxfId="331">
      <pivotArea outline="0" collapsedLevelsAreSubtotals="1" fieldPosition="0"/>
    </format>
    <format dxfId="330">
      <pivotArea field="0" type="button" dataOnly="0" labelOnly="1" outline="0" axis="axisRow" fieldPosition="0"/>
    </format>
    <format dxfId="329">
      <pivotArea dataOnly="0" labelOnly="1" fieldPosition="0">
        <references count="1">
          <reference field="0" count="0"/>
        </references>
      </pivotArea>
    </format>
    <format dxfId="328">
      <pivotArea dataOnly="0" labelOnly="1" grandRow="1" outline="0" fieldPosition="0"/>
    </format>
    <format dxfId="3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7FA5EB-E4ED-4B51-809C-15B19DB14000}" name="ROOM CLEANLINESS"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HOTEL">
  <location ref="A20:B25" firstHeaderRow="1" firstDataRow="1" firstDataCol="1"/>
  <pivotFields count="5">
    <pivotField axis="axisRow" showAll="0">
      <items count="6">
        <item x="2"/>
        <item x="0"/>
        <item x="3"/>
        <item x="1"/>
        <item x="4"/>
        <item t="default"/>
      </items>
    </pivotField>
    <pivotField numFmtId="9" showAll="0"/>
    <pivotField numFmtId="9" showAll="0"/>
    <pivotField dataField="1" numFmtId="9" showAll="0"/>
    <pivotField numFmtId="9" showAll="0"/>
  </pivotFields>
  <rowFields count="1">
    <field x="0"/>
  </rowFields>
  <rowItems count="5">
    <i>
      <x/>
    </i>
    <i>
      <x v="1"/>
    </i>
    <i>
      <x v="2"/>
    </i>
    <i>
      <x v="3"/>
    </i>
    <i>
      <x v="4"/>
    </i>
  </rowItems>
  <colItems count="1">
    <i/>
  </colItems>
  <dataFields count="1">
    <dataField name="ROOM_CLEANLINESS" fld="3" baseField="0" baseItem="0" numFmtId="9"/>
  </dataFields>
  <formats count="6">
    <format dxfId="338">
      <pivotArea type="all" dataOnly="0" outline="0" fieldPosition="0"/>
    </format>
    <format dxfId="337">
      <pivotArea outline="0" collapsedLevelsAreSubtotals="1" fieldPosition="0"/>
    </format>
    <format dxfId="336">
      <pivotArea field="0" type="button" dataOnly="0" labelOnly="1" outline="0" axis="axisRow" fieldPosition="0"/>
    </format>
    <format dxfId="335">
      <pivotArea dataOnly="0" labelOnly="1" fieldPosition="0">
        <references count="1">
          <reference field="0" count="0"/>
        </references>
      </pivotArea>
    </format>
    <format dxfId="334">
      <pivotArea dataOnly="0" labelOnly="1" grandRow="1" outline="0"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A5A0A0-657A-4D6C-A0B6-C38E79134A15}" name="SAFETY MEAURES"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HOTEL">
  <location ref="A11:B16" firstHeaderRow="1" firstDataRow="1" firstDataCol="1"/>
  <pivotFields count="5">
    <pivotField axis="axisRow" showAll="0">
      <items count="6">
        <item x="2"/>
        <item x="0"/>
        <item x="3"/>
        <item x="1"/>
        <item x="4"/>
        <item t="default"/>
      </items>
    </pivotField>
    <pivotField numFmtId="9" showAll="0"/>
    <pivotField dataField="1" numFmtId="9" showAll="0"/>
    <pivotField numFmtId="9" showAll="0"/>
    <pivotField numFmtId="9" showAll="0"/>
  </pivotFields>
  <rowFields count="1">
    <field x="0"/>
  </rowFields>
  <rowItems count="5">
    <i>
      <x/>
    </i>
    <i>
      <x v="1"/>
    </i>
    <i>
      <x v="2"/>
    </i>
    <i>
      <x v="3"/>
    </i>
    <i>
      <x v="4"/>
    </i>
  </rowItems>
  <colItems count="1">
    <i/>
  </colItems>
  <dataFields count="1">
    <dataField name="SAFETY MEASURES" fld="2" baseField="0" baseItem="0" numFmtId="9"/>
  </dataFields>
  <formats count="6">
    <format dxfId="344">
      <pivotArea type="all" dataOnly="0" outline="0" fieldPosition="0"/>
    </format>
    <format dxfId="343">
      <pivotArea outline="0" collapsedLevelsAreSubtotals="1" fieldPosition="0"/>
    </format>
    <format dxfId="342">
      <pivotArea field="0" type="button" dataOnly="0" labelOnly="1" outline="0" axis="axisRow" fieldPosition="0"/>
    </format>
    <format dxfId="341">
      <pivotArea dataOnly="0" labelOnly="1" fieldPosition="0">
        <references count="1">
          <reference field="0" count="0"/>
        </references>
      </pivotArea>
    </format>
    <format dxfId="340">
      <pivotArea dataOnly="0" labelOnly="1" grandRow="1" outline="0" fieldPosition="0"/>
    </format>
    <format dxfId="3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810965-B1A2-4D14-B0EE-F97580B465E9}" name="FOOD QUALITY"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HOTEL">
  <location ref="A3:B8" firstHeaderRow="1" firstDataRow="1" firstDataCol="1"/>
  <pivotFields count="5">
    <pivotField axis="axisRow" showAll="0">
      <items count="6">
        <item x="2"/>
        <item x="0"/>
        <item x="3"/>
        <item x="1"/>
        <item x="4"/>
        <item t="default"/>
      </items>
    </pivotField>
    <pivotField dataField="1" numFmtId="9" showAll="0"/>
    <pivotField numFmtId="9" showAll="0"/>
    <pivotField numFmtId="9" showAll="0"/>
    <pivotField numFmtId="9" showAll="0"/>
  </pivotFields>
  <rowFields count="1">
    <field x="0"/>
  </rowFields>
  <rowItems count="5">
    <i>
      <x/>
    </i>
    <i>
      <x v="1"/>
    </i>
    <i>
      <x v="2"/>
    </i>
    <i>
      <x v="3"/>
    </i>
    <i>
      <x v="4"/>
    </i>
  </rowItems>
  <colItems count="1">
    <i/>
  </colItems>
  <dataFields count="1">
    <dataField name="FOOD_QUALITY" fld="1" baseField="0" baseItem="0" numFmtId="9"/>
  </dataFields>
  <formats count="6">
    <format dxfId="350">
      <pivotArea type="all" dataOnly="0" outline="0" fieldPosition="0"/>
    </format>
    <format dxfId="349">
      <pivotArea outline="0" collapsedLevelsAreSubtotals="1" fieldPosition="0"/>
    </format>
    <format dxfId="348">
      <pivotArea field="0" type="button" dataOnly="0" labelOnly="1" outline="0" axis="axisRow" fieldPosition="0"/>
    </format>
    <format dxfId="347">
      <pivotArea dataOnly="0" labelOnly="1" fieldPosition="0">
        <references count="1">
          <reference field="0" count="0"/>
        </references>
      </pivotArea>
    </format>
    <format dxfId="346">
      <pivotArea dataOnly="0" labelOnly="1" grandRow="1" outline="0" fieldPosition="0"/>
    </format>
    <format dxfId="3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D8AA0CEB-383A-4F90-9A8F-DDB9BDBF43DB}" sourceName="Room_Type">
  <pivotTables>
    <pivotTable tabId="3" name="HOTEL"/>
    <pivotTable tabId="3" name="AGE_CRI"/>
    <pivotTable tabId="3" name="GENDERWSE"/>
    <pivotTable tabId="3" name="DATE_WISE"/>
    <pivotTable tabId="3" name="BOOKING SOURCE"/>
    <pivotTable tabId="3" name="SATIFICATION"/>
    <pivotTable tabId="3" name="CLEAN ROOM"/>
    <pivotTable tabId="3" name="SAFETY"/>
    <pivotTable tabId="3" name="FOOD"/>
    <pivotTable tabId="3" name="AMENTITIES"/>
    <pivotTable tabId="3" name="PivotTable1"/>
  </pivotTables>
  <data>
    <tabular pivotCacheId="102237579">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est_Gender" xr10:uid="{61C00F00-E933-47FD-8339-3C975B4C6430}" sourceName="Guest_Gender">
  <pivotTables>
    <pivotTable tabId="3" name="AGE_CRI"/>
    <pivotTable tabId="3" name="GENDERWSE"/>
  </pivotTables>
  <data>
    <tabular pivotCacheId="10223757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heckin_Date" xr10:uid="{D3E96E47-7EE7-468D-AF48-706A2953A2D5}" sourceName="Months (Checkin_Date)">
  <pivotTables>
    <pivotTable tabId="3" name="DATE_WISE"/>
    <pivotTable tabId="3" name="BOOKING SOURCE"/>
    <pivotTable tabId="3" name="CLEAN ROOM"/>
    <pivotTable tabId="3" name="SAFETY"/>
    <pivotTable tabId="3" name="FOOD"/>
    <pivotTable tabId="3" name="AMENTITIES"/>
    <pivotTable tabId="3" name="PivotTable1"/>
  </pivotTables>
  <data>
    <tabular pivotCacheId="102237579">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heckin_Date" xr10:uid="{5A149FF7-8F56-44ED-B343-4BF0426AED87}" sourceName="Years (Checkin_Date)">
  <pivotTables>
    <pivotTable tabId="3" name="DATE_WISE"/>
    <pivotTable tabId="3" name="AGE_CRI"/>
    <pivotTable tabId="3" name="GENDERWSE"/>
    <pivotTable tabId="3" name="HOTEL"/>
    <pivotTable tabId="3" name="BOOKING SOURCE"/>
    <pivotTable tabId="3" name="SATIFICATION"/>
    <pivotTable tabId="3" name="CLEAN ROOM"/>
    <pivotTable tabId="3" name="SAFETY"/>
    <pivotTable tabId="3" name="FOOD"/>
    <pivotTable tabId="3" name="AMENTITIES"/>
    <pivotTable tabId="3" name="PivotTable1"/>
  </pivotTables>
  <data>
    <tabular pivotCacheId="102237579">
      <items count="5">
        <i x="1" s="1"/>
        <i x="2" s="1"/>
        <i x="3" s="1"/>
        <i x="0"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ication_level" xr10:uid="{32A2145C-F141-4910-BD80-BEC83534ACEA}" sourceName="Satisfication_level">
  <pivotTables>
    <pivotTable tabId="3" name="SATIFICATION"/>
    <pivotTable tabId="3" name="HOTEL"/>
  </pivotTables>
  <data>
    <tabular pivotCacheId="102237579">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uld_Recommend" xr10:uid="{A26C8790-6FCF-4784-92C7-83760B2F4197}" sourceName="Would_Recommend">
  <pivotTables>
    <pivotTable tabId="3" name="HOTEL"/>
  </pivotTables>
  <data>
    <tabular pivotCacheId="102237579">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uld_Recommend1" xr10:uid="{DF021418-7A5F-4393-9F85-702F58330573}" sourceName="Would_Recommend">
  <pivotTables>
    <pivotTable tabId="3" name="PivotTable1"/>
  </pivotTables>
  <data>
    <tabular pivotCacheId="102237579">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CA86567A-32DB-471A-B6F2-1ACD96FC3665}" sourceName="HOTEL">
  <pivotTables>
    <pivotTable tabId="10" name="FOOD QUALITY"/>
    <pivotTable tabId="10" name="AMENITIES"/>
    <pivotTable tabId="10" name="ROOM CLEANLINESS"/>
    <pivotTable tabId="10" name="SAFETY MEAURES"/>
  </pivotTables>
  <data>
    <tabular pivotCacheId="462215499">
      <items count="5">
        <i x="2" s="1"/>
        <i x="0" s="1"/>
        <i x="3" s="1"/>
        <i x="1"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ource" xr10:uid="{C3F1AE90-5D37-4742-A463-88145CF3F0A9}" sourceName="Booking_Source">
  <pivotTables>
    <pivotTable tabId="3" name="BOOKING SOURCE"/>
  </pivotTables>
  <data>
    <tabular pivotCacheId="102237579">
      <items count="4">
        <i x="1" s="1"/>
        <i x="2" s="1"/>
        <i x="3"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Purpose" xr10:uid="{4648BA26-DF86-41D4-B656-F70A44159FA5}" sourceName="Travel_Purpose">
  <pivotTables>
    <pivotTable tabId="3" name="PivotTable1"/>
  </pivotTables>
  <data>
    <tabular pivotCacheId="102237579">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 xr10:uid="{90A8FFEF-B7C6-4068-9D5D-04DFDAB1979B}" cache="Slicer_Room_Type" caption="Room_Type" rowHeight="234950"/>
  <slicer name="Guest_Gender" xr10:uid="{3A31A5B6-A0A1-477C-BF29-CF193C10B3AA}" cache="Slicer_Guest_Gender" caption="Guest_Gender" rowHeight="234950"/>
  <slicer name="Months (Checkin_Date)" xr10:uid="{2F8F6351-0A3B-4054-828D-D9EF377F0865}" cache="Slicer_Months__Checkin_Date" caption="Months (Checkin_Date)" rowHeight="234950"/>
  <slicer name="Years (Checkin_Date)" xr10:uid="{EAB9DFB1-E6E7-4A1E-836B-53F47B5CA984}" cache="Slicer_Years__Checkin_Date" caption="Years (Checkin_Date)" startItem="2" rowHeight="234950"/>
  <slicer name="Satisfication_level" xr10:uid="{5E3B16EA-F267-4EEE-9BF7-AE632A4CA4C2}" cache="Slicer_Satisfication_level" caption="Satisfication_level" rowHeight="234950"/>
  <slicer name="Would_Recommend" xr10:uid="{083A0DCC-C0FD-48F8-BBD5-D220CCCD5FB5}" cache="Slicer_Would_Recommend" caption="Would_Recommend" rowHeight="234950"/>
  <slicer name="Would_Recommend 1" xr10:uid="{8CF14922-0703-498D-BF92-E6712F7CF36E}" cache="Slicer_Would_Recommend1" caption="Would_Recommend" rowHeight="234950"/>
  <slicer name="Booking_Source" xr10:uid="{537916BB-88A7-4940-9E6F-85EC72EE7EA4}" cache="Slicer_Booking_Source" caption="Booking_Source" rowHeight="234950"/>
  <slicer name="Travel_Purpose" xr10:uid="{F14E82A0-8BBF-40CE-85C2-AEE53A353D3D}" cache="Slicer_Travel_Purpose" caption="Travel_Purpo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 1" xr10:uid="{91098571-5628-48E3-BB8E-2E85EEB6FBD1}" cache="Slicer_Room_Type" caption="Room_Type" columnCount="3" style="SlicerStyleDark1 2 2 2 2 2" rowHeight="936000"/>
  <slicer name="Guest_Gender 1" xr10:uid="{2D4611D1-59B9-4911-BC9F-CF889C07D989}" cache="Slicer_Guest_Gender" caption="Guest_Gender" columnCount="3" style="SlicerStyleDark1 2 2 2 2 2" rowHeight="1080000"/>
  <slicer name="Months (Checkin_Date) 1" xr10:uid="{78D4519B-CD26-42E5-92F6-CCA61025781C}" cache="Slicer_Months__Checkin_Date" caption="Months (Checkin_Date)" startItem="3" style="SlicerStyleDark1 2 2 2 2 2" rowHeight="756000"/>
  <slicer name="Years (Checkin_Date) 1" xr10:uid="{4726AD6C-E2B0-4F12-9A0F-122166F61D3D}" cache="Slicer_Years__Checkin_Date" caption="Years (Checkin_Date)" style="SlicerStyleDark1 2 2 2 2 2" rowHeight="1332000"/>
  <slicer name="Satisfication_level 1" xr10:uid="{79282F1F-29E7-46E0-90FA-49F6C912B67E}" cache="Slicer_Satisfication_level" caption="Satisfication_level" style="SlicerStyleDark1 2 2 2 2 2" rowHeight="1404000"/>
  <slicer name="Would_Recommend 2" xr10:uid="{C79F540C-4C39-4630-9CDB-05C8BECA76F5}" cache="Slicer_Would_Recommend" caption="Would_Recommend" columnCount="2" style="SlicerStyleDark1 2 2 2 2 2" rowHeight="1188000"/>
  <slicer name="HOTEL 1" xr10:uid="{214C1EB7-6E08-4122-B08C-7A350655B1BA}" cache="Slicer_HOTEL" caption="HOTEL" style="SlicerStyleDark1 2 2 2 2 2" rowHeight="792000"/>
  <slicer name="Booking_Source 1" xr10:uid="{66EB5BC6-8C8D-4DB8-9279-3CC7B43D1C16}" cache="Slicer_Booking_Source" caption="Booking_Source" style="SlicerStyleDark1 2 2 2 2 2" rowHeight="1152000"/>
  <slicer name="Travel_Purpose 1" xr10:uid="{F5DC5748-76F2-4889-AF42-4F2720155360}" cache="Slicer_Travel_Purpose" caption="Travel_Purpose" style="SlicerStyleDark1 2 2 2 2 2" rowHeight="12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7740A070-4B0B-4DF8-9361-715FFDEE5889}" cache="Slicer_HOTEL" caption="HOT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31FDDE-A2D6-45CE-A833-DDD21F156216}" name="Table5" displayName="Table5" ref="O17:S22" totalsRowShown="0" dataDxfId="32" dataCellStyle="Percent">
  <autoFilter ref="O17:S22" xr:uid="{FB31FDDE-A2D6-45CE-A833-DDD21F156216}"/>
  <tableColumns count="5">
    <tableColumn id="1" xr3:uid="{8769BD59-29A5-4E72-8CD5-6762444BF07F}" name="HOTEL"/>
    <tableColumn id="2" xr3:uid="{2FE8BC4C-0A5F-46BF-9AFD-A5EFA010CE32}" name="FOOD QUALITY" dataDxfId="31" dataCellStyle="Percent"/>
    <tableColumn id="3" xr3:uid="{A859846F-B091-4174-AADC-55087E99FF60}" name="SAFETY MEASURE" dataDxfId="30" dataCellStyle="Percent"/>
    <tableColumn id="4" xr3:uid="{6D0E32EC-7BB7-4044-A762-F7073B962142}" name="ROOM CLEANLINESS" dataDxfId="29" dataCellStyle="Percent"/>
    <tableColumn id="5" xr3:uid="{5E8FE179-F2B1-4517-A507-3CB2DC8EE3BB}" name="AMENITIES" dataDxfId="2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4641ED-3365-47CF-B449-CC8FFDA7B4D0}" name="Table2" displayName="Table2" ref="A1:AC2001" totalsRowShown="0" headerRowDxfId="357">
  <autoFilter ref="A1:AC2001" xr:uid="{CF4641ED-3365-47CF-B449-CC8FFDA7B4D0}"/>
  <tableColumns count="29">
    <tableColumn id="1" xr3:uid="{5C9D31BC-7B4E-4A5C-83BD-DA7AABD806E6}" name="Feedback_ID"/>
    <tableColumn id="2" xr3:uid="{684B46B5-1A70-47A1-9638-8EC05A90DBEE}" name="Guest_ID"/>
    <tableColumn id="3" xr3:uid="{577AB96E-B034-441C-8B88-EC87FF6F1359}" name="Guest_Name"/>
    <tableColumn id="4" xr3:uid="{E6F47337-08F9-4E40-9F72-8473C743BEFB}" name="Hotel_Name"/>
    <tableColumn id="5" xr3:uid="{DA2AE652-84F8-400F-A92E-5BC1AED49FEE}" name="Room_Type"/>
    <tableColumn id="6" xr3:uid="{CCE30359-917D-4331-99A6-ACDC6992711C}" name="Checkin_Date" dataDxfId="356"/>
    <tableColumn id="7" xr3:uid="{8A4B0F0D-E99B-451F-B9BA-82FDB044BB5B}" name="Checkout_Date" dataDxfId="355"/>
    <tableColumn id="8" xr3:uid="{A02F3B5C-A6C0-4BD3-AC11-8717657EA4B4}" name="Stay_Duration"/>
    <tableColumn id="9" xr3:uid="{BD7ED4B9-CF15-4148-A9DB-1E31A1DEADB7}" name="Booking_Source"/>
    <tableColumn id="10" xr3:uid="{D1B25971-DA1D-43D8-A2A9-BB7670353681}" name="Travel_Purpose"/>
    <tableColumn id="11" xr3:uid="{E3A2BED8-16FC-4AAE-AA59-3476A8FA82D2}" name="Room_Cleanliness"/>
    <tableColumn id="12" xr3:uid="{18CB933F-19A4-4266-A462-7536F2DF1168}" name="Staff_Courtesy"/>
    <tableColumn id="13" xr3:uid="{0AC6392B-A444-4639-8D93-2AB861F4B429}" name="Food_Quality"/>
    <tableColumn id="14" xr3:uid="{B8305797-6BD8-4F32-83E8-BA43360CB2DA}" name="Checkin_Experience"/>
    <tableColumn id="15" xr3:uid="{F6E12E86-B9E3-48F1-A52E-E1BCB58734AE}" name="Checkout_Experience"/>
    <tableColumn id="16" xr3:uid="{2CF0B079-540B-48A9-98F9-61790214DE8D}" name="Amenities_Satisfaction"/>
    <tableColumn id="17" xr3:uid="{BDB5633F-0D9E-465D-AD53-54FE4B724F9E}" name="Value_for_Money"/>
    <tableColumn id="18" xr3:uid="{91D29BDC-9362-44E8-83D6-85F23D09B997}" name="Safety_Measures"/>
    <tableColumn id="19" xr3:uid="{95CE9639-5D97-4A4E-AB86-06616E1E99BF}" name="WiFi_Quality"/>
    <tableColumn id="20" xr3:uid="{F8D9F2A4-D263-4D30-A933-3281D65EC6DB}" name="Noise_Levels"/>
    <tableColumn id="21" xr3:uid="{05C92CBD-B210-4DD5-9F2D-6F0D9B2EFD1F}" name="Would_Recommend"/>
    <tableColumn id="22" xr3:uid="{D70CFD97-2A4D-4009-AEBE-228CF503ACD6}" name="Feedback_Source"/>
    <tableColumn id="23" xr3:uid="{B8B3DFE1-069B-4589-9B3B-1CAE08CE9ACB}" name="Additional_Comments"/>
    <tableColumn id="24" xr3:uid="{56924431-ED32-403B-B23B-DDD89614446E}" name="Guest_Gender"/>
    <tableColumn id="25" xr3:uid="{49D2AB07-2B22-441A-AD55-C2AB6D41F66F}" name="Guest_Age"/>
    <tableColumn id="26" xr3:uid="{E1A9A39C-9936-49A9-80F0-FD921B5D02F7}" name="Feedback_Date" dataDxfId="354"/>
    <tableColumn id="27" xr3:uid="{B0BB11FE-10FF-4594-9A54-86F637E82DC2}" name="Age_Criteria" dataDxfId="353">
      <calculatedColumnFormula array="1">_xlfn.IFS(AND(Table2[[#This Row],[Guest_Age]]&gt;=18,Table2[[#This Row],[Guest_Age]]&lt;=25),"Young Adults",AND(Table2[[#This Row],[Guest_Age]]&gt;=26,Table2[[#This Row],[Guest_Age]]&lt;=35),"Adults",AND(Table2[[#This Row],[Guest_Age]]&gt;=36,Table2[[#This Row],[Guest_Age]]&lt;=50),"Middle Aged Adults",Table2[[#This Row],[Guest_Age]]&gt;50,"Senior")</calculatedColumnFormula>
    </tableColumn>
    <tableColumn id="28" xr3:uid="{91C0366E-2800-47FB-A925-2D80532058B1}" name="Satification_points" dataDxfId="352">
      <calculatedColumnFormula>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calculatedColumnFormula>
    </tableColumn>
    <tableColumn id="29" xr3:uid="{B815FA58-910C-4804-9FE6-690AD4D29044}" name="Satisfication_level" dataDxfId="351">
      <calculatedColumnFormula array="1">_xlfn.IFS(Table2[[#This Row],[Satification_points]]&gt;=4.5,"GREAT",AND(Table2[[#This Row],[Satification_points]]&gt;=4,Table2[[#This Row],[Satification_points]]&lt;4.5),"GOOD",AND(Table2[[#This Row],[Satification_points]]&gt;=3,Table2[[#This Row],[Satification_points]]&lt;4),"AVERAGE",Table2[[#This Row],[Satification_points]]&lt;3,"POOR")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table" Target="../tables/table1.xml"/><Relationship Id="rId5" Type="http://schemas.openxmlformats.org/officeDocument/2006/relationships/drawing" Target="../drawings/drawing3.xml"/><Relationship Id="rId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780A-E53C-440E-A389-8B2A7DBAA0E1}">
  <dimension ref="A1:L223"/>
  <sheetViews>
    <sheetView topLeftCell="A193" zoomScale="55" zoomScaleNormal="55" workbookViewId="0">
      <selection activeCell="A212" sqref="A212"/>
    </sheetView>
  </sheetViews>
  <sheetFormatPr defaultRowHeight="14.4" x14ac:dyDescent="0.3"/>
  <cols>
    <col min="1" max="1" width="27.21875" bestFit="1" customWidth="1"/>
    <col min="2" max="2" width="28" bestFit="1" customWidth="1"/>
    <col min="3" max="3" width="6" bestFit="1" customWidth="1"/>
    <col min="4" max="4" width="6.109375" bestFit="1" customWidth="1"/>
    <col min="5" max="5" width="27.5546875" bestFit="1" customWidth="1"/>
    <col min="6" max="6" width="19.109375" customWidth="1"/>
    <col min="7" max="7" width="21.44140625" customWidth="1"/>
    <col min="8" max="8" width="26.77734375" customWidth="1"/>
    <col min="9" max="9" width="24.21875" customWidth="1"/>
    <col min="10" max="10" width="32.21875" customWidth="1"/>
    <col min="11" max="11" width="23" customWidth="1"/>
    <col min="12" max="12" width="18" customWidth="1"/>
  </cols>
  <sheetData>
    <row r="1" spans="1:12" x14ac:dyDescent="0.3">
      <c r="A1" s="6" t="s">
        <v>2076</v>
      </c>
      <c r="B1" s="4">
        <f>SUM(Table2[Food_Quality])</f>
        <v>6024</v>
      </c>
      <c r="D1" s="15" t="s">
        <v>2034</v>
      </c>
      <c r="E1" s="16" t="s">
        <v>2040</v>
      </c>
      <c r="F1" s="17"/>
      <c r="G1" s="16" t="s">
        <v>2080</v>
      </c>
      <c r="H1" s="17"/>
      <c r="I1" s="16" t="s">
        <v>2081</v>
      </c>
      <c r="J1" s="17"/>
      <c r="K1" s="16" t="s">
        <v>2082</v>
      </c>
      <c r="L1" s="17"/>
    </row>
    <row r="2" spans="1:12" x14ac:dyDescent="0.3">
      <c r="A2" s="6" t="s">
        <v>2077</v>
      </c>
      <c r="B2" s="4">
        <f>SUM(Table2[Safety_Measures])</f>
        <v>5961</v>
      </c>
      <c r="D2" s="4" t="str" cm="1">
        <f t="array" ref="D2:D6">_xlfn.UNIQUE(Table2[Hotel_Name])</f>
        <v>Grand Heritage</v>
      </c>
      <c r="E2" s="4">
        <f>SUMIF(Table2[Hotel_Name],'PIVOT ANALYSIS'!$D2,Table2[Food_Quality])</f>
        <v>1287</v>
      </c>
      <c r="F2" s="13">
        <f>$E2/'PIVOT ANALYSIS'!$B$1</f>
        <v>0.21364541832669323</v>
      </c>
      <c r="G2" s="4">
        <f>SUMIF(Table2[Hotel_Name],'PIVOT ANALYSIS'!$D2,Table2[Safety_Measures])</f>
        <v>1211</v>
      </c>
      <c r="H2" s="13">
        <f>$G2/'PIVOT ANALYSIS'!$B$2</f>
        <v>0.2031538332494548</v>
      </c>
      <c r="I2" s="4">
        <f>SUMIF(Table2[Hotel_Name],'PIVOT ANALYSIS'!$D2,Table2[Room_Cleanliness])</f>
        <v>1261</v>
      </c>
      <c r="J2" s="13">
        <f>$I2/'PIVOT ANALYSIS'!$B$3</f>
        <v>0.21111669177967521</v>
      </c>
      <c r="K2" s="4">
        <f>SUMIF(Table2[Hotel_Name],'PIVOT ANALYSIS'!$D2,Table2[Amenities_Satisfaction])</f>
        <v>1284</v>
      </c>
      <c r="L2" s="13">
        <f>$K2/'PIVOT ANALYSIS'!$B$4</f>
        <v>0.21453634085213033</v>
      </c>
    </row>
    <row r="3" spans="1:12" x14ac:dyDescent="0.3">
      <c r="A3" s="6" t="s">
        <v>2078</v>
      </c>
      <c r="B3" s="4">
        <f>SUM(Table2[Room_Cleanliness])</f>
        <v>5973</v>
      </c>
      <c r="D3" s="4" t="str">
        <v>OceanView Resort</v>
      </c>
      <c r="E3" s="4">
        <f>SUMIF(Table2[Hotel_Name],'PIVOT ANALYSIS'!$D3,Table2[Food_Quality])</f>
        <v>1106</v>
      </c>
      <c r="F3" s="13">
        <f>$E3/'PIVOT ANALYSIS'!$B$1</f>
        <v>0.18359893758300133</v>
      </c>
      <c r="G3" s="4">
        <f>SUMIF(Table2[Hotel_Name],'PIVOT ANALYSIS'!$D3,Table2[Safety_Measures])</f>
        <v>1109</v>
      </c>
      <c r="H3" s="13">
        <f>$G3/'PIVOT ANALYSIS'!$B$2</f>
        <v>0.18604261030028518</v>
      </c>
      <c r="I3" s="4">
        <f>SUMIF(Table2[Hotel_Name],'PIVOT ANALYSIS'!$D3,Table2[Room_Cleanliness])</f>
        <v>1108</v>
      </c>
      <c r="J3" s="13">
        <f>$I3/'PIVOT ANALYSIS'!$B$3</f>
        <v>0.18550142307048384</v>
      </c>
      <c r="K3" s="4">
        <f>SUMIF(Table2[Hotel_Name],'PIVOT ANALYSIS'!$D3,Table2[Amenities_Satisfaction])</f>
        <v>1098</v>
      </c>
      <c r="L3" s="13">
        <f>$K3/'PIVOT ANALYSIS'!$B$4</f>
        <v>0.18345864661654135</v>
      </c>
    </row>
    <row r="4" spans="1:12" x14ac:dyDescent="0.3">
      <c r="A4" s="6" t="s">
        <v>2079</v>
      </c>
      <c r="B4" s="4">
        <f>SUM(Table2[Amenities_Satisfaction])</f>
        <v>5985</v>
      </c>
      <c r="D4" s="4" t="str">
        <v>City Lights Hotel</v>
      </c>
      <c r="E4" s="4">
        <f>SUMIF(Table2[Hotel_Name],'PIVOT ANALYSIS'!$D4,Table2[Food_Quality])</f>
        <v>1164</v>
      </c>
      <c r="F4" s="13">
        <f>$E4/'PIVOT ANALYSIS'!$B$1</f>
        <v>0.19322709163346613</v>
      </c>
      <c r="G4" s="4">
        <f>SUMIF(Table2[Hotel_Name],'PIVOT ANALYSIS'!$D4,Table2[Safety_Measures])</f>
        <v>1159</v>
      </c>
      <c r="H4" s="13">
        <f>$G4/'PIVOT ANALYSIS'!$B$2</f>
        <v>0.19443046468713304</v>
      </c>
      <c r="I4" s="4">
        <f>SUMIF(Table2[Hotel_Name],'PIVOT ANALYSIS'!$D4,Table2[Room_Cleanliness])</f>
        <v>1139</v>
      </c>
      <c r="J4" s="13">
        <f>$I4/'PIVOT ANALYSIS'!$B$3</f>
        <v>0.19069144483509123</v>
      </c>
      <c r="K4" s="4">
        <f>SUMIF(Table2[Hotel_Name],'PIVOT ANALYSIS'!$D4,Table2[Amenities_Satisfaction])</f>
        <v>1114</v>
      </c>
      <c r="L4" s="13">
        <f>$K4/'PIVOT ANALYSIS'!$B$4</f>
        <v>0.18613199665831245</v>
      </c>
    </row>
    <row r="5" spans="1:12" x14ac:dyDescent="0.3">
      <c r="D5" s="4" t="str">
        <v>Hilltop Inn</v>
      </c>
      <c r="E5" s="4">
        <f>SUMIF(Table2[Hotel_Name],'PIVOT ANALYSIS'!$D5,Table2[Food_Quality])</f>
        <v>1212</v>
      </c>
      <c r="F5" s="13">
        <f>$E5/'PIVOT ANALYSIS'!$B$1</f>
        <v>0.20119521912350596</v>
      </c>
      <c r="G5" s="4">
        <f>SUMIF(Table2[Hotel_Name],'PIVOT ANALYSIS'!$D5,Table2[Safety_Measures])</f>
        <v>1162</v>
      </c>
      <c r="H5" s="13">
        <f>$G5/'PIVOT ANALYSIS'!$B$2</f>
        <v>0.19493373595034391</v>
      </c>
      <c r="I5" s="4">
        <f>SUMIF(Table2[Hotel_Name],'PIVOT ANALYSIS'!$D5,Table2[Room_Cleanliness])</f>
        <v>1190</v>
      </c>
      <c r="J5" s="13">
        <f>$I5/'PIVOT ANALYSIS'!$B$3</f>
        <v>0.19922986773815504</v>
      </c>
      <c r="K5" s="4">
        <f>SUMIF(Table2[Hotel_Name],'PIVOT ANALYSIS'!$D5,Table2[Amenities_Satisfaction])</f>
        <v>1212</v>
      </c>
      <c r="L5" s="13">
        <f>$K5/'PIVOT ANALYSIS'!$B$4</f>
        <v>0.20250626566416041</v>
      </c>
    </row>
    <row r="6" spans="1:12" x14ac:dyDescent="0.3">
      <c r="D6" s="4" t="str">
        <v>Palm Grove Stay</v>
      </c>
      <c r="E6" s="4">
        <f>SUMIF(Table2[Hotel_Name],'PIVOT ANALYSIS'!$D6,Table2[Food_Quality])</f>
        <v>1255</v>
      </c>
      <c r="F6" s="13">
        <f>$E6/'PIVOT ANALYSIS'!$B$1</f>
        <v>0.20833333333333334</v>
      </c>
      <c r="G6" s="4">
        <f>SUMIF(Table2[Hotel_Name],'PIVOT ANALYSIS'!$D6,Table2[Safety_Measures])</f>
        <v>1320</v>
      </c>
      <c r="H6" s="13">
        <f>$G6/'PIVOT ANALYSIS'!$B$2</f>
        <v>0.2214393558127831</v>
      </c>
      <c r="I6" s="4">
        <f>SUMIF(Table2[Hotel_Name],'PIVOT ANALYSIS'!$D6,Table2[Room_Cleanliness])</f>
        <v>1275</v>
      </c>
      <c r="J6" s="13">
        <f>$I6/'PIVOT ANALYSIS'!$B$3</f>
        <v>0.21346057257659468</v>
      </c>
      <c r="K6" s="4">
        <f>SUMIF(Table2[Hotel_Name],'PIVOT ANALYSIS'!$D6,Table2[Amenities_Satisfaction])</f>
        <v>1277</v>
      </c>
      <c r="L6" s="13">
        <f>$K6/'PIVOT ANALYSIS'!$B$4</f>
        <v>0.21336675020885548</v>
      </c>
    </row>
    <row r="8" spans="1:12" s="8" customFormat="1" x14ac:dyDescent="0.3"/>
    <row r="10" spans="1:12" x14ac:dyDescent="0.3">
      <c r="A10" s="3" t="s">
        <v>2034</v>
      </c>
      <c r="B10" s="4" t="s">
        <v>2038</v>
      </c>
      <c r="D10" s="7" t="str">
        <f t="shared" ref="D10:E15" si="0">A10</f>
        <v>HOTEL</v>
      </c>
      <c r="E10" s="7" t="str">
        <f t="shared" si="0"/>
        <v>TOTAL_GUESTS</v>
      </c>
    </row>
    <row r="11" spans="1:12" x14ac:dyDescent="0.3">
      <c r="A11" s="5" t="s">
        <v>51</v>
      </c>
      <c r="B11" s="12">
        <v>434</v>
      </c>
      <c r="D11" s="4" t="str">
        <f t="shared" si="0"/>
        <v>Palm Grove Stay</v>
      </c>
      <c r="E11" s="4">
        <f t="shared" si="0"/>
        <v>434</v>
      </c>
    </row>
    <row r="12" spans="1:12" x14ac:dyDescent="0.3">
      <c r="A12" s="5" t="s">
        <v>26</v>
      </c>
      <c r="B12" s="12">
        <v>411</v>
      </c>
      <c r="D12" s="4" t="str">
        <f t="shared" si="0"/>
        <v>Grand Heritage</v>
      </c>
      <c r="E12" s="4">
        <f t="shared" si="0"/>
        <v>411</v>
      </c>
    </row>
    <row r="13" spans="1:12" x14ac:dyDescent="0.3">
      <c r="A13" s="5" t="s">
        <v>48</v>
      </c>
      <c r="B13" s="12">
        <v>403</v>
      </c>
      <c r="D13" s="4" t="str">
        <f t="shared" si="0"/>
        <v>Hilltop Inn</v>
      </c>
      <c r="E13" s="4">
        <f t="shared" si="0"/>
        <v>403</v>
      </c>
    </row>
    <row r="14" spans="1:12" x14ac:dyDescent="0.3">
      <c r="A14" s="5" t="s">
        <v>41</v>
      </c>
      <c r="B14" s="12">
        <v>380</v>
      </c>
      <c r="D14" s="4" t="str">
        <f t="shared" si="0"/>
        <v>City Lights Hotel</v>
      </c>
      <c r="E14" s="4">
        <f t="shared" si="0"/>
        <v>380</v>
      </c>
    </row>
    <row r="15" spans="1:12" x14ac:dyDescent="0.3">
      <c r="A15" s="5" t="s">
        <v>34</v>
      </c>
      <c r="B15" s="12">
        <v>372</v>
      </c>
      <c r="D15" s="4" t="str">
        <f t="shared" si="0"/>
        <v>OceanView Resort</v>
      </c>
      <c r="E15" s="4">
        <f t="shared" si="0"/>
        <v>372</v>
      </c>
    </row>
    <row r="16" spans="1:12" x14ac:dyDescent="0.3">
      <c r="A16" s="5" t="s">
        <v>2032</v>
      </c>
      <c r="B16" s="12">
        <v>2000</v>
      </c>
      <c r="D16" s="6" t="s">
        <v>2087</v>
      </c>
      <c r="E16" s="4">
        <f>SUM(E11:E15)</f>
        <v>2000</v>
      </c>
    </row>
    <row r="24" spans="1:9" s="8" customFormat="1" x14ac:dyDescent="0.3"/>
    <row r="28" spans="1:9" x14ac:dyDescent="0.3">
      <c r="A28" s="3" t="s">
        <v>2038</v>
      </c>
      <c r="B28" s="3" t="s">
        <v>2046</v>
      </c>
      <c r="C28" s="4"/>
      <c r="D28" s="4"/>
    </row>
    <row r="29" spans="1:9" x14ac:dyDescent="0.3">
      <c r="A29" s="3" t="s">
        <v>2047</v>
      </c>
      <c r="B29" s="4" t="s">
        <v>44</v>
      </c>
      <c r="C29" s="4" t="s">
        <v>33</v>
      </c>
      <c r="D29" s="4" t="s">
        <v>40</v>
      </c>
      <c r="F29" s="6" t="str">
        <f t="shared" ref="F29:I33" si="1">A29</f>
        <v>AGE CRITERIA</v>
      </c>
      <c r="G29" s="6" t="str">
        <f t="shared" si="1"/>
        <v>Female</v>
      </c>
      <c r="H29" s="6" t="str">
        <f t="shared" si="1"/>
        <v>Male</v>
      </c>
      <c r="I29" s="6" t="str">
        <f t="shared" si="1"/>
        <v>Other</v>
      </c>
    </row>
    <row r="30" spans="1:9" x14ac:dyDescent="0.3">
      <c r="A30" s="5" t="s">
        <v>2042</v>
      </c>
      <c r="B30" s="12">
        <v>129</v>
      </c>
      <c r="C30" s="12">
        <v>113</v>
      </c>
      <c r="D30" s="12">
        <v>121</v>
      </c>
      <c r="F30" s="4" t="str">
        <f t="shared" si="1"/>
        <v>Adults</v>
      </c>
      <c r="G30" s="4">
        <f t="shared" si="1"/>
        <v>129</v>
      </c>
      <c r="H30" s="4">
        <f t="shared" si="1"/>
        <v>113</v>
      </c>
      <c r="I30" s="4">
        <f t="shared" si="1"/>
        <v>121</v>
      </c>
    </row>
    <row r="31" spans="1:9" x14ac:dyDescent="0.3">
      <c r="A31" s="5" t="s">
        <v>2043</v>
      </c>
      <c r="B31" s="12">
        <v>188</v>
      </c>
      <c r="C31" s="12">
        <v>198</v>
      </c>
      <c r="D31" s="12">
        <v>183</v>
      </c>
      <c r="F31" s="4" t="str">
        <f t="shared" si="1"/>
        <v>Middle Aged Adults</v>
      </c>
      <c r="G31" s="4">
        <f t="shared" si="1"/>
        <v>188</v>
      </c>
      <c r="H31" s="4">
        <f t="shared" si="1"/>
        <v>198</v>
      </c>
      <c r="I31" s="4">
        <f t="shared" si="1"/>
        <v>183</v>
      </c>
    </row>
    <row r="32" spans="1:9" x14ac:dyDescent="0.3">
      <c r="A32" s="5" t="s">
        <v>2044</v>
      </c>
      <c r="B32" s="12">
        <v>249</v>
      </c>
      <c r="C32" s="12">
        <v>247</v>
      </c>
      <c r="D32" s="12">
        <v>249</v>
      </c>
      <c r="F32" s="4" t="str">
        <f t="shared" si="1"/>
        <v>Senior</v>
      </c>
      <c r="G32" s="4">
        <f t="shared" si="1"/>
        <v>249</v>
      </c>
      <c r="H32" s="4">
        <f t="shared" si="1"/>
        <v>247</v>
      </c>
      <c r="I32" s="4">
        <f t="shared" si="1"/>
        <v>249</v>
      </c>
    </row>
    <row r="33" spans="1:9" x14ac:dyDescent="0.3">
      <c r="A33" s="5" t="s">
        <v>2045</v>
      </c>
      <c r="B33" s="12">
        <v>97</v>
      </c>
      <c r="C33" s="12">
        <v>124</v>
      </c>
      <c r="D33" s="12">
        <v>102</v>
      </c>
      <c r="F33" s="4" t="str">
        <f t="shared" si="1"/>
        <v>Young Adults</v>
      </c>
      <c r="G33" s="4">
        <f t="shared" si="1"/>
        <v>97</v>
      </c>
      <c r="H33" s="4">
        <f t="shared" si="1"/>
        <v>124</v>
      </c>
      <c r="I33" s="4">
        <f t="shared" si="1"/>
        <v>102</v>
      </c>
    </row>
    <row r="45" spans="1:9" s="9" customFormat="1" x14ac:dyDescent="0.3"/>
    <row r="48" spans="1:9" x14ac:dyDescent="0.3">
      <c r="A48" s="3" t="s">
        <v>2066</v>
      </c>
      <c r="B48" s="4" t="s">
        <v>2038</v>
      </c>
      <c r="D48" s="7" t="str">
        <f t="shared" ref="D48:E51" si="2">A48</f>
        <v>SATIFICATION</v>
      </c>
      <c r="E48" s="7" t="str">
        <f t="shared" si="2"/>
        <v>TOTAL_GUESTS</v>
      </c>
    </row>
    <row r="49" spans="1:5" x14ac:dyDescent="0.3">
      <c r="A49" s="5" t="s">
        <v>2048</v>
      </c>
      <c r="B49" s="12">
        <v>1016</v>
      </c>
      <c r="D49" s="4" t="str">
        <f t="shared" si="2"/>
        <v>AVERAGE</v>
      </c>
      <c r="E49" s="4">
        <f t="shared" si="2"/>
        <v>1016</v>
      </c>
    </row>
    <row r="50" spans="1:5" x14ac:dyDescent="0.3">
      <c r="A50" s="5" t="s">
        <v>2049</v>
      </c>
      <c r="B50" s="12">
        <v>36</v>
      </c>
      <c r="D50" s="4" t="str">
        <f t="shared" si="2"/>
        <v>GOOD</v>
      </c>
      <c r="E50" s="4">
        <f t="shared" si="2"/>
        <v>36</v>
      </c>
    </row>
    <row r="51" spans="1:5" x14ac:dyDescent="0.3">
      <c r="A51" s="5" t="s">
        <v>2075</v>
      </c>
      <c r="B51" s="12">
        <v>1</v>
      </c>
      <c r="D51" s="4" t="str">
        <f t="shared" si="2"/>
        <v>GREAT</v>
      </c>
      <c r="E51" s="4">
        <f t="shared" si="2"/>
        <v>1</v>
      </c>
    </row>
    <row r="52" spans="1:5" x14ac:dyDescent="0.3">
      <c r="A52" s="5" t="s">
        <v>2050</v>
      </c>
      <c r="B52" s="12">
        <v>947</v>
      </c>
    </row>
    <row r="53" spans="1:5" x14ac:dyDescent="0.3">
      <c r="A53" s="5" t="s">
        <v>2032</v>
      </c>
      <c r="B53" s="12">
        <v>2000</v>
      </c>
    </row>
    <row r="64" spans="1:5" s="8" customFormat="1" x14ac:dyDescent="0.3"/>
    <row r="67" spans="1:5" x14ac:dyDescent="0.3">
      <c r="A67" s="3" t="s">
        <v>2051</v>
      </c>
      <c r="B67" s="4" t="s">
        <v>2033</v>
      </c>
      <c r="D67" s="6" t="str">
        <f t="shared" ref="D67:E70" si="3">A67</f>
        <v>GENDER</v>
      </c>
      <c r="E67" s="6" t="s">
        <v>2039</v>
      </c>
    </row>
    <row r="68" spans="1:5" x14ac:dyDescent="0.3">
      <c r="A68" s="5" t="s">
        <v>44</v>
      </c>
      <c r="B68" s="12">
        <v>663</v>
      </c>
      <c r="D68" s="4" t="str">
        <f t="shared" si="3"/>
        <v>Female</v>
      </c>
      <c r="E68" s="4">
        <f t="shared" si="3"/>
        <v>663</v>
      </c>
    </row>
    <row r="69" spans="1:5" x14ac:dyDescent="0.3">
      <c r="A69" s="5" t="s">
        <v>33</v>
      </c>
      <c r="B69" s="12">
        <v>682</v>
      </c>
      <c r="D69" s="4" t="str">
        <f t="shared" si="3"/>
        <v>Male</v>
      </c>
      <c r="E69" s="4">
        <f t="shared" si="3"/>
        <v>682</v>
      </c>
    </row>
    <row r="70" spans="1:5" x14ac:dyDescent="0.3">
      <c r="A70" s="5" t="s">
        <v>40</v>
      </c>
      <c r="B70" s="12">
        <v>655</v>
      </c>
      <c r="D70" s="4" t="str">
        <f t="shared" si="3"/>
        <v>Other</v>
      </c>
      <c r="E70" s="4">
        <f t="shared" si="3"/>
        <v>655</v>
      </c>
    </row>
    <row r="84" spans="1:6" s="8" customFormat="1" x14ac:dyDescent="0.3"/>
    <row r="87" spans="1:6" x14ac:dyDescent="0.3">
      <c r="A87" s="3" t="s">
        <v>2051</v>
      </c>
      <c r="B87" s="4" t="s">
        <v>2033</v>
      </c>
      <c r="E87" s="6" t="s">
        <v>2051</v>
      </c>
      <c r="F87" s="6" t="s">
        <v>2064</v>
      </c>
    </row>
    <row r="88" spans="1:6" x14ac:dyDescent="0.3">
      <c r="A88" s="5" t="s">
        <v>2052</v>
      </c>
      <c r="B88" s="12">
        <v>182</v>
      </c>
      <c r="E88" s="4" t="str">
        <f t="shared" ref="E88:E99" si="4">A88</f>
        <v>Jan</v>
      </c>
      <c r="F88" s="4">
        <f t="shared" ref="F88:F99" si="5">B88</f>
        <v>182</v>
      </c>
    </row>
    <row r="89" spans="1:6" x14ac:dyDescent="0.3">
      <c r="A89" s="5" t="s">
        <v>2053</v>
      </c>
      <c r="B89" s="12">
        <v>181</v>
      </c>
      <c r="E89" s="4" t="str">
        <f t="shared" si="4"/>
        <v>Feb</v>
      </c>
      <c r="F89" s="4">
        <f t="shared" si="5"/>
        <v>181</v>
      </c>
    </row>
    <row r="90" spans="1:6" x14ac:dyDescent="0.3">
      <c r="A90" s="5" t="s">
        <v>2054</v>
      </c>
      <c r="B90" s="12">
        <v>163</v>
      </c>
      <c r="E90" s="4" t="str">
        <f t="shared" si="4"/>
        <v>Mar</v>
      </c>
      <c r="F90" s="4">
        <f t="shared" si="5"/>
        <v>163</v>
      </c>
    </row>
    <row r="91" spans="1:6" x14ac:dyDescent="0.3">
      <c r="A91" s="5" t="s">
        <v>2055</v>
      </c>
      <c r="B91" s="12">
        <v>147</v>
      </c>
      <c r="E91" s="4" t="str">
        <f t="shared" si="4"/>
        <v>Apr</v>
      </c>
      <c r="F91" s="4">
        <f t="shared" si="5"/>
        <v>147</v>
      </c>
    </row>
    <row r="92" spans="1:6" x14ac:dyDescent="0.3">
      <c r="A92" s="5" t="s">
        <v>2056</v>
      </c>
      <c r="B92" s="12">
        <v>149</v>
      </c>
      <c r="E92" s="4" t="str">
        <f t="shared" si="4"/>
        <v>May</v>
      </c>
      <c r="F92" s="4">
        <f t="shared" si="5"/>
        <v>149</v>
      </c>
    </row>
    <row r="93" spans="1:6" x14ac:dyDescent="0.3">
      <c r="A93" s="5" t="s">
        <v>2057</v>
      </c>
      <c r="B93" s="12">
        <v>168</v>
      </c>
      <c r="E93" s="4" t="str">
        <f t="shared" si="4"/>
        <v>Jun</v>
      </c>
      <c r="F93" s="4">
        <f t="shared" si="5"/>
        <v>168</v>
      </c>
    </row>
    <row r="94" spans="1:6" x14ac:dyDescent="0.3">
      <c r="A94" s="5" t="s">
        <v>2058</v>
      </c>
      <c r="B94" s="12">
        <v>181</v>
      </c>
      <c r="E94" s="4" t="str">
        <f t="shared" si="4"/>
        <v>Jul</v>
      </c>
      <c r="F94" s="4">
        <f t="shared" si="5"/>
        <v>181</v>
      </c>
    </row>
    <row r="95" spans="1:6" x14ac:dyDescent="0.3">
      <c r="A95" s="5" t="s">
        <v>2059</v>
      </c>
      <c r="B95" s="12">
        <v>180</v>
      </c>
      <c r="E95" s="4" t="str">
        <f t="shared" si="4"/>
        <v>Aug</v>
      </c>
      <c r="F95" s="4">
        <f t="shared" si="5"/>
        <v>180</v>
      </c>
    </row>
    <row r="96" spans="1:6" x14ac:dyDescent="0.3">
      <c r="A96" s="5" t="s">
        <v>2060</v>
      </c>
      <c r="B96" s="12">
        <v>164</v>
      </c>
      <c r="E96" s="4" t="str">
        <f t="shared" si="4"/>
        <v>Sep</v>
      </c>
      <c r="F96" s="4">
        <f t="shared" si="5"/>
        <v>164</v>
      </c>
    </row>
    <row r="97" spans="1:6" x14ac:dyDescent="0.3">
      <c r="A97" s="5" t="s">
        <v>2061</v>
      </c>
      <c r="B97" s="12">
        <v>161</v>
      </c>
      <c r="E97" s="4" t="str">
        <f t="shared" si="4"/>
        <v>Oct</v>
      </c>
      <c r="F97" s="4">
        <f t="shared" si="5"/>
        <v>161</v>
      </c>
    </row>
    <row r="98" spans="1:6" x14ac:dyDescent="0.3">
      <c r="A98" s="5" t="s">
        <v>2062</v>
      </c>
      <c r="B98" s="12">
        <v>164</v>
      </c>
      <c r="E98" s="4" t="str">
        <f t="shared" si="4"/>
        <v>Nov</v>
      </c>
      <c r="F98" s="4">
        <f t="shared" si="5"/>
        <v>164</v>
      </c>
    </row>
    <row r="99" spans="1:6" x14ac:dyDescent="0.3">
      <c r="A99" s="5" t="s">
        <v>2063</v>
      </c>
      <c r="B99" s="12">
        <v>160</v>
      </c>
      <c r="E99" s="4" t="str">
        <f t="shared" si="4"/>
        <v>Dec</v>
      </c>
      <c r="F99" s="4">
        <f t="shared" si="5"/>
        <v>160</v>
      </c>
    </row>
    <row r="104" spans="1:6" s="8" customFormat="1" x14ac:dyDescent="0.3"/>
    <row r="107" spans="1:6" x14ac:dyDescent="0.3">
      <c r="A107" s="3" t="s">
        <v>2067</v>
      </c>
      <c r="B107" s="4" t="s">
        <v>2033</v>
      </c>
      <c r="D107" s="4" t="str">
        <f t="shared" ref="D107:E111" si="6">A107</f>
        <v>BOOKING SOURCE</v>
      </c>
      <c r="E107" s="4" t="s">
        <v>2065</v>
      </c>
    </row>
    <row r="108" spans="1:6" x14ac:dyDescent="0.3">
      <c r="A108" s="5" t="s">
        <v>42</v>
      </c>
      <c r="B108" s="12">
        <v>509</v>
      </c>
      <c r="D108" s="4" t="str">
        <f t="shared" si="6"/>
        <v>App</v>
      </c>
      <c r="E108" s="4">
        <f t="shared" si="6"/>
        <v>509</v>
      </c>
    </row>
    <row r="109" spans="1:6" x14ac:dyDescent="0.3">
      <c r="A109" s="5" t="s">
        <v>49</v>
      </c>
      <c r="B109" s="12">
        <v>508</v>
      </c>
      <c r="D109" s="4" t="str">
        <f t="shared" si="6"/>
        <v>Travel Agent</v>
      </c>
      <c r="E109" s="4">
        <f t="shared" si="6"/>
        <v>508</v>
      </c>
    </row>
    <row r="110" spans="1:6" x14ac:dyDescent="0.3">
      <c r="A110" s="5" t="s">
        <v>50</v>
      </c>
      <c r="B110" s="12">
        <v>489</v>
      </c>
      <c r="D110" s="4" t="str">
        <f t="shared" si="6"/>
        <v>Walk-in</v>
      </c>
      <c r="E110" s="4">
        <f t="shared" si="6"/>
        <v>489</v>
      </c>
    </row>
    <row r="111" spans="1:6" x14ac:dyDescent="0.3">
      <c r="A111" s="5" t="s">
        <v>28</v>
      </c>
      <c r="B111" s="12">
        <v>494</v>
      </c>
      <c r="D111" s="4" t="str">
        <f t="shared" si="6"/>
        <v>Website</v>
      </c>
      <c r="E111" s="4">
        <f t="shared" si="6"/>
        <v>494</v>
      </c>
    </row>
    <row r="124" spans="1:5" s="8" customFormat="1" x14ac:dyDescent="0.3"/>
    <row r="127" spans="1:5" x14ac:dyDescent="0.3">
      <c r="A127" s="3" t="s">
        <v>2034</v>
      </c>
      <c r="B127" s="4" t="s">
        <v>2068</v>
      </c>
      <c r="D127" s="6" t="str">
        <f t="shared" ref="D127:E132" si="7">A127</f>
        <v>HOTEL</v>
      </c>
      <c r="E127" s="6" t="str">
        <f t="shared" si="7"/>
        <v>Sum of Room_Cleanliness</v>
      </c>
    </row>
    <row r="128" spans="1:5" x14ac:dyDescent="0.3">
      <c r="A128" s="5" t="s">
        <v>41</v>
      </c>
      <c r="B128" s="12">
        <v>1139</v>
      </c>
      <c r="D128" s="4" t="str">
        <f t="shared" si="7"/>
        <v>City Lights Hotel</v>
      </c>
      <c r="E128" s="4">
        <f t="shared" si="7"/>
        <v>1139</v>
      </c>
    </row>
    <row r="129" spans="1:5" x14ac:dyDescent="0.3">
      <c r="A129" s="5" t="s">
        <v>26</v>
      </c>
      <c r="B129" s="12">
        <v>1261</v>
      </c>
      <c r="D129" s="4" t="str">
        <f t="shared" si="7"/>
        <v>Grand Heritage</v>
      </c>
      <c r="E129" s="4">
        <f t="shared" si="7"/>
        <v>1261</v>
      </c>
    </row>
    <row r="130" spans="1:5" x14ac:dyDescent="0.3">
      <c r="A130" s="5" t="s">
        <v>48</v>
      </c>
      <c r="B130" s="12">
        <v>1190</v>
      </c>
      <c r="D130" s="4" t="str">
        <f t="shared" si="7"/>
        <v>Hilltop Inn</v>
      </c>
      <c r="E130" s="4">
        <f t="shared" si="7"/>
        <v>1190</v>
      </c>
    </row>
    <row r="131" spans="1:5" x14ac:dyDescent="0.3">
      <c r="A131" s="5" t="s">
        <v>34</v>
      </c>
      <c r="B131" s="12">
        <v>1108</v>
      </c>
      <c r="D131" s="4" t="str">
        <f t="shared" si="7"/>
        <v>OceanView Resort</v>
      </c>
      <c r="E131" s="4">
        <f t="shared" si="7"/>
        <v>1108</v>
      </c>
    </row>
    <row r="132" spans="1:5" x14ac:dyDescent="0.3">
      <c r="A132" s="5" t="s">
        <v>51</v>
      </c>
      <c r="B132" s="12">
        <v>1275</v>
      </c>
      <c r="D132" s="4" t="str">
        <f t="shared" si="7"/>
        <v>Palm Grove Stay</v>
      </c>
      <c r="E132" s="4">
        <f t="shared" si="7"/>
        <v>1275</v>
      </c>
    </row>
    <row r="146" spans="1:5" s="8" customFormat="1" x14ac:dyDescent="0.3"/>
    <row r="149" spans="1:5" x14ac:dyDescent="0.3">
      <c r="A149" s="3" t="s">
        <v>2034</v>
      </c>
      <c r="B149" s="4" t="s">
        <v>2069</v>
      </c>
      <c r="D149" s="6" t="str">
        <f t="shared" ref="D149:E154" si="8">A149</f>
        <v>HOTEL</v>
      </c>
      <c r="E149" s="6" t="str">
        <f t="shared" si="8"/>
        <v>Sum of Safety_Measures</v>
      </c>
    </row>
    <row r="150" spans="1:5" x14ac:dyDescent="0.3">
      <c r="A150" s="5" t="s">
        <v>41</v>
      </c>
      <c r="B150" s="12">
        <v>1159</v>
      </c>
      <c r="D150" s="4" t="str">
        <f t="shared" si="8"/>
        <v>City Lights Hotel</v>
      </c>
      <c r="E150" s="4">
        <f t="shared" si="8"/>
        <v>1159</v>
      </c>
    </row>
    <row r="151" spans="1:5" x14ac:dyDescent="0.3">
      <c r="A151" s="5" t="s">
        <v>26</v>
      </c>
      <c r="B151" s="12">
        <v>1211</v>
      </c>
      <c r="D151" s="4" t="str">
        <f t="shared" si="8"/>
        <v>Grand Heritage</v>
      </c>
      <c r="E151" s="4">
        <f t="shared" si="8"/>
        <v>1211</v>
      </c>
    </row>
    <row r="152" spans="1:5" x14ac:dyDescent="0.3">
      <c r="A152" s="5" t="s">
        <v>48</v>
      </c>
      <c r="B152" s="12">
        <v>1162</v>
      </c>
      <c r="D152" s="4" t="str">
        <f t="shared" si="8"/>
        <v>Hilltop Inn</v>
      </c>
      <c r="E152" s="4">
        <f t="shared" si="8"/>
        <v>1162</v>
      </c>
    </row>
    <row r="153" spans="1:5" x14ac:dyDescent="0.3">
      <c r="A153" s="5" t="s">
        <v>34</v>
      </c>
      <c r="B153" s="12">
        <v>1109</v>
      </c>
      <c r="D153" s="4" t="str">
        <f t="shared" si="8"/>
        <v>OceanView Resort</v>
      </c>
      <c r="E153" s="4">
        <f t="shared" si="8"/>
        <v>1109</v>
      </c>
    </row>
    <row r="154" spans="1:5" x14ac:dyDescent="0.3">
      <c r="A154" s="5" t="s">
        <v>51</v>
      </c>
      <c r="B154" s="12">
        <v>1320</v>
      </c>
      <c r="D154" s="4" t="str">
        <f t="shared" si="8"/>
        <v>Palm Grove Stay</v>
      </c>
      <c r="E154" s="4">
        <f t="shared" si="8"/>
        <v>1320</v>
      </c>
    </row>
    <row r="167" spans="1:5" s="8" customFormat="1" x14ac:dyDescent="0.3"/>
    <row r="169" spans="1:5" x14ac:dyDescent="0.3">
      <c r="A169" s="3" t="s">
        <v>2034</v>
      </c>
      <c r="B169" s="4" t="s">
        <v>2070</v>
      </c>
      <c r="D169" s="6" t="str">
        <f t="shared" ref="D169:E174" si="9">A169</f>
        <v>HOTEL</v>
      </c>
      <c r="E169" s="6" t="str">
        <f t="shared" si="9"/>
        <v>Sum of Food_Quality</v>
      </c>
    </row>
    <row r="170" spans="1:5" x14ac:dyDescent="0.3">
      <c r="A170" s="5" t="s">
        <v>41</v>
      </c>
      <c r="B170" s="12">
        <v>1164</v>
      </c>
      <c r="D170" s="4" t="str">
        <f t="shared" si="9"/>
        <v>City Lights Hotel</v>
      </c>
      <c r="E170" s="4">
        <f t="shared" si="9"/>
        <v>1164</v>
      </c>
    </row>
    <row r="171" spans="1:5" x14ac:dyDescent="0.3">
      <c r="A171" s="5" t="s">
        <v>26</v>
      </c>
      <c r="B171" s="12">
        <v>1287</v>
      </c>
      <c r="D171" s="4" t="str">
        <f t="shared" si="9"/>
        <v>Grand Heritage</v>
      </c>
      <c r="E171" s="4">
        <f t="shared" si="9"/>
        <v>1287</v>
      </c>
    </row>
    <row r="172" spans="1:5" x14ac:dyDescent="0.3">
      <c r="A172" s="5" t="s">
        <v>48</v>
      </c>
      <c r="B172" s="12">
        <v>1212</v>
      </c>
      <c r="D172" s="4" t="str">
        <f t="shared" si="9"/>
        <v>Hilltop Inn</v>
      </c>
      <c r="E172" s="4">
        <f t="shared" si="9"/>
        <v>1212</v>
      </c>
    </row>
    <row r="173" spans="1:5" x14ac:dyDescent="0.3">
      <c r="A173" s="5" t="s">
        <v>34</v>
      </c>
      <c r="B173" s="12">
        <v>1106</v>
      </c>
      <c r="D173" s="4" t="str">
        <f t="shared" si="9"/>
        <v>OceanView Resort</v>
      </c>
      <c r="E173" s="4">
        <f t="shared" si="9"/>
        <v>1106</v>
      </c>
    </row>
    <row r="174" spans="1:5" x14ac:dyDescent="0.3">
      <c r="A174" s="5" t="s">
        <v>51</v>
      </c>
      <c r="B174" s="12">
        <v>1255</v>
      </c>
      <c r="D174" s="4" t="str">
        <f t="shared" si="9"/>
        <v>Palm Grove Stay</v>
      </c>
      <c r="E174" s="4">
        <f t="shared" si="9"/>
        <v>1255</v>
      </c>
    </row>
    <row r="187" spans="1:5" s="8" customFormat="1" x14ac:dyDescent="0.3"/>
    <row r="191" spans="1:5" x14ac:dyDescent="0.3">
      <c r="A191" s="3" t="s">
        <v>2034</v>
      </c>
      <c r="B191" s="4" t="s">
        <v>2071</v>
      </c>
      <c r="D191" s="6" t="str">
        <f t="shared" ref="D191:E196" si="10">A191</f>
        <v>HOTEL</v>
      </c>
      <c r="E191" s="6" t="str">
        <f t="shared" si="10"/>
        <v>Sum of Amenities_Satisfaction</v>
      </c>
    </row>
    <row r="192" spans="1:5" x14ac:dyDescent="0.3">
      <c r="A192" s="5" t="s">
        <v>41</v>
      </c>
      <c r="B192" s="12">
        <v>1114</v>
      </c>
      <c r="D192" s="4" t="str">
        <f t="shared" si="10"/>
        <v>City Lights Hotel</v>
      </c>
      <c r="E192" s="4">
        <f t="shared" si="10"/>
        <v>1114</v>
      </c>
    </row>
    <row r="193" spans="1:5" x14ac:dyDescent="0.3">
      <c r="A193" s="5" t="s">
        <v>26</v>
      </c>
      <c r="B193" s="12">
        <v>1284</v>
      </c>
      <c r="D193" s="4" t="str">
        <f t="shared" si="10"/>
        <v>Grand Heritage</v>
      </c>
      <c r="E193" s="4">
        <f t="shared" si="10"/>
        <v>1284</v>
      </c>
    </row>
    <row r="194" spans="1:5" x14ac:dyDescent="0.3">
      <c r="A194" s="5" t="s">
        <v>48</v>
      </c>
      <c r="B194" s="12">
        <v>1212</v>
      </c>
      <c r="D194" s="4" t="str">
        <f t="shared" si="10"/>
        <v>Hilltop Inn</v>
      </c>
      <c r="E194" s="4">
        <f t="shared" si="10"/>
        <v>1212</v>
      </c>
    </row>
    <row r="195" spans="1:5" x14ac:dyDescent="0.3">
      <c r="A195" s="5" t="s">
        <v>34</v>
      </c>
      <c r="B195" s="12">
        <v>1098</v>
      </c>
      <c r="D195" s="4" t="str">
        <f t="shared" si="10"/>
        <v>OceanView Resort</v>
      </c>
      <c r="E195" s="4">
        <f t="shared" si="10"/>
        <v>1098</v>
      </c>
    </row>
    <row r="196" spans="1:5" x14ac:dyDescent="0.3">
      <c r="A196" s="5" t="s">
        <v>51</v>
      </c>
      <c r="B196" s="12">
        <v>1277</v>
      </c>
      <c r="D196" s="4" t="str">
        <f t="shared" si="10"/>
        <v>Palm Grove Stay</v>
      </c>
      <c r="E196" s="4">
        <f t="shared" si="10"/>
        <v>1277</v>
      </c>
    </row>
    <row r="208" spans="1:5" s="8" customFormat="1" x14ac:dyDescent="0.3"/>
    <row r="212" spans="1:7" x14ac:dyDescent="0.3">
      <c r="A212" s="3" t="s">
        <v>2039</v>
      </c>
      <c r="B212" s="3" t="s">
        <v>2073</v>
      </c>
      <c r="C212" s="4"/>
      <c r="E212" s="6" t="str">
        <f t="shared" ref="E212:G218" si="11">A212</f>
        <v>TOTAL GUEST</v>
      </c>
      <c r="F212" s="6" t="str">
        <f t="shared" si="11"/>
        <v>RECOMMENDATION</v>
      </c>
      <c r="G212" s="4"/>
    </row>
    <row r="213" spans="1:7" x14ac:dyDescent="0.3">
      <c r="A213" s="3" t="s">
        <v>2072</v>
      </c>
      <c r="B213" s="4" t="s">
        <v>37</v>
      </c>
      <c r="C213" s="4" t="s">
        <v>30</v>
      </c>
      <c r="E213" s="6" t="str">
        <f t="shared" si="11"/>
        <v>TRAVEL PURPOSE</v>
      </c>
      <c r="F213" s="4" t="str">
        <f t="shared" si="11"/>
        <v>No</v>
      </c>
      <c r="G213" s="4" t="str">
        <f t="shared" si="11"/>
        <v>Yes</v>
      </c>
    </row>
    <row r="214" spans="1:7" x14ac:dyDescent="0.3">
      <c r="A214" s="5" t="s">
        <v>29</v>
      </c>
      <c r="B214" s="12">
        <v>172</v>
      </c>
      <c r="C214" s="12">
        <v>202</v>
      </c>
      <c r="E214" s="4" t="str">
        <f t="shared" si="11"/>
        <v>Business</v>
      </c>
      <c r="F214" s="4">
        <f t="shared" si="11"/>
        <v>172</v>
      </c>
      <c r="G214" s="4">
        <f t="shared" si="11"/>
        <v>202</v>
      </c>
    </row>
    <row r="215" spans="1:7" x14ac:dyDescent="0.3">
      <c r="A215" s="5" t="s">
        <v>36</v>
      </c>
      <c r="B215" s="12">
        <v>191</v>
      </c>
      <c r="C215" s="12">
        <v>178</v>
      </c>
      <c r="E215" s="4" t="str">
        <f t="shared" si="11"/>
        <v>Conference</v>
      </c>
      <c r="F215" s="4">
        <f t="shared" si="11"/>
        <v>191</v>
      </c>
      <c r="G215" s="4">
        <f t="shared" si="11"/>
        <v>178</v>
      </c>
    </row>
    <row r="216" spans="1:7" x14ac:dyDescent="0.3">
      <c r="A216" s="5" t="s">
        <v>53</v>
      </c>
      <c r="B216" s="12">
        <v>192</v>
      </c>
      <c r="C216" s="12">
        <v>223</v>
      </c>
      <c r="E216" s="4" t="str">
        <f t="shared" si="11"/>
        <v>Leisure</v>
      </c>
      <c r="F216" s="4">
        <f t="shared" si="11"/>
        <v>192</v>
      </c>
      <c r="G216" s="4">
        <f t="shared" si="11"/>
        <v>223</v>
      </c>
    </row>
    <row r="217" spans="1:7" x14ac:dyDescent="0.3">
      <c r="A217" s="5" t="s">
        <v>40</v>
      </c>
      <c r="B217" s="12">
        <v>216</v>
      </c>
      <c r="C217" s="12">
        <v>219</v>
      </c>
      <c r="E217" s="4" t="str">
        <f t="shared" si="11"/>
        <v>Other</v>
      </c>
      <c r="F217" s="4">
        <f t="shared" si="11"/>
        <v>216</v>
      </c>
      <c r="G217" s="4">
        <f t="shared" si="11"/>
        <v>219</v>
      </c>
    </row>
    <row r="218" spans="1:7" x14ac:dyDescent="0.3">
      <c r="A218" s="5" t="s">
        <v>43</v>
      </c>
      <c r="B218" s="12">
        <v>219</v>
      </c>
      <c r="C218" s="12">
        <v>188</v>
      </c>
      <c r="E218" s="4" t="str">
        <f t="shared" si="11"/>
        <v>Transit</v>
      </c>
      <c r="F218" s="4">
        <f t="shared" si="11"/>
        <v>219</v>
      </c>
      <c r="G218" s="4">
        <f t="shared" si="11"/>
        <v>188</v>
      </c>
    </row>
    <row r="223" spans="1:7" x14ac:dyDescent="0.3">
      <c r="G223" t="s">
        <v>2074</v>
      </c>
    </row>
  </sheetData>
  <mergeCells count="4">
    <mergeCell ref="E1:F1"/>
    <mergeCell ref="G1:H1"/>
    <mergeCell ref="I1:J1"/>
    <mergeCell ref="K1:L1"/>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4401-05E1-438D-8ABF-B2DA4FE8FA14}">
  <dimension ref="AH62"/>
  <sheetViews>
    <sheetView showGridLines="0" tabSelected="1" zoomScale="25" zoomScaleNormal="25" workbookViewId="0">
      <selection activeCell="BV140" sqref="BV140"/>
    </sheetView>
  </sheetViews>
  <sheetFormatPr defaultRowHeight="14.4" x14ac:dyDescent="0.3"/>
  <sheetData>
    <row r="62" spans="34:34" x14ac:dyDescent="0.3">
      <c r="AH6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BD84D-8A0E-4F48-B1F5-ACDF1BDED32E}">
  <dimension ref="A3:S34"/>
  <sheetViews>
    <sheetView zoomScale="70" zoomScaleNormal="70" workbookViewId="0">
      <selection activeCell="Q26" sqref="Q26"/>
    </sheetView>
  </sheetViews>
  <sheetFormatPr defaultRowHeight="14.4" x14ac:dyDescent="0.3"/>
  <cols>
    <col min="1" max="1" width="16.88671875" bestFit="1" customWidth="1"/>
    <col min="2" max="2" width="17.21875" bestFit="1" customWidth="1"/>
    <col min="5" max="5" width="16.5546875" customWidth="1"/>
    <col min="6" max="6" width="24.21875" customWidth="1"/>
    <col min="15" max="15" width="18.88671875" customWidth="1"/>
    <col min="16" max="16" width="18.109375" customWidth="1"/>
    <col min="17" max="17" width="17.109375" customWidth="1"/>
    <col min="18" max="18" width="16.21875" customWidth="1"/>
    <col min="19" max="19" width="17.77734375" customWidth="1"/>
  </cols>
  <sheetData>
    <row r="3" spans="1:6" x14ac:dyDescent="0.3">
      <c r="A3" s="3" t="s">
        <v>2034</v>
      </c>
      <c r="B3" s="4" t="s">
        <v>2083</v>
      </c>
      <c r="E3" s="6" t="str">
        <f t="shared" ref="E3:F8" si="0">A3</f>
        <v>HOTEL</v>
      </c>
      <c r="F3" s="6" t="str">
        <f t="shared" si="0"/>
        <v>FOOD_QUALITY</v>
      </c>
    </row>
    <row r="4" spans="1:6" x14ac:dyDescent="0.3">
      <c r="A4" s="5" t="s">
        <v>41</v>
      </c>
      <c r="B4" s="18">
        <v>0.19322709163346613</v>
      </c>
      <c r="E4" s="4" t="str">
        <f t="shared" si="0"/>
        <v>City Lights Hotel</v>
      </c>
      <c r="F4" s="13">
        <f t="shared" si="0"/>
        <v>0.19322709163346613</v>
      </c>
    </row>
    <row r="5" spans="1:6" x14ac:dyDescent="0.3">
      <c r="A5" s="5" t="s">
        <v>26</v>
      </c>
      <c r="B5" s="18">
        <v>0.21364541832669323</v>
      </c>
      <c r="E5" s="4" t="str">
        <f t="shared" si="0"/>
        <v>Grand Heritage</v>
      </c>
      <c r="F5" s="13">
        <f t="shared" si="0"/>
        <v>0.21364541832669323</v>
      </c>
    </row>
    <row r="6" spans="1:6" x14ac:dyDescent="0.3">
      <c r="A6" s="5" t="s">
        <v>48</v>
      </c>
      <c r="B6" s="18">
        <v>0.20119521912350596</v>
      </c>
      <c r="E6" s="4" t="str">
        <f t="shared" si="0"/>
        <v>Hilltop Inn</v>
      </c>
      <c r="F6" s="13">
        <f t="shared" si="0"/>
        <v>0.20119521912350596</v>
      </c>
    </row>
    <row r="7" spans="1:6" x14ac:dyDescent="0.3">
      <c r="A7" s="5" t="s">
        <v>34</v>
      </c>
      <c r="B7" s="18">
        <v>0.18359893758300133</v>
      </c>
      <c r="E7" s="4" t="str">
        <f t="shared" si="0"/>
        <v>OceanView Resort</v>
      </c>
      <c r="F7" s="13">
        <f t="shared" si="0"/>
        <v>0.18359893758300133</v>
      </c>
    </row>
    <row r="8" spans="1:6" x14ac:dyDescent="0.3">
      <c r="A8" s="5" t="s">
        <v>51</v>
      </c>
      <c r="B8" s="18">
        <v>0.20833333333333334</v>
      </c>
      <c r="E8" s="4" t="str">
        <f t="shared" si="0"/>
        <v>Palm Grove Stay</v>
      </c>
      <c r="F8" s="13">
        <f t="shared" si="0"/>
        <v>0.20833333333333334</v>
      </c>
    </row>
    <row r="11" spans="1:6" x14ac:dyDescent="0.3">
      <c r="A11" s="3" t="s">
        <v>2034</v>
      </c>
      <c r="B11" s="4" t="s">
        <v>2084</v>
      </c>
      <c r="E11" s="6" t="str">
        <f t="shared" ref="E11:F16" si="1">A11</f>
        <v>HOTEL</v>
      </c>
      <c r="F11" s="6" t="str">
        <f t="shared" si="1"/>
        <v>SAFETY MEASURES</v>
      </c>
    </row>
    <row r="12" spans="1:6" x14ac:dyDescent="0.3">
      <c r="A12" s="5" t="s">
        <v>41</v>
      </c>
      <c r="B12" s="18">
        <v>0.19443046468713304</v>
      </c>
      <c r="E12" s="4" t="str">
        <f t="shared" si="1"/>
        <v>City Lights Hotel</v>
      </c>
      <c r="F12" s="13">
        <f t="shared" si="1"/>
        <v>0.19443046468713304</v>
      </c>
    </row>
    <row r="13" spans="1:6" x14ac:dyDescent="0.3">
      <c r="A13" s="5" t="s">
        <v>26</v>
      </c>
      <c r="B13" s="18">
        <v>0.2031538332494548</v>
      </c>
      <c r="E13" s="4" t="str">
        <f t="shared" si="1"/>
        <v>Grand Heritage</v>
      </c>
      <c r="F13" s="13">
        <f t="shared" si="1"/>
        <v>0.2031538332494548</v>
      </c>
    </row>
    <row r="14" spans="1:6" x14ac:dyDescent="0.3">
      <c r="A14" s="5" t="s">
        <v>48</v>
      </c>
      <c r="B14" s="18">
        <v>0.19493373595034391</v>
      </c>
      <c r="E14" s="4" t="str">
        <f t="shared" si="1"/>
        <v>Hilltop Inn</v>
      </c>
      <c r="F14" s="13">
        <f t="shared" si="1"/>
        <v>0.19493373595034391</v>
      </c>
    </row>
    <row r="15" spans="1:6" x14ac:dyDescent="0.3">
      <c r="A15" s="5" t="s">
        <v>34</v>
      </c>
      <c r="B15" s="18">
        <v>0.18604261030028518</v>
      </c>
      <c r="E15" s="4" t="str">
        <f t="shared" si="1"/>
        <v>OceanView Resort</v>
      </c>
      <c r="F15" s="13">
        <f t="shared" si="1"/>
        <v>0.18604261030028518</v>
      </c>
    </row>
    <row r="16" spans="1:6" x14ac:dyDescent="0.3">
      <c r="A16" s="5" t="s">
        <v>51</v>
      </c>
      <c r="B16" s="18">
        <v>0.2214393558127831</v>
      </c>
      <c r="E16" s="4" t="str">
        <f t="shared" si="1"/>
        <v>Palm Grove Stay</v>
      </c>
      <c r="F16" s="13">
        <f t="shared" si="1"/>
        <v>0.2214393558127831</v>
      </c>
    </row>
    <row r="17" spans="1:19" x14ac:dyDescent="0.3">
      <c r="O17" t="s">
        <v>2034</v>
      </c>
      <c r="P17" t="s">
        <v>2040</v>
      </c>
      <c r="Q17" t="s">
        <v>2080</v>
      </c>
      <c r="R17" t="s">
        <v>2041</v>
      </c>
      <c r="S17" t="s">
        <v>2082</v>
      </c>
    </row>
    <row r="18" spans="1:19" x14ac:dyDescent="0.3">
      <c r="O18" t="s">
        <v>26</v>
      </c>
      <c r="P18" s="14">
        <v>0.21364541832669323</v>
      </c>
      <c r="Q18" s="14">
        <v>0.2031538332494548</v>
      </c>
      <c r="R18" s="14">
        <v>0.21111669177967521</v>
      </c>
      <c r="S18" s="14">
        <v>0.21453634085213033</v>
      </c>
    </row>
    <row r="19" spans="1:19" x14ac:dyDescent="0.3">
      <c r="O19" t="s">
        <v>34</v>
      </c>
      <c r="P19" s="14">
        <v>0.18359893758300133</v>
      </c>
      <c r="Q19" s="14">
        <v>0.18604261030028518</v>
      </c>
      <c r="R19" s="14">
        <v>0.18550142307048384</v>
      </c>
      <c r="S19" s="14">
        <v>0.18345864661654135</v>
      </c>
    </row>
    <row r="20" spans="1:19" x14ac:dyDescent="0.3">
      <c r="A20" s="3" t="s">
        <v>2034</v>
      </c>
      <c r="B20" s="4" t="s">
        <v>2085</v>
      </c>
      <c r="E20" s="6" t="str">
        <f t="shared" ref="E20:F25" si="2">A20</f>
        <v>HOTEL</v>
      </c>
      <c r="F20" s="6" t="str">
        <f t="shared" si="2"/>
        <v>ROOM_CLEANLINESS</v>
      </c>
      <c r="O20" t="s">
        <v>41</v>
      </c>
      <c r="P20" s="14">
        <v>0.19322709163346613</v>
      </c>
      <c r="Q20" s="14">
        <v>0.19443046468713304</v>
      </c>
      <c r="R20" s="14">
        <v>0.19069144483509123</v>
      </c>
      <c r="S20" s="14">
        <v>0.18613199665831245</v>
      </c>
    </row>
    <row r="21" spans="1:19" x14ac:dyDescent="0.3">
      <c r="A21" s="5" t="s">
        <v>41</v>
      </c>
      <c r="B21" s="18">
        <v>0.19069144483509123</v>
      </c>
      <c r="E21" s="4" t="str">
        <f t="shared" si="2"/>
        <v>City Lights Hotel</v>
      </c>
      <c r="F21" s="13">
        <f t="shared" si="2"/>
        <v>0.19069144483509123</v>
      </c>
      <c r="O21" t="s">
        <v>48</v>
      </c>
      <c r="P21" s="14">
        <v>0.20119521912350596</v>
      </c>
      <c r="Q21" s="14">
        <v>0.19493373595034391</v>
      </c>
      <c r="R21" s="14">
        <v>0.19922986773815504</v>
      </c>
      <c r="S21" s="14">
        <v>0.20250626566416041</v>
      </c>
    </row>
    <row r="22" spans="1:19" x14ac:dyDescent="0.3">
      <c r="A22" s="5" t="s">
        <v>26</v>
      </c>
      <c r="B22" s="18">
        <v>0.21111669177967521</v>
      </c>
      <c r="E22" s="4" t="str">
        <f t="shared" si="2"/>
        <v>Grand Heritage</v>
      </c>
      <c r="F22" s="13">
        <f t="shared" si="2"/>
        <v>0.21111669177967521</v>
      </c>
      <c r="O22" t="s">
        <v>51</v>
      </c>
      <c r="P22" s="14">
        <v>0.20833333333333334</v>
      </c>
      <c r="Q22" s="14">
        <v>0.2214393558127831</v>
      </c>
      <c r="R22" s="14">
        <v>0.21346057257659468</v>
      </c>
      <c r="S22" s="14">
        <v>0.21336675020885548</v>
      </c>
    </row>
    <row r="23" spans="1:19" x14ac:dyDescent="0.3">
      <c r="A23" s="5" t="s">
        <v>48</v>
      </c>
      <c r="B23" s="18">
        <v>0.19922986773815504</v>
      </c>
      <c r="E23" s="4" t="str">
        <f t="shared" si="2"/>
        <v>Hilltop Inn</v>
      </c>
      <c r="F23" s="13">
        <f t="shared" si="2"/>
        <v>0.19922986773815504</v>
      </c>
    </row>
    <row r="24" spans="1:19" x14ac:dyDescent="0.3">
      <c r="A24" s="5" t="s">
        <v>34</v>
      </c>
      <c r="B24" s="18">
        <v>0.18550142307048384</v>
      </c>
      <c r="E24" s="4" t="str">
        <f t="shared" si="2"/>
        <v>OceanView Resort</v>
      </c>
      <c r="F24" s="13">
        <f t="shared" si="2"/>
        <v>0.18550142307048384</v>
      </c>
    </row>
    <row r="25" spans="1:19" x14ac:dyDescent="0.3">
      <c r="A25" s="5" t="s">
        <v>51</v>
      </c>
      <c r="B25" s="18">
        <v>0.21346057257659468</v>
      </c>
      <c r="E25" s="4" t="str">
        <f t="shared" si="2"/>
        <v>Palm Grove Stay</v>
      </c>
      <c r="F25" s="13">
        <f t="shared" si="2"/>
        <v>0.21346057257659468</v>
      </c>
    </row>
    <row r="29" spans="1:19" x14ac:dyDescent="0.3">
      <c r="A29" s="3" t="s">
        <v>2034</v>
      </c>
      <c r="B29" s="4" t="s">
        <v>2086</v>
      </c>
      <c r="E29" s="6" t="str">
        <f t="shared" ref="E29:F34" si="3">A29</f>
        <v>HOTEL</v>
      </c>
      <c r="F29" s="6" t="str">
        <f t="shared" si="3"/>
        <v>AMENITIES SATISFICATION</v>
      </c>
    </row>
    <row r="30" spans="1:19" x14ac:dyDescent="0.3">
      <c r="A30" s="5" t="s">
        <v>41</v>
      </c>
      <c r="B30" s="18">
        <v>0.18613199665831245</v>
      </c>
      <c r="E30" s="4" t="str">
        <f t="shared" si="3"/>
        <v>City Lights Hotel</v>
      </c>
      <c r="F30" s="13">
        <f t="shared" si="3"/>
        <v>0.18613199665831245</v>
      </c>
    </row>
    <row r="31" spans="1:19" x14ac:dyDescent="0.3">
      <c r="A31" s="5" t="s">
        <v>26</v>
      </c>
      <c r="B31" s="18">
        <v>0.21453634085213033</v>
      </c>
      <c r="E31" s="4" t="str">
        <f t="shared" si="3"/>
        <v>Grand Heritage</v>
      </c>
      <c r="F31" s="13">
        <f t="shared" si="3"/>
        <v>0.21453634085213033</v>
      </c>
    </row>
    <row r="32" spans="1:19" x14ac:dyDescent="0.3">
      <c r="A32" s="5" t="s">
        <v>48</v>
      </c>
      <c r="B32" s="18">
        <v>0.20250626566416041</v>
      </c>
      <c r="E32" s="4" t="str">
        <f t="shared" si="3"/>
        <v>Hilltop Inn</v>
      </c>
      <c r="F32" s="13">
        <f t="shared" si="3"/>
        <v>0.20250626566416041</v>
      </c>
    </row>
    <row r="33" spans="1:6" x14ac:dyDescent="0.3">
      <c r="A33" s="5" t="s">
        <v>34</v>
      </c>
      <c r="B33" s="18">
        <v>0.18345864661654135</v>
      </c>
      <c r="E33" s="4" t="str">
        <f t="shared" si="3"/>
        <v>OceanView Resort</v>
      </c>
      <c r="F33" s="13">
        <f t="shared" si="3"/>
        <v>0.18345864661654135</v>
      </c>
    </row>
    <row r="34" spans="1:6" x14ac:dyDescent="0.3">
      <c r="A34" s="5" t="s">
        <v>51</v>
      </c>
      <c r="B34" s="18">
        <v>0.21336675020885548</v>
      </c>
      <c r="E34" s="4" t="str">
        <f t="shared" si="3"/>
        <v>Palm Grove Stay</v>
      </c>
      <c r="F34" s="13">
        <f t="shared" si="3"/>
        <v>0.21336675020885548</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F0D9-2FDF-403D-B944-E5916FD5424C}">
  <dimension ref="A9:D89"/>
  <sheetViews>
    <sheetView topLeftCell="A10" workbookViewId="0">
      <selection activeCell="E8" sqref="E8"/>
    </sheetView>
  </sheetViews>
  <sheetFormatPr defaultRowHeight="14.4" x14ac:dyDescent="0.3"/>
  <cols>
    <col min="1" max="1" width="24.88671875" customWidth="1"/>
    <col min="2" max="2" width="27.77734375" customWidth="1"/>
    <col min="3" max="3" width="26.6640625" customWidth="1"/>
    <col min="4" max="4" width="19.5546875" customWidth="1"/>
    <col min="5" max="5" width="20.44140625" customWidth="1"/>
  </cols>
  <sheetData>
    <row r="9" spans="1:2" x14ac:dyDescent="0.3">
      <c r="A9" s="11" t="s">
        <v>2034</v>
      </c>
      <c r="B9" s="11" t="s">
        <v>2038</v>
      </c>
    </row>
    <row r="10" spans="1:2" x14ac:dyDescent="0.3">
      <c r="A10" s="4" t="s">
        <v>26</v>
      </c>
      <c r="B10" s="4">
        <v>218</v>
      </c>
    </row>
    <row r="11" spans="1:2" x14ac:dyDescent="0.3">
      <c r="A11" s="4" t="s">
        <v>51</v>
      </c>
      <c r="B11" s="4">
        <v>217</v>
      </c>
    </row>
    <row r="12" spans="1:2" x14ac:dyDescent="0.3">
      <c r="A12" s="4" t="s">
        <v>41</v>
      </c>
      <c r="B12" s="4">
        <v>210</v>
      </c>
    </row>
    <row r="13" spans="1:2" x14ac:dyDescent="0.3">
      <c r="A13" s="4" t="s">
        <v>48</v>
      </c>
      <c r="B13" s="4">
        <v>195</v>
      </c>
    </row>
    <row r="14" spans="1:2" x14ac:dyDescent="0.3">
      <c r="A14" s="4" t="s">
        <v>34</v>
      </c>
      <c r="B14" s="4">
        <v>189</v>
      </c>
    </row>
    <row r="18" spans="1:4" x14ac:dyDescent="0.3">
      <c r="A18" s="10" t="s">
        <v>2047</v>
      </c>
      <c r="B18" s="10" t="s">
        <v>44</v>
      </c>
      <c r="C18" s="10" t="s">
        <v>33</v>
      </c>
      <c r="D18" s="10" t="s">
        <v>40</v>
      </c>
    </row>
    <row r="19" spans="1:4" x14ac:dyDescent="0.3">
      <c r="A19" s="4" t="s">
        <v>2042</v>
      </c>
      <c r="B19" s="4">
        <v>76</v>
      </c>
      <c r="C19" s="4">
        <v>61</v>
      </c>
      <c r="D19" s="4">
        <v>56</v>
      </c>
    </row>
    <row r="20" spans="1:4" x14ac:dyDescent="0.3">
      <c r="A20" s="4" t="s">
        <v>2043</v>
      </c>
      <c r="B20" s="4">
        <v>101</v>
      </c>
      <c r="C20" s="4">
        <v>102</v>
      </c>
      <c r="D20" s="4">
        <v>89</v>
      </c>
    </row>
    <row r="21" spans="1:4" x14ac:dyDescent="0.3">
      <c r="A21" s="4" t="s">
        <v>2044</v>
      </c>
      <c r="B21" s="4">
        <v>133</v>
      </c>
      <c r="C21" s="4">
        <v>114</v>
      </c>
      <c r="D21" s="4">
        <v>128</v>
      </c>
    </row>
    <row r="22" spans="1:4" x14ac:dyDescent="0.3">
      <c r="A22" s="4" t="s">
        <v>2045</v>
      </c>
      <c r="B22" s="4">
        <v>59</v>
      </c>
      <c r="C22" s="4">
        <v>63</v>
      </c>
      <c r="D22" s="4">
        <v>47</v>
      </c>
    </row>
    <row r="25" spans="1:4" x14ac:dyDescent="0.3">
      <c r="A25" s="10" t="s">
        <v>2051</v>
      </c>
      <c r="B25" s="10" t="s">
        <v>2039</v>
      </c>
    </row>
    <row r="26" spans="1:4" x14ac:dyDescent="0.3">
      <c r="A26" s="4" t="s">
        <v>44</v>
      </c>
      <c r="B26" s="4">
        <v>369</v>
      </c>
    </row>
    <row r="27" spans="1:4" x14ac:dyDescent="0.3">
      <c r="A27" s="4" t="s">
        <v>33</v>
      </c>
      <c r="B27" s="4">
        <v>340</v>
      </c>
    </row>
    <row r="28" spans="1:4" x14ac:dyDescent="0.3">
      <c r="A28" s="4" t="s">
        <v>40</v>
      </c>
      <c r="B28" s="4">
        <v>320</v>
      </c>
    </row>
    <row r="31" spans="1:4" x14ac:dyDescent="0.3">
      <c r="A31" s="11" t="s">
        <v>2066</v>
      </c>
      <c r="B31" s="11" t="s">
        <v>2038</v>
      </c>
    </row>
    <row r="32" spans="1:4" x14ac:dyDescent="0.3">
      <c r="A32" s="4" t="s">
        <v>2048</v>
      </c>
      <c r="B32" s="4">
        <v>524</v>
      </c>
    </row>
    <row r="33" spans="1:2" x14ac:dyDescent="0.3">
      <c r="A33" s="4" t="s">
        <v>2049</v>
      </c>
      <c r="B33" s="4">
        <v>18</v>
      </c>
    </row>
    <row r="34" spans="1:2" x14ac:dyDescent="0.3">
      <c r="A34" s="4" t="s">
        <v>2050</v>
      </c>
      <c r="B34" s="4">
        <v>487</v>
      </c>
    </row>
    <row r="37" spans="1:2" x14ac:dyDescent="0.3">
      <c r="A37" s="11" t="s">
        <v>2051</v>
      </c>
      <c r="B37" s="11" t="s">
        <v>2064</v>
      </c>
    </row>
    <row r="38" spans="1:2" x14ac:dyDescent="0.3">
      <c r="A38" s="4" t="s">
        <v>2052</v>
      </c>
      <c r="B38" s="4">
        <v>88</v>
      </c>
    </row>
    <row r="39" spans="1:2" x14ac:dyDescent="0.3">
      <c r="A39" s="4" t="s">
        <v>2053</v>
      </c>
      <c r="B39" s="4">
        <v>89</v>
      </c>
    </row>
    <row r="40" spans="1:2" x14ac:dyDescent="0.3">
      <c r="A40" s="4" t="s">
        <v>2054</v>
      </c>
      <c r="B40" s="4">
        <v>86</v>
      </c>
    </row>
    <row r="41" spans="1:2" x14ac:dyDescent="0.3">
      <c r="A41" s="4" t="s">
        <v>2055</v>
      </c>
      <c r="B41" s="4">
        <v>77</v>
      </c>
    </row>
    <row r="42" spans="1:2" x14ac:dyDescent="0.3">
      <c r="A42" s="4" t="s">
        <v>2056</v>
      </c>
      <c r="B42" s="4">
        <v>77</v>
      </c>
    </row>
    <row r="43" spans="1:2" x14ac:dyDescent="0.3">
      <c r="A43" s="4" t="s">
        <v>2057</v>
      </c>
      <c r="B43" s="4">
        <v>85</v>
      </c>
    </row>
    <row r="44" spans="1:2" x14ac:dyDescent="0.3">
      <c r="A44" s="4" t="s">
        <v>2058</v>
      </c>
      <c r="B44" s="4">
        <v>92</v>
      </c>
    </row>
    <row r="45" spans="1:2" x14ac:dyDescent="0.3">
      <c r="A45" s="4" t="s">
        <v>2059</v>
      </c>
      <c r="B45" s="4">
        <v>101</v>
      </c>
    </row>
    <row r="46" spans="1:2" x14ac:dyDescent="0.3">
      <c r="A46" s="4" t="s">
        <v>2060</v>
      </c>
      <c r="B46" s="4">
        <v>94</v>
      </c>
    </row>
    <row r="47" spans="1:2" x14ac:dyDescent="0.3">
      <c r="A47" s="4" t="s">
        <v>2061</v>
      </c>
      <c r="B47" s="4">
        <v>81</v>
      </c>
    </row>
    <row r="48" spans="1:2" x14ac:dyDescent="0.3">
      <c r="A48" s="4" t="s">
        <v>2062</v>
      </c>
      <c r="B48" s="4">
        <v>77</v>
      </c>
    </row>
    <row r="49" spans="1:2" x14ac:dyDescent="0.3">
      <c r="A49" s="4" t="s">
        <v>2063</v>
      </c>
      <c r="B49" s="4">
        <v>82</v>
      </c>
    </row>
    <row r="52" spans="1:2" x14ac:dyDescent="0.3">
      <c r="A52" s="11" t="s">
        <v>2067</v>
      </c>
      <c r="B52" s="11" t="s">
        <v>2065</v>
      </c>
    </row>
    <row r="53" spans="1:2" x14ac:dyDescent="0.3">
      <c r="A53" s="4" t="s">
        <v>42</v>
      </c>
      <c r="B53" s="4">
        <v>276</v>
      </c>
    </row>
    <row r="54" spans="1:2" x14ac:dyDescent="0.3">
      <c r="A54" s="4" t="s">
        <v>49</v>
      </c>
      <c r="B54" s="4">
        <v>261</v>
      </c>
    </row>
    <row r="55" spans="1:2" x14ac:dyDescent="0.3">
      <c r="A55" s="4" t="s">
        <v>50</v>
      </c>
      <c r="B55" s="4">
        <v>250</v>
      </c>
    </row>
    <row r="56" spans="1:2" x14ac:dyDescent="0.3">
      <c r="A56" s="4" t="s">
        <v>28</v>
      </c>
      <c r="B56" s="4">
        <v>242</v>
      </c>
    </row>
    <row r="59" spans="1:2" x14ac:dyDescent="0.3">
      <c r="A59" s="11" t="s">
        <v>2034</v>
      </c>
      <c r="B59" s="11" t="s">
        <v>2068</v>
      </c>
    </row>
    <row r="60" spans="1:2" x14ac:dyDescent="0.3">
      <c r="A60" s="4" t="s">
        <v>41</v>
      </c>
      <c r="B60" s="4">
        <v>629</v>
      </c>
    </row>
    <row r="61" spans="1:2" x14ac:dyDescent="0.3">
      <c r="A61" s="4" t="s">
        <v>26</v>
      </c>
      <c r="B61" s="4">
        <v>665</v>
      </c>
    </row>
    <row r="62" spans="1:2" x14ac:dyDescent="0.3">
      <c r="A62" s="4" t="s">
        <v>48</v>
      </c>
      <c r="B62" s="4">
        <v>583</v>
      </c>
    </row>
    <row r="63" spans="1:2" x14ac:dyDescent="0.3">
      <c r="A63" s="4" t="s">
        <v>34</v>
      </c>
      <c r="B63" s="4">
        <v>575</v>
      </c>
    </row>
    <row r="64" spans="1:2" x14ac:dyDescent="0.3">
      <c r="A64" s="4" t="s">
        <v>51</v>
      </c>
      <c r="B64" s="4">
        <v>638</v>
      </c>
    </row>
    <row r="67" spans="1:2" x14ac:dyDescent="0.3">
      <c r="A67" s="11" t="s">
        <v>2034</v>
      </c>
      <c r="B67" s="11" t="s">
        <v>2069</v>
      </c>
    </row>
    <row r="68" spans="1:2" x14ac:dyDescent="0.3">
      <c r="A68" s="4" t="s">
        <v>41</v>
      </c>
      <c r="B68" s="4">
        <v>643</v>
      </c>
    </row>
    <row r="69" spans="1:2" x14ac:dyDescent="0.3">
      <c r="A69" s="4" t="s">
        <v>26</v>
      </c>
      <c r="B69" s="4">
        <v>649</v>
      </c>
    </row>
    <row r="70" spans="1:2" x14ac:dyDescent="0.3">
      <c r="A70" s="4" t="s">
        <v>48</v>
      </c>
      <c r="B70" s="4">
        <v>571</v>
      </c>
    </row>
    <row r="71" spans="1:2" x14ac:dyDescent="0.3">
      <c r="A71" s="4" t="s">
        <v>34</v>
      </c>
      <c r="B71" s="4">
        <v>589</v>
      </c>
    </row>
    <row r="72" spans="1:2" x14ac:dyDescent="0.3">
      <c r="A72" s="4" t="s">
        <v>51</v>
      </c>
      <c r="B72" s="4">
        <v>668</v>
      </c>
    </row>
    <row r="75" spans="1:2" x14ac:dyDescent="0.3">
      <c r="A75" s="11" t="s">
        <v>2034</v>
      </c>
      <c r="B75" s="11" t="s">
        <v>2071</v>
      </c>
    </row>
    <row r="76" spans="1:2" x14ac:dyDescent="0.3">
      <c r="A76" s="4" t="s">
        <v>41</v>
      </c>
      <c r="B76" s="4">
        <v>603</v>
      </c>
    </row>
    <row r="77" spans="1:2" x14ac:dyDescent="0.3">
      <c r="A77" s="4" t="s">
        <v>26</v>
      </c>
      <c r="B77" s="4">
        <v>671</v>
      </c>
    </row>
    <row r="78" spans="1:2" x14ac:dyDescent="0.3">
      <c r="A78" s="4" t="s">
        <v>48</v>
      </c>
      <c r="B78" s="4">
        <v>569</v>
      </c>
    </row>
    <row r="79" spans="1:2" x14ac:dyDescent="0.3">
      <c r="A79" s="4" t="s">
        <v>34</v>
      </c>
      <c r="B79" s="4">
        <v>574</v>
      </c>
    </row>
    <row r="80" spans="1:2" x14ac:dyDescent="0.3">
      <c r="A80" s="4" t="s">
        <v>51</v>
      </c>
      <c r="B80" s="4">
        <v>641</v>
      </c>
    </row>
    <row r="83" spans="1:3" x14ac:dyDescent="0.3">
      <c r="A83" s="11" t="s">
        <v>2039</v>
      </c>
      <c r="B83" s="11" t="s">
        <v>2073</v>
      </c>
    </row>
    <row r="84" spans="1:3" x14ac:dyDescent="0.3">
      <c r="A84" s="11" t="s">
        <v>2072</v>
      </c>
      <c r="B84" s="11" t="s">
        <v>37</v>
      </c>
      <c r="C84" s="11" t="s">
        <v>30</v>
      </c>
    </row>
    <row r="85" spans="1:3" x14ac:dyDescent="0.3">
      <c r="A85" s="4" t="s">
        <v>29</v>
      </c>
      <c r="B85" s="4">
        <v>71</v>
      </c>
      <c r="C85" s="4">
        <v>92</v>
      </c>
    </row>
    <row r="86" spans="1:3" x14ac:dyDescent="0.3">
      <c r="A86" s="4" t="s">
        <v>36</v>
      </c>
      <c r="B86" s="4">
        <v>102</v>
      </c>
      <c r="C86" s="4">
        <v>97</v>
      </c>
    </row>
    <row r="87" spans="1:3" x14ac:dyDescent="0.3">
      <c r="A87" s="4" t="s">
        <v>53</v>
      </c>
      <c r="B87" s="4">
        <v>110</v>
      </c>
      <c r="C87" s="4">
        <v>128</v>
      </c>
    </row>
    <row r="88" spans="1:3" x14ac:dyDescent="0.3">
      <c r="A88" s="4" t="s">
        <v>40</v>
      </c>
      <c r="B88" s="4">
        <v>120</v>
      </c>
      <c r="C88" s="4">
        <v>108</v>
      </c>
    </row>
    <row r="89" spans="1:3" x14ac:dyDescent="0.3">
      <c r="A89" s="4" t="s">
        <v>43</v>
      </c>
      <c r="B89" s="4">
        <v>103</v>
      </c>
      <c r="C89" s="4">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3C5C-AC7C-42A1-8E14-F545C8D07322}">
  <dimension ref="A1:AC2001"/>
  <sheetViews>
    <sheetView topLeftCell="AB1" workbookViewId="0">
      <selection activeCell="AG5" sqref="AG5:AK10"/>
    </sheetView>
  </sheetViews>
  <sheetFormatPr defaultRowHeight="14.4" x14ac:dyDescent="0.3"/>
  <cols>
    <col min="1" max="1" width="13.6640625" customWidth="1"/>
    <col min="2" max="2" width="15.21875" customWidth="1"/>
    <col min="3" max="3" width="18.44140625" customWidth="1"/>
    <col min="4" max="4" width="18.21875" customWidth="1"/>
    <col min="5" max="5" width="17.44140625" customWidth="1"/>
    <col min="6" max="7" width="18" customWidth="1"/>
    <col min="8" max="9" width="18.44140625" customWidth="1"/>
    <col min="10" max="10" width="15.88671875" customWidth="1"/>
    <col min="11" max="11" width="18.109375" customWidth="1"/>
    <col min="12" max="12" width="15.33203125" customWidth="1"/>
    <col min="13" max="13" width="14.109375" customWidth="1"/>
    <col min="14" max="14" width="19.6640625" customWidth="1"/>
    <col min="15" max="15" width="21" customWidth="1"/>
    <col min="16" max="16" width="22" customWidth="1"/>
    <col min="17" max="17" width="18.109375" customWidth="1"/>
    <col min="18" max="18" width="17.33203125" customWidth="1"/>
    <col min="19" max="19" width="13.44140625" customWidth="1"/>
    <col min="20" max="20" width="13.6640625" customWidth="1"/>
    <col min="21" max="21" width="20.109375" customWidth="1"/>
    <col min="22" max="22" width="17.6640625" customWidth="1"/>
    <col min="23" max="23" width="21.6640625" customWidth="1"/>
    <col min="24" max="24" width="14.77734375" customWidth="1"/>
    <col min="25" max="25" width="11.88671875" customWidth="1"/>
    <col min="26" max="26" width="15.77734375" customWidth="1"/>
    <col min="27" max="27" width="18.5546875" customWidth="1"/>
    <col min="28" max="28" width="18.88671875" customWidth="1"/>
    <col min="29" max="29" width="20.21875" customWidth="1"/>
    <col min="32" max="32" width="14.6640625" customWidth="1"/>
    <col min="33" max="33" width="18.77734375" customWidth="1"/>
    <col min="34" max="34" width="16" customWidth="1"/>
    <col min="35" max="35" width="18" customWidth="1"/>
    <col min="36" max="36" width="17" customWidth="1"/>
    <col min="37" max="37" width="17.77734375" customWidth="1"/>
  </cols>
  <sheetData>
    <row r="1" spans="1:2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2035</v>
      </c>
      <c r="AB1" s="2" t="s">
        <v>2036</v>
      </c>
      <c r="AC1" s="2" t="s">
        <v>2037</v>
      </c>
    </row>
    <row r="2" spans="1:29" x14ac:dyDescent="0.3">
      <c r="A2">
        <v>1</v>
      </c>
      <c r="B2">
        <v>41989</v>
      </c>
      <c r="C2" t="s">
        <v>59</v>
      </c>
      <c r="D2" t="s">
        <v>26</v>
      </c>
      <c r="E2" t="s">
        <v>27</v>
      </c>
      <c r="F2" s="1">
        <v>45334</v>
      </c>
      <c r="G2" s="1">
        <v>45491</v>
      </c>
      <c r="H2">
        <v>7</v>
      </c>
      <c r="I2" t="s">
        <v>28</v>
      </c>
      <c r="J2" t="s">
        <v>29</v>
      </c>
      <c r="K2">
        <v>2</v>
      </c>
      <c r="L2">
        <v>5</v>
      </c>
      <c r="M2">
        <v>1</v>
      </c>
      <c r="N2">
        <v>1</v>
      </c>
      <c r="O2">
        <v>5</v>
      </c>
      <c r="P2">
        <v>3</v>
      </c>
      <c r="Q2">
        <v>2</v>
      </c>
      <c r="R2">
        <v>3</v>
      </c>
      <c r="S2">
        <v>4</v>
      </c>
      <c r="T2">
        <v>5</v>
      </c>
      <c r="U2" t="s">
        <v>30</v>
      </c>
      <c r="V2" t="s">
        <v>31</v>
      </c>
      <c r="W2" t="s">
        <v>32</v>
      </c>
      <c r="X2" t="s">
        <v>33</v>
      </c>
      <c r="Y2">
        <v>20</v>
      </c>
      <c r="Z2" s="1">
        <v>45491</v>
      </c>
      <c r="AA2" t="str" cm="1">
        <f t="array" ref="AA2">_xlfn.IFS(AND(Table2[[#This Row],[Guest_Age]]&gt;=18,Table2[[#This Row],[Guest_Age]]&lt;=25),"Young Adults",AND(Table2[[#This Row],[Guest_Age]]&gt;=26,Table2[[#This Row],[Guest_Age]]&lt;=35),"Adults",AND(Table2[[#This Row],[Guest_Age]]&gt;=36,Table2[[#This Row],[Guest_Age]]&lt;=50),"Middle Aged Adults",Table2[[#This Row],[Guest_Age]]&gt;50,"Senior")</f>
        <v>Young Adults</v>
      </c>
      <c r="AB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 t="str" cm="1">
        <f t="array" ref="AC2">_xlfn.IFS(Table2[[#This Row],[Satification_points]]&gt;=4.5,"GREAT",AND(Table2[[#This Row],[Satification_points]]&gt;=4,Table2[[#This Row],[Satification_points]]&lt;4.5),"GOOD",AND(Table2[[#This Row],[Satification_points]]&gt;=3,Table2[[#This Row],[Satification_points]]&lt;4),"AVERAGE",Table2[[#This Row],[Satification_points]]&lt;3,"POOR")</f>
        <v>AVERAGE</v>
      </c>
    </row>
    <row r="3" spans="1:29" x14ac:dyDescent="0.3">
      <c r="A3">
        <v>2</v>
      </c>
      <c r="B3">
        <v>99245</v>
      </c>
      <c r="C3" t="s">
        <v>60</v>
      </c>
      <c r="D3" t="s">
        <v>34</v>
      </c>
      <c r="E3" t="s">
        <v>35</v>
      </c>
      <c r="F3" s="1">
        <v>45515</v>
      </c>
      <c r="G3" s="1">
        <v>45516</v>
      </c>
      <c r="H3">
        <v>8</v>
      </c>
      <c r="I3" t="s">
        <v>28</v>
      </c>
      <c r="J3" t="s">
        <v>36</v>
      </c>
      <c r="K3">
        <v>3</v>
      </c>
      <c r="L3">
        <v>4</v>
      </c>
      <c r="M3">
        <v>5</v>
      </c>
      <c r="N3">
        <v>5</v>
      </c>
      <c r="O3">
        <v>2</v>
      </c>
      <c r="P3">
        <v>5</v>
      </c>
      <c r="Q3">
        <v>3</v>
      </c>
      <c r="R3">
        <v>3</v>
      </c>
      <c r="S3">
        <v>2</v>
      </c>
      <c r="T3">
        <v>1</v>
      </c>
      <c r="U3" t="s">
        <v>37</v>
      </c>
      <c r="V3" t="s">
        <v>38</v>
      </c>
      <c r="W3" t="s">
        <v>39</v>
      </c>
      <c r="X3" t="s">
        <v>40</v>
      </c>
      <c r="Y3">
        <v>46</v>
      </c>
      <c r="Z3" s="1">
        <v>45516</v>
      </c>
      <c r="AA3" t="str" cm="1">
        <f t="array" ref="AA3">_xlfn.IFS(AND(Table2[[#This Row],[Guest_Age]]&gt;=18,Table2[[#This Row],[Guest_Age]]&lt;=25),"Young Adults",AND(Table2[[#This Row],[Guest_Age]]&gt;=26,Table2[[#This Row],[Guest_Age]]&lt;=35),"Adults",AND(Table2[[#This Row],[Guest_Age]]&gt;=36,Table2[[#This Row],[Guest_Age]]&lt;=50),"Middle Aged Adults",Table2[[#This Row],[Guest_Age]]&gt;50,"Senior")</f>
        <v>Middle Aged Adults</v>
      </c>
      <c r="AB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 t="str" cm="1">
        <f t="array" ref="AC3">_xlfn.IFS(Table2[[#This Row],[Satification_points]]&gt;=4.5,"GREAT",AND(Table2[[#This Row],[Satification_points]]&gt;=4,Table2[[#This Row],[Satification_points]]&lt;4.5),"GOOD",AND(Table2[[#This Row],[Satification_points]]&gt;=3,Table2[[#This Row],[Satification_points]]&lt;4),"AVERAGE",Table2[[#This Row],[Satification_points]]&lt;3,"POOR")</f>
        <v>AVERAGE</v>
      </c>
    </row>
    <row r="4" spans="1:29" x14ac:dyDescent="0.3">
      <c r="A4">
        <v>3</v>
      </c>
      <c r="B4">
        <v>83251</v>
      </c>
      <c r="C4" t="s">
        <v>61</v>
      </c>
      <c r="D4" t="s">
        <v>41</v>
      </c>
      <c r="E4" t="s">
        <v>35</v>
      </c>
      <c r="F4" s="1">
        <v>45094</v>
      </c>
      <c r="G4" s="1">
        <v>45257</v>
      </c>
      <c r="H4">
        <v>7</v>
      </c>
      <c r="I4" t="s">
        <v>42</v>
      </c>
      <c r="J4" t="s">
        <v>43</v>
      </c>
      <c r="K4">
        <v>1</v>
      </c>
      <c r="L4">
        <v>1</v>
      </c>
      <c r="M4">
        <v>5</v>
      </c>
      <c r="N4">
        <v>1</v>
      </c>
      <c r="O4">
        <v>4</v>
      </c>
      <c r="P4">
        <v>2</v>
      </c>
      <c r="Q4">
        <v>5</v>
      </c>
      <c r="R4">
        <v>5</v>
      </c>
      <c r="S4">
        <v>3</v>
      </c>
      <c r="T4">
        <v>3</v>
      </c>
      <c r="U4" t="s">
        <v>37</v>
      </c>
      <c r="V4" t="s">
        <v>31</v>
      </c>
      <c r="W4" t="s">
        <v>32</v>
      </c>
      <c r="X4" t="s">
        <v>44</v>
      </c>
      <c r="Y4">
        <v>68</v>
      </c>
      <c r="Z4" s="1">
        <v>45257</v>
      </c>
      <c r="AA4" t="str" cm="1">
        <f t="array" ref="AA4">_xlfn.IFS(AND(Table2[[#This Row],[Guest_Age]]&gt;=18,Table2[[#This Row],[Guest_Age]]&lt;=25),"Young Adults",AND(Table2[[#This Row],[Guest_Age]]&gt;=26,Table2[[#This Row],[Guest_Age]]&lt;=35),"Adults",AND(Table2[[#This Row],[Guest_Age]]&gt;=36,Table2[[#This Row],[Guest_Age]]&lt;=50),"Middle Aged Adults",Table2[[#This Row],[Guest_Age]]&gt;50,"Senior")</f>
        <v>Senior</v>
      </c>
      <c r="AB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 t="str" cm="1">
        <f t="array" ref="AC4">_xlfn.IFS(Table2[[#This Row],[Satification_points]]&gt;=4.5,"GREAT",AND(Table2[[#This Row],[Satification_points]]&gt;=4,Table2[[#This Row],[Satification_points]]&lt;4.5),"GOOD",AND(Table2[[#This Row],[Satification_points]]&gt;=3,Table2[[#This Row],[Satification_points]]&lt;4),"AVERAGE",Table2[[#This Row],[Satification_points]]&lt;3,"POOR")</f>
        <v>AVERAGE</v>
      </c>
    </row>
    <row r="5" spans="1:29" x14ac:dyDescent="0.3">
      <c r="A5">
        <v>4</v>
      </c>
      <c r="B5">
        <v>83963</v>
      </c>
      <c r="C5" t="s">
        <v>62</v>
      </c>
      <c r="D5" t="s">
        <v>41</v>
      </c>
      <c r="E5" t="s">
        <v>45</v>
      </c>
      <c r="F5" s="1">
        <v>45548</v>
      </c>
      <c r="G5" s="1">
        <v>45549</v>
      </c>
      <c r="H5">
        <v>3</v>
      </c>
      <c r="I5" t="s">
        <v>28</v>
      </c>
      <c r="J5" t="s">
        <v>40</v>
      </c>
      <c r="K5">
        <v>2</v>
      </c>
      <c r="L5">
        <v>2</v>
      </c>
      <c r="M5">
        <v>1</v>
      </c>
      <c r="N5">
        <v>4</v>
      </c>
      <c r="O5">
        <v>4</v>
      </c>
      <c r="P5">
        <v>5</v>
      </c>
      <c r="Q5">
        <v>2</v>
      </c>
      <c r="R5">
        <v>1</v>
      </c>
      <c r="S5">
        <v>2</v>
      </c>
      <c r="T5">
        <v>5</v>
      </c>
      <c r="U5" t="s">
        <v>30</v>
      </c>
      <c r="V5" t="s">
        <v>46</v>
      </c>
      <c r="W5" t="s">
        <v>47</v>
      </c>
      <c r="X5" t="s">
        <v>40</v>
      </c>
      <c r="Y5">
        <v>47</v>
      </c>
      <c r="Z5" s="1">
        <v>45549</v>
      </c>
      <c r="AA5" t="str" cm="1">
        <f t="array" ref="AA5">_xlfn.IFS(AND(Table2[[#This Row],[Guest_Age]]&gt;=18,Table2[[#This Row],[Guest_Age]]&lt;=25),"Young Adults",AND(Table2[[#This Row],[Guest_Age]]&gt;=26,Table2[[#This Row],[Guest_Age]]&lt;=35),"Adults",AND(Table2[[#This Row],[Guest_Age]]&gt;=36,Table2[[#This Row],[Guest_Age]]&lt;=50),"Middle Aged Adults",Table2[[#This Row],[Guest_Age]]&gt;50,"Senior")</f>
        <v>Middle Aged Adults</v>
      </c>
      <c r="AB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 t="str" cm="1">
        <f t="array" ref="AC5">_xlfn.IFS(Table2[[#This Row],[Satification_points]]&gt;=4.5,"GREAT",AND(Table2[[#This Row],[Satification_points]]&gt;=4,Table2[[#This Row],[Satification_points]]&lt;4.5),"GOOD",AND(Table2[[#This Row],[Satification_points]]&gt;=3,Table2[[#This Row],[Satification_points]]&lt;4),"AVERAGE",Table2[[#This Row],[Satification_points]]&lt;3,"POOR")</f>
        <v>POOR</v>
      </c>
    </row>
    <row r="6" spans="1:29" x14ac:dyDescent="0.3">
      <c r="A6">
        <v>5</v>
      </c>
      <c r="B6">
        <v>78322</v>
      </c>
      <c r="C6" t="s">
        <v>63</v>
      </c>
      <c r="D6" t="s">
        <v>48</v>
      </c>
      <c r="E6" t="s">
        <v>45</v>
      </c>
      <c r="F6" s="1">
        <v>45633</v>
      </c>
      <c r="G6" s="1">
        <v>45634</v>
      </c>
      <c r="H6">
        <v>7</v>
      </c>
      <c r="I6" t="s">
        <v>49</v>
      </c>
      <c r="J6" t="s">
        <v>40</v>
      </c>
      <c r="K6">
        <v>3</v>
      </c>
      <c r="L6">
        <v>3</v>
      </c>
      <c r="M6">
        <v>5</v>
      </c>
      <c r="N6">
        <v>1</v>
      </c>
      <c r="O6">
        <v>4</v>
      </c>
      <c r="P6">
        <v>3</v>
      </c>
      <c r="Q6">
        <v>3</v>
      </c>
      <c r="R6">
        <v>2</v>
      </c>
      <c r="S6">
        <v>2</v>
      </c>
      <c r="T6">
        <v>3</v>
      </c>
      <c r="U6" t="s">
        <v>30</v>
      </c>
      <c r="V6" t="s">
        <v>38</v>
      </c>
      <c r="W6" t="s">
        <v>47</v>
      </c>
      <c r="X6" t="s">
        <v>33</v>
      </c>
      <c r="Y6">
        <v>29</v>
      </c>
      <c r="Z6" s="1">
        <v>45634</v>
      </c>
      <c r="AA6" t="str" cm="1">
        <f t="array" ref="AA6">_xlfn.IFS(AND(Table2[[#This Row],[Guest_Age]]&gt;=18,Table2[[#This Row],[Guest_Age]]&lt;=25),"Young Adults",AND(Table2[[#This Row],[Guest_Age]]&gt;=26,Table2[[#This Row],[Guest_Age]]&lt;=35),"Adults",AND(Table2[[#This Row],[Guest_Age]]&gt;=36,Table2[[#This Row],[Guest_Age]]&lt;=50),"Middle Aged Adults",Table2[[#This Row],[Guest_Age]]&gt;50,"Senior")</f>
        <v>Adults</v>
      </c>
      <c r="AB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6" t="str" cm="1">
        <f t="array" ref="AC6">_xlfn.IFS(Table2[[#This Row],[Satification_points]]&gt;=4.5,"GREAT",AND(Table2[[#This Row],[Satification_points]]&gt;=4,Table2[[#This Row],[Satification_points]]&lt;4.5),"GOOD",AND(Table2[[#This Row],[Satification_points]]&gt;=3,Table2[[#This Row],[Satification_points]]&lt;4),"AVERAGE",Table2[[#This Row],[Satification_points]]&lt;3,"POOR")</f>
        <v>POOR</v>
      </c>
    </row>
    <row r="7" spans="1:29" x14ac:dyDescent="0.3">
      <c r="A7">
        <v>6</v>
      </c>
      <c r="B7">
        <v>24454</v>
      </c>
      <c r="C7" t="s">
        <v>64</v>
      </c>
      <c r="D7" t="s">
        <v>41</v>
      </c>
      <c r="E7" t="s">
        <v>45</v>
      </c>
      <c r="F7" s="1">
        <v>45093</v>
      </c>
      <c r="G7" s="1">
        <v>45094</v>
      </c>
      <c r="H7">
        <v>1</v>
      </c>
      <c r="I7" t="s">
        <v>50</v>
      </c>
      <c r="J7" t="s">
        <v>40</v>
      </c>
      <c r="K7">
        <v>4</v>
      </c>
      <c r="L7">
        <v>3</v>
      </c>
      <c r="M7">
        <v>1</v>
      </c>
      <c r="N7">
        <v>3</v>
      </c>
      <c r="O7">
        <v>3</v>
      </c>
      <c r="P7">
        <v>4</v>
      </c>
      <c r="Q7">
        <v>4</v>
      </c>
      <c r="R7">
        <v>3</v>
      </c>
      <c r="S7">
        <v>1</v>
      </c>
      <c r="T7">
        <v>2</v>
      </c>
      <c r="U7" t="s">
        <v>30</v>
      </c>
      <c r="V7" t="s">
        <v>38</v>
      </c>
      <c r="W7" t="s">
        <v>39</v>
      </c>
      <c r="X7" t="s">
        <v>40</v>
      </c>
      <c r="Y7">
        <v>38</v>
      </c>
      <c r="Z7" s="1">
        <v>45530</v>
      </c>
      <c r="AA7" t="str" cm="1">
        <f t="array" ref="AA7">_xlfn.IFS(AND(Table2[[#This Row],[Guest_Age]]&gt;=18,Table2[[#This Row],[Guest_Age]]&lt;=25),"Young Adults",AND(Table2[[#This Row],[Guest_Age]]&gt;=26,Table2[[#This Row],[Guest_Age]]&lt;=35),"Adults",AND(Table2[[#This Row],[Guest_Age]]&gt;=36,Table2[[#This Row],[Guest_Age]]&lt;=50),"Middle Aged Adults",Table2[[#This Row],[Guest_Age]]&gt;50,"Senior")</f>
        <v>Middle Aged Adults</v>
      </c>
      <c r="AB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 t="str" cm="1">
        <f t="array" ref="AC7">_xlfn.IFS(Table2[[#This Row],[Satification_points]]&gt;=4.5,"GREAT",AND(Table2[[#This Row],[Satification_points]]&gt;=4,Table2[[#This Row],[Satification_points]]&lt;4.5),"GOOD",AND(Table2[[#This Row],[Satification_points]]&gt;=3,Table2[[#This Row],[Satification_points]]&lt;4),"AVERAGE",Table2[[#This Row],[Satification_points]]&lt;3,"POOR")</f>
        <v>POOR</v>
      </c>
    </row>
    <row r="8" spans="1:29" x14ac:dyDescent="0.3">
      <c r="A8">
        <v>7</v>
      </c>
      <c r="B8">
        <v>11377</v>
      </c>
      <c r="C8" t="s">
        <v>65</v>
      </c>
      <c r="D8" t="s">
        <v>51</v>
      </c>
      <c r="E8" t="s">
        <v>52</v>
      </c>
      <c r="F8" s="1">
        <v>45459</v>
      </c>
      <c r="G8" s="1">
        <v>45460</v>
      </c>
      <c r="H8">
        <v>5</v>
      </c>
      <c r="I8" t="s">
        <v>49</v>
      </c>
      <c r="J8" t="s">
        <v>53</v>
      </c>
      <c r="K8">
        <v>1</v>
      </c>
      <c r="L8">
        <v>1</v>
      </c>
      <c r="M8">
        <v>1</v>
      </c>
      <c r="N8">
        <v>2</v>
      </c>
      <c r="O8">
        <v>4</v>
      </c>
      <c r="P8">
        <v>5</v>
      </c>
      <c r="Q8">
        <v>4</v>
      </c>
      <c r="R8">
        <v>5</v>
      </c>
      <c r="S8">
        <v>2</v>
      </c>
      <c r="T8">
        <v>2</v>
      </c>
      <c r="U8" t="s">
        <v>30</v>
      </c>
      <c r="V8" t="s">
        <v>31</v>
      </c>
      <c r="W8" t="s">
        <v>39</v>
      </c>
      <c r="X8" t="s">
        <v>44</v>
      </c>
      <c r="Y8">
        <v>19</v>
      </c>
      <c r="Z8" s="1">
        <v>45596</v>
      </c>
      <c r="AA8" t="str" cm="1">
        <f t="array" ref="AA8">_xlfn.IFS(AND(Table2[[#This Row],[Guest_Age]]&gt;=18,Table2[[#This Row],[Guest_Age]]&lt;=25),"Young Adults",AND(Table2[[#This Row],[Guest_Age]]&gt;=26,Table2[[#This Row],[Guest_Age]]&lt;=35),"Adults",AND(Table2[[#This Row],[Guest_Age]]&gt;=36,Table2[[#This Row],[Guest_Age]]&lt;=50),"Middle Aged Adults",Table2[[#This Row],[Guest_Age]]&gt;50,"Senior")</f>
        <v>Young Adults</v>
      </c>
      <c r="AB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 t="str" cm="1">
        <f t="array" ref="AC8">_xlfn.IFS(Table2[[#This Row],[Satification_points]]&gt;=4.5,"GREAT",AND(Table2[[#This Row],[Satification_points]]&gt;=4,Table2[[#This Row],[Satification_points]]&lt;4.5),"GOOD",AND(Table2[[#This Row],[Satification_points]]&gt;=3,Table2[[#This Row],[Satification_points]]&lt;4),"AVERAGE",Table2[[#This Row],[Satification_points]]&lt;3,"POOR")</f>
        <v>POOR</v>
      </c>
    </row>
    <row r="9" spans="1:29" x14ac:dyDescent="0.3">
      <c r="A9">
        <v>8</v>
      </c>
      <c r="B9">
        <v>45523</v>
      </c>
      <c r="C9" t="s">
        <v>66</v>
      </c>
      <c r="D9" t="s">
        <v>41</v>
      </c>
      <c r="E9" t="s">
        <v>52</v>
      </c>
      <c r="F9" s="1">
        <v>45091</v>
      </c>
      <c r="G9" s="1">
        <v>45615</v>
      </c>
      <c r="H9">
        <v>9</v>
      </c>
      <c r="I9" t="s">
        <v>49</v>
      </c>
      <c r="J9" t="s">
        <v>43</v>
      </c>
      <c r="K9">
        <v>2</v>
      </c>
      <c r="L9">
        <v>5</v>
      </c>
      <c r="M9">
        <v>4</v>
      </c>
      <c r="N9">
        <v>5</v>
      </c>
      <c r="O9">
        <v>2</v>
      </c>
      <c r="P9">
        <v>5</v>
      </c>
      <c r="Q9">
        <v>5</v>
      </c>
      <c r="R9">
        <v>5</v>
      </c>
      <c r="S9">
        <v>5</v>
      </c>
      <c r="T9">
        <v>4</v>
      </c>
      <c r="U9" t="s">
        <v>37</v>
      </c>
      <c r="V9" t="s">
        <v>54</v>
      </c>
      <c r="W9" t="s">
        <v>39</v>
      </c>
      <c r="X9" t="s">
        <v>40</v>
      </c>
      <c r="Y9">
        <v>69</v>
      </c>
      <c r="Z9" s="1">
        <v>45615</v>
      </c>
      <c r="AA9" t="str" cm="1">
        <f t="array" ref="AA9">_xlfn.IFS(AND(Table2[[#This Row],[Guest_Age]]&gt;=18,Table2[[#This Row],[Guest_Age]]&lt;=25),"Young Adults",AND(Table2[[#This Row],[Guest_Age]]&gt;=26,Table2[[#This Row],[Guest_Age]]&lt;=35),"Adults",AND(Table2[[#This Row],[Guest_Age]]&gt;=36,Table2[[#This Row],[Guest_Age]]&lt;=50),"Middle Aged Adults",Table2[[#This Row],[Guest_Age]]&gt;50,"Senior")</f>
        <v>Senior</v>
      </c>
      <c r="AB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9" t="str" cm="1">
        <f t="array" ref="AC9">_xlfn.IFS(Table2[[#This Row],[Satification_points]]&gt;=4.5,"GREAT",AND(Table2[[#This Row],[Satification_points]]&gt;=4,Table2[[#This Row],[Satification_points]]&lt;4.5),"GOOD",AND(Table2[[#This Row],[Satification_points]]&gt;=3,Table2[[#This Row],[Satification_points]]&lt;4),"AVERAGE",Table2[[#This Row],[Satification_points]]&lt;3,"POOR")</f>
        <v>GOOD</v>
      </c>
    </row>
    <row r="10" spans="1:29" x14ac:dyDescent="0.3">
      <c r="A10">
        <v>9</v>
      </c>
      <c r="B10">
        <v>40807</v>
      </c>
      <c r="C10" t="s">
        <v>67</v>
      </c>
      <c r="D10" t="s">
        <v>51</v>
      </c>
      <c r="E10" t="s">
        <v>27</v>
      </c>
      <c r="F10" s="1">
        <v>45568</v>
      </c>
      <c r="G10" s="1">
        <v>45569</v>
      </c>
      <c r="H10">
        <v>2</v>
      </c>
      <c r="I10" t="s">
        <v>42</v>
      </c>
      <c r="J10" t="s">
        <v>29</v>
      </c>
      <c r="K10">
        <v>2</v>
      </c>
      <c r="L10">
        <v>5</v>
      </c>
      <c r="M10">
        <v>2</v>
      </c>
      <c r="N10">
        <v>3</v>
      </c>
      <c r="O10">
        <v>3</v>
      </c>
      <c r="P10">
        <v>1</v>
      </c>
      <c r="Q10">
        <v>4</v>
      </c>
      <c r="R10">
        <v>1</v>
      </c>
      <c r="S10">
        <v>4</v>
      </c>
      <c r="T10">
        <v>2</v>
      </c>
      <c r="U10" t="s">
        <v>37</v>
      </c>
      <c r="V10" t="s">
        <v>46</v>
      </c>
      <c r="W10" t="s">
        <v>55</v>
      </c>
      <c r="X10" t="s">
        <v>40</v>
      </c>
      <c r="Y10">
        <v>67</v>
      </c>
      <c r="Z10" s="1">
        <v>45569</v>
      </c>
      <c r="AA10" t="str" cm="1">
        <f t="array" ref="AA10">_xlfn.IFS(AND(Table2[[#This Row],[Guest_Age]]&gt;=18,Table2[[#This Row],[Guest_Age]]&lt;=25),"Young Adults",AND(Table2[[#This Row],[Guest_Age]]&gt;=26,Table2[[#This Row],[Guest_Age]]&lt;=35),"Adults",AND(Table2[[#This Row],[Guest_Age]]&gt;=36,Table2[[#This Row],[Guest_Age]]&lt;=50),"Middle Aged Adults",Table2[[#This Row],[Guest_Age]]&gt;50,"Senior")</f>
        <v>Senior</v>
      </c>
      <c r="AB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 t="str" cm="1">
        <f t="array" ref="AC10">_xlfn.IFS(Table2[[#This Row],[Satification_points]]&gt;=4.5,"GREAT",AND(Table2[[#This Row],[Satification_points]]&gt;=4,Table2[[#This Row],[Satification_points]]&lt;4.5),"GOOD",AND(Table2[[#This Row],[Satification_points]]&gt;=3,Table2[[#This Row],[Satification_points]]&lt;4),"AVERAGE",Table2[[#This Row],[Satification_points]]&lt;3,"POOR")</f>
        <v>POOR</v>
      </c>
    </row>
    <row r="11" spans="1:29" x14ac:dyDescent="0.3">
      <c r="A11">
        <v>10</v>
      </c>
      <c r="B11">
        <v>28467</v>
      </c>
      <c r="C11" t="s">
        <v>68</v>
      </c>
      <c r="D11" t="s">
        <v>26</v>
      </c>
      <c r="E11" t="s">
        <v>52</v>
      </c>
      <c r="F11" s="1">
        <v>45188</v>
      </c>
      <c r="G11" s="1">
        <v>45247</v>
      </c>
      <c r="H11">
        <v>3</v>
      </c>
      <c r="I11" t="s">
        <v>49</v>
      </c>
      <c r="J11" t="s">
        <v>40</v>
      </c>
      <c r="K11">
        <v>1</v>
      </c>
      <c r="L11">
        <v>2</v>
      </c>
      <c r="M11">
        <v>3</v>
      </c>
      <c r="N11">
        <v>5</v>
      </c>
      <c r="O11">
        <v>2</v>
      </c>
      <c r="P11">
        <v>4</v>
      </c>
      <c r="Q11">
        <v>3</v>
      </c>
      <c r="R11">
        <v>4</v>
      </c>
      <c r="S11">
        <v>1</v>
      </c>
      <c r="T11">
        <v>1</v>
      </c>
      <c r="U11" t="s">
        <v>37</v>
      </c>
      <c r="V11" t="s">
        <v>31</v>
      </c>
      <c r="W11" t="s">
        <v>32</v>
      </c>
      <c r="X11" t="s">
        <v>44</v>
      </c>
      <c r="Y11">
        <v>33</v>
      </c>
      <c r="Z11" s="1">
        <v>45247</v>
      </c>
      <c r="AA11" t="str" cm="1">
        <f t="array" ref="AA11">_xlfn.IFS(AND(Table2[[#This Row],[Guest_Age]]&gt;=18,Table2[[#This Row],[Guest_Age]]&lt;=25),"Young Adults",AND(Table2[[#This Row],[Guest_Age]]&gt;=26,Table2[[#This Row],[Guest_Age]]&lt;=35),"Adults",AND(Table2[[#This Row],[Guest_Age]]&gt;=36,Table2[[#This Row],[Guest_Age]]&lt;=50),"Middle Aged Adults",Table2[[#This Row],[Guest_Age]]&gt;50,"Senior")</f>
        <v>Adults</v>
      </c>
      <c r="AB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1" t="str" cm="1">
        <f t="array" ref="AC11">_xlfn.IFS(Table2[[#This Row],[Satification_points]]&gt;=4.5,"GREAT",AND(Table2[[#This Row],[Satification_points]]&gt;=4,Table2[[#This Row],[Satification_points]]&lt;4.5),"GOOD",AND(Table2[[#This Row],[Satification_points]]&gt;=3,Table2[[#This Row],[Satification_points]]&lt;4),"AVERAGE",Table2[[#This Row],[Satification_points]]&lt;3,"POOR")</f>
        <v>POOR</v>
      </c>
    </row>
    <row r="12" spans="1:29" x14ac:dyDescent="0.3">
      <c r="A12">
        <v>11</v>
      </c>
      <c r="B12">
        <v>47177</v>
      </c>
      <c r="C12" t="s">
        <v>69</v>
      </c>
      <c r="D12" t="s">
        <v>51</v>
      </c>
      <c r="E12" t="s">
        <v>27</v>
      </c>
      <c r="F12" s="1">
        <v>45490</v>
      </c>
      <c r="G12" s="1">
        <v>45491</v>
      </c>
      <c r="H12">
        <v>9</v>
      </c>
      <c r="I12" t="s">
        <v>49</v>
      </c>
      <c r="J12" t="s">
        <v>29</v>
      </c>
      <c r="K12">
        <v>4</v>
      </c>
      <c r="L12">
        <v>1</v>
      </c>
      <c r="M12">
        <v>3</v>
      </c>
      <c r="N12">
        <v>5</v>
      </c>
      <c r="O12">
        <v>4</v>
      </c>
      <c r="P12">
        <v>1</v>
      </c>
      <c r="Q12">
        <v>5</v>
      </c>
      <c r="R12">
        <v>3</v>
      </c>
      <c r="S12">
        <v>2</v>
      </c>
      <c r="T12">
        <v>2</v>
      </c>
      <c r="U12" t="s">
        <v>37</v>
      </c>
      <c r="V12" t="s">
        <v>38</v>
      </c>
      <c r="W12" t="s">
        <v>56</v>
      </c>
      <c r="X12" t="s">
        <v>44</v>
      </c>
      <c r="Y12">
        <v>49</v>
      </c>
      <c r="Z12" s="1">
        <v>45491</v>
      </c>
      <c r="AA12" t="str" cm="1">
        <f t="array" ref="AA1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 t="str" cm="1">
        <f t="array" ref="AC12">_xlfn.IFS(Table2[[#This Row],[Satification_points]]&gt;=4.5,"GREAT",AND(Table2[[#This Row],[Satification_points]]&gt;=4,Table2[[#This Row],[Satification_points]]&lt;4.5),"GOOD",AND(Table2[[#This Row],[Satification_points]]&gt;=3,Table2[[#This Row],[Satification_points]]&lt;4),"AVERAGE",Table2[[#This Row],[Satification_points]]&lt;3,"POOR")</f>
        <v>AVERAGE</v>
      </c>
    </row>
    <row r="13" spans="1:29" x14ac:dyDescent="0.3">
      <c r="A13">
        <v>12</v>
      </c>
      <c r="B13">
        <v>22287</v>
      </c>
      <c r="C13" t="s">
        <v>70</v>
      </c>
      <c r="D13" t="s">
        <v>34</v>
      </c>
      <c r="E13" t="s">
        <v>35</v>
      </c>
      <c r="F13" s="1">
        <v>45187</v>
      </c>
      <c r="G13" s="1">
        <v>45329</v>
      </c>
      <c r="H13">
        <v>3</v>
      </c>
      <c r="I13" t="s">
        <v>42</v>
      </c>
      <c r="J13" t="s">
        <v>29</v>
      </c>
      <c r="K13">
        <v>4</v>
      </c>
      <c r="L13">
        <v>3</v>
      </c>
      <c r="M13">
        <v>2</v>
      </c>
      <c r="N13">
        <v>1</v>
      </c>
      <c r="O13">
        <v>3</v>
      </c>
      <c r="P13">
        <v>1</v>
      </c>
      <c r="Q13">
        <v>1</v>
      </c>
      <c r="R13">
        <v>4</v>
      </c>
      <c r="S13">
        <v>1</v>
      </c>
      <c r="T13">
        <v>4</v>
      </c>
      <c r="U13" t="s">
        <v>37</v>
      </c>
      <c r="V13" t="s">
        <v>54</v>
      </c>
      <c r="W13" t="s">
        <v>56</v>
      </c>
      <c r="X13" t="s">
        <v>33</v>
      </c>
      <c r="Y13">
        <v>45</v>
      </c>
      <c r="Z13" s="1">
        <v>45506</v>
      </c>
      <c r="AA13" t="str" cm="1">
        <f t="array" ref="AA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3" t="str" cm="1">
        <f t="array" ref="AC13">_xlfn.IFS(Table2[[#This Row],[Satification_points]]&gt;=4.5,"GREAT",AND(Table2[[#This Row],[Satification_points]]&gt;=4,Table2[[#This Row],[Satification_points]]&lt;4.5),"GOOD",AND(Table2[[#This Row],[Satification_points]]&gt;=3,Table2[[#This Row],[Satification_points]]&lt;4),"AVERAGE",Table2[[#This Row],[Satification_points]]&lt;3,"POOR")</f>
        <v>POOR</v>
      </c>
    </row>
    <row r="14" spans="1:29" x14ac:dyDescent="0.3">
      <c r="A14">
        <v>13</v>
      </c>
      <c r="B14">
        <v>58667</v>
      </c>
      <c r="C14" t="s">
        <v>71</v>
      </c>
      <c r="D14" t="s">
        <v>26</v>
      </c>
      <c r="E14" t="s">
        <v>27</v>
      </c>
      <c r="F14" s="1">
        <v>45101</v>
      </c>
      <c r="G14" s="1">
        <v>45555</v>
      </c>
      <c r="H14">
        <v>8</v>
      </c>
      <c r="I14" t="s">
        <v>28</v>
      </c>
      <c r="J14" t="s">
        <v>29</v>
      </c>
      <c r="K14">
        <v>5</v>
      </c>
      <c r="L14">
        <v>2</v>
      </c>
      <c r="M14">
        <v>5</v>
      </c>
      <c r="N14">
        <v>2</v>
      </c>
      <c r="O14">
        <v>1</v>
      </c>
      <c r="P14">
        <v>3</v>
      </c>
      <c r="Q14">
        <v>5</v>
      </c>
      <c r="R14">
        <v>1</v>
      </c>
      <c r="S14">
        <v>4</v>
      </c>
      <c r="T14">
        <v>5</v>
      </c>
      <c r="U14" t="s">
        <v>37</v>
      </c>
      <c r="V14" t="s">
        <v>46</v>
      </c>
      <c r="W14" t="s">
        <v>56</v>
      </c>
      <c r="X14" t="s">
        <v>44</v>
      </c>
      <c r="Y14">
        <v>26</v>
      </c>
      <c r="Z14" s="1">
        <v>45555</v>
      </c>
      <c r="AA14" t="str" cm="1">
        <f t="array" ref="AA14">_xlfn.IFS(AND(Table2[[#This Row],[Guest_Age]]&gt;=18,Table2[[#This Row],[Guest_Age]]&lt;=25),"Young Adults",AND(Table2[[#This Row],[Guest_Age]]&gt;=26,Table2[[#This Row],[Guest_Age]]&lt;=35),"Adults",AND(Table2[[#This Row],[Guest_Age]]&gt;=36,Table2[[#This Row],[Guest_Age]]&lt;=50),"Middle Aged Adults",Table2[[#This Row],[Guest_Age]]&gt;50,"Senior")</f>
        <v>Adults</v>
      </c>
      <c r="AB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 t="str" cm="1">
        <f t="array" ref="AC14">_xlfn.IFS(Table2[[#This Row],[Satification_points]]&gt;=4.5,"GREAT",AND(Table2[[#This Row],[Satification_points]]&gt;=4,Table2[[#This Row],[Satification_points]]&lt;4.5),"GOOD",AND(Table2[[#This Row],[Satification_points]]&gt;=3,Table2[[#This Row],[Satification_points]]&lt;4),"AVERAGE",Table2[[#This Row],[Satification_points]]&lt;3,"POOR")</f>
        <v>AVERAGE</v>
      </c>
    </row>
    <row r="15" spans="1:29" x14ac:dyDescent="0.3">
      <c r="A15">
        <v>14</v>
      </c>
      <c r="B15">
        <v>22838</v>
      </c>
      <c r="C15" t="s">
        <v>72</v>
      </c>
      <c r="D15" t="s">
        <v>51</v>
      </c>
      <c r="E15" t="s">
        <v>27</v>
      </c>
      <c r="F15" s="1">
        <v>45022</v>
      </c>
      <c r="G15" s="1">
        <v>45130</v>
      </c>
      <c r="H15">
        <v>6</v>
      </c>
      <c r="I15" t="s">
        <v>28</v>
      </c>
      <c r="J15" t="s">
        <v>29</v>
      </c>
      <c r="K15">
        <v>4</v>
      </c>
      <c r="L15">
        <v>1</v>
      </c>
      <c r="M15">
        <v>1</v>
      </c>
      <c r="N15">
        <v>1</v>
      </c>
      <c r="O15">
        <v>4</v>
      </c>
      <c r="P15">
        <v>3</v>
      </c>
      <c r="Q15">
        <v>4</v>
      </c>
      <c r="R15">
        <v>5</v>
      </c>
      <c r="S15">
        <v>4</v>
      </c>
      <c r="T15">
        <v>4</v>
      </c>
      <c r="U15" t="s">
        <v>30</v>
      </c>
      <c r="V15" t="s">
        <v>54</v>
      </c>
      <c r="W15" t="s">
        <v>39</v>
      </c>
      <c r="X15" t="s">
        <v>33</v>
      </c>
      <c r="Y15">
        <v>34</v>
      </c>
      <c r="Z15" s="1">
        <v>45367</v>
      </c>
      <c r="AA15" t="str" cm="1">
        <f t="array" ref="AA15">_xlfn.IFS(AND(Table2[[#This Row],[Guest_Age]]&gt;=18,Table2[[#This Row],[Guest_Age]]&lt;=25),"Young Adults",AND(Table2[[#This Row],[Guest_Age]]&gt;=26,Table2[[#This Row],[Guest_Age]]&lt;=35),"Adults",AND(Table2[[#This Row],[Guest_Age]]&gt;=36,Table2[[#This Row],[Guest_Age]]&lt;=50),"Middle Aged Adults",Table2[[#This Row],[Guest_Age]]&gt;50,"Senior")</f>
        <v>Adults</v>
      </c>
      <c r="AB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 t="str" cm="1">
        <f t="array" ref="AC15">_xlfn.IFS(Table2[[#This Row],[Satification_points]]&gt;=4.5,"GREAT",AND(Table2[[#This Row],[Satification_points]]&gt;=4,Table2[[#This Row],[Satification_points]]&lt;4.5),"GOOD",AND(Table2[[#This Row],[Satification_points]]&gt;=3,Table2[[#This Row],[Satification_points]]&lt;4),"AVERAGE",Table2[[#This Row],[Satification_points]]&lt;3,"POOR")</f>
        <v>AVERAGE</v>
      </c>
    </row>
    <row r="16" spans="1:29" x14ac:dyDescent="0.3">
      <c r="A16">
        <v>15</v>
      </c>
      <c r="B16">
        <v>42065</v>
      </c>
      <c r="C16" t="s">
        <v>73</v>
      </c>
      <c r="D16" t="s">
        <v>26</v>
      </c>
      <c r="E16" t="s">
        <v>45</v>
      </c>
      <c r="F16" s="1">
        <v>45283</v>
      </c>
      <c r="G16" s="1">
        <v>45284</v>
      </c>
      <c r="H16">
        <v>7</v>
      </c>
      <c r="I16" t="s">
        <v>28</v>
      </c>
      <c r="J16" t="s">
        <v>36</v>
      </c>
      <c r="K16">
        <v>1</v>
      </c>
      <c r="L16">
        <v>1</v>
      </c>
      <c r="M16">
        <v>3</v>
      </c>
      <c r="N16">
        <v>1</v>
      </c>
      <c r="O16">
        <v>3</v>
      </c>
      <c r="P16">
        <v>2</v>
      </c>
      <c r="Q16">
        <v>2</v>
      </c>
      <c r="R16">
        <v>4</v>
      </c>
      <c r="S16">
        <v>1</v>
      </c>
      <c r="T16">
        <v>5</v>
      </c>
      <c r="U16" t="s">
        <v>37</v>
      </c>
      <c r="V16" t="s">
        <v>31</v>
      </c>
      <c r="W16" t="s">
        <v>55</v>
      </c>
      <c r="X16" t="s">
        <v>40</v>
      </c>
      <c r="Y16">
        <v>67</v>
      </c>
      <c r="Z16" s="1">
        <v>45284</v>
      </c>
      <c r="AA16" t="str" cm="1">
        <f t="array" ref="AA16">_xlfn.IFS(AND(Table2[[#This Row],[Guest_Age]]&gt;=18,Table2[[#This Row],[Guest_Age]]&lt;=25),"Young Adults",AND(Table2[[#This Row],[Guest_Age]]&gt;=26,Table2[[#This Row],[Guest_Age]]&lt;=35),"Adults",AND(Table2[[#This Row],[Guest_Age]]&gt;=36,Table2[[#This Row],[Guest_Age]]&lt;=50),"Middle Aged Adults",Table2[[#This Row],[Guest_Age]]&gt;50,"Senior")</f>
        <v>Senior</v>
      </c>
      <c r="AB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6" t="str" cm="1">
        <f t="array" ref="AC16">_xlfn.IFS(Table2[[#This Row],[Satification_points]]&gt;=4.5,"GREAT",AND(Table2[[#This Row],[Satification_points]]&gt;=4,Table2[[#This Row],[Satification_points]]&lt;4.5),"GOOD",AND(Table2[[#This Row],[Satification_points]]&gt;=3,Table2[[#This Row],[Satification_points]]&lt;4),"AVERAGE",Table2[[#This Row],[Satification_points]]&lt;3,"POOR")</f>
        <v>POOR</v>
      </c>
    </row>
    <row r="17" spans="1:29" x14ac:dyDescent="0.3">
      <c r="A17">
        <v>16</v>
      </c>
      <c r="B17">
        <v>65259</v>
      </c>
      <c r="C17" t="s">
        <v>74</v>
      </c>
      <c r="D17" t="s">
        <v>34</v>
      </c>
      <c r="E17" t="s">
        <v>52</v>
      </c>
      <c r="F17" s="1">
        <v>45296</v>
      </c>
      <c r="G17" s="1">
        <v>45297</v>
      </c>
      <c r="H17">
        <v>5</v>
      </c>
      <c r="I17" t="s">
        <v>42</v>
      </c>
      <c r="J17" t="s">
        <v>29</v>
      </c>
      <c r="K17">
        <v>3</v>
      </c>
      <c r="L17">
        <v>1</v>
      </c>
      <c r="M17">
        <v>4</v>
      </c>
      <c r="N17">
        <v>4</v>
      </c>
      <c r="O17">
        <v>3</v>
      </c>
      <c r="P17">
        <v>4</v>
      </c>
      <c r="Q17">
        <v>5</v>
      </c>
      <c r="R17">
        <v>1</v>
      </c>
      <c r="S17">
        <v>3</v>
      </c>
      <c r="T17">
        <v>4</v>
      </c>
      <c r="U17" t="s">
        <v>30</v>
      </c>
      <c r="V17" t="s">
        <v>54</v>
      </c>
      <c r="W17" t="s">
        <v>55</v>
      </c>
      <c r="X17" t="s">
        <v>33</v>
      </c>
      <c r="Y17">
        <v>36</v>
      </c>
      <c r="Z17" s="1">
        <v>45594</v>
      </c>
      <c r="AA17" t="str" cm="1">
        <f t="array" ref="AA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 t="str" cm="1">
        <f t="array" ref="AC17">_xlfn.IFS(Table2[[#This Row],[Satification_points]]&gt;=4.5,"GREAT",AND(Table2[[#This Row],[Satification_points]]&gt;=4,Table2[[#This Row],[Satification_points]]&lt;4.5),"GOOD",AND(Table2[[#This Row],[Satification_points]]&gt;=3,Table2[[#This Row],[Satification_points]]&lt;4),"AVERAGE",Table2[[#This Row],[Satification_points]]&lt;3,"POOR")</f>
        <v>AVERAGE</v>
      </c>
    </row>
    <row r="18" spans="1:29" x14ac:dyDescent="0.3">
      <c r="A18">
        <v>17</v>
      </c>
      <c r="B18">
        <v>58867</v>
      </c>
      <c r="C18" t="s">
        <v>75</v>
      </c>
      <c r="D18" t="s">
        <v>26</v>
      </c>
      <c r="E18" t="s">
        <v>57</v>
      </c>
      <c r="F18" s="1">
        <v>45478</v>
      </c>
      <c r="G18" s="1">
        <v>45479</v>
      </c>
      <c r="H18">
        <v>10</v>
      </c>
      <c r="I18" t="s">
        <v>42</v>
      </c>
      <c r="J18" t="s">
        <v>53</v>
      </c>
      <c r="K18">
        <v>1</v>
      </c>
      <c r="L18">
        <v>4</v>
      </c>
      <c r="M18">
        <v>5</v>
      </c>
      <c r="N18">
        <v>1</v>
      </c>
      <c r="O18">
        <v>3</v>
      </c>
      <c r="P18">
        <v>4</v>
      </c>
      <c r="Q18">
        <v>3</v>
      </c>
      <c r="R18">
        <v>4</v>
      </c>
      <c r="S18">
        <v>4</v>
      </c>
      <c r="T18">
        <v>2</v>
      </c>
      <c r="U18" t="s">
        <v>37</v>
      </c>
      <c r="V18" t="s">
        <v>38</v>
      </c>
      <c r="W18" t="s">
        <v>56</v>
      </c>
      <c r="X18" t="s">
        <v>40</v>
      </c>
      <c r="Y18">
        <v>24</v>
      </c>
      <c r="Z18" s="1">
        <v>45479</v>
      </c>
      <c r="AA18" t="str" cm="1">
        <f t="array" ref="AA18">_xlfn.IFS(AND(Table2[[#This Row],[Guest_Age]]&gt;=18,Table2[[#This Row],[Guest_Age]]&lt;=25),"Young Adults",AND(Table2[[#This Row],[Guest_Age]]&gt;=26,Table2[[#This Row],[Guest_Age]]&lt;=35),"Adults",AND(Table2[[#This Row],[Guest_Age]]&gt;=36,Table2[[#This Row],[Guest_Age]]&lt;=50),"Middle Aged Adults",Table2[[#This Row],[Guest_Age]]&gt;50,"Senior")</f>
        <v>Young Adults</v>
      </c>
      <c r="AB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 t="str" cm="1">
        <f t="array" ref="AC18">_xlfn.IFS(Table2[[#This Row],[Satification_points]]&gt;=4.5,"GREAT",AND(Table2[[#This Row],[Satification_points]]&gt;=4,Table2[[#This Row],[Satification_points]]&lt;4.5),"GOOD",AND(Table2[[#This Row],[Satification_points]]&gt;=3,Table2[[#This Row],[Satification_points]]&lt;4),"AVERAGE",Table2[[#This Row],[Satification_points]]&lt;3,"POOR")</f>
        <v>AVERAGE</v>
      </c>
    </row>
    <row r="19" spans="1:29" x14ac:dyDescent="0.3">
      <c r="A19">
        <v>18</v>
      </c>
      <c r="B19">
        <v>46871</v>
      </c>
      <c r="C19" t="s">
        <v>76</v>
      </c>
      <c r="D19" t="s">
        <v>26</v>
      </c>
      <c r="E19" t="s">
        <v>57</v>
      </c>
      <c r="F19" s="1">
        <v>45647</v>
      </c>
      <c r="G19" s="1">
        <v>45648</v>
      </c>
      <c r="H19">
        <v>12</v>
      </c>
      <c r="I19" t="s">
        <v>50</v>
      </c>
      <c r="J19" t="s">
        <v>29</v>
      </c>
      <c r="K19">
        <v>2</v>
      </c>
      <c r="L19">
        <v>2</v>
      </c>
      <c r="M19">
        <v>4</v>
      </c>
      <c r="N19">
        <v>2</v>
      </c>
      <c r="O19">
        <v>5</v>
      </c>
      <c r="P19">
        <v>3</v>
      </c>
      <c r="Q19">
        <v>5</v>
      </c>
      <c r="R19">
        <v>5</v>
      </c>
      <c r="S19">
        <v>5</v>
      </c>
      <c r="T19">
        <v>3</v>
      </c>
      <c r="U19" t="s">
        <v>37</v>
      </c>
      <c r="V19" t="s">
        <v>38</v>
      </c>
      <c r="W19" t="s">
        <v>56</v>
      </c>
      <c r="X19" t="s">
        <v>44</v>
      </c>
      <c r="Y19">
        <v>53</v>
      </c>
      <c r="Z19" s="1">
        <v>45648</v>
      </c>
      <c r="AA19" t="str" cm="1">
        <f t="array" ref="AA19">_xlfn.IFS(AND(Table2[[#This Row],[Guest_Age]]&gt;=18,Table2[[#This Row],[Guest_Age]]&lt;=25),"Young Adults",AND(Table2[[#This Row],[Guest_Age]]&gt;=26,Table2[[#This Row],[Guest_Age]]&lt;=35),"Adults",AND(Table2[[#This Row],[Guest_Age]]&gt;=36,Table2[[#This Row],[Guest_Age]]&lt;=50),"Middle Aged Adults",Table2[[#This Row],[Guest_Age]]&gt;50,"Senior")</f>
        <v>Senior</v>
      </c>
      <c r="AB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9" t="str" cm="1">
        <f t="array" ref="AC19">_xlfn.IFS(Table2[[#This Row],[Satification_points]]&gt;=4.5,"GREAT",AND(Table2[[#This Row],[Satification_points]]&gt;=4,Table2[[#This Row],[Satification_points]]&lt;4.5),"GOOD",AND(Table2[[#This Row],[Satification_points]]&gt;=3,Table2[[#This Row],[Satification_points]]&lt;4),"AVERAGE",Table2[[#This Row],[Satification_points]]&lt;3,"POOR")</f>
        <v>AVERAGE</v>
      </c>
    </row>
    <row r="20" spans="1:29" x14ac:dyDescent="0.3">
      <c r="A20">
        <v>19</v>
      </c>
      <c r="B20">
        <v>74870</v>
      </c>
      <c r="C20" t="s">
        <v>77</v>
      </c>
      <c r="D20" t="s">
        <v>41</v>
      </c>
      <c r="E20" t="s">
        <v>45</v>
      </c>
      <c r="F20" s="1">
        <v>45068</v>
      </c>
      <c r="G20" s="1">
        <v>45525</v>
      </c>
      <c r="H20">
        <v>7</v>
      </c>
      <c r="I20" t="s">
        <v>50</v>
      </c>
      <c r="J20" t="s">
        <v>40</v>
      </c>
      <c r="K20">
        <v>5</v>
      </c>
      <c r="L20">
        <v>1</v>
      </c>
      <c r="M20">
        <v>3</v>
      </c>
      <c r="N20">
        <v>3</v>
      </c>
      <c r="O20">
        <v>3</v>
      </c>
      <c r="P20">
        <v>3</v>
      </c>
      <c r="Q20">
        <v>4</v>
      </c>
      <c r="R20">
        <v>3</v>
      </c>
      <c r="S20">
        <v>5</v>
      </c>
      <c r="T20">
        <v>1</v>
      </c>
      <c r="U20" t="s">
        <v>30</v>
      </c>
      <c r="V20" t="s">
        <v>58</v>
      </c>
      <c r="W20" t="s">
        <v>55</v>
      </c>
      <c r="X20" t="s">
        <v>33</v>
      </c>
      <c r="Y20">
        <v>57</v>
      </c>
      <c r="Z20" s="1">
        <v>45525</v>
      </c>
      <c r="AA20" t="str" cm="1">
        <f t="array" ref="AA20">_xlfn.IFS(AND(Table2[[#This Row],[Guest_Age]]&gt;=18,Table2[[#This Row],[Guest_Age]]&lt;=25),"Young Adults",AND(Table2[[#This Row],[Guest_Age]]&gt;=26,Table2[[#This Row],[Guest_Age]]&lt;=35),"Adults",AND(Table2[[#This Row],[Guest_Age]]&gt;=36,Table2[[#This Row],[Guest_Age]]&lt;=50),"Middle Aged Adults",Table2[[#This Row],[Guest_Age]]&gt;50,"Senior")</f>
        <v>Senior</v>
      </c>
      <c r="AB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0" t="str" cm="1">
        <f t="array" ref="AC20">_xlfn.IFS(Table2[[#This Row],[Satification_points]]&gt;=4.5,"GREAT",AND(Table2[[#This Row],[Satification_points]]&gt;=4,Table2[[#This Row],[Satification_points]]&lt;4.5),"GOOD",AND(Table2[[#This Row],[Satification_points]]&gt;=3,Table2[[#This Row],[Satification_points]]&lt;4),"AVERAGE",Table2[[#This Row],[Satification_points]]&lt;3,"POOR")</f>
        <v>AVERAGE</v>
      </c>
    </row>
    <row r="21" spans="1:29" x14ac:dyDescent="0.3">
      <c r="A21">
        <v>20</v>
      </c>
      <c r="B21">
        <v>20522</v>
      </c>
      <c r="C21" t="s">
        <v>78</v>
      </c>
      <c r="D21" t="s">
        <v>48</v>
      </c>
      <c r="E21" t="s">
        <v>35</v>
      </c>
      <c r="F21" s="1">
        <v>45093</v>
      </c>
      <c r="G21" s="1">
        <v>45094</v>
      </c>
      <c r="H21">
        <v>10</v>
      </c>
      <c r="I21" t="s">
        <v>49</v>
      </c>
      <c r="J21" t="s">
        <v>29</v>
      </c>
      <c r="K21">
        <v>5</v>
      </c>
      <c r="L21">
        <v>2</v>
      </c>
      <c r="M21">
        <v>2</v>
      </c>
      <c r="N21">
        <v>1</v>
      </c>
      <c r="O21">
        <v>1</v>
      </c>
      <c r="P21">
        <v>1</v>
      </c>
      <c r="Q21">
        <v>5</v>
      </c>
      <c r="R21">
        <v>2</v>
      </c>
      <c r="S21">
        <v>2</v>
      </c>
      <c r="T21">
        <v>3</v>
      </c>
      <c r="U21" t="s">
        <v>37</v>
      </c>
      <c r="V21" t="s">
        <v>46</v>
      </c>
      <c r="W21" t="s">
        <v>39</v>
      </c>
      <c r="X21" t="s">
        <v>33</v>
      </c>
      <c r="Y21">
        <v>18</v>
      </c>
      <c r="Z21" s="1">
        <v>45563</v>
      </c>
      <c r="AA21" t="str" cm="1">
        <f t="array" ref="AA21">_xlfn.IFS(AND(Table2[[#This Row],[Guest_Age]]&gt;=18,Table2[[#This Row],[Guest_Age]]&lt;=25),"Young Adults",AND(Table2[[#This Row],[Guest_Age]]&gt;=26,Table2[[#This Row],[Guest_Age]]&lt;=35),"Adults",AND(Table2[[#This Row],[Guest_Age]]&gt;=36,Table2[[#This Row],[Guest_Age]]&lt;=50),"Middle Aged Adults",Table2[[#This Row],[Guest_Age]]&gt;50,"Senior")</f>
        <v>Young Adults</v>
      </c>
      <c r="AB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1" t="str" cm="1">
        <f t="array" ref="AC21">_xlfn.IFS(Table2[[#This Row],[Satification_points]]&gt;=4.5,"GREAT",AND(Table2[[#This Row],[Satification_points]]&gt;=4,Table2[[#This Row],[Satification_points]]&lt;4.5),"GOOD",AND(Table2[[#This Row],[Satification_points]]&gt;=3,Table2[[#This Row],[Satification_points]]&lt;4),"AVERAGE",Table2[[#This Row],[Satification_points]]&lt;3,"POOR")</f>
        <v>POOR</v>
      </c>
    </row>
    <row r="22" spans="1:29" x14ac:dyDescent="0.3">
      <c r="A22">
        <v>21</v>
      </c>
      <c r="B22">
        <v>39132</v>
      </c>
      <c r="C22" t="s">
        <v>79</v>
      </c>
      <c r="D22" t="s">
        <v>51</v>
      </c>
      <c r="E22" t="s">
        <v>35</v>
      </c>
      <c r="F22" s="1">
        <v>45629</v>
      </c>
      <c r="G22" s="1">
        <v>45630</v>
      </c>
      <c r="H22">
        <v>11</v>
      </c>
      <c r="I22" t="s">
        <v>49</v>
      </c>
      <c r="J22" t="s">
        <v>40</v>
      </c>
      <c r="K22">
        <v>3</v>
      </c>
      <c r="L22">
        <v>3</v>
      </c>
      <c r="M22">
        <v>2</v>
      </c>
      <c r="N22">
        <v>2</v>
      </c>
      <c r="O22">
        <v>4</v>
      </c>
      <c r="P22">
        <v>3</v>
      </c>
      <c r="Q22">
        <v>3</v>
      </c>
      <c r="R22">
        <v>5</v>
      </c>
      <c r="S22">
        <v>3</v>
      </c>
      <c r="T22">
        <v>1</v>
      </c>
      <c r="U22" t="s">
        <v>37</v>
      </c>
      <c r="V22" t="s">
        <v>31</v>
      </c>
      <c r="W22" t="s">
        <v>39</v>
      </c>
      <c r="X22" t="s">
        <v>33</v>
      </c>
      <c r="Y22">
        <v>59</v>
      </c>
      <c r="Z22" s="1">
        <v>45630</v>
      </c>
      <c r="AA22" t="str" cm="1">
        <f t="array" ref="AA22">_xlfn.IFS(AND(Table2[[#This Row],[Guest_Age]]&gt;=18,Table2[[#This Row],[Guest_Age]]&lt;=25),"Young Adults",AND(Table2[[#This Row],[Guest_Age]]&gt;=26,Table2[[#This Row],[Guest_Age]]&lt;=35),"Adults",AND(Table2[[#This Row],[Guest_Age]]&gt;=36,Table2[[#This Row],[Guest_Age]]&lt;=50),"Middle Aged Adults",Table2[[#This Row],[Guest_Age]]&gt;50,"Senior")</f>
        <v>Senior</v>
      </c>
      <c r="AB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2" t="str" cm="1">
        <f t="array" ref="AC22">_xlfn.IFS(Table2[[#This Row],[Satification_points]]&gt;=4.5,"GREAT",AND(Table2[[#This Row],[Satification_points]]&gt;=4,Table2[[#This Row],[Satification_points]]&lt;4.5),"GOOD",AND(Table2[[#This Row],[Satification_points]]&gt;=3,Table2[[#This Row],[Satification_points]]&lt;4),"AVERAGE",Table2[[#This Row],[Satification_points]]&lt;3,"POOR")</f>
        <v>POOR</v>
      </c>
    </row>
    <row r="23" spans="1:29" x14ac:dyDescent="0.3">
      <c r="A23">
        <v>22</v>
      </c>
      <c r="B23">
        <v>50425</v>
      </c>
      <c r="C23" t="s">
        <v>80</v>
      </c>
      <c r="D23" t="s">
        <v>48</v>
      </c>
      <c r="E23" t="s">
        <v>35</v>
      </c>
      <c r="F23" s="1">
        <v>45245</v>
      </c>
      <c r="G23" s="1">
        <v>45509</v>
      </c>
      <c r="H23">
        <v>10</v>
      </c>
      <c r="I23" t="s">
        <v>42</v>
      </c>
      <c r="J23" t="s">
        <v>29</v>
      </c>
      <c r="K23">
        <v>2</v>
      </c>
      <c r="L23">
        <v>1</v>
      </c>
      <c r="M23">
        <v>4</v>
      </c>
      <c r="N23">
        <v>1</v>
      </c>
      <c r="O23">
        <v>4</v>
      </c>
      <c r="P23">
        <v>5</v>
      </c>
      <c r="Q23">
        <v>3</v>
      </c>
      <c r="R23">
        <v>4</v>
      </c>
      <c r="S23">
        <v>3</v>
      </c>
      <c r="T23">
        <v>2</v>
      </c>
      <c r="U23" t="s">
        <v>30</v>
      </c>
      <c r="V23" t="s">
        <v>54</v>
      </c>
      <c r="W23" t="s">
        <v>56</v>
      </c>
      <c r="X23" t="s">
        <v>44</v>
      </c>
      <c r="Y23">
        <v>53</v>
      </c>
      <c r="Z23" s="1">
        <v>45623</v>
      </c>
      <c r="AA23" t="str" cm="1">
        <f t="array" ref="AA23">_xlfn.IFS(AND(Table2[[#This Row],[Guest_Age]]&gt;=18,Table2[[#This Row],[Guest_Age]]&lt;=25),"Young Adults",AND(Table2[[#This Row],[Guest_Age]]&gt;=26,Table2[[#This Row],[Guest_Age]]&lt;=35),"Adults",AND(Table2[[#This Row],[Guest_Age]]&gt;=36,Table2[[#This Row],[Guest_Age]]&lt;=50),"Middle Aged Adults",Table2[[#This Row],[Guest_Age]]&gt;50,"Senior")</f>
        <v>Senior</v>
      </c>
      <c r="AB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3" t="str" cm="1">
        <f t="array" ref="AC23">_xlfn.IFS(Table2[[#This Row],[Satification_points]]&gt;=4.5,"GREAT",AND(Table2[[#This Row],[Satification_points]]&gt;=4,Table2[[#This Row],[Satification_points]]&lt;4.5),"GOOD",AND(Table2[[#This Row],[Satification_points]]&gt;=3,Table2[[#This Row],[Satification_points]]&lt;4),"AVERAGE",Table2[[#This Row],[Satification_points]]&lt;3,"POOR")</f>
        <v>POOR</v>
      </c>
    </row>
    <row r="24" spans="1:29" x14ac:dyDescent="0.3">
      <c r="A24">
        <v>23</v>
      </c>
      <c r="B24">
        <v>15478</v>
      </c>
      <c r="C24" t="s">
        <v>81</v>
      </c>
      <c r="D24" t="s">
        <v>34</v>
      </c>
      <c r="E24" t="s">
        <v>27</v>
      </c>
      <c r="F24" s="1">
        <v>45557</v>
      </c>
      <c r="G24" s="1">
        <v>45558</v>
      </c>
      <c r="H24">
        <v>13</v>
      </c>
      <c r="I24" t="s">
        <v>42</v>
      </c>
      <c r="J24" t="s">
        <v>43</v>
      </c>
      <c r="K24">
        <v>4</v>
      </c>
      <c r="L24">
        <v>5</v>
      </c>
      <c r="M24">
        <v>5</v>
      </c>
      <c r="N24">
        <v>5</v>
      </c>
      <c r="O24">
        <v>4</v>
      </c>
      <c r="P24">
        <v>4</v>
      </c>
      <c r="Q24">
        <v>4</v>
      </c>
      <c r="R24">
        <v>3</v>
      </c>
      <c r="S24">
        <v>2</v>
      </c>
      <c r="T24">
        <v>4</v>
      </c>
      <c r="U24" t="s">
        <v>30</v>
      </c>
      <c r="V24" t="s">
        <v>38</v>
      </c>
      <c r="W24" t="s">
        <v>47</v>
      </c>
      <c r="X24" t="s">
        <v>40</v>
      </c>
      <c r="Y24">
        <v>66</v>
      </c>
      <c r="Z24" s="1">
        <v>45581</v>
      </c>
      <c r="AA24" t="str" cm="1">
        <f t="array" ref="AA24">_xlfn.IFS(AND(Table2[[#This Row],[Guest_Age]]&gt;=18,Table2[[#This Row],[Guest_Age]]&lt;=25),"Young Adults",AND(Table2[[#This Row],[Guest_Age]]&gt;=26,Table2[[#This Row],[Guest_Age]]&lt;=35),"Adults",AND(Table2[[#This Row],[Guest_Age]]&gt;=36,Table2[[#This Row],[Guest_Age]]&lt;=50),"Middle Aged Adults",Table2[[#This Row],[Guest_Age]]&gt;50,"Senior")</f>
        <v>Senior</v>
      </c>
      <c r="AB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24" t="str" cm="1">
        <f t="array" ref="AC24">_xlfn.IFS(Table2[[#This Row],[Satification_points]]&gt;=4.5,"GREAT",AND(Table2[[#This Row],[Satification_points]]&gt;=4,Table2[[#This Row],[Satification_points]]&lt;4.5),"GOOD",AND(Table2[[#This Row],[Satification_points]]&gt;=3,Table2[[#This Row],[Satification_points]]&lt;4),"AVERAGE",Table2[[#This Row],[Satification_points]]&lt;3,"POOR")</f>
        <v>GOOD</v>
      </c>
    </row>
    <row r="25" spans="1:29" x14ac:dyDescent="0.3">
      <c r="A25">
        <v>24</v>
      </c>
      <c r="B25">
        <v>69355</v>
      </c>
      <c r="C25" t="s">
        <v>82</v>
      </c>
      <c r="D25" t="s">
        <v>34</v>
      </c>
      <c r="E25" t="s">
        <v>52</v>
      </c>
      <c r="F25" s="1">
        <v>45584</v>
      </c>
      <c r="G25" s="1">
        <v>45585</v>
      </c>
      <c r="H25">
        <v>3</v>
      </c>
      <c r="I25" t="s">
        <v>50</v>
      </c>
      <c r="J25" t="s">
        <v>36</v>
      </c>
      <c r="K25">
        <v>4</v>
      </c>
      <c r="L25">
        <v>1</v>
      </c>
      <c r="M25">
        <v>3</v>
      </c>
      <c r="N25">
        <v>1</v>
      </c>
      <c r="O25">
        <v>3</v>
      </c>
      <c r="P25">
        <v>2</v>
      </c>
      <c r="Q25">
        <v>3</v>
      </c>
      <c r="R25">
        <v>2</v>
      </c>
      <c r="S25">
        <v>4</v>
      </c>
      <c r="T25">
        <v>4</v>
      </c>
      <c r="U25" t="s">
        <v>37</v>
      </c>
      <c r="V25" t="s">
        <v>58</v>
      </c>
      <c r="W25" t="s">
        <v>39</v>
      </c>
      <c r="X25" t="s">
        <v>33</v>
      </c>
      <c r="Y25">
        <v>56</v>
      </c>
      <c r="Z25" s="1">
        <v>45632</v>
      </c>
      <c r="AA25" t="str" cm="1">
        <f t="array" ref="AA25">_xlfn.IFS(AND(Table2[[#This Row],[Guest_Age]]&gt;=18,Table2[[#This Row],[Guest_Age]]&lt;=25),"Young Adults",AND(Table2[[#This Row],[Guest_Age]]&gt;=26,Table2[[#This Row],[Guest_Age]]&lt;=35),"Adults",AND(Table2[[#This Row],[Guest_Age]]&gt;=36,Table2[[#This Row],[Guest_Age]]&lt;=50),"Middle Aged Adults",Table2[[#This Row],[Guest_Age]]&gt;50,"Senior")</f>
        <v>Senior</v>
      </c>
      <c r="AB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5" t="str" cm="1">
        <f t="array" ref="AC25">_xlfn.IFS(Table2[[#This Row],[Satification_points]]&gt;=4.5,"GREAT",AND(Table2[[#This Row],[Satification_points]]&gt;=4,Table2[[#This Row],[Satification_points]]&lt;4.5),"GOOD",AND(Table2[[#This Row],[Satification_points]]&gt;=3,Table2[[#This Row],[Satification_points]]&lt;4),"AVERAGE",Table2[[#This Row],[Satification_points]]&lt;3,"POOR")</f>
        <v>POOR</v>
      </c>
    </row>
    <row r="26" spans="1:29" x14ac:dyDescent="0.3">
      <c r="A26">
        <v>25</v>
      </c>
      <c r="B26">
        <v>61793</v>
      </c>
      <c r="C26" t="s">
        <v>83</v>
      </c>
      <c r="D26" t="s">
        <v>26</v>
      </c>
      <c r="E26" t="s">
        <v>35</v>
      </c>
      <c r="F26" s="1">
        <v>45261</v>
      </c>
      <c r="G26" s="1">
        <v>45262</v>
      </c>
      <c r="H26">
        <v>11</v>
      </c>
      <c r="I26" t="s">
        <v>49</v>
      </c>
      <c r="J26" t="s">
        <v>40</v>
      </c>
      <c r="K26">
        <v>4</v>
      </c>
      <c r="L26">
        <v>1</v>
      </c>
      <c r="M26">
        <v>1</v>
      </c>
      <c r="N26">
        <v>4</v>
      </c>
      <c r="O26">
        <v>4</v>
      </c>
      <c r="P26">
        <v>1</v>
      </c>
      <c r="Q26">
        <v>4</v>
      </c>
      <c r="R26">
        <v>1</v>
      </c>
      <c r="S26">
        <v>1</v>
      </c>
      <c r="T26">
        <v>5</v>
      </c>
      <c r="U26" t="s">
        <v>37</v>
      </c>
      <c r="V26" t="s">
        <v>31</v>
      </c>
      <c r="W26" t="s">
        <v>47</v>
      </c>
      <c r="X26" t="s">
        <v>40</v>
      </c>
      <c r="Y26">
        <v>18</v>
      </c>
      <c r="Z26" s="1">
        <v>45262</v>
      </c>
      <c r="AA26" t="str" cm="1">
        <f t="array" ref="AA26">_xlfn.IFS(AND(Table2[[#This Row],[Guest_Age]]&gt;=18,Table2[[#This Row],[Guest_Age]]&lt;=25),"Young Adults",AND(Table2[[#This Row],[Guest_Age]]&gt;=26,Table2[[#This Row],[Guest_Age]]&lt;=35),"Adults",AND(Table2[[#This Row],[Guest_Age]]&gt;=36,Table2[[#This Row],[Guest_Age]]&lt;=50),"Middle Aged Adults",Table2[[#This Row],[Guest_Age]]&gt;50,"Senior")</f>
        <v>Young Adults</v>
      </c>
      <c r="AB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26" t="str" cm="1">
        <f t="array" ref="AC26">_xlfn.IFS(Table2[[#This Row],[Satification_points]]&gt;=4.5,"GREAT",AND(Table2[[#This Row],[Satification_points]]&gt;=4,Table2[[#This Row],[Satification_points]]&lt;4.5),"GOOD",AND(Table2[[#This Row],[Satification_points]]&gt;=3,Table2[[#This Row],[Satification_points]]&lt;4),"AVERAGE",Table2[[#This Row],[Satification_points]]&lt;3,"POOR")</f>
        <v>POOR</v>
      </c>
    </row>
    <row r="27" spans="1:29" x14ac:dyDescent="0.3">
      <c r="A27">
        <v>26</v>
      </c>
      <c r="B27">
        <v>15025</v>
      </c>
      <c r="C27" t="s">
        <v>84</v>
      </c>
      <c r="D27" t="s">
        <v>48</v>
      </c>
      <c r="E27" t="s">
        <v>57</v>
      </c>
      <c r="F27" s="1">
        <v>45400</v>
      </c>
      <c r="G27" s="1">
        <v>45401</v>
      </c>
      <c r="H27">
        <v>5</v>
      </c>
      <c r="I27" t="s">
        <v>49</v>
      </c>
      <c r="J27" t="s">
        <v>53</v>
      </c>
      <c r="K27">
        <v>1</v>
      </c>
      <c r="L27">
        <v>2</v>
      </c>
      <c r="M27">
        <v>2</v>
      </c>
      <c r="N27">
        <v>5</v>
      </c>
      <c r="O27">
        <v>1</v>
      </c>
      <c r="P27">
        <v>5</v>
      </c>
      <c r="Q27">
        <v>5</v>
      </c>
      <c r="R27">
        <v>3</v>
      </c>
      <c r="S27">
        <v>3</v>
      </c>
      <c r="T27">
        <v>3</v>
      </c>
      <c r="U27" t="s">
        <v>30</v>
      </c>
      <c r="V27" t="s">
        <v>38</v>
      </c>
      <c r="W27" t="s">
        <v>32</v>
      </c>
      <c r="X27" t="s">
        <v>40</v>
      </c>
      <c r="Y27">
        <v>65</v>
      </c>
      <c r="Z27" s="1">
        <v>45401</v>
      </c>
      <c r="AA27" t="str" cm="1">
        <f t="array" ref="AA27">_xlfn.IFS(AND(Table2[[#This Row],[Guest_Age]]&gt;=18,Table2[[#This Row],[Guest_Age]]&lt;=25),"Young Adults",AND(Table2[[#This Row],[Guest_Age]]&gt;=26,Table2[[#This Row],[Guest_Age]]&lt;=35),"Adults",AND(Table2[[#This Row],[Guest_Age]]&gt;=36,Table2[[#This Row],[Guest_Age]]&lt;=50),"Middle Aged Adults",Table2[[#This Row],[Guest_Age]]&gt;50,"Senior")</f>
        <v>Senior</v>
      </c>
      <c r="AB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7" t="str" cm="1">
        <f t="array" ref="AC27">_xlfn.IFS(Table2[[#This Row],[Satification_points]]&gt;=4.5,"GREAT",AND(Table2[[#This Row],[Satification_points]]&gt;=4,Table2[[#This Row],[Satification_points]]&lt;4.5),"GOOD",AND(Table2[[#This Row],[Satification_points]]&gt;=3,Table2[[#This Row],[Satification_points]]&lt;4),"AVERAGE",Table2[[#This Row],[Satification_points]]&lt;3,"POOR")</f>
        <v>AVERAGE</v>
      </c>
    </row>
    <row r="28" spans="1:29" x14ac:dyDescent="0.3">
      <c r="A28">
        <v>27</v>
      </c>
      <c r="B28">
        <v>17764</v>
      </c>
      <c r="C28" t="s">
        <v>85</v>
      </c>
      <c r="D28" t="s">
        <v>51</v>
      </c>
      <c r="E28" t="s">
        <v>27</v>
      </c>
      <c r="F28" s="1">
        <v>45567</v>
      </c>
      <c r="G28" s="1">
        <v>45568</v>
      </c>
      <c r="H28">
        <v>6</v>
      </c>
      <c r="I28" t="s">
        <v>49</v>
      </c>
      <c r="J28" t="s">
        <v>29</v>
      </c>
      <c r="K28">
        <v>4</v>
      </c>
      <c r="L28">
        <v>2</v>
      </c>
      <c r="M28">
        <v>4</v>
      </c>
      <c r="N28">
        <v>2</v>
      </c>
      <c r="O28">
        <v>5</v>
      </c>
      <c r="P28">
        <v>3</v>
      </c>
      <c r="Q28">
        <v>5</v>
      </c>
      <c r="R28">
        <v>5</v>
      </c>
      <c r="S28">
        <v>3</v>
      </c>
      <c r="T28">
        <v>1</v>
      </c>
      <c r="U28" t="s">
        <v>37</v>
      </c>
      <c r="V28" t="s">
        <v>31</v>
      </c>
      <c r="W28" t="s">
        <v>39</v>
      </c>
      <c r="X28" t="s">
        <v>40</v>
      </c>
      <c r="Y28">
        <v>41</v>
      </c>
      <c r="Z28" s="1">
        <v>45568</v>
      </c>
      <c r="AA28" t="str" cm="1">
        <f t="array" ref="AA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8" t="str" cm="1">
        <f t="array" ref="AC28">_xlfn.IFS(Table2[[#This Row],[Satification_points]]&gt;=4.5,"GREAT",AND(Table2[[#This Row],[Satification_points]]&gt;=4,Table2[[#This Row],[Satification_points]]&lt;4.5),"GOOD",AND(Table2[[#This Row],[Satification_points]]&gt;=3,Table2[[#This Row],[Satification_points]]&lt;4),"AVERAGE",Table2[[#This Row],[Satification_points]]&lt;3,"POOR")</f>
        <v>AVERAGE</v>
      </c>
    </row>
    <row r="29" spans="1:29" x14ac:dyDescent="0.3">
      <c r="A29">
        <v>28</v>
      </c>
      <c r="B29">
        <v>77648</v>
      </c>
      <c r="C29" t="s">
        <v>86</v>
      </c>
      <c r="D29" t="s">
        <v>51</v>
      </c>
      <c r="E29" t="s">
        <v>35</v>
      </c>
      <c r="F29" s="1">
        <v>45071</v>
      </c>
      <c r="G29" s="1">
        <v>45072</v>
      </c>
      <c r="H29">
        <v>9</v>
      </c>
      <c r="I29" t="s">
        <v>28</v>
      </c>
      <c r="J29" t="s">
        <v>40</v>
      </c>
      <c r="K29">
        <v>2</v>
      </c>
      <c r="L29">
        <v>4</v>
      </c>
      <c r="M29">
        <v>3</v>
      </c>
      <c r="N29">
        <v>1</v>
      </c>
      <c r="O29">
        <v>1</v>
      </c>
      <c r="P29">
        <v>2</v>
      </c>
      <c r="Q29">
        <v>1</v>
      </c>
      <c r="R29">
        <v>4</v>
      </c>
      <c r="S29">
        <v>4</v>
      </c>
      <c r="T29">
        <v>4</v>
      </c>
      <c r="U29" t="s">
        <v>37</v>
      </c>
      <c r="V29" t="s">
        <v>38</v>
      </c>
      <c r="W29" t="s">
        <v>47</v>
      </c>
      <c r="X29" t="s">
        <v>33</v>
      </c>
      <c r="Y29">
        <v>27</v>
      </c>
      <c r="Z29" s="1">
        <v>45087</v>
      </c>
      <c r="AA29" t="str" cm="1">
        <f t="array" ref="AA29">_xlfn.IFS(AND(Table2[[#This Row],[Guest_Age]]&gt;=18,Table2[[#This Row],[Guest_Age]]&lt;=25),"Young Adults",AND(Table2[[#This Row],[Guest_Age]]&gt;=26,Table2[[#This Row],[Guest_Age]]&lt;=35),"Adults",AND(Table2[[#This Row],[Guest_Age]]&gt;=36,Table2[[#This Row],[Guest_Age]]&lt;=50),"Middle Aged Adults",Table2[[#This Row],[Guest_Age]]&gt;50,"Senior")</f>
        <v>Adults</v>
      </c>
      <c r="AB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29" t="str" cm="1">
        <f t="array" ref="AC29">_xlfn.IFS(Table2[[#This Row],[Satification_points]]&gt;=4.5,"GREAT",AND(Table2[[#This Row],[Satification_points]]&gt;=4,Table2[[#This Row],[Satification_points]]&lt;4.5),"GOOD",AND(Table2[[#This Row],[Satification_points]]&gt;=3,Table2[[#This Row],[Satification_points]]&lt;4),"AVERAGE",Table2[[#This Row],[Satification_points]]&lt;3,"POOR")</f>
        <v>POOR</v>
      </c>
    </row>
    <row r="30" spans="1:29" x14ac:dyDescent="0.3">
      <c r="A30">
        <v>29</v>
      </c>
      <c r="B30">
        <v>79036</v>
      </c>
      <c r="C30" t="s">
        <v>87</v>
      </c>
      <c r="D30" t="s">
        <v>26</v>
      </c>
      <c r="E30" t="s">
        <v>35</v>
      </c>
      <c r="F30" s="1">
        <v>44980</v>
      </c>
      <c r="G30" s="1">
        <v>45094</v>
      </c>
      <c r="H30">
        <v>4</v>
      </c>
      <c r="I30" t="s">
        <v>50</v>
      </c>
      <c r="J30" t="s">
        <v>36</v>
      </c>
      <c r="K30">
        <v>5</v>
      </c>
      <c r="L30">
        <v>1</v>
      </c>
      <c r="M30">
        <v>5</v>
      </c>
      <c r="N30">
        <v>5</v>
      </c>
      <c r="O30">
        <v>5</v>
      </c>
      <c r="P30">
        <v>3</v>
      </c>
      <c r="Q30">
        <v>4</v>
      </c>
      <c r="R30">
        <v>2</v>
      </c>
      <c r="S30">
        <v>1</v>
      </c>
      <c r="T30">
        <v>2</v>
      </c>
      <c r="U30" t="s">
        <v>30</v>
      </c>
      <c r="V30" t="s">
        <v>31</v>
      </c>
      <c r="W30" t="s">
        <v>32</v>
      </c>
      <c r="X30" t="s">
        <v>40</v>
      </c>
      <c r="Y30">
        <v>28</v>
      </c>
      <c r="Z30" s="1">
        <v>45184</v>
      </c>
      <c r="AA30" t="str" cm="1">
        <f t="array" ref="AA30">_xlfn.IFS(AND(Table2[[#This Row],[Guest_Age]]&gt;=18,Table2[[#This Row],[Guest_Age]]&lt;=25),"Young Adults",AND(Table2[[#This Row],[Guest_Age]]&gt;=26,Table2[[#This Row],[Guest_Age]]&lt;=35),"Adults",AND(Table2[[#This Row],[Guest_Age]]&gt;=36,Table2[[#This Row],[Guest_Age]]&lt;=50),"Middle Aged Adults",Table2[[#This Row],[Guest_Age]]&gt;50,"Senior")</f>
        <v>Adults</v>
      </c>
      <c r="AB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0" t="str" cm="1">
        <f t="array" ref="AC30">_xlfn.IFS(Table2[[#This Row],[Satification_points]]&gt;=4.5,"GREAT",AND(Table2[[#This Row],[Satification_points]]&gt;=4,Table2[[#This Row],[Satification_points]]&lt;4.5),"GOOD",AND(Table2[[#This Row],[Satification_points]]&gt;=3,Table2[[#This Row],[Satification_points]]&lt;4),"AVERAGE",Table2[[#This Row],[Satification_points]]&lt;3,"POOR")</f>
        <v>AVERAGE</v>
      </c>
    </row>
    <row r="31" spans="1:29" x14ac:dyDescent="0.3">
      <c r="A31">
        <v>30</v>
      </c>
      <c r="B31">
        <v>41521</v>
      </c>
      <c r="C31" t="s">
        <v>88</v>
      </c>
      <c r="D31" t="s">
        <v>51</v>
      </c>
      <c r="E31" t="s">
        <v>52</v>
      </c>
      <c r="F31" s="1">
        <v>45048</v>
      </c>
      <c r="G31" s="1">
        <v>45549</v>
      </c>
      <c r="H31">
        <v>8</v>
      </c>
      <c r="I31" t="s">
        <v>28</v>
      </c>
      <c r="J31" t="s">
        <v>29</v>
      </c>
      <c r="K31">
        <v>1</v>
      </c>
      <c r="L31">
        <v>3</v>
      </c>
      <c r="M31">
        <v>1</v>
      </c>
      <c r="N31">
        <v>5</v>
      </c>
      <c r="O31">
        <v>4</v>
      </c>
      <c r="P31">
        <v>5</v>
      </c>
      <c r="Q31">
        <v>2</v>
      </c>
      <c r="R31">
        <v>3</v>
      </c>
      <c r="S31">
        <v>5</v>
      </c>
      <c r="T31">
        <v>4</v>
      </c>
      <c r="U31" t="s">
        <v>37</v>
      </c>
      <c r="V31" t="s">
        <v>38</v>
      </c>
      <c r="W31" t="s">
        <v>32</v>
      </c>
      <c r="X31" t="s">
        <v>33</v>
      </c>
      <c r="Y31">
        <v>55</v>
      </c>
      <c r="Z31" s="1">
        <v>45549</v>
      </c>
      <c r="AA31" t="str" cm="1">
        <f t="array" ref="AA31">_xlfn.IFS(AND(Table2[[#This Row],[Guest_Age]]&gt;=18,Table2[[#This Row],[Guest_Age]]&lt;=25),"Young Adults",AND(Table2[[#This Row],[Guest_Age]]&gt;=26,Table2[[#This Row],[Guest_Age]]&lt;=35),"Adults",AND(Table2[[#This Row],[Guest_Age]]&gt;=36,Table2[[#This Row],[Guest_Age]]&lt;=50),"Middle Aged Adults",Table2[[#This Row],[Guest_Age]]&gt;50,"Senior")</f>
        <v>Senior</v>
      </c>
      <c r="AB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1" t="str" cm="1">
        <f t="array" ref="AC31">_xlfn.IFS(Table2[[#This Row],[Satification_points]]&gt;=4.5,"GREAT",AND(Table2[[#This Row],[Satification_points]]&gt;=4,Table2[[#This Row],[Satification_points]]&lt;4.5),"GOOD",AND(Table2[[#This Row],[Satification_points]]&gt;=3,Table2[[#This Row],[Satification_points]]&lt;4),"AVERAGE",Table2[[#This Row],[Satification_points]]&lt;3,"POOR")</f>
        <v>AVERAGE</v>
      </c>
    </row>
    <row r="32" spans="1:29" x14ac:dyDescent="0.3">
      <c r="A32">
        <v>31</v>
      </c>
      <c r="B32">
        <v>50392</v>
      </c>
      <c r="C32" t="s">
        <v>89</v>
      </c>
      <c r="D32" t="s">
        <v>41</v>
      </c>
      <c r="E32" t="s">
        <v>52</v>
      </c>
      <c r="F32" s="1">
        <v>45050</v>
      </c>
      <c r="G32" s="1">
        <v>45053</v>
      </c>
      <c r="H32">
        <v>14</v>
      </c>
      <c r="I32" t="s">
        <v>49</v>
      </c>
      <c r="J32" t="s">
        <v>36</v>
      </c>
      <c r="K32">
        <v>4</v>
      </c>
      <c r="L32">
        <v>2</v>
      </c>
      <c r="M32">
        <v>1</v>
      </c>
      <c r="N32">
        <v>3</v>
      </c>
      <c r="O32">
        <v>2</v>
      </c>
      <c r="P32">
        <v>2</v>
      </c>
      <c r="Q32">
        <v>4</v>
      </c>
      <c r="R32">
        <v>2</v>
      </c>
      <c r="S32">
        <v>3</v>
      </c>
      <c r="T32">
        <v>5</v>
      </c>
      <c r="U32" t="s">
        <v>37</v>
      </c>
      <c r="V32" t="s">
        <v>54</v>
      </c>
      <c r="W32" t="s">
        <v>56</v>
      </c>
      <c r="X32" t="s">
        <v>40</v>
      </c>
      <c r="Y32">
        <v>39</v>
      </c>
      <c r="Z32" s="1">
        <v>45053</v>
      </c>
      <c r="AA32" t="str" cm="1">
        <f t="array" ref="AA32">_xlfn.IFS(AND(Table2[[#This Row],[Guest_Age]]&gt;=18,Table2[[#This Row],[Guest_Age]]&lt;=25),"Young Adults",AND(Table2[[#This Row],[Guest_Age]]&gt;=26,Table2[[#This Row],[Guest_Age]]&lt;=35),"Adults",AND(Table2[[#This Row],[Guest_Age]]&gt;=36,Table2[[#This Row],[Guest_Age]]&lt;=50),"Middle Aged Adults",Table2[[#This Row],[Guest_Age]]&gt;50,"Senior")</f>
        <v>Middle Aged Adults</v>
      </c>
      <c r="AB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2" t="str" cm="1">
        <f t="array" ref="AC32">_xlfn.IFS(Table2[[#This Row],[Satification_points]]&gt;=4.5,"GREAT",AND(Table2[[#This Row],[Satification_points]]&gt;=4,Table2[[#This Row],[Satification_points]]&lt;4.5),"GOOD",AND(Table2[[#This Row],[Satification_points]]&gt;=3,Table2[[#This Row],[Satification_points]]&lt;4),"AVERAGE",Table2[[#This Row],[Satification_points]]&lt;3,"POOR")</f>
        <v>POOR</v>
      </c>
    </row>
    <row r="33" spans="1:29" x14ac:dyDescent="0.3">
      <c r="A33">
        <v>32</v>
      </c>
      <c r="B33">
        <v>38807</v>
      </c>
      <c r="C33" t="s">
        <v>90</v>
      </c>
      <c r="D33" t="s">
        <v>48</v>
      </c>
      <c r="E33" t="s">
        <v>27</v>
      </c>
      <c r="F33" s="1">
        <v>45093</v>
      </c>
      <c r="G33" s="1">
        <v>45399</v>
      </c>
      <c r="H33">
        <v>14</v>
      </c>
      <c r="I33" t="s">
        <v>42</v>
      </c>
      <c r="J33" t="s">
        <v>53</v>
      </c>
      <c r="K33">
        <v>2</v>
      </c>
      <c r="L33">
        <v>4</v>
      </c>
      <c r="M33">
        <v>2</v>
      </c>
      <c r="N33">
        <v>5</v>
      </c>
      <c r="O33">
        <v>5</v>
      </c>
      <c r="P33">
        <v>3</v>
      </c>
      <c r="Q33">
        <v>5</v>
      </c>
      <c r="R33">
        <v>2</v>
      </c>
      <c r="S33">
        <v>4</v>
      </c>
      <c r="T33">
        <v>4</v>
      </c>
      <c r="U33" t="s">
        <v>30</v>
      </c>
      <c r="V33" t="s">
        <v>46</v>
      </c>
      <c r="W33" t="s">
        <v>47</v>
      </c>
      <c r="X33" t="s">
        <v>40</v>
      </c>
      <c r="Y33">
        <v>48</v>
      </c>
      <c r="Z33" s="1">
        <v>45399</v>
      </c>
      <c r="AA33" t="str" cm="1">
        <f t="array" ref="AA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3" t="str" cm="1">
        <f t="array" ref="AC33">_xlfn.IFS(Table2[[#This Row],[Satification_points]]&gt;=4.5,"GREAT",AND(Table2[[#This Row],[Satification_points]]&gt;=4,Table2[[#This Row],[Satification_points]]&lt;4.5),"GOOD",AND(Table2[[#This Row],[Satification_points]]&gt;=3,Table2[[#This Row],[Satification_points]]&lt;4),"AVERAGE",Table2[[#This Row],[Satification_points]]&lt;3,"POOR")</f>
        <v>AVERAGE</v>
      </c>
    </row>
    <row r="34" spans="1:29" x14ac:dyDescent="0.3">
      <c r="A34">
        <v>33</v>
      </c>
      <c r="B34">
        <v>72201</v>
      </c>
      <c r="C34" t="s">
        <v>91</v>
      </c>
      <c r="D34" t="s">
        <v>34</v>
      </c>
      <c r="E34" t="s">
        <v>57</v>
      </c>
      <c r="F34" s="1">
        <v>45581</v>
      </c>
      <c r="G34" s="1">
        <v>45582</v>
      </c>
      <c r="H34">
        <v>8</v>
      </c>
      <c r="I34" t="s">
        <v>50</v>
      </c>
      <c r="J34" t="s">
        <v>40</v>
      </c>
      <c r="K34">
        <v>3</v>
      </c>
      <c r="L34">
        <v>5</v>
      </c>
      <c r="M34">
        <v>1</v>
      </c>
      <c r="N34">
        <v>2</v>
      </c>
      <c r="O34">
        <v>1</v>
      </c>
      <c r="P34">
        <v>5</v>
      </c>
      <c r="Q34">
        <v>5</v>
      </c>
      <c r="R34">
        <v>3</v>
      </c>
      <c r="S34">
        <v>3</v>
      </c>
      <c r="T34">
        <v>2</v>
      </c>
      <c r="U34" t="s">
        <v>30</v>
      </c>
      <c r="V34" t="s">
        <v>38</v>
      </c>
      <c r="W34" t="s">
        <v>56</v>
      </c>
      <c r="X34" t="s">
        <v>33</v>
      </c>
      <c r="Y34">
        <v>18</v>
      </c>
      <c r="Z34" s="1">
        <v>45582</v>
      </c>
      <c r="AA34" t="str" cm="1">
        <f t="array" ref="AA34">_xlfn.IFS(AND(Table2[[#This Row],[Guest_Age]]&gt;=18,Table2[[#This Row],[Guest_Age]]&lt;=25),"Young Adults",AND(Table2[[#This Row],[Guest_Age]]&gt;=26,Table2[[#This Row],[Guest_Age]]&lt;=35),"Adults",AND(Table2[[#This Row],[Guest_Age]]&gt;=36,Table2[[#This Row],[Guest_Age]]&lt;=50),"Middle Aged Adults",Table2[[#This Row],[Guest_Age]]&gt;50,"Senior")</f>
        <v>Young Adults</v>
      </c>
      <c r="AB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4" t="str" cm="1">
        <f t="array" ref="AC34">_xlfn.IFS(Table2[[#This Row],[Satification_points]]&gt;=4.5,"GREAT",AND(Table2[[#This Row],[Satification_points]]&gt;=4,Table2[[#This Row],[Satification_points]]&lt;4.5),"GOOD",AND(Table2[[#This Row],[Satification_points]]&gt;=3,Table2[[#This Row],[Satification_points]]&lt;4),"AVERAGE",Table2[[#This Row],[Satification_points]]&lt;3,"POOR")</f>
        <v>AVERAGE</v>
      </c>
    </row>
    <row r="35" spans="1:29" x14ac:dyDescent="0.3">
      <c r="A35">
        <v>34</v>
      </c>
      <c r="B35">
        <v>84737</v>
      </c>
      <c r="C35" t="s">
        <v>92</v>
      </c>
      <c r="D35" t="s">
        <v>51</v>
      </c>
      <c r="E35" t="s">
        <v>45</v>
      </c>
      <c r="F35" s="1">
        <v>44948</v>
      </c>
      <c r="G35" s="1">
        <v>45604</v>
      </c>
      <c r="H35">
        <v>10</v>
      </c>
      <c r="I35" t="s">
        <v>28</v>
      </c>
      <c r="J35" t="s">
        <v>53</v>
      </c>
      <c r="K35">
        <v>2</v>
      </c>
      <c r="L35">
        <v>5</v>
      </c>
      <c r="M35">
        <v>3</v>
      </c>
      <c r="N35">
        <v>1</v>
      </c>
      <c r="O35">
        <v>1</v>
      </c>
      <c r="P35">
        <v>5</v>
      </c>
      <c r="Q35">
        <v>3</v>
      </c>
      <c r="R35">
        <v>4</v>
      </c>
      <c r="S35">
        <v>5</v>
      </c>
      <c r="T35">
        <v>4</v>
      </c>
      <c r="U35" t="s">
        <v>37</v>
      </c>
      <c r="V35" t="s">
        <v>31</v>
      </c>
      <c r="W35" t="s">
        <v>32</v>
      </c>
      <c r="X35" t="s">
        <v>33</v>
      </c>
      <c r="Y35">
        <v>58</v>
      </c>
      <c r="Z35" s="1">
        <v>45604</v>
      </c>
      <c r="AA35" t="str" cm="1">
        <f t="array" ref="AA35">_xlfn.IFS(AND(Table2[[#This Row],[Guest_Age]]&gt;=18,Table2[[#This Row],[Guest_Age]]&lt;=25),"Young Adults",AND(Table2[[#This Row],[Guest_Age]]&gt;=26,Table2[[#This Row],[Guest_Age]]&lt;=35),"Adults",AND(Table2[[#This Row],[Guest_Age]]&gt;=36,Table2[[#This Row],[Guest_Age]]&lt;=50),"Middle Aged Adults",Table2[[#This Row],[Guest_Age]]&gt;50,"Senior")</f>
        <v>Senior</v>
      </c>
      <c r="AB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5" t="str" cm="1">
        <f t="array" ref="AC35">_xlfn.IFS(Table2[[#This Row],[Satification_points]]&gt;=4.5,"GREAT",AND(Table2[[#This Row],[Satification_points]]&gt;=4,Table2[[#This Row],[Satification_points]]&lt;4.5),"GOOD",AND(Table2[[#This Row],[Satification_points]]&gt;=3,Table2[[#This Row],[Satification_points]]&lt;4),"AVERAGE",Table2[[#This Row],[Satification_points]]&lt;3,"POOR")</f>
        <v>AVERAGE</v>
      </c>
    </row>
    <row r="36" spans="1:29" x14ac:dyDescent="0.3">
      <c r="A36">
        <v>35</v>
      </c>
      <c r="B36">
        <v>28013</v>
      </c>
      <c r="C36" t="s">
        <v>93</v>
      </c>
      <c r="D36" t="s">
        <v>51</v>
      </c>
      <c r="E36" t="s">
        <v>57</v>
      </c>
      <c r="F36" s="1">
        <v>45202</v>
      </c>
      <c r="G36" s="1">
        <v>45297</v>
      </c>
      <c r="H36">
        <v>6</v>
      </c>
      <c r="I36" t="s">
        <v>49</v>
      </c>
      <c r="J36" t="s">
        <v>36</v>
      </c>
      <c r="K36">
        <v>5</v>
      </c>
      <c r="L36">
        <v>4</v>
      </c>
      <c r="M36">
        <v>2</v>
      </c>
      <c r="N36">
        <v>5</v>
      </c>
      <c r="O36">
        <v>2</v>
      </c>
      <c r="P36">
        <v>2</v>
      </c>
      <c r="Q36">
        <v>1</v>
      </c>
      <c r="R36">
        <v>1</v>
      </c>
      <c r="S36">
        <v>2</v>
      </c>
      <c r="T36">
        <v>1</v>
      </c>
      <c r="U36" t="s">
        <v>30</v>
      </c>
      <c r="V36" t="s">
        <v>38</v>
      </c>
      <c r="W36" t="s">
        <v>39</v>
      </c>
      <c r="X36" t="s">
        <v>44</v>
      </c>
      <c r="Y36">
        <v>28</v>
      </c>
      <c r="Z36" s="1">
        <v>45362</v>
      </c>
      <c r="AA36" t="str" cm="1">
        <f t="array" ref="AA36">_xlfn.IFS(AND(Table2[[#This Row],[Guest_Age]]&gt;=18,Table2[[#This Row],[Guest_Age]]&lt;=25),"Young Adults",AND(Table2[[#This Row],[Guest_Age]]&gt;=26,Table2[[#This Row],[Guest_Age]]&lt;=35),"Adults",AND(Table2[[#This Row],[Guest_Age]]&gt;=36,Table2[[#This Row],[Guest_Age]]&lt;=50),"Middle Aged Adults",Table2[[#This Row],[Guest_Age]]&gt;50,"Senior")</f>
        <v>Adults</v>
      </c>
      <c r="AB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6" t="str" cm="1">
        <f t="array" ref="AC36">_xlfn.IFS(Table2[[#This Row],[Satification_points]]&gt;=4.5,"GREAT",AND(Table2[[#This Row],[Satification_points]]&gt;=4,Table2[[#This Row],[Satification_points]]&lt;4.5),"GOOD",AND(Table2[[#This Row],[Satification_points]]&gt;=3,Table2[[#This Row],[Satification_points]]&lt;4),"AVERAGE",Table2[[#This Row],[Satification_points]]&lt;3,"POOR")</f>
        <v>POOR</v>
      </c>
    </row>
    <row r="37" spans="1:29" x14ac:dyDescent="0.3">
      <c r="A37">
        <v>36</v>
      </c>
      <c r="B37">
        <v>21311</v>
      </c>
      <c r="C37" t="s">
        <v>94</v>
      </c>
      <c r="D37" t="s">
        <v>51</v>
      </c>
      <c r="E37" t="s">
        <v>52</v>
      </c>
      <c r="F37" s="1">
        <v>45334</v>
      </c>
      <c r="G37" s="1">
        <v>45515</v>
      </c>
      <c r="H37">
        <v>12</v>
      </c>
      <c r="I37" t="s">
        <v>28</v>
      </c>
      <c r="J37" t="s">
        <v>43</v>
      </c>
      <c r="K37">
        <v>2</v>
      </c>
      <c r="L37">
        <v>5</v>
      </c>
      <c r="M37">
        <v>2</v>
      </c>
      <c r="N37">
        <v>2</v>
      </c>
      <c r="O37">
        <v>5</v>
      </c>
      <c r="P37">
        <v>5</v>
      </c>
      <c r="Q37">
        <v>2</v>
      </c>
      <c r="R37">
        <v>3</v>
      </c>
      <c r="S37">
        <v>4</v>
      </c>
      <c r="T37">
        <v>1</v>
      </c>
      <c r="U37" t="s">
        <v>37</v>
      </c>
      <c r="V37" t="s">
        <v>58</v>
      </c>
      <c r="W37" t="s">
        <v>39</v>
      </c>
      <c r="X37" t="s">
        <v>44</v>
      </c>
      <c r="Y37">
        <v>23</v>
      </c>
      <c r="Z37" s="1">
        <v>45515</v>
      </c>
      <c r="AA37" t="str" cm="1">
        <f t="array" ref="AA37">_xlfn.IFS(AND(Table2[[#This Row],[Guest_Age]]&gt;=18,Table2[[#This Row],[Guest_Age]]&lt;=25),"Young Adults",AND(Table2[[#This Row],[Guest_Age]]&gt;=26,Table2[[#This Row],[Guest_Age]]&lt;=35),"Adults",AND(Table2[[#This Row],[Guest_Age]]&gt;=36,Table2[[#This Row],[Guest_Age]]&lt;=50),"Middle Aged Adults",Table2[[#This Row],[Guest_Age]]&gt;50,"Senior")</f>
        <v>Young Adults</v>
      </c>
      <c r="AB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7" t="str" cm="1">
        <f t="array" ref="AC37">_xlfn.IFS(Table2[[#This Row],[Satification_points]]&gt;=4.5,"GREAT",AND(Table2[[#This Row],[Satification_points]]&gt;=4,Table2[[#This Row],[Satification_points]]&lt;4.5),"GOOD",AND(Table2[[#This Row],[Satification_points]]&gt;=3,Table2[[#This Row],[Satification_points]]&lt;4),"AVERAGE",Table2[[#This Row],[Satification_points]]&lt;3,"POOR")</f>
        <v>AVERAGE</v>
      </c>
    </row>
    <row r="38" spans="1:29" x14ac:dyDescent="0.3">
      <c r="A38">
        <v>37</v>
      </c>
      <c r="B38">
        <v>40627</v>
      </c>
      <c r="C38" t="s">
        <v>95</v>
      </c>
      <c r="D38" t="s">
        <v>26</v>
      </c>
      <c r="E38" t="s">
        <v>52</v>
      </c>
      <c r="F38" s="1">
        <v>45408</v>
      </c>
      <c r="G38" s="1">
        <v>45409</v>
      </c>
      <c r="H38">
        <v>8</v>
      </c>
      <c r="I38" t="s">
        <v>42</v>
      </c>
      <c r="J38" t="s">
        <v>43</v>
      </c>
      <c r="K38">
        <v>2</v>
      </c>
      <c r="L38">
        <v>1</v>
      </c>
      <c r="M38">
        <v>2</v>
      </c>
      <c r="N38">
        <v>3</v>
      </c>
      <c r="O38">
        <v>5</v>
      </c>
      <c r="P38">
        <v>3</v>
      </c>
      <c r="Q38">
        <v>1</v>
      </c>
      <c r="R38">
        <v>1</v>
      </c>
      <c r="S38">
        <v>1</v>
      </c>
      <c r="T38">
        <v>4</v>
      </c>
      <c r="U38" t="s">
        <v>37</v>
      </c>
      <c r="V38" t="s">
        <v>54</v>
      </c>
      <c r="W38" t="s">
        <v>39</v>
      </c>
      <c r="X38" t="s">
        <v>44</v>
      </c>
      <c r="Y38">
        <v>68</v>
      </c>
      <c r="Z38" s="1">
        <v>45409</v>
      </c>
      <c r="AA38" t="str" cm="1">
        <f t="array" ref="AA38">_xlfn.IFS(AND(Table2[[#This Row],[Guest_Age]]&gt;=18,Table2[[#This Row],[Guest_Age]]&lt;=25),"Young Adults",AND(Table2[[#This Row],[Guest_Age]]&gt;=26,Table2[[#This Row],[Guest_Age]]&lt;=35),"Adults",AND(Table2[[#This Row],[Guest_Age]]&gt;=36,Table2[[#This Row],[Guest_Age]]&lt;=50),"Middle Aged Adults",Table2[[#This Row],[Guest_Age]]&gt;50,"Senior")</f>
        <v>Senior</v>
      </c>
      <c r="AB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38" t="str" cm="1">
        <f t="array" ref="AC38">_xlfn.IFS(Table2[[#This Row],[Satification_points]]&gt;=4.5,"GREAT",AND(Table2[[#This Row],[Satification_points]]&gt;=4,Table2[[#This Row],[Satification_points]]&lt;4.5),"GOOD",AND(Table2[[#This Row],[Satification_points]]&gt;=3,Table2[[#This Row],[Satification_points]]&lt;4),"AVERAGE",Table2[[#This Row],[Satification_points]]&lt;3,"POOR")</f>
        <v>POOR</v>
      </c>
    </row>
    <row r="39" spans="1:29" x14ac:dyDescent="0.3">
      <c r="A39">
        <v>38</v>
      </c>
      <c r="B39">
        <v>90483</v>
      </c>
      <c r="C39" t="s">
        <v>96</v>
      </c>
      <c r="D39" t="s">
        <v>34</v>
      </c>
      <c r="E39" t="s">
        <v>45</v>
      </c>
      <c r="F39" s="1">
        <v>45225</v>
      </c>
      <c r="G39" s="1">
        <v>45625</v>
      </c>
      <c r="H39">
        <v>12</v>
      </c>
      <c r="I39" t="s">
        <v>50</v>
      </c>
      <c r="J39" t="s">
        <v>40</v>
      </c>
      <c r="K39">
        <v>1</v>
      </c>
      <c r="L39">
        <v>2</v>
      </c>
      <c r="M39">
        <v>3</v>
      </c>
      <c r="N39">
        <v>1</v>
      </c>
      <c r="O39">
        <v>1</v>
      </c>
      <c r="P39">
        <v>2</v>
      </c>
      <c r="Q39">
        <v>4</v>
      </c>
      <c r="R39">
        <v>2</v>
      </c>
      <c r="S39">
        <v>2</v>
      </c>
      <c r="T39">
        <v>2</v>
      </c>
      <c r="U39" t="s">
        <v>30</v>
      </c>
      <c r="V39" t="s">
        <v>58</v>
      </c>
      <c r="W39" t="s">
        <v>47</v>
      </c>
      <c r="X39" t="s">
        <v>40</v>
      </c>
      <c r="Y39">
        <v>62</v>
      </c>
      <c r="Z39" s="1">
        <v>45625</v>
      </c>
      <c r="AA39" t="str" cm="1">
        <f t="array" ref="AA39">_xlfn.IFS(AND(Table2[[#This Row],[Guest_Age]]&gt;=18,Table2[[#This Row],[Guest_Age]]&lt;=25),"Young Adults",AND(Table2[[#This Row],[Guest_Age]]&gt;=26,Table2[[#This Row],[Guest_Age]]&lt;=35),"Adults",AND(Table2[[#This Row],[Guest_Age]]&gt;=36,Table2[[#This Row],[Guest_Age]]&lt;=50),"Middle Aged Adults",Table2[[#This Row],[Guest_Age]]&gt;50,"Senior")</f>
        <v>Senior</v>
      </c>
      <c r="AB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39" t="str" cm="1">
        <f t="array" ref="AC39">_xlfn.IFS(Table2[[#This Row],[Satification_points]]&gt;=4.5,"GREAT",AND(Table2[[#This Row],[Satification_points]]&gt;=4,Table2[[#This Row],[Satification_points]]&lt;4.5),"GOOD",AND(Table2[[#This Row],[Satification_points]]&gt;=3,Table2[[#This Row],[Satification_points]]&lt;4),"AVERAGE",Table2[[#This Row],[Satification_points]]&lt;3,"POOR")</f>
        <v>POOR</v>
      </c>
    </row>
    <row r="40" spans="1:29" x14ac:dyDescent="0.3">
      <c r="A40">
        <v>39</v>
      </c>
      <c r="B40">
        <v>19041</v>
      </c>
      <c r="C40" t="s">
        <v>97</v>
      </c>
      <c r="D40" t="s">
        <v>48</v>
      </c>
      <c r="E40" t="s">
        <v>57</v>
      </c>
      <c r="F40" s="1">
        <v>45203</v>
      </c>
      <c r="G40" s="1">
        <v>45204</v>
      </c>
      <c r="H40">
        <v>14</v>
      </c>
      <c r="I40" t="s">
        <v>42</v>
      </c>
      <c r="J40" t="s">
        <v>29</v>
      </c>
      <c r="K40">
        <v>5</v>
      </c>
      <c r="L40">
        <v>3</v>
      </c>
      <c r="M40">
        <v>4</v>
      </c>
      <c r="N40">
        <v>4</v>
      </c>
      <c r="O40">
        <v>5</v>
      </c>
      <c r="P40">
        <v>1</v>
      </c>
      <c r="Q40">
        <v>4</v>
      </c>
      <c r="R40">
        <v>2</v>
      </c>
      <c r="S40">
        <v>1</v>
      </c>
      <c r="T40">
        <v>2</v>
      </c>
      <c r="U40" t="s">
        <v>37</v>
      </c>
      <c r="V40" t="s">
        <v>31</v>
      </c>
      <c r="W40" t="s">
        <v>55</v>
      </c>
      <c r="X40" t="s">
        <v>44</v>
      </c>
      <c r="Y40">
        <v>34</v>
      </c>
      <c r="Z40" s="1">
        <v>45298</v>
      </c>
      <c r="AA40" t="str" cm="1">
        <f t="array" ref="AA40">_xlfn.IFS(AND(Table2[[#This Row],[Guest_Age]]&gt;=18,Table2[[#This Row],[Guest_Age]]&lt;=25),"Young Adults",AND(Table2[[#This Row],[Guest_Age]]&gt;=26,Table2[[#This Row],[Guest_Age]]&lt;=35),"Adults",AND(Table2[[#This Row],[Guest_Age]]&gt;=36,Table2[[#This Row],[Guest_Age]]&lt;=50),"Middle Aged Adults",Table2[[#This Row],[Guest_Age]]&gt;50,"Senior")</f>
        <v>Adults</v>
      </c>
      <c r="AB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0" t="str" cm="1">
        <f t="array" ref="AC40">_xlfn.IFS(Table2[[#This Row],[Satification_points]]&gt;=4.5,"GREAT",AND(Table2[[#This Row],[Satification_points]]&gt;=4,Table2[[#This Row],[Satification_points]]&lt;4.5),"GOOD",AND(Table2[[#This Row],[Satification_points]]&gt;=3,Table2[[#This Row],[Satification_points]]&lt;4),"AVERAGE",Table2[[#This Row],[Satification_points]]&lt;3,"POOR")</f>
        <v>AVERAGE</v>
      </c>
    </row>
    <row r="41" spans="1:29" x14ac:dyDescent="0.3">
      <c r="A41">
        <v>40</v>
      </c>
      <c r="B41">
        <v>66513</v>
      </c>
      <c r="C41" t="s">
        <v>98</v>
      </c>
      <c r="D41" t="s">
        <v>51</v>
      </c>
      <c r="E41" t="s">
        <v>57</v>
      </c>
      <c r="F41" s="1">
        <v>45248</v>
      </c>
      <c r="G41" s="1">
        <v>45518</v>
      </c>
      <c r="H41">
        <v>5</v>
      </c>
      <c r="I41" t="s">
        <v>42</v>
      </c>
      <c r="J41" t="s">
        <v>53</v>
      </c>
      <c r="K41">
        <v>4</v>
      </c>
      <c r="L41">
        <v>5</v>
      </c>
      <c r="M41">
        <v>1</v>
      </c>
      <c r="N41">
        <v>5</v>
      </c>
      <c r="O41">
        <v>2</v>
      </c>
      <c r="P41">
        <v>5</v>
      </c>
      <c r="Q41">
        <v>5</v>
      </c>
      <c r="R41">
        <v>4</v>
      </c>
      <c r="S41">
        <v>5</v>
      </c>
      <c r="T41">
        <v>4</v>
      </c>
      <c r="U41" t="s">
        <v>37</v>
      </c>
      <c r="V41" t="s">
        <v>38</v>
      </c>
      <c r="W41" t="s">
        <v>56</v>
      </c>
      <c r="X41" t="s">
        <v>44</v>
      </c>
      <c r="Y41">
        <v>31</v>
      </c>
      <c r="Z41" s="1">
        <v>45518</v>
      </c>
      <c r="AA41" t="str" cm="1">
        <f t="array" ref="AA41">_xlfn.IFS(AND(Table2[[#This Row],[Guest_Age]]&gt;=18,Table2[[#This Row],[Guest_Age]]&lt;=25),"Young Adults",AND(Table2[[#This Row],[Guest_Age]]&gt;=26,Table2[[#This Row],[Guest_Age]]&lt;=35),"Adults",AND(Table2[[#This Row],[Guest_Age]]&gt;=36,Table2[[#This Row],[Guest_Age]]&lt;=50),"Middle Aged Adults",Table2[[#This Row],[Guest_Age]]&gt;50,"Senior")</f>
        <v>Adults</v>
      </c>
      <c r="AB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41" t="str" cm="1">
        <f t="array" ref="AC41">_xlfn.IFS(Table2[[#This Row],[Satification_points]]&gt;=4.5,"GREAT",AND(Table2[[#This Row],[Satification_points]]&gt;=4,Table2[[#This Row],[Satification_points]]&lt;4.5),"GOOD",AND(Table2[[#This Row],[Satification_points]]&gt;=3,Table2[[#This Row],[Satification_points]]&lt;4),"AVERAGE",Table2[[#This Row],[Satification_points]]&lt;3,"POOR")</f>
        <v>GOOD</v>
      </c>
    </row>
    <row r="42" spans="1:29" x14ac:dyDescent="0.3">
      <c r="A42">
        <v>41</v>
      </c>
      <c r="B42">
        <v>81796</v>
      </c>
      <c r="C42" t="s">
        <v>99</v>
      </c>
      <c r="D42" t="s">
        <v>41</v>
      </c>
      <c r="E42" t="s">
        <v>45</v>
      </c>
      <c r="F42" s="1">
        <v>45041</v>
      </c>
      <c r="G42" s="1">
        <v>45042</v>
      </c>
      <c r="H42">
        <v>1</v>
      </c>
      <c r="I42" t="s">
        <v>50</v>
      </c>
      <c r="J42" t="s">
        <v>43</v>
      </c>
      <c r="K42">
        <v>5</v>
      </c>
      <c r="L42">
        <v>1</v>
      </c>
      <c r="M42">
        <v>1</v>
      </c>
      <c r="N42">
        <v>5</v>
      </c>
      <c r="O42">
        <v>5</v>
      </c>
      <c r="P42">
        <v>3</v>
      </c>
      <c r="Q42">
        <v>3</v>
      </c>
      <c r="R42">
        <v>3</v>
      </c>
      <c r="S42">
        <v>1</v>
      </c>
      <c r="T42">
        <v>2</v>
      </c>
      <c r="U42" t="s">
        <v>37</v>
      </c>
      <c r="V42" t="s">
        <v>38</v>
      </c>
      <c r="W42" t="s">
        <v>55</v>
      </c>
      <c r="X42" t="s">
        <v>44</v>
      </c>
      <c r="Y42">
        <v>49</v>
      </c>
      <c r="Z42" s="1">
        <v>45532</v>
      </c>
      <c r="AA42" t="str" cm="1">
        <f t="array" ref="AA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2" t="str" cm="1">
        <f t="array" ref="AC42">_xlfn.IFS(Table2[[#This Row],[Satification_points]]&gt;=4.5,"GREAT",AND(Table2[[#This Row],[Satification_points]]&gt;=4,Table2[[#This Row],[Satification_points]]&lt;4.5),"GOOD",AND(Table2[[#This Row],[Satification_points]]&gt;=3,Table2[[#This Row],[Satification_points]]&lt;4),"AVERAGE",Table2[[#This Row],[Satification_points]]&lt;3,"POOR")</f>
        <v>POOR</v>
      </c>
    </row>
    <row r="43" spans="1:29" x14ac:dyDescent="0.3">
      <c r="A43">
        <v>42</v>
      </c>
      <c r="B43">
        <v>33306</v>
      </c>
      <c r="C43" t="s">
        <v>100</v>
      </c>
      <c r="D43" t="s">
        <v>26</v>
      </c>
      <c r="E43" t="s">
        <v>52</v>
      </c>
      <c r="F43" s="1">
        <v>45198</v>
      </c>
      <c r="G43" s="1">
        <v>45554</v>
      </c>
      <c r="H43">
        <v>4</v>
      </c>
      <c r="I43" t="s">
        <v>49</v>
      </c>
      <c r="J43" t="s">
        <v>43</v>
      </c>
      <c r="K43">
        <v>3</v>
      </c>
      <c r="L43">
        <v>2</v>
      </c>
      <c r="M43">
        <v>4</v>
      </c>
      <c r="N43">
        <v>3</v>
      </c>
      <c r="O43">
        <v>5</v>
      </c>
      <c r="P43">
        <v>2</v>
      </c>
      <c r="Q43">
        <v>2</v>
      </c>
      <c r="R43">
        <v>3</v>
      </c>
      <c r="S43">
        <v>3</v>
      </c>
      <c r="T43">
        <v>1</v>
      </c>
      <c r="U43" t="s">
        <v>30</v>
      </c>
      <c r="V43" t="s">
        <v>58</v>
      </c>
      <c r="W43" t="s">
        <v>55</v>
      </c>
      <c r="X43" t="s">
        <v>40</v>
      </c>
      <c r="Y43">
        <v>37</v>
      </c>
      <c r="Z43" s="1">
        <v>45554</v>
      </c>
      <c r="AA43" t="str" cm="1">
        <f t="array" ref="AA43">_xlfn.IFS(AND(Table2[[#This Row],[Guest_Age]]&gt;=18,Table2[[#This Row],[Guest_Age]]&lt;=25),"Young Adults",AND(Table2[[#This Row],[Guest_Age]]&gt;=26,Table2[[#This Row],[Guest_Age]]&lt;=35),"Adults",AND(Table2[[#This Row],[Guest_Age]]&gt;=36,Table2[[#This Row],[Guest_Age]]&lt;=50),"Middle Aged Adults",Table2[[#This Row],[Guest_Age]]&gt;50,"Senior")</f>
        <v>Middle Aged Adults</v>
      </c>
      <c r="AB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3" t="str" cm="1">
        <f t="array" ref="AC43">_xlfn.IFS(Table2[[#This Row],[Satification_points]]&gt;=4.5,"GREAT",AND(Table2[[#This Row],[Satification_points]]&gt;=4,Table2[[#This Row],[Satification_points]]&lt;4.5),"GOOD",AND(Table2[[#This Row],[Satification_points]]&gt;=3,Table2[[#This Row],[Satification_points]]&lt;4),"AVERAGE",Table2[[#This Row],[Satification_points]]&lt;3,"POOR")</f>
        <v>POOR</v>
      </c>
    </row>
    <row r="44" spans="1:29" x14ac:dyDescent="0.3">
      <c r="A44">
        <v>43</v>
      </c>
      <c r="B44">
        <v>53827</v>
      </c>
      <c r="C44" t="s">
        <v>101</v>
      </c>
      <c r="D44" t="s">
        <v>48</v>
      </c>
      <c r="E44" t="s">
        <v>27</v>
      </c>
      <c r="F44" s="1">
        <v>45094</v>
      </c>
      <c r="G44" s="1">
        <v>45129</v>
      </c>
      <c r="H44">
        <v>11</v>
      </c>
      <c r="I44" t="s">
        <v>49</v>
      </c>
      <c r="J44" t="s">
        <v>29</v>
      </c>
      <c r="K44">
        <v>5</v>
      </c>
      <c r="L44">
        <v>1</v>
      </c>
      <c r="M44">
        <v>2</v>
      </c>
      <c r="N44">
        <v>2</v>
      </c>
      <c r="O44">
        <v>2</v>
      </c>
      <c r="P44">
        <v>1</v>
      </c>
      <c r="Q44">
        <v>3</v>
      </c>
      <c r="R44">
        <v>5</v>
      </c>
      <c r="S44">
        <v>5</v>
      </c>
      <c r="T44">
        <v>1</v>
      </c>
      <c r="U44" t="s">
        <v>37</v>
      </c>
      <c r="V44" t="s">
        <v>46</v>
      </c>
      <c r="W44" t="s">
        <v>32</v>
      </c>
      <c r="X44" t="s">
        <v>44</v>
      </c>
      <c r="Y44">
        <v>21</v>
      </c>
      <c r="Z44" s="1">
        <v>45129</v>
      </c>
      <c r="AA44" t="str" cm="1">
        <f t="array" ref="AA44">_xlfn.IFS(AND(Table2[[#This Row],[Guest_Age]]&gt;=18,Table2[[#This Row],[Guest_Age]]&lt;=25),"Young Adults",AND(Table2[[#This Row],[Guest_Age]]&gt;=26,Table2[[#This Row],[Guest_Age]]&lt;=35),"Adults",AND(Table2[[#This Row],[Guest_Age]]&gt;=36,Table2[[#This Row],[Guest_Age]]&lt;=50),"Middle Aged Adults",Table2[[#This Row],[Guest_Age]]&gt;50,"Senior")</f>
        <v>Young Adults</v>
      </c>
      <c r="AB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4" t="str" cm="1">
        <f t="array" ref="AC44">_xlfn.IFS(Table2[[#This Row],[Satification_points]]&gt;=4.5,"GREAT",AND(Table2[[#This Row],[Satification_points]]&gt;=4,Table2[[#This Row],[Satification_points]]&lt;4.5),"GOOD",AND(Table2[[#This Row],[Satification_points]]&gt;=3,Table2[[#This Row],[Satification_points]]&lt;4),"AVERAGE",Table2[[#This Row],[Satification_points]]&lt;3,"POOR")</f>
        <v>POOR</v>
      </c>
    </row>
    <row r="45" spans="1:29" x14ac:dyDescent="0.3">
      <c r="A45">
        <v>44</v>
      </c>
      <c r="B45">
        <v>99086</v>
      </c>
      <c r="C45" t="s">
        <v>102</v>
      </c>
      <c r="D45" t="s">
        <v>51</v>
      </c>
      <c r="E45" t="s">
        <v>57</v>
      </c>
      <c r="F45" s="1">
        <v>45362</v>
      </c>
      <c r="G45" s="1">
        <v>45363</v>
      </c>
      <c r="H45">
        <v>6</v>
      </c>
      <c r="I45" t="s">
        <v>28</v>
      </c>
      <c r="J45" t="s">
        <v>53</v>
      </c>
      <c r="K45">
        <v>1</v>
      </c>
      <c r="L45">
        <v>1</v>
      </c>
      <c r="M45">
        <v>5</v>
      </c>
      <c r="N45">
        <v>3</v>
      </c>
      <c r="O45">
        <v>4</v>
      </c>
      <c r="P45">
        <v>1</v>
      </c>
      <c r="Q45">
        <v>2</v>
      </c>
      <c r="R45">
        <v>4</v>
      </c>
      <c r="S45">
        <v>2</v>
      </c>
      <c r="T45">
        <v>1</v>
      </c>
      <c r="U45" t="s">
        <v>37</v>
      </c>
      <c r="V45" t="s">
        <v>54</v>
      </c>
      <c r="W45" t="s">
        <v>56</v>
      </c>
      <c r="X45" t="s">
        <v>33</v>
      </c>
      <c r="Y45">
        <v>56</v>
      </c>
      <c r="Z45" s="1">
        <v>45363</v>
      </c>
      <c r="AA45" t="str" cm="1">
        <f t="array" ref="AA45">_xlfn.IFS(AND(Table2[[#This Row],[Guest_Age]]&gt;=18,Table2[[#This Row],[Guest_Age]]&lt;=25),"Young Adults",AND(Table2[[#This Row],[Guest_Age]]&gt;=26,Table2[[#This Row],[Guest_Age]]&lt;=35),"Adults",AND(Table2[[#This Row],[Guest_Age]]&gt;=36,Table2[[#This Row],[Guest_Age]]&lt;=50),"Middle Aged Adults",Table2[[#This Row],[Guest_Age]]&gt;50,"Senior")</f>
        <v>Senior</v>
      </c>
      <c r="AB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5" t="str" cm="1">
        <f t="array" ref="AC45">_xlfn.IFS(Table2[[#This Row],[Satification_points]]&gt;=4.5,"GREAT",AND(Table2[[#This Row],[Satification_points]]&gt;=4,Table2[[#This Row],[Satification_points]]&lt;4.5),"GOOD",AND(Table2[[#This Row],[Satification_points]]&gt;=3,Table2[[#This Row],[Satification_points]]&lt;4),"AVERAGE",Table2[[#This Row],[Satification_points]]&lt;3,"POOR")</f>
        <v>POOR</v>
      </c>
    </row>
    <row r="46" spans="1:29" x14ac:dyDescent="0.3">
      <c r="A46">
        <v>45</v>
      </c>
      <c r="B46">
        <v>21427</v>
      </c>
      <c r="C46" t="s">
        <v>103</v>
      </c>
      <c r="D46" t="s">
        <v>48</v>
      </c>
      <c r="E46" t="s">
        <v>35</v>
      </c>
      <c r="F46" s="1">
        <v>45190</v>
      </c>
      <c r="G46" s="1">
        <v>45191</v>
      </c>
      <c r="H46">
        <v>9</v>
      </c>
      <c r="I46" t="s">
        <v>49</v>
      </c>
      <c r="J46" t="s">
        <v>36</v>
      </c>
      <c r="K46">
        <v>4</v>
      </c>
      <c r="L46">
        <v>2</v>
      </c>
      <c r="M46">
        <v>3</v>
      </c>
      <c r="N46">
        <v>2</v>
      </c>
      <c r="O46">
        <v>5</v>
      </c>
      <c r="P46">
        <v>4</v>
      </c>
      <c r="Q46">
        <v>1</v>
      </c>
      <c r="R46">
        <v>3</v>
      </c>
      <c r="S46">
        <v>3</v>
      </c>
      <c r="T46">
        <v>5</v>
      </c>
      <c r="U46" t="s">
        <v>37</v>
      </c>
      <c r="V46" t="s">
        <v>38</v>
      </c>
      <c r="W46" t="s">
        <v>32</v>
      </c>
      <c r="X46" t="s">
        <v>40</v>
      </c>
      <c r="Y46">
        <v>64</v>
      </c>
      <c r="Z46" s="1">
        <v>45587</v>
      </c>
      <c r="AA46" t="str" cm="1">
        <f t="array" ref="AA46">_xlfn.IFS(AND(Table2[[#This Row],[Guest_Age]]&gt;=18,Table2[[#This Row],[Guest_Age]]&lt;=25),"Young Adults",AND(Table2[[#This Row],[Guest_Age]]&gt;=26,Table2[[#This Row],[Guest_Age]]&lt;=35),"Adults",AND(Table2[[#This Row],[Guest_Age]]&gt;=36,Table2[[#This Row],[Guest_Age]]&lt;=50),"Middle Aged Adults",Table2[[#This Row],[Guest_Age]]&gt;50,"Senior")</f>
        <v>Senior</v>
      </c>
      <c r="AB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6" t="str" cm="1">
        <f t="array" ref="AC46">_xlfn.IFS(Table2[[#This Row],[Satification_points]]&gt;=4.5,"GREAT",AND(Table2[[#This Row],[Satification_points]]&gt;=4,Table2[[#This Row],[Satification_points]]&lt;4.5),"GOOD",AND(Table2[[#This Row],[Satification_points]]&gt;=3,Table2[[#This Row],[Satification_points]]&lt;4),"AVERAGE",Table2[[#This Row],[Satification_points]]&lt;3,"POOR")</f>
        <v>AVERAGE</v>
      </c>
    </row>
    <row r="47" spans="1:29" x14ac:dyDescent="0.3">
      <c r="A47">
        <v>46</v>
      </c>
      <c r="B47">
        <v>44078</v>
      </c>
      <c r="C47" t="s">
        <v>104</v>
      </c>
      <c r="D47" t="s">
        <v>26</v>
      </c>
      <c r="E47" t="s">
        <v>57</v>
      </c>
      <c r="F47" s="1">
        <v>45176</v>
      </c>
      <c r="G47" s="1">
        <v>45177</v>
      </c>
      <c r="H47">
        <v>13</v>
      </c>
      <c r="I47" t="s">
        <v>49</v>
      </c>
      <c r="J47" t="s">
        <v>43</v>
      </c>
      <c r="K47">
        <v>5</v>
      </c>
      <c r="L47">
        <v>5</v>
      </c>
      <c r="M47">
        <v>2</v>
      </c>
      <c r="N47">
        <v>1</v>
      </c>
      <c r="O47">
        <v>1</v>
      </c>
      <c r="P47">
        <v>4</v>
      </c>
      <c r="Q47">
        <v>5</v>
      </c>
      <c r="R47">
        <v>2</v>
      </c>
      <c r="S47">
        <v>3</v>
      </c>
      <c r="T47">
        <v>3</v>
      </c>
      <c r="U47" t="s">
        <v>37</v>
      </c>
      <c r="V47" t="s">
        <v>38</v>
      </c>
      <c r="W47" t="s">
        <v>55</v>
      </c>
      <c r="X47" t="s">
        <v>40</v>
      </c>
      <c r="Y47">
        <v>39</v>
      </c>
      <c r="Z47" s="1">
        <v>45177</v>
      </c>
      <c r="AA47" t="str" cm="1">
        <f t="array" ref="AA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7" t="str" cm="1">
        <f t="array" ref="AC47">_xlfn.IFS(Table2[[#This Row],[Satification_points]]&gt;=4.5,"GREAT",AND(Table2[[#This Row],[Satification_points]]&gt;=4,Table2[[#This Row],[Satification_points]]&lt;4.5),"GOOD",AND(Table2[[#This Row],[Satification_points]]&gt;=3,Table2[[#This Row],[Satification_points]]&lt;4),"AVERAGE",Table2[[#This Row],[Satification_points]]&lt;3,"POOR")</f>
        <v>AVERAGE</v>
      </c>
    </row>
    <row r="48" spans="1:29" x14ac:dyDescent="0.3">
      <c r="A48">
        <v>47</v>
      </c>
      <c r="B48">
        <v>88359</v>
      </c>
      <c r="C48" t="s">
        <v>105</v>
      </c>
      <c r="D48" t="s">
        <v>41</v>
      </c>
      <c r="E48" t="s">
        <v>57</v>
      </c>
      <c r="F48" s="1">
        <v>45388</v>
      </c>
      <c r="G48" s="1">
        <v>45513</v>
      </c>
      <c r="H48">
        <v>14</v>
      </c>
      <c r="I48" t="s">
        <v>49</v>
      </c>
      <c r="J48" t="s">
        <v>40</v>
      </c>
      <c r="K48">
        <v>4</v>
      </c>
      <c r="L48">
        <v>5</v>
      </c>
      <c r="M48">
        <v>2</v>
      </c>
      <c r="N48">
        <v>5</v>
      </c>
      <c r="O48">
        <v>3</v>
      </c>
      <c r="P48">
        <v>2</v>
      </c>
      <c r="Q48">
        <v>3</v>
      </c>
      <c r="R48">
        <v>4</v>
      </c>
      <c r="S48">
        <v>5</v>
      </c>
      <c r="T48">
        <v>1</v>
      </c>
      <c r="U48" t="s">
        <v>30</v>
      </c>
      <c r="V48" t="s">
        <v>31</v>
      </c>
      <c r="W48" t="s">
        <v>32</v>
      </c>
      <c r="X48" t="s">
        <v>33</v>
      </c>
      <c r="Y48">
        <v>46</v>
      </c>
      <c r="Z48" s="1">
        <v>45513</v>
      </c>
      <c r="AA48" t="str" cm="1">
        <f t="array" ref="AA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8" t="str" cm="1">
        <f t="array" ref="AC48">_xlfn.IFS(Table2[[#This Row],[Satification_points]]&gt;=4.5,"GREAT",AND(Table2[[#This Row],[Satification_points]]&gt;=4,Table2[[#This Row],[Satification_points]]&lt;4.5),"GOOD",AND(Table2[[#This Row],[Satification_points]]&gt;=3,Table2[[#This Row],[Satification_points]]&lt;4),"AVERAGE",Table2[[#This Row],[Satification_points]]&lt;3,"POOR")</f>
        <v>AVERAGE</v>
      </c>
    </row>
    <row r="49" spans="1:29" x14ac:dyDescent="0.3">
      <c r="A49">
        <v>48</v>
      </c>
      <c r="B49">
        <v>41213</v>
      </c>
      <c r="C49" t="s">
        <v>106</v>
      </c>
      <c r="D49" t="s">
        <v>51</v>
      </c>
      <c r="E49" t="s">
        <v>57</v>
      </c>
      <c r="F49" s="1">
        <v>45365</v>
      </c>
      <c r="G49" s="1">
        <v>45366</v>
      </c>
      <c r="H49">
        <v>4</v>
      </c>
      <c r="I49" t="s">
        <v>28</v>
      </c>
      <c r="J49" t="s">
        <v>40</v>
      </c>
      <c r="K49">
        <v>1</v>
      </c>
      <c r="L49">
        <v>1</v>
      </c>
      <c r="M49">
        <v>2</v>
      </c>
      <c r="N49">
        <v>4</v>
      </c>
      <c r="O49">
        <v>1</v>
      </c>
      <c r="P49">
        <v>5</v>
      </c>
      <c r="Q49">
        <v>4</v>
      </c>
      <c r="R49">
        <v>5</v>
      </c>
      <c r="S49">
        <v>1</v>
      </c>
      <c r="T49">
        <v>4</v>
      </c>
      <c r="U49" t="s">
        <v>37</v>
      </c>
      <c r="V49" t="s">
        <v>58</v>
      </c>
      <c r="W49" t="s">
        <v>32</v>
      </c>
      <c r="X49" t="s">
        <v>44</v>
      </c>
      <c r="Y49">
        <v>59</v>
      </c>
      <c r="Z49" s="1">
        <v>45366</v>
      </c>
      <c r="AA49" t="str" cm="1">
        <f t="array" ref="AA49">_xlfn.IFS(AND(Table2[[#This Row],[Guest_Age]]&gt;=18,Table2[[#This Row],[Guest_Age]]&lt;=25),"Young Adults",AND(Table2[[#This Row],[Guest_Age]]&gt;=26,Table2[[#This Row],[Guest_Age]]&lt;=35),"Adults",AND(Table2[[#This Row],[Guest_Age]]&gt;=36,Table2[[#This Row],[Guest_Age]]&lt;=50),"Middle Aged Adults",Table2[[#This Row],[Guest_Age]]&gt;50,"Senior")</f>
        <v>Senior</v>
      </c>
      <c r="AB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9" t="str" cm="1">
        <f t="array" ref="AC49">_xlfn.IFS(Table2[[#This Row],[Satification_points]]&gt;=4.5,"GREAT",AND(Table2[[#This Row],[Satification_points]]&gt;=4,Table2[[#This Row],[Satification_points]]&lt;4.5),"GOOD",AND(Table2[[#This Row],[Satification_points]]&gt;=3,Table2[[#This Row],[Satification_points]]&lt;4),"AVERAGE",Table2[[#This Row],[Satification_points]]&lt;3,"POOR")</f>
        <v>POOR</v>
      </c>
    </row>
    <row r="50" spans="1:29" x14ac:dyDescent="0.3">
      <c r="A50">
        <v>49</v>
      </c>
      <c r="B50">
        <v>94063</v>
      </c>
      <c r="C50" t="s">
        <v>107</v>
      </c>
      <c r="D50" t="s">
        <v>41</v>
      </c>
      <c r="E50" t="s">
        <v>52</v>
      </c>
      <c r="F50" s="1">
        <v>45268</v>
      </c>
      <c r="G50" s="1">
        <v>45435</v>
      </c>
      <c r="H50">
        <v>6</v>
      </c>
      <c r="I50" t="s">
        <v>50</v>
      </c>
      <c r="J50" t="s">
        <v>36</v>
      </c>
      <c r="K50">
        <v>2</v>
      </c>
      <c r="L50">
        <v>4</v>
      </c>
      <c r="M50">
        <v>1</v>
      </c>
      <c r="N50">
        <v>3</v>
      </c>
      <c r="O50">
        <v>1</v>
      </c>
      <c r="P50">
        <v>3</v>
      </c>
      <c r="Q50">
        <v>5</v>
      </c>
      <c r="R50">
        <v>5</v>
      </c>
      <c r="S50">
        <v>1</v>
      </c>
      <c r="T50">
        <v>5</v>
      </c>
      <c r="U50" t="s">
        <v>30</v>
      </c>
      <c r="V50" t="s">
        <v>31</v>
      </c>
      <c r="W50" t="s">
        <v>47</v>
      </c>
      <c r="X50" t="s">
        <v>44</v>
      </c>
      <c r="Y50">
        <v>54</v>
      </c>
      <c r="Z50" s="1">
        <v>45435</v>
      </c>
      <c r="AA50" t="str" cm="1">
        <f t="array" ref="AA50">_xlfn.IFS(AND(Table2[[#This Row],[Guest_Age]]&gt;=18,Table2[[#This Row],[Guest_Age]]&lt;=25),"Young Adults",AND(Table2[[#This Row],[Guest_Age]]&gt;=26,Table2[[#This Row],[Guest_Age]]&lt;=35),"Adults",AND(Table2[[#This Row],[Guest_Age]]&gt;=36,Table2[[#This Row],[Guest_Age]]&lt;=50),"Middle Aged Adults",Table2[[#This Row],[Guest_Age]]&gt;50,"Senior")</f>
        <v>Senior</v>
      </c>
      <c r="AB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0" t="str" cm="1">
        <f t="array" ref="AC50">_xlfn.IFS(Table2[[#This Row],[Satification_points]]&gt;=4.5,"GREAT",AND(Table2[[#This Row],[Satification_points]]&gt;=4,Table2[[#This Row],[Satification_points]]&lt;4.5),"GOOD",AND(Table2[[#This Row],[Satification_points]]&gt;=3,Table2[[#This Row],[Satification_points]]&lt;4),"AVERAGE",Table2[[#This Row],[Satification_points]]&lt;3,"POOR")</f>
        <v>AVERAGE</v>
      </c>
    </row>
    <row r="51" spans="1:29" x14ac:dyDescent="0.3">
      <c r="A51">
        <v>50</v>
      </c>
      <c r="B51">
        <v>72960</v>
      </c>
      <c r="C51" t="s">
        <v>108</v>
      </c>
      <c r="D51" t="s">
        <v>26</v>
      </c>
      <c r="E51" t="s">
        <v>35</v>
      </c>
      <c r="F51" s="1">
        <v>45392</v>
      </c>
      <c r="G51" s="1">
        <v>45393</v>
      </c>
      <c r="H51">
        <v>13</v>
      </c>
      <c r="I51" t="s">
        <v>49</v>
      </c>
      <c r="J51" t="s">
        <v>29</v>
      </c>
      <c r="K51">
        <v>3</v>
      </c>
      <c r="L51">
        <v>5</v>
      </c>
      <c r="M51">
        <v>1</v>
      </c>
      <c r="N51">
        <v>4</v>
      </c>
      <c r="O51">
        <v>4</v>
      </c>
      <c r="P51">
        <v>5</v>
      </c>
      <c r="Q51">
        <v>2</v>
      </c>
      <c r="R51">
        <v>2</v>
      </c>
      <c r="S51">
        <v>2</v>
      </c>
      <c r="T51">
        <v>4</v>
      </c>
      <c r="U51" t="s">
        <v>37</v>
      </c>
      <c r="V51" t="s">
        <v>54</v>
      </c>
      <c r="W51" t="s">
        <v>56</v>
      </c>
      <c r="X51" t="s">
        <v>33</v>
      </c>
      <c r="Y51">
        <v>30</v>
      </c>
      <c r="Z51" s="1">
        <v>45443</v>
      </c>
      <c r="AA51" t="str" cm="1">
        <f t="array" ref="AA51">_xlfn.IFS(AND(Table2[[#This Row],[Guest_Age]]&gt;=18,Table2[[#This Row],[Guest_Age]]&lt;=25),"Young Adults",AND(Table2[[#This Row],[Guest_Age]]&gt;=26,Table2[[#This Row],[Guest_Age]]&lt;=35),"Adults",AND(Table2[[#This Row],[Guest_Age]]&gt;=36,Table2[[#This Row],[Guest_Age]]&lt;=50),"Middle Aged Adults",Table2[[#This Row],[Guest_Age]]&gt;50,"Senior")</f>
        <v>Adults</v>
      </c>
      <c r="AB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1" t="str" cm="1">
        <f t="array" ref="AC51">_xlfn.IFS(Table2[[#This Row],[Satification_points]]&gt;=4.5,"GREAT",AND(Table2[[#This Row],[Satification_points]]&gt;=4,Table2[[#This Row],[Satification_points]]&lt;4.5),"GOOD",AND(Table2[[#This Row],[Satification_points]]&gt;=3,Table2[[#This Row],[Satification_points]]&lt;4),"AVERAGE",Table2[[#This Row],[Satification_points]]&lt;3,"POOR")</f>
        <v>AVERAGE</v>
      </c>
    </row>
    <row r="52" spans="1:29" x14ac:dyDescent="0.3">
      <c r="A52">
        <v>51</v>
      </c>
      <c r="B52">
        <v>73741</v>
      </c>
      <c r="C52" t="s">
        <v>109</v>
      </c>
      <c r="D52" t="s">
        <v>41</v>
      </c>
      <c r="E52" t="s">
        <v>57</v>
      </c>
      <c r="F52" s="1">
        <v>44984</v>
      </c>
      <c r="G52" s="1">
        <v>45189</v>
      </c>
      <c r="H52">
        <v>10</v>
      </c>
      <c r="I52" t="s">
        <v>42</v>
      </c>
      <c r="J52" t="s">
        <v>29</v>
      </c>
      <c r="K52">
        <v>5</v>
      </c>
      <c r="L52">
        <v>1</v>
      </c>
      <c r="M52">
        <v>5</v>
      </c>
      <c r="N52">
        <v>4</v>
      </c>
      <c r="O52">
        <v>4</v>
      </c>
      <c r="P52">
        <v>3</v>
      </c>
      <c r="Q52">
        <v>5</v>
      </c>
      <c r="R52">
        <v>3</v>
      </c>
      <c r="S52">
        <v>5</v>
      </c>
      <c r="T52">
        <v>2</v>
      </c>
      <c r="U52" t="s">
        <v>30</v>
      </c>
      <c r="V52" t="s">
        <v>38</v>
      </c>
      <c r="W52" t="s">
        <v>56</v>
      </c>
      <c r="X52" t="s">
        <v>44</v>
      </c>
      <c r="Y52">
        <v>32</v>
      </c>
      <c r="Z52" s="1">
        <v>45189</v>
      </c>
      <c r="AA52" t="str" cm="1">
        <f t="array" ref="AA52">_xlfn.IFS(AND(Table2[[#This Row],[Guest_Age]]&gt;=18,Table2[[#This Row],[Guest_Age]]&lt;=25),"Young Adults",AND(Table2[[#This Row],[Guest_Age]]&gt;=26,Table2[[#This Row],[Guest_Age]]&lt;=35),"Adults",AND(Table2[[#This Row],[Guest_Age]]&gt;=36,Table2[[#This Row],[Guest_Age]]&lt;=50),"Middle Aged Adults",Table2[[#This Row],[Guest_Age]]&gt;50,"Senior")</f>
        <v>Adults</v>
      </c>
      <c r="AB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52" t="str" cm="1">
        <f t="array" ref="AC52">_xlfn.IFS(Table2[[#This Row],[Satification_points]]&gt;=4.5,"GREAT",AND(Table2[[#This Row],[Satification_points]]&gt;=4,Table2[[#This Row],[Satification_points]]&lt;4.5),"GOOD",AND(Table2[[#This Row],[Satification_points]]&gt;=3,Table2[[#This Row],[Satification_points]]&lt;4),"AVERAGE",Table2[[#This Row],[Satification_points]]&lt;3,"POOR")</f>
        <v>AVERAGE</v>
      </c>
    </row>
    <row r="53" spans="1:29" x14ac:dyDescent="0.3">
      <c r="A53">
        <v>52</v>
      </c>
      <c r="B53">
        <v>69002</v>
      </c>
      <c r="C53" t="s">
        <v>110</v>
      </c>
      <c r="D53" t="s">
        <v>26</v>
      </c>
      <c r="E53" t="s">
        <v>27</v>
      </c>
      <c r="F53" s="1">
        <v>44931</v>
      </c>
      <c r="G53" s="1">
        <v>45211</v>
      </c>
      <c r="H53">
        <v>13</v>
      </c>
      <c r="I53" t="s">
        <v>49</v>
      </c>
      <c r="J53" t="s">
        <v>43</v>
      </c>
      <c r="K53">
        <v>4</v>
      </c>
      <c r="L53">
        <v>3</v>
      </c>
      <c r="M53">
        <v>3</v>
      </c>
      <c r="N53">
        <v>5</v>
      </c>
      <c r="O53">
        <v>1</v>
      </c>
      <c r="P53">
        <v>3</v>
      </c>
      <c r="Q53">
        <v>4</v>
      </c>
      <c r="R53">
        <v>2</v>
      </c>
      <c r="S53">
        <v>2</v>
      </c>
      <c r="T53">
        <v>3</v>
      </c>
      <c r="U53" t="s">
        <v>30</v>
      </c>
      <c r="V53" t="s">
        <v>58</v>
      </c>
      <c r="W53" t="s">
        <v>55</v>
      </c>
      <c r="X53" t="s">
        <v>44</v>
      </c>
      <c r="Y53">
        <v>52</v>
      </c>
      <c r="Z53" s="1">
        <v>45628</v>
      </c>
      <c r="AA53" t="str" cm="1">
        <f t="array" ref="AA53">_xlfn.IFS(AND(Table2[[#This Row],[Guest_Age]]&gt;=18,Table2[[#This Row],[Guest_Age]]&lt;=25),"Young Adults",AND(Table2[[#This Row],[Guest_Age]]&gt;=26,Table2[[#This Row],[Guest_Age]]&lt;=35),"Adults",AND(Table2[[#This Row],[Guest_Age]]&gt;=36,Table2[[#This Row],[Guest_Age]]&lt;=50),"Middle Aged Adults",Table2[[#This Row],[Guest_Age]]&gt;50,"Senior")</f>
        <v>Senior</v>
      </c>
      <c r="AB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3" t="str" cm="1">
        <f t="array" ref="AC53">_xlfn.IFS(Table2[[#This Row],[Satification_points]]&gt;=4.5,"GREAT",AND(Table2[[#This Row],[Satification_points]]&gt;=4,Table2[[#This Row],[Satification_points]]&lt;4.5),"GOOD",AND(Table2[[#This Row],[Satification_points]]&gt;=3,Table2[[#This Row],[Satification_points]]&lt;4),"AVERAGE",Table2[[#This Row],[Satification_points]]&lt;3,"POOR")</f>
        <v>AVERAGE</v>
      </c>
    </row>
    <row r="54" spans="1:29" x14ac:dyDescent="0.3">
      <c r="A54">
        <v>53</v>
      </c>
      <c r="B54">
        <v>37207</v>
      </c>
      <c r="C54" t="s">
        <v>111</v>
      </c>
      <c r="D54" t="s">
        <v>41</v>
      </c>
      <c r="E54" t="s">
        <v>35</v>
      </c>
      <c r="F54" s="1">
        <v>45549</v>
      </c>
      <c r="G54" s="1">
        <v>45550</v>
      </c>
      <c r="H54">
        <v>11</v>
      </c>
      <c r="I54" t="s">
        <v>49</v>
      </c>
      <c r="J54" t="s">
        <v>43</v>
      </c>
      <c r="K54">
        <v>5</v>
      </c>
      <c r="L54">
        <v>3</v>
      </c>
      <c r="M54">
        <v>2</v>
      </c>
      <c r="N54">
        <v>5</v>
      </c>
      <c r="O54">
        <v>5</v>
      </c>
      <c r="P54">
        <v>4</v>
      </c>
      <c r="Q54">
        <v>4</v>
      </c>
      <c r="R54">
        <v>5</v>
      </c>
      <c r="S54">
        <v>4</v>
      </c>
      <c r="T54">
        <v>5</v>
      </c>
      <c r="U54" t="s">
        <v>37</v>
      </c>
      <c r="V54" t="s">
        <v>58</v>
      </c>
      <c r="W54" t="s">
        <v>39</v>
      </c>
      <c r="X54" t="s">
        <v>44</v>
      </c>
      <c r="Y54">
        <v>42</v>
      </c>
      <c r="Z54" s="1">
        <v>45550</v>
      </c>
      <c r="AA54" t="str" cm="1">
        <f t="array" ref="AA54">_xlfn.IFS(AND(Table2[[#This Row],[Guest_Age]]&gt;=18,Table2[[#This Row],[Guest_Age]]&lt;=25),"Young Adults",AND(Table2[[#This Row],[Guest_Age]]&gt;=26,Table2[[#This Row],[Guest_Age]]&lt;=35),"Adults",AND(Table2[[#This Row],[Guest_Age]]&gt;=36,Table2[[#This Row],[Guest_Age]]&lt;=50),"Middle Aged Adults",Table2[[#This Row],[Guest_Age]]&gt;50,"Senior")</f>
        <v>Middle Aged Adults</v>
      </c>
      <c r="AB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54" t="str" cm="1">
        <f t="array" ref="AC54">_xlfn.IFS(Table2[[#This Row],[Satification_points]]&gt;=4.5,"GREAT",AND(Table2[[#This Row],[Satification_points]]&gt;=4,Table2[[#This Row],[Satification_points]]&lt;4.5),"GOOD",AND(Table2[[#This Row],[Satification_points]]&gt;=3,Table2[[#This Row],[Satification_points]]&lt;4),"AVERAGE",Table2[[#This Row],[Satification_points]]&lt;3,"POOR")</f>
        <v>GOOD</v>
      </c>
    </row>
    <row r="55" spans="1:29" x14ac:dyDescent="0.3">
      <c r="A55">
        <v>54</v>
      </c>
      <c r="B55">
        <v>13936</v>
      </c>
      <c r="C55" t="s">
        <v>112</v>
      </c>
      <c r="D55" t="s">
        <v>48</v>
      </c>
      <c r="E55" t="s">
        <v>45</v>
      </c>
      <c r="F55" s="1">
        <v>45191</v>
      </c>
      <c r="G55" s="1">
        <v>45304</v>
      </c>
      <c r="H55">
        <v>5</v>
      </c>
      <c r="I55" t="s">
        <v>50</v>
      </c>
      <c r="J55" t="s">
        <v>43</v>
      </c>
      <c r="K55">
        <v>1</v>
      </c>
      <c r="L55">
        <v>4</v>
      </c>
      <c r="M55">
        <v>1</v>
      </c>
      <c r="N55">
        <v>4</v>
      </c>
      <c r="O55">
        <v>1</v>
      </c>
      <c r="P55">
        <v>4</v>
      </c>
      <c r="Q55">
        <v>2</v>
      </c>
      <c r="R55">
        <v>4</v>
      </c>
      <c r="S55">
        <v>5</v>
      </c>
      <c r="T55">
        <v>2</v>
      </c>
      <c r="U55" t="s">
        <v>37</v>
      </c>
      <c r="V55" t="s">
        <v>58</v>
      </c>
      <c r="W55" t="s">
        <v>32</v>
      </c>
      <c r="X55" t="s">
        <v>40</v>
      </c>
      <c r="Y55">
        <v>68</v>
      </c>
      <c r="Z55" s="1">
        <v>45366</v>
      </c>
      <c r="AA55" t="str" cm="1">
        <f t="array" ref="AA55">_xlfn.IFS(AND(Table2[[#This Row],[Guest_Age]]&gt;=18,Table2[[#This Row],[Guest_Age]]&lt;=25),"Young Adults",AND(Table2[[#This Row],[Guest_Age]]&gt;=26,Table2[[#This Row],[Guest_Age]]&lt;=35),"Adults",AND(Table2[[#This Row],[Guest_Age]]&gt;=36,Table2[[#This Row],[Guest_Age]]&lt;=50),"Middle Aged Adults",Table2[[#This Row],[Guest_Age]]&gt;50,"Senior")</f>
        <v>Senior</v>
      </c>
      <c r="AB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5" t="str" cm="1">
        <f t="array" ref="AC55">_xlfn.IFS(Table2[[#This Row],[Satification_points]]&gt;=4.5,"GREAT",AND(Table2[[#This Row],[Satification_points]]&gt;=4,Table2[[#This Row],[Satification_points]]&lt;4.5),"GOOD",AND(Table2[[#This Row],[Satification_points]]&gt;=3,Table2[[#This Row],[Satification_points]]&lt;4),"AVERAGE",Table2[[#This Row],[Satification_points]]&lt;3,"POOR")</f>
        <v>POOR</v>
      </c>
    </row>
    <row r="56" spans="1:29" x14ac:dyDescent="0.3">
      <c r="A56">
        <v>55</v>
      </c>
      <c r="B56">
        <v>93314</v>
      </c>
      <c r="C56" t="s">
        <v>113</v>
      </c>
      <c r="D56" t="s">
        <v>48</v>
      </c>
      <c r="E56" t="s">
        <v>27</v>
      </c>
      <c r="F56" s="1">
        <v>45175</v>
      </c>
      <c r="G56" s="1">
        <v>45176</v>
      </c>
      <c r="H56">
        <v>9</v>
      </c>
      <c r="I56" t="s">
        <v>42</v>
      </c>
      <c r="J56" t="s">
        <v>36</v>
      </c>
      <c r="K56">
        <v>2</v>
      </c>
      <c r="L56">
        <v>1</v>
      </c>
      <c r="M56">
        <v>4</v>
      </c>
      <c r="N56">
        <v>1</v>
      </c>
      <c r="O56">
        <v>5</v>
      </c>
      <c r="P56">
        <v>5</v>
      </c>
      <c r="Q56">
        <v>5</v>
      </c>
      <c r="R56">
        <v>3</v>
      </c>
      <c r="S56">
        <v>4</v>
      </c>
      <c r="T56">
        <v>2</v>
      </c>
      <c r="U56" t="s">
        <v>37</v>
      </c>
      <c r="V56" t="s">
        <v>54</v>
      </c>
      <c r="W56" t="s">
        <v>56</v>
      </c>
      <c r="X56" t="s">
        <v>33</v>
      </c>
      <c r="Y56">
        <v>20</v>
      </c>
      <c r="Z56" s="1">
        <v>45322</v>
      </c>
      <c r="AA56" t="str" cm="1">
        <f t="array" ref="AA56">_xlfn.IFS(AND(Table2[[#This Row],[Guest_Age]]&gt;=18,Table2[[#This Row],[Guest_Age]]&lt;=25),"Young Adults",AND(Table2[[#This Row],[Guest_Age]]&gt;=26,Table2[[#This Row],[Guest_Age]]&lt;=35),"Adults",AND(Table2[[#This Row],[Guest_Age]]&gt;=36,Table2[[#This Row],[Guest_Age]]&lt;=50),"Middle Aged Adults",Table2[[#This Row],[Guest_Age]]&gt;50,"Senior")</f>
        <v>Young Adults</v>
      </c>
      <c r="AB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6" t="str" cm="1">
        <f t="array" ref="AC56">_xlfn.IFS(Table2[[#This Row],[Satification_points]]&gt;=4.5,"GREAT",AND(Table2[[#This Row],[Satification_points]]&gt;=4,Table2[[#This Row],[Satification_points]]&lt;4.5),"GOOD",AND(Table2[[#This Row],[Satification_points]]&gt;=3,Table2[[#This Row],[Satification_points]]&lt;4),"AVERAGE",Table2[[#This Row],[Satification_points]]&lt;3,"POOR")</f>
        <v>AVERAGE</v>
      </c>
    </row>
    <row r="57" spans="1:29" x14ac:dyDescent="0.3">
      <c r="A57">
        <v>56</v>
      </c>
      <c r="B57">
        <v>61775</v>
      </c>
      <c r="C57" t="s">
        <v>114</v>
      </c>
      <c r="D57" t="s">
        <v>26</v>
      </c>
      <c r="E57" t="s">
        <v>45</v>
      </c>
      <c r="F57" s="1">
        <v>45021</v>
      </c>
      <c r="G57" s="1">
        <v>45580</v>
      </c>
      <c r="H57">
        <v>10</v>
      </c>
      <c r="I57" t="s">
        <v>28</v>
      </c>
      <c r="J57" t="s">
        <v>36</v>
      </c>
      <c r="K57">
        <v>1</v>
      </c>
      <c r="L57">
        <v>3</v>
      </c>
      <c r="M57">
        <v>1</v>
      </c>
      <c r="N57">
        <v>4</v>
      </c>
      <c r="O57">
        <v>2</v>
      </c>
      <c r="P57">
        <v>2</v>
      </c>
      <c r="Q57">
        <v>3</v>
      </c>
      <c r="R57">
        <v>2</v>
      </c>
      <c r="S57">
        <v>2</v>
      </c>
      <c r="T57">
        <v>1</v>
      </c>
      <c r="U57" t="s">
        <v>30</v>
      </c>
      <c r="V57" t="s">
        <v>46</v>
      </c>
      <c r="W57" t="s">
        <v>39</v>
      </c>
      <c r="X57" t="s">
        <v>44</v>
      </c>
      <c r="Y57">
        <v>68</v>
      </c>
      <c r="Z57" s="1">
        <v>45580</v>
      </c>
      <c r="AA57" t="str" cm="1">
        <f t="array" ref="AA57">_xlfn.IFS(AND(Table2[[#This Row],[Guest_Age]]&gt;=18,Table2[[#This Row],[Guest_Age]]&lt;=25),"Young Adults",AND(Table2[[#This Row],[Guest_Age]]&gt;=26,Table2[[#This Row],[Guest_Age]]&lt;=35),"Adults",AND(Table2[[#This Row],[Guest_Age]]&gt;=36,Table2[[#This Row],[Guest_Age]]&lt;=50),"Middle Aged Adults",Table2[[#This Row],[Guest_Age]]&gt;50,"Senior")</f>
        <v>Senior</v>
      </c>
      <c r="AB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57" t="str" cm="1">
        <f t="array" ref="AC57">_xlfn.IFS(Table2[[#This Row],[Satification_points]]&gt;=4.5,"GREAT",AND(Table2[[#This Row],[Satification_points]]&gt;=4,Table2[[#This Row],[Satification_points]]&lt;4.5),"GOOD",AND(Table2[[#This Row],[Satification_points]]&gt;=3,Table2[[#This Row],[Satification_points]]&lt;4),"AVERAGE",Table2[[#This Row],[Satification_points]]&lt;3,"POOR")</f>
        <v>POOR</v>
      </c>
    </row>
    <row r="58" spans="1:29" x14ac:dyDescent="0.3">
      <c r="A58">
        <v>57</v>
      </c>
      <c r="B58">
        <v>28674</v>
      </c>
      <c r="C58" t="s">
        <v>115</v>
      </c>
      <c r="D58" t="s">
        <v>48</v>
      </c>
      <c r="E58" t="s">
        <v>57</v>
      </c>
      <c r="F58" s="1">
        <v>45623</v>
      </c>
      <c r="G58" s="1">
        <v>45624</v>
      </c>
      <c r="H58">
        <v>14</v>
      </c>
      <c r="I58" t="s">
        <v>49</v>
      </c>
      <c r="J58" t="s">
        <v>43</v>
      </c>
      <c r="K58">
        <v>4</v>
      </c>
      <c r="L58">
        <v>5</v>
      </c>
      <c r="M58">
        <v>2</v>
      </c>
      <c r="N58">
        <v>2</v>
      </c>
      <c r="O58">
        <v>2</v>
      </c>
      <c r="P58">
        <v>3</v>
      </c>
      <c r="Q58">
        <v>5</v>
      </c>
      <c r="R58">
        <v>3</v>
      </c>
      <c r="S58">
        <v>4</v>
      </c>
      <c r="T58">
        <v>4</v>
      </c>
      <c r="U58" t="s">
        <v>37</v>
      </c>
      <c r="V58" t="s">
        <v>46</v>
      </c>
      <c r="W58" t="s">
        <v>56</v>
      </c>
      <c r="X58" t="s">
        <v>33</v>
      </c>
      <c r="Y58">
        <v>29</v>
      </c>
      <c r="Z58" s="1">
        <v>45624</v>
      </c>
      <c r="AA58" t="str" cm="1">
        <f t="array" ref="AA58">_xlfn.IFS(AND(Table2[[#This Row],[Guest_Age]]&gt;=18,Table2[[#This Row],[Guest_Age]]&lt;=25),"Young Adults",AND(Table2[[#This Row],[Guest_Age]]&gt;=26,Table2[[#This Row],[Guest_Age]]&lt;=35),"Adults",AND(Table2[[#This Row],[Guest_Age]]&gt;=36,Table2[[#This Row],[Guest_Age]]&lt;=50),"Middle Aged Adults",Table2[[#This Row],[Guest_Age]]&gt;50,"Senior")</f>
        <v>Adults</v>
      </c>
      <c r="AB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8" t="str" cm="1">
        <f t="array" ref="AC58">_xlfn.IFS(Table2[[#This Row],[Satification_points]]&gt;=4.5,"GREAT",AND(Table2[[#This Row],[Satification_points]]&gt;=4,Table2[[#This Row],[Satification_points]]&lt;4.5),"GOOD",AND(Table2[[#This Row],[Satification_points]]&gt;=3,Table2[[#This Row],[Satification_points]]&lt;4),"AVERAGE",Table2[[#This Row],[Satification_points]]&lt;3,"POOR")</f>
        <v>AVERAGE</v>
      </c>
    </row>
    <row r="59" spans="1:29" x14ac:dyDescent="0.3">
      <c r="A59">
        <v>58</v>
      </c>
      <c r="B59">
        <v>59790</v>
      </c>
      <c r="C59" t="s">
        <v>116</v>
      </c>
      <c r="D59" t="s">
        <v>41</v>
      </c>
      <c r="E59" t="s">
        <v>52</v>
      </c>
      <c r="F59" s="1">
        <v>45383</v>
      </c>
      <c r="G59" s="1">
        <v>45384</v>
      </c>
      <c r="H59">
        <v>6</v>
      </c>
      <c r="I59" t="s">
        <v>49</v>
      </c>
      <c r="J59" t="s">
        <v>29</v>
      </c>
      <c r="K59">
        <v>5</v>
      </c>
      <c r="L59">
        <v>1</v>
      </c>
      <c r="M59">
        <v>2</v>
      </c>
      <c r="N59">
        <v>2</v>
      </c>
      <c r="O59">
        <v>4</v>
      </c>
      <c r="P59">
        <v>4</v>
      </c>
      <c r="Q59">
        <v>4</v>
      </c>
      <c r="R59">
        <v>4</v>
      </c>
      <c r="S59">
        <v>4</v>
      </c>
      <c r="T59">
        <v>2</v>
      </c>
      <c r="U59" t="s">
        <v>30</v>
      </c>
      <c r="V59" t="s">
        <v>46</v>
      </c>
      <c r="W59" t="s">
        <v>55</v>
      </c>
      <c r="X59" t="s">
        <v>40</v>
      </c>
      <c r="Y59">
        <v>31</v>
      </c>
      <c r="Z59" s="1">
        <v>45384</v>
      </c>
      <c r="AA59" t="str" cm="1">
        <f t="array" ref="AA59">_xlfn.IFS(AND(Table2[[#This Row],[Guest_Age]]&gt;=18,Table2[[#This Row],[Guest_Age]]&lt;=25),"Young Adults",AND(Table2[[#This Row],[Guest_Age]]&gt;=26,Table2[[#This Row],[Guest_Age]]&lt;=35),"Adults",AND(Table2[[#This Row],[Guest_Age]]&gt;=36,Table2[[#This Row],[Guest_Age]]&lt;=50),"Middle Aged Adults",Table2[[#This Row],[Guest_Age]]&gt;50,"Senior")</f>
        <v>Adults</v>
      </c>
      <c r="AB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9" t="str" cm="1">
        <f t="array" ref="AC59">_xlfn.IFS(Table2[[#This Row],[Satification_points]]&gt;=4.5,"GREAT",AND(Table2[[#This Row],[Satification_points]]&gt;=4,Table2[[#This Row],[Satification_points]]&lt;4.5),"GOOD",AND(Table2[[#This Row],[Satification_points]]&gt;=3,Table2[[#This Row],[Satification_points]]&lt;4),"AVERAGE",Table2[[#This Row],[Satification_points]]&lt;3,"POOR")</f>
        <v>AVERAGE</v>
      </c>
    </row>
    <row r="60" spans="1:29" x14ac:dyDescent="0.3">
      <c r="A60">
        <v>59</v>
      </c>
      <c r="B60">
        <v>24374</v>
      </c>
      <c r="C60" t="s">
        <v>117</v>
      </c>
      <c r="D60" t="s">
        <v>41</v>
      </c>
      <c r="E60" t="s">
        <v>57</v>
      </c>
      <c r="F60" s="1">
        <v>45243</v>
      </c>
      <c r="G60" s="1">
        <v>45244</v>
      </c>
      <c r="H60">
        <v>3</v>
      </c>
      <c r="I60" t="s">
        <v>49</v>
      </c>
      <c r="J60" t="s">
        <v>53</v>
      </c>
      <c r="K60">
        <v>4</v>
      </c>
      <c r="L60">
        <v>4</v>
      </c>
      <c r="M60">
        <v>1</v>
      </c>
      <c r="N60">
        <v>2</v>
      </c>
      <c r="O60">
        <v>3</v>
      </c>
      <c r="P60">
        <v>2</v>
      </c>
      <c r="Q60">
        <v>2</v>
      </c>
      <c r="R60">
        <v>5</v>
      </c>
      <c r="S60">
        <v>3</v>
      </c>
      <c r="T60">
        <v>2</v>
      </c>
      <c r="U60" t="s">
        <v>37</v>
      </c>
      <c r="V60" t="s">
        <v>31</v>
      </c>
      <c r="W60" t="s">
        <v>32</v>
      </c>
      <c r="X60" t="s">
        <v>44</v>
      </c>
      <c r="Y60">
        <v>57</v>
      </c>
      <c r="Z60" s="1">
        <v>45468</v>
      </c>
      <c r="AA60" t="str" cm="1">
        <f t="array" ref="AA60">_xlfn.IFS(AND(Table2[[#This Row],[Guest_Age]]&gt;=18,Table2[[#This Row],[Guest_Age]]&lt;=25),"Young Adults",AND(Table2[[#This Row],[Guest_Age]]&gt;=26,Table2[[#This Row],[Guest_Age]]&lt;=35),"Adults",AND(Table2[[#This Row],[Guest_Age]]&gt;=36,Table2[[#This Row],[Guest_Age]]&lt;=50),"Middle Aged Adults",Table2[[#This Row],[Guest_Age]]&gt;50,"Senior")</f>
        <v>Senior</v>
      </c>
      <c r="AB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0" t="str" cm="1">
        <f t="array" ref="AC60">_xlfn.IFS(Table2[[#This Row],[Satification_points]]&gt;=4.5,"GREAT",AND(Table2[[#This Row],[Satification_points]]&gt;=4,Table2[[#This Row],[Satification_points]]&lt;4.5),"GOOD",AND(Table2[[#This Row],[Satification_points]]&gt;=3,Table2[[#This Row],[Satification_points]]&lt;4),"AVERAGE",Table2[[#This Row],[Satification_points]]&lt;3,"POOR")</f>
        <v>POOR</v>
      </c>
    </row>
    <row r="61" spans="1:29" x14ac:dyDescent="0.3">
      <c r="A61">
        <v>60</v>
      </c>
      <c r="B61">
        <v>25317</v>
      </c>
      <c r="C61" t="s">
        <v>118</v>
      </c>
      <c r="D61" t="s">
        <v>51</v>
      </c>
      <c r="E61" t="s">
        <v>57</v>
      </c>
      <c r="F61" s="1">
        <v>45045</v>
      </c>
      <c r="G61" s="1">
        <v>45519</v>
      </c>
      <c r="H61">
        <v>2</v>
      </c>
      <c r="I61" t="s">
        <v>49</v>
      </c>
      <c r="J61" t="s">
        <v>43</v>
      </c>
      <c r="K61">
        <v>1</v>
      </c>
      <c r="L61">
        <v>4</v>
      </c>
      <c r="M61">
        <v>4</v>
      </c>
      <c r="N61">
        <v>2</v>
      </c>
      <c r="O61">
        <v>3</v>
      </c>
      <c r="P61">
        <v>4</v>
      </c>
      <c r="Q61">
        <v>1</v>
      </c>
      <c r="R61">
        <v>2</v>
      </c>
      <c r="S61">
        <v>3</v>
      </c>
      <c r="T61">
        <v>2</v>
      </c>
      <c r="U61" t="s">
        <v>30</v>
      </c>
      <c r="V61" t="s">
        <v>31</v>
      </c>
      <c r="W61" t="s">
        <v>47</v>
      </c>
      <c r="X61" t="s">
        <v>33</v>
      </c>
      <c r="Y61">
        <v>49</v>
      </c>
      <c r="Z61" s="1">
        <v>45519</v>
      </c>
      <c r="AA61" t="str" cm="1">
        <f t="array" ref="AA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1" t="str" cm="1">
        <f t="array" ref="AC61">_xlfn.IFS(Table2[[#This Row],[Satification_points]]&gt;=4.5,"GREAT",AND(Table2[[#This Row],[Satification_points]]&gt;=4,Table2[[#This Row],[Satification_points]]&lt;4.5),"GOOD",AND(Table2[[#This Row],[Satification_points]]&gt;=3,Table2[[#This Row],[Satification_points]]&lt;4),"AVERAGE",Table2[[#This Row],[Satification_points]]&lt;3,"POOR")</f>
        <v>POOR</v>
      </c>
    </row>
    <row r="62" spans="1:29" x14ac:dyDescent="0.3">
      <c r="A62">
        <v>61</v>
      </c>
      <c r="B62">
        <v>39181</v>
      </c>
      <c r="C62" t="s">
        <v>119</v>
      </c>
      <c r="D62" t="s">
        <v>26</v>
      </c>
      <c r="E62" t="s">
        <v>45</v>
      </c>
      <c r="F62" s="1">
        <v>45128</v>
      </c>
      <c r="G62" s="1">
        <v>45129</v>
      </c>
      <c r="H62">
        <v>3</v>
      </c>
      <c r="I62" t="s">
        <v>42</v>
      </c>
      <c r="J62" t="s">
        <v>29</v>
      </c>
      <c r="K62">
        <v>5</v>
      </c>
      <c r="L62">
        <v>5</v>
      </c>
      <c r="M62">
        <v>4</v>
      </c>
      <c r="N62">
        <v>3</v>
      </c>
      <c r="O62">
        <v>4</v>
      </c>
      <c r="P62">
        <v>3</v>
      </c>
      <c r="Q62">
        <v>1</v>
      </c>
      <c r="R62">
        <v>5</v>
      </c>
      <c r="S62">
        <v>2</v>
      </c>
      <c r="T62">
        <v>3</v>
      </c>
      <c r="U62" t="s">
        <v>37</v>
      </c>
      <c r="V62" t="s">
        <v>54</v>
      </c>
      <c r="W62" t="s">
        <v>55</v>
      </c>
      <c r="X62" t="s">
        <v>40</v>
      </c>
      <c r="Y62">
        <v>67</v>
      </c>
      <c r="Z62" s="1">
        <v>45202</v>
      </c>
      <c r="AA62" t="str" cm="1">
        <f t="array" ref="AA62">_xlfn.IFS(AND(Table2[[#This Row],[Guest_Age]]&gt;=18,Table2[[#This Row],[Guest_Age]]&lt;=25),"Young Adults",AND(Table2[[#This Row],[Guest_Age]]&gt;=26,Table2[[#This Row],[Guest_Age]]&lt;=35),"Adults",AND(Table2[[#This Row],[Guest_Age]]&gt;=36,Table2[[#This Row],[Guest_Age]]&lt;=50),"Middle Aged Adults",Table2[[#This Row],[Guest_Age]]&gt;50,"Senior")</f>
        <v>Senior</v>
      </c>
      <c r="AB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62" t="str" cm="1">
        <f t="array" ref="AC62">_xlfn.IFS(Table2[[#This Row],[Satification_points]]&gt;=4.5,"GREAT",AND(Table2[[#This Row],[Satification_points]]&gt;=4,Table2[[#This Row],[Satification_points]]&lt;4.5),"GOOD",AND(Table2[[#This Row],[Satification_points]]&gt;=3,Table2[[#This Row],[Satification_points]]&lt;4),"AVERAGE",Table2[[#This Row],[Satification_points]]&lt;3,"POOR")</f>
        <v>AVERAGE</v>
      </c>
    </row>
    <row r="63" spans="1:29" x14ac:dyDescent="0.3">
      <c r="A63">
        <v>62</v>
      </c>
      <c r="B63">
        <v>21780</v>
      </c>
      <c r="C63" t="s">
        <v>120</v>
      </c>
      <c r="D63" t="s">
        <v>48</v>
      </c>
      <c r="E63" t="s">
        <v>57</v>
      </c>
      <c r="F63" s="1">
        <v>44979</v>
      </c>
      <c r="G63" s="1">
        <v>45538</v>
      </c>
      <c r="H63">
        <v>6</v>
      </c>
      <c r="I63" t="s">
        <v>50</v>
      </c>
      <c r="J63" t="s">
        <v>29</v>
      </c>
      <c r="K63">
        <v>4</v>
      </c>
      <c r="L63">
        <v>3</v>
      </c>
      <c r="M63">
        <v>2</v>
      </c>
      <c r="N63">
        <v>1</v>
      </c>
      <c r="O63">
        <v>2</v>
      </c>
      <c r="P63">
        <v>1</v>
      </c>
      <c r="Q63">
        <v>5</v>
      </c>
      <c r="R63">
        <v>2</v>
      </c>
      <c r="S63">
        <v>2</v>
      </c>
      <c r="T63">
        <v>5</v>
      </c>
      <c r="U63" t="s">
        <v>37</v>
      </c>
      <c r="V63" t="s">
        <v>58</v>
      </c>
      <c r="W63" t="s">
        <v>55</v>
      </c>
      <c r="X63" t="s">
        <v>40</v>
      </c>
      <c r="Y63">
        <v>21</v>
      </c>
      <c r="Z63" s="1">
        <v>45632</v>
      </c>
      <c r="AA63" t="str" cm="1">
        <f t="array" ref="AA63">_xlfn.IFS(AND(Table2[[#This Row],[Guest_Age]]&gt;=18,Table2[[#This Row],[Guest_Age]]&lt;=25),"Young Adults",AND(Table2[[#This Row],[Guest_Age]]&gt;=26,Table2[[#This Row],[Guest_Age]]&lt;=35),"Adults",AND(Table2[[#This Row],[Guest_Age]]&gt;=36,Table2[[#This Row],[Guest_Age]]&lt;=50),"Middle Aged Adults",Table2[[#This Row],[Guest_Age]]&gt;50,"Senior")</f>
        <v>Young Adults</v>
      </c>
      <c r="AB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3" t="str" cm="1">
        <f t="array" ref="AC63">_xlfn.IFS(Table2[[#This Row],[Satification_points]]&gt;=4.5,"GREAT",AND(Table2[[#This Row],[Satification_points]]&gt;=4,Table2[[#This Row],[Satification_points]]&lt;4.5),"GOOD",AND(Table2[[#This Row],[Satification_points]]&gt;=3,Table2[[#This Row],[Satification_points]]&lt;4),"AVERAGE",Table2[[#This Row],[Satification_points]]&lt;3,"POOR")</f>
        <v>POOR</v>
      </c>
    </row>
    <row r="64" spans="1:29" x14ac:dyDescent="0.3">
      <c r="A64">
        <v>63</v>
      </c>
      <c r="B64">
        <v>92059</v>
      </c>
      <c r="C64" t="s">
        <v>121</v>
      </c>
      <c r="D64" t="s">
        <v>26</v>
      </c>
      <c r="E64" t="s">
        <v>27</v>
      </c>
      <c r="F64" s="1">
        <v>45243</v>
      </c>
      <c r="G64" s="1">
        <v>45646</v>
      </c>
      <c r="H64">
        <v>10</v>
      </c>
      <c r="I64" t="s">
        <v>50</v>
      </c>
      <c r="J64" t="s">
        <v>40</v>
      </c>
      <c r="K64">
        <v>5</v>
      </c>
      <c r="L64">
        <v>3</v>
      </c>
      <c r="M64">
        <v>1</v>
      </c>
      <c r="N64">
        <v>3</v>
      </c>
      <c r="O64">
        <v>4</v>
      </c>
      <c r="P64">
        <v>4</v>
      </c>
      <c r="Q64">
        <v>4</v>
      </c>
      <c r="R64">
        <v>3</v>
      </c>
      <c r="S64">
        <v>1</v>
      </c>
      <c r="T64">
        <v>1</v>
      </c>
      <c r="U64" t="s">
        <v>37</v>
      </c>
      <c r="V64" t="s">
        <v>46</v>
      </c>
      <c r="W64" t="s">
        <v>55</v>
      </c>
      <c r="X64" t="s">
        <v>33</v>
      </c>
      <c r="Y64">
        <v>46</v>
      </c>
      <c r="Z64" s="1">
        <v>45646</v>
      </c>
      <c r="AA64" t="str" cm="1">
        <f t="array" ref="AA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64" t="str" cm="1">
        <f t="array" ref="AC64">_xlfn.IFS(Table2[[#This Row],[Satification_points]]&gt;=4.5,"GREAT",AND(Table2[[#This Row],[Satification_points]]&gt;=4,Table2[[#This Row],[Satification_points]]&lt;4.5),"GOOD",AND(Table2[[#This Row],[Satification_points]]&gt;=3,Table2[[#This Row],[Satification_points]]&lt;4),"AVERAGE",Table2[[#This Row],[Satification_points]]&lt;3,"POOR")</f>
        <v>POOR</v>
      </c>
    </row>
    <row r="65" spans="1:29" x14ac:dyDescent="0.3">
      <c r="A65">
        <v>64</v>
      </c>
      <c r="B65">
        <v>84396</v>
      </c>
      <c r="C65" t="s">
        <v>122</v>
      </c>
      <c r="D65" t="s">
        <v>48</v>
      </c>
      <c r="E65" t="s">
        <v>52</v>
      </c>
      <c r="F65" s="1">
        <v>45599</v>
      </c>
      <c r="G65" s="1">
        <v>45600</v>
      </c>
      <c r="H65">
        <v>8</v>
      </c>
      <c r="I65" t="s">
        <v>49</v>
      </c>
      <c r="J65" t="s">
        <v>53</v>
      </c>
      <c r="K65">
        <v>3</v>
      </c>
      <c r="L65">
        <v>4</v>
      </c>
      <c r="M65">
        <v>3</v>
      </c>
      <c r="N65">
        <v>3</v>
      </c>
      <c r="O65">
        <v>2</v>
      </c>
      <c r="P65">
        <v>2</v>
      </c>
      <c r="Q65">
        <v>5</v>
      </c>
      <c r="R65">
        <v>1</v>
      </c>
      <c r="S65">
        <v>4</v>
      </c>
      <c r="T65">
        <v>5</v>
      </c>
      <c r="U65" t="s">
        <v>30</v>
      </c>
      <c r="V65" t="s">
        <v>38</v>
      </c>
      <c r="W65" t="s">
        <v>39</v>
      </c>
      <c r="X65" t="s">
        <v>44</v>
      </c>
      <c r="Y65">
        <v>48</v>
      </c>
      <c r="Z65" s="1">
        <v>45600</v>
      </c>
      <c r="AA65" t="str" cm="1">
        <f t="array" ref="AA65">_xlfn.IFS(AND(Table2[[#This Row],[Guest_Age]]&gt;=18,Table2[[#This Row],[Guest_Age]]&lt;=25),"Young Adults",AND(Table2[[#This Row],[Guest_Age]]&gt;=26,Table2[[#This Row],[Guest_Age]]&lt;=35),"Adults",AND(Table2[[#This Row],[Guest_Age]]&gt;=36,Table2[[#This Row],[Guest_Age]]&lt;=50),"Middle Aged Adults",Table2[[#This Row],[Guest_Age]]&gt;50,"Senior")</f>
        <v>Middle Aged Adults</v>
      </c>
      <c r="AB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5" t="str" cm="1">
        <f t="array" ref="AC65">_xlfn.IFS(Table2[[#This Row],[Satification_points]]&gt;=4.5,"GREAT",AND(Table2[[#This Row],[Satification_points]]&gt;=4,Table2[[#This Row],[Satification_points]]&lt;4.5),"GOOD",AND(Table2[[#This Row],[Satification_points]]&gt;=3,Table2[[#This Row],[Satification_points]]&lt;4),"AVERAGE",Table2[[#This Row],[Satification_points]]&lt;3,"POOR")</f>
        <v>AVERAGE</v>
      </c>
    </row>
    <row r="66" spans="1:29" x14ac:dyDescent="0.3">
      <c r="A66">
        <v>65</v>
      </c>
      <c r="B66">
        <v>62994</v>
      </c>
      <c r="C66" t="s">
        <v>123</v>
      </c>
      <c r="D66" t="s">
        <v>51</v>
      </c>
      <c r="E66" t="s">
        <v>45</v>
      </c>
      <c r="F66" s="1">
        <v>45170</v>
      </c>
      <c r="G66" s="1">
        <v>45171</v>
      </c>
      <c r="H66">
        <v>8</v>
      </c>
      <c r="I66" t="s">
        <v>28</v>
      </c>
      <c r="J66" t="s">
        <v>43</v>
      </c>
      <c r="K66">
        <v>1</v>
      </c>
      <c r="L66">
        <v>2</v>
      </c>
      <c r="M66">
        <v>3</v>
      </c>
      <c r="N66">
        <v>2</v>
      </c>
      <c r="O66">
        <v>5</v>
      </c>
      <c r="P66">
        <v>5</v>
      </c>
      <c r="Q66">
        <v>2</v>
      </c>
      <c r="R66">
        <v>2</v>
      </c>
      <c r="S66">
        <v>1</v>
      </c>
      <c r="T66">
        <v>2</v>
      </c>
      <c r="U66" t="s">
        <v>37</v>
      </c>
      <c r="V66" t="s">
        <v>46</v>
      </c>
      <c r="W66" t="s">
        <v>55</v>
      </c>
      <c r="X66" t="s">
        <v>44</v>
      </c>
      <c r="Y66">
        <v>49</v>
      </c>
      <c r="Z66" s="1">
        <v>45261</v>
      </c>
      <c r="AA66" t="str" cm="1">
        <f t="array" ref="AA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6" t="str" cm="1">
        <f t="array" ref="AC66">_xlfn.IFS(Table2[[#This Row],[Satification_points]]&gt;=4.5,"GREAT",AND(Table2[[#This Row],[Satification_points]]&gt;=4,Table2[[#This Row],[Satification_points]]&lt;4.5),"GOOD",AND(Table2[[#This Row],[Satification_points]]&gt;=3,Table2[[#This Row],[Satification_points]]&lt;4),"AVERAGE",Table2[[#This Row],[Satification_points]]&lt;3,"POOR")</f>
        <v>POOR</v>
      </c>
    </row>
    <row r="67" spans="1:29" x14ac:dyDescent="0.3">
      <c r="A67">
        <v>66</v>
      </c>
      <c r="B67">
        <v>30402</v>
      </c>
      <c r="C67" t="s">
        <v>124</v>
      </c>
      <c r="D67" t="s">
        <v>41</v>
      </c>
      <c r="E67" t="s">
        <v>35</v>
      </c>
      <c r="F67" s="1">
        <v>45020</v>
      </c>
      <c r="G67" s="1">
        <v>45401</v>
      </c>
      <c r="H67">
        <v>12</v>
      </c>
      <c r="I67" t="s">
        <v>42</v>
      </c>
      <c r="J67" t="s">
        <v>53</v>
      </c>
      <c r="K67">
        <v>1</v>
      </c>
      <c r="L67">
        <v>4</v>
      </c>
      <c r="M67">
        <v>2</v>
      </c>
      <c r="N67">
        <v>1</v>
      </c>
      <c r="O67">
        <v>2</v>
      </c>
      <c r="P67">
        <v>5</v>
      </c>
      <c r="Q67">
        <v>3</v>
      </c>
      <c r="R67">
        <v>2</v>
      </c>
      <c r="S67">
        <v>1</v>
      </c>
      <c r="T67">
        <v>3</v>
      </c>
      <c r="U67" t="s">
        <v>30</v>
      </c>
      <c r="V67" t="s">
        <v>54</v>
      </c>
      <c r="W67" t="s">
        <v>47</v>
      </c>
      <c r="X67" t="s">
        <v>33</v>
      </c>
      <c r="Y67">
        <v>41</v>
      </c>
      <c r="Z67" s="1">
        <v>45401</v>
      </c>
      <c r="AA67" t="str" cm="1">
        <f t="array" ref="AA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7" t="str" cm="1">
        <f t="array" ref="AC67">_xlfn.IFS(Table2[[#This Row],[Satification_points]]&gt;=4.5,"GREAT",AND(Table2[[#This Row],[Satification_points]]&gt;=4,Table2[[#This Row],[Satification_points]]&lt;4.5),"GOOD",AND(Table2[[#This Row],[Satification_points]]&gt;=3,Table2[[#This Row],[Satification_points]]&lt;4),"AVERAGE",Table2[[#This Row],[Satification_points]]&lt;3,"POOR")</f>
        <v>POOR</v>
      </c>
    </row>
    <row r="68" spans="1:29" x14ac:dyDescent="0.3">
      <c r="A68">
        <v>67</v>
      </c>
      <c r="B68">
        <v>73907</v>
      </c>
      <c r="C68" t="s">
        <v>125</v>
      </c>
      <c r="D68" t="s">
        <v>41</v>
      </c>
      <c r="E68" t="s">
        <v>57</v>
      </c>
      <c r="F68" s="1">
        <v>45478</v>
      </c>
      <c r="G68" s="1">
        <v>45479</v>
      </c>
      <c r="H68">
        <v>5</v>
      </c>
      <c r="I68" t="s">
        <v>42</v>
      </c>
      <c r="J68" t="s">
        <v>43</v>
      </c>
      <c r="K68">
        <v>3</v>
      </c>
      <c r="L68">
        <v>4</v>
      </c>
      <c r="M68">
        <v>4</v>
      </c>
      <c r="N68">
        <v>1</v>
      </c>
      <c r="O68">
        <v>2</v>
      </c>
      <c r="P68">
        <v>3</v>
      </c>
      <c r="Q68">
        <v>1</v>
      </c>
      <c r="R68">
        <v>5</v>
      </c>
      <c r="S68">
        <v>5</v>
      </c>
      <c r="T68">
        <v>2</v>
      </c>
      <c r="U68" t="s">
        <v>37</v>
      </c>
      <c r="V68" t="s">
        <v>46</v>
      </c>
      <c r="W68" t="s">
        <v>32</v>
      </c>
      <c r="X68" t="s">
        <v>40</v>
      </c>
      <c r="Y68">
        <v>28</v>
      </c>
      <c r="Z68" s="1">
        <v>45479</v>
      </c>
      <c r="AA68" t="str" cm="1">
        <f t="array" ref="AA68">_xlfn.IFS(AND(Table2[[#This Row],[Guest_Age]]&gt;=18,Table2[[#This Row],[Guest_Age]]&lt;=25),"Young Adults",AND(Table2[[#This Row],[Guest_Age]]&gt;=26,Table2[[#This Row],[Guest_Age]]&lt;=35),"Adults",AND(Table2[[#This Row],[Guest_Age]]&gt;=36,Table2[[#This Row],[Guest_Age]]&lt;=50),"Middle Aged Adults",Table2[[#This Row],[Guest_Age]]&gt;50,"Senior")</f>
        <v>Adults</v>
      </c>
      <c r="AB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8" t="str" cm="1">
        <f t="array" ref="AC68">_xlfn.IFS(Table2[[#This Row],[Satification_points]]&gt;=4.5,"GREAT",AND(Table2[[#This Row],[Satification_points]]&gt;=4,Table2[[#This Row],[Satification_points]]&lt;4.5),"GOOD",AND(Table2[[#This Row],[Satification_points]]&gt;=3,Table2[[#This Row],[Satification_points]]&lt;4),"AVERAGE",Table2[[#This Row],[Satification_points]]&lt;3,"POOR")</f>
        <v>AVERAGE</v>
      </c>
    </row>
    <row r="69" spans="1:29" x14ac:dyDescent="0.3">
      <c r="A69">
        <v>68</v>
      </c>
      <c r="B69">
        <v>33276</v>
      </c>
      <c r="C69" t="s">
        <v>126</v>
      </c>
      <c r="D69" t="s">
        <v>34</v>
      </c>
      <c r="E69" t="s">
        <v>45</v>
      </c>
      <c r="F69" s="1">
        <v>45206</v>
      </c>
      <c r="G69" s="1">
        <v>45269</v>
      </c>
      <c r="H69">
        <v>1</v>
      </c>
      <c r="I69" t="s">
        <v>28</v>
      </c>
      <c r="J69" t="s">
        <v>53</v>
      </c>
      <c r="K69">
        <v>2</v>
      </c>
      <c r="L69">
        <v>1</v>
      </c>
      <c r="M69">
        <v>3</v>
      </c>
      <c r="N69">
        <v>4</v>
      </c>
      <c r="O69">
        <v>2</v>
      </c>
      <c r="P69">
        <v>1</v>
      </c>
      <c r="Q69">
        <v>5</v>
      </c>
      <c r="R69">
        <v>1</v>
      </c>
      <c r="S69">
        <v>1</v>
      </c>
      <c r="T69">
        <v>4</v>
      </c>
      <c r="U69" t="s">
        <v>30</v>
      </c>
      <c r="V69" t="s">
        <v>38</v>
      </c>
      <c r="W69" t="s">
        <v>56</v>
      </c>
      <c r="X69" t="s">
        <v>33</v>
      </c>
      <c r="Y69">
        <v>47</v>
      </c>
      <c r="Z69" s="1">
        <v>45620</v>
      </c>
      <c r="AA69" t="str" cm="1">
        <f t="array" ref="AA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9" t="str" cm="1">
        <f t="array" ref="AC69">_xlfn.IFS(Table2[[#This Row],[Satification_points]]&gt;=4.5,"GREAT",AND(Table2[[#This Row],[Satification_points]]&gt;=4,Table2[[#This Row],[Satification_points]]&lt;4.5),"GOOD",AND(Table2[[#This Row],[Satification_points]]&gt;=3,Table2[[#This Row],[Satification_points]]&lt;4),"AVERAGE",Table2[[#This Row],[Satification_points]]&lt;3,"POOR")</f>
        <v>POOR</v>
      </c>
    </row>
    <row r="70" spans="1:29" x14ac:dyDescent="0.3">
      <c r="A70">
        <v>69</v>
      </c>
      <c r="B70">
        <v>82778</v>
      </c>
      <c r="C70" t="s">
        <v>127</v>
      </c>
      <c r="D70" t="s">
        <v>26</v>
      </c>
      <c r="E70" t="s">
        <v>57</v>
      </c>
      <c r="F70" s="1">
        <v>45018</v>
      </c>
      <c r="G70" s="1">
        <v>45019</v>
      </c>
      <c r="H70">
        <v>1</v>
      </c>
      <c r="I70" t="s">
        <v>49</v>
      </c>
      <c r="J70" t="s">
        <v>53</v>
      </c>
      <c r="K70">
        <v>4</v>
      </c>
      <c r="L70">
        <v>5</v>
      </c>
      <c r="M70">
        <v>1</v>
      </c>
      <c r="N70">
        <v>3</v>
      </c>
      <c r="O70">
        <v>3</v>
      </c>
      <c r="P70">
        <v>4</v>
      </c>
      <c r="Q70">
        <v>4</v>
      </c>
      <c r="R70">
        <v>1</v>
      </c>
      <c r="S70">
        <v>1</v>
      </c>
      <c r="T70">
        <v>5</v>
      </c>
      <c r="U70" t="s">
        <v>30</v>
      </c>
      <c r="V70" t="s">
        <v>38</v>
      </c>
      <c r="W70" t="s">
        <v>39</v>
      </c>
      <c r="X70" t="s">
        <v>33</v>
      </c>
      <c r="Y70">
        <v>66</v>
      </c>
      <c r="Z70" s="1">
        <v>45373</v>
      </c>
      <c r="AA70" t="str" cm="1">
        <f t="array" ref="AA70">_xlfn.IFS(AND(Table2[[#This Row],[Guest_Age]]&gt;=18,Table2[[#This Row],[Guest_Age]]&lt;=25),"Young Adults",AND(Table2[[#This Row],[Guest_Age]]&gt;=26,Table2[[#This Row],[Guest_Age]]&lt;=35),"Adults",AND(Table2[[#This Row],[Guest_Age]]&gt;=36,Table2[[#This Row],[Guest_Age]]&lt;=50),"Middle Aged Adults",Table2[[#This Row],[Guest_Age]]&gt;50,"Senior")</f>
        <v>Senior</v>
      </c>
      <c r="AB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0" t="str" cm="1">
        <f t="array" ref="AC70">_xlfn.IFS(Table2[[#This Row],[Satification_points]]&gt;=4.5,"GREAT",AND(Table2[[#This Row],[Satification_points]]&gt;=4,Table2[[#This Row],[Satification_points]]&lt;4.5),"GOOD",AND(Table2[[#This Row],[Satification_points]]&gt;=3,Table2[[#This Row],[Satification_points]]&lt;4),"AVERAGE",Table2[[#This Row],[Satification_points]]&lt;3,"POOR")</f>
        <v>AVERAGE</v>
      </c>
    </row>
    <row r="71" spans="1:29" x14ac:dyDescent="0.3">
      <c r="A71">
        <v>70</v>
      </c>
      <c r="B71">
        <v>11052</v>
      </c>
      <c r="C71" t="s">
        <v>128</v>
      </c>
      <c r="D71" t="s">
        <v>48</v>
      </c>
      <c r="E71" t="s">
        <v>57</v>
      </c>
      <c r="F71" s="1">
        <v>44964</v>
      </c>
      <c r="G71" s="1">
        <v>45153</v>
      </c>
      <c r="H71">
        <v>12</v>
      </c>
      <c r="I71" t="s">
        <v>49</v>
      </c>
      <c r="J71" t="s">
        <v>29</v>
      </c>
      <c r="K71">
        <v>2</v>
      </c>
      <c r="L71">
        <v>1</v>
      </c>
      <c r="M71">
        <v>5</v>
      </c>
      <c r="N71">
        <v>1</v>
      </c>
      <c r="O71">
        <v>2</v>
      </c>
      <c r="P71">
        <v>4</v>
      </c>
      <c r="Q71">
        <v>1</v>
      </c>
      <c r="R71">
        <v>1</v>
      </c>
      <c r="S71">
        <v>4</v>
      </c>
      <c r="T71">
        <v>1</v>
      </c>
      <c r="U71" t="s">
        <v>37</v>
      </c>
      <c r="V71" t="s">
        <v>38</v>
      </c>
      <c r="W71" t="s">
        <v>55</v>
      </c>
      <c r="X71" t="s">
        <v>40</v>
      </c>
      <c r="Y71">
        <v>36</v>
      </c>
      <c r="Z71" s="1">
        <v>45368</v>
      </c>
      <c r="AA71" t="str" cm="1">
        <f t="array" ref="AA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71" t="str" cm="1">
        <f t="array" ref="AC71">_xlfn.IFS(Table2[[#This Row],[Satification_points]]&gt;=4.5,"GREAT",AND(Table2[[#This Row],[Satification_points]]&gt;=4,Table2[[#This Row],[Satification_points]]&lt;4.5),"GOOD",AND(Table2[[#This Row],[Satification_points]]&gt;=3,Table2[[#This Row],[Satification_points]]&lt;4),"AVERAGE",Table2[[#This Row],[Satification_points]]&lt;3,"POOR")</f>
        <v>POOR</v>
      </c>
    </row>
    <row r="72" spans="1:29" x14ac:dyDescent="0.3">
      <c r="A72">
        <v>71</v>
      </c>
      <c r="B72">
        <v>25400</v>
      </c>
      <c r="C72" t="s">
        <v>129</v>
      </c>
      <c r="D72" t="s">
        <v>34</v>
      </c>
      <c r="E72" t="s">
        <v>45</v>
      </c>
      <c r="F72" s="1">
        <v>45339</v>
      </c>
      <c r="G72" s="1">
        <v>45466</v>
      </c>
      <c r="H72">
        <v>7</v>
      </c>
      <c r="I72" t="s">
        <v>49</v>
      </c>
      <c r="J72" t="s">
        <v>53</v>
      </c>
      <c r="K72">
        <v>5</v>
      </c>
      <c r="L72">
        <v>4</v>
      </c>
      <c r="M72">
        <v>5</v>
      </c>
      <c r="N72">
        <v>5</v>
      </c>
      <c r="O72">
        <v>1</v>
      </c>
      <c r="P72">
        <v>1</v>
      </c>
      <c r="Q72">
        <v>1</v>
      </c>
      <c r="R72">
        <v>1</v>
      </c>
      <c r="S72">
        <v>1</v>
      </c>
      <c r="T72">
        <v>3</v>
      </c>
      <c r="U72" t="s">
        <v>30</v>
      </c>
      <c r="V72" t="s">
        <v>54</v>
      </c>
      <c r="W72" t="s">
        <v>56</v>
      </c>
      <c r="X72" t="s">
        <v>33</v>
      </c>
      <c r="Y72">
        <v>53</v>
      </c>
      <c r="Z72" s="1">
        <v>45466</v>
      </c>
      <c r="AA72" t="str" cm="1">
        <f t="array" ref="AA72">_xlfn.IFS(AND(Table2[[#This Row],[Guest_Age]]&gt;=18,Table2[[#This Row],[Guest_Age]]&lt;=25),"Young Adults",AND(Table2[[#This Row],[Guest_Age]]&gt;=26,Table2[[#This Row],[Guest_Age]]&lt;=35),"Adults",AND(Table2[[#This Row],[Guest_Age]]&gt;=36,Table2[[#This Row],[Guest_Age]]&lt;=50),"Middle Aged Adults",Table2[[#This Row],[Guest_Age]]&gt;50,"Senior")</f>
        <v>Senior</v>
      </c>
      <c r="AB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2" t="str" cm="1">
        <f t="array" ref="AC72">_xlfn.IFS(Table2[[#This Row],[Satification_points]]&gt;=4.5,"GREAT",AND(Table2[[#This Row],[Satification_points]]&gt;=4,Table2[[#This Row],[Satification_points]]&lt;4.5),"GOOD",AND(Table2[[#This Row],[Satification_points]]&gt;=3,Table2[[#This Row],[Satification_points]]&lt;4),"AVERAGE",Table2[[#This Row],[Satification_points]]&lt;3,"POOR")</f>
        <v>POOR</v>
      </c>
    </row>
    <row r="73" spans="1:29" x14ac:dyDescent="0.3">
      <c r="A73">
        <v>72</v>
      </c>
      <c r="B73">
        <v>71980</v>
      </c>
      <c r="C73" t="s">
        <v>130</v>
      </c>
      <c r="D73" t="s">
        <v>26</v>
      </c>
      <c r="E73" t="s">
        <v>27</v>
      </c>
      <c r="F73" s="1">
        <v>45169</v>
      </c>
      <c r="G73" s="1">
        <v>45170</v>
      </c>
      <c r="H73">
        <v>2</v>
      </c>
      <c r="I73" t="s">
        <v>28</v>
      </c>
      <c r="J73" t="s">
        <v>53</v>
      </c>
      <c r="K73">
        <v>4</v>
      </c>
      <c r="L73">
        <v>1</v>
      </c>
      <c r="M73">
        <v>4</v>
      </c>
      <c r="N73">
        <v>3</v>
      </c>
      <c r="O73">
        <v>5</v>
      </c>
      <c r="P73">
        <v>3</v>
      </c>
      <c r="Q73">
        <v>3</v>
      </c>
      <c r="R73">
        <v>4</v>
      </c>
      <c r="S73">
        <v>4</v>
      </c>
      <c r="T73">
        <v>5</v>
      </c>
      <c r="U73" t="s">
        <v>30</v>
      </c>
      <c r="V73" t="s">
        <v>46</v>
      </c>
      <c r="W73" t="s">
        <v>55</v>
      </c>
      <c r="X73" t="s">
        <v>40</v>
      </c>
      <c r="Y73">
        <v>23</v>
      </c>
      <c r="Z73" s="1">
        <v>45440</v>
      </c>
      <c r="AA73" t="str" cm="1">
        <f t="array" ref="AA73">_xlfn.IFS(AND(Table2[[#This Row],[Guest_Age]]&gt;=18,Table2[[#This Row],[Guest_Age]]&lt;=25),"Young Adults",AND(Table2[[#This Row],[Guest_Age]]&gt;=26,Table2[[#This Row],[Guest_Age]]&lt;=35),"Adults",AND(Table2[[#This Row],[Guest_Age]]&gt;=36,Table2[[#This Row],[Guest_Age]]&lt;=50),"Middle Aged Adults",Table2[[#This Row],[Guest_Age]]&gt;50,"Senior")</f>
        <v>Young Adults</v>
      </c>
      <c r="AB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73" t="str" cm="1">
        <f t="array" ref="AC73">_xlfn.IFS(Table2[[#This Row],[Satification_points]]&gt;=4.5,"GREAT",AND(Table2[[#This Row],[Satification_points]]&gt;=4,Table2[[#This Row],[Satification_points]]&lt;4.5),"GOOD",AND(Table2[[#This Row],[Satification_points]]&gt;=3,Table2[[#This Row],[Satification_points]]&lt;4),"AVERAGE",Table2[[#This Row],[Satification_points]]&lt;3,"POOR")</f>
        <v>AVERAGE</v>
      </c>
    </row>
    <row r="74" spans="1:29" x14ac:dyDescent="0.3">
      <c r="A74">
        <v>73</v>
      </c>
      <c r="B74">
        <v>95483</v>
      </c>
      <c r="C74" t="s">
        <v>131</v>
      </c>
      <c r="D74" t="s">
        <v>48</v>
      </c>
      <c r="E74" t="s">
        <v>35</v>
      </c>
      <c r="F74" s="1">
        <v>45290</v>
      </c>
      <c r="G74" s="1">
        <v>45330</v>
      </c>
      <c r="H74">
        <v>13</v>
      </c>
      <c r="I74" t="s">
        <v>42</v>
      </c>
      <c r="J74" t="s">
        <v>43</v>
      </c>
      <c r="K74">
        <v>4</v>
      </c>
      <c r="L74">
        <v>3</v>
      </c>
      <c r="M74">
        <v>5</v>
      </c>
      <c r="N74">
        <v>1</v>
      </c>
      <c r="O74">
        <v>3</v>
      </c>
      <c r="P74">
        <v>3</v>
      </c>
      <c r="Q74">
        <v>5</v>
      </c>
      <c r="R74">
        <v>3</v>
      </c>
      <c r="S74">
        <v>4</v>
      </c>
      <c r="T74">
        <v>2</v>
      </c>
      <c r="U74" t="s">
        <v>37</v>
      </c>
      <c r="V74" t="s">
        <v>54</v>
      </c>
      <c r="W74" t="s">
        <v>32</v>
      </c>
      <c r="X74" t="s">
        <v>40</v>
      </c>
      <c r="Y74">
        <v>19</v>
      </c>
      <c r="Z74" s="1">
        <v>45395</v>
      </c>
      <c r="AA74" t="str" cm="1">
        <f t="array" ref="AA74">_xlfn.IFS(AND(Table2[[#This Row],[Guest_Age]]&gt;=18,Table2[[#This Row],[Guest_Age]]&lt;=25),"Young Adults",AND(Table2[[#This Row],[Guest_Age]]&gt;=26,Table2[[#This Row],[Guest_Age]]&lt;=35),"Adults",AND(Table2[[#This Row],[Guest_Age]]&gt;=36,Table2[[#This Row],[Guest_Age]]&lt;=50),"Middle Aged Adults",Table2[[#This Row],[Guest_Age]]&gt;50,"Senior")</f>
        <v>Young Adults</v>
      </c>
      <c r="AB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4" t="str" cm="1">
        <f t="array" ref="AC74">_xlfn.IFS(Table2[[#This Row],[Satification_points]]&gt;=4.5,"GREAT",AND(Table2[[#This Row],[Satification_points]]&gt;=4,Table2[[#This Row],[Satification_points]]&lt;4.5),"GOOD",AND(Table2[[#This Row],[Satification_points]]&gt;=3,Table2[[#This Row],[Satification_points]]&lt;4),"AVERAGE",Table2[[#This Row],[Satification_points]]&lt;3,"POOR")</f>
        <v>AVERAGE</v>
      </c>
    </row>
    <row r="75" spans="1:29" x14ac:dyDescent="0.3">
      <c r="A75">
        <v>74</v>
      </c>
      <c r="B75">
        <v>35699</v>
      </c>
      <c r="C75" t="s">
        <v>132</v>
      </c>
      <c r="D75" t="s">
        <v>51</v>
      </c>
      <c r="E75" t="s">
        <v>57</v>
      </c>
      <c r="F75" s="1">
        <v>45574</v>
      </c>
      <c r="G75" s="1">
        <v>45575</v>
      </c>
      <c r="H75">
        <v>4</v>
      </c>
      <c r="I75" t="s">
        <v>50</v>
      </c>
      <c r="J75" t="s">
        <v>29</v>
      </c>
      <c r="K75">
        <v>4</v>
      </c>
      <c r="L75">
        <v>4</v>
      </c>
      <c r="M75">
        <v>1</v>
      </c>
      <c r="N75">
        <v>5</v>
      </c>
      <c r="O75">
        <v>1</v>
      </c>
      <c r="P75">
        <v>2</v>
      </c>
      <c r="Q75">
        <v>3</v>
      </c>
      <c r="R75">
        <v>2</v>
      </c>
      <c r="S75">
        <v>1</v>
      </c>
      <c r="T75">
        <v>1</v>
      </c>
      <c r="U75" t="s">
        <v>30</v>
      </c>
      <c r="V75" t="s">
        <v>38</v>
      </c>
      <c r="W75" t="s">
        <v>47</v>
      </c>
      <c r="X75" t="s">
        <v>33</v>
      </c>
      <c r="Y75">
        <v>56</v>
      </c>
      <c r="Z75" s="1">
        <v>45575</v>
      </c>
      <c r="AA75" t="str" cm="1">
        <f t="array" ref="AA75">_xlfn.IFS(AND(Table2[[#This Row],[Guest_Age]]&gt;=18,Table2[[#This Row],[Guest_Age]]&lt;=25),"Young Adults",AND(Table2[[#This Row],[Guest_Age]]&gt;=26,Table2[[#This Row],[Guest_Age]]&lt;=35),"Adults",AND(Table2[[#This Row],[Guest_Age]]&gt;=36,Table2[[#This Row],[Guest_Age]]&lt;=50),"Middle Aged Adults",Table2[[#This Row],[Guest_Age]]&gt;50,"Senior")</f>
        <v>Senior</v>
      </c>
      <c r="AB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5" t="str" cm="1">
        <f t="array" ref="AC75">_xlfn.IFS(Table2[[#This Row],[Satification_points]]&gt;=4.5,"GREAT",AND(Table2[[#This Row],[Satification_points]]&gt;=4,Table2[[#This Row],[Satification_points]]&lt;4.5),"GOOD",AND(Table2[[#This Row],[Satification_points]]&gt;=3,Table2[[#This Row],[Satification_points]]&lt;4),"AVERAGE",Table2[[#This Row],[Satification_points]]&lt;3,"POOR")</f>
        <v>POOR</v>
      </c>
    </row>
    <row r="76" spans="1:29" x14ac:dyDescent="0.3">
      <c r="A76">
        <v>75</v>
      </c>
      <c r="B76">
        <v>44111</v>
      </c>
      <c r="C76" t="s">
        <v>133</v>
      </c>
      <c r="D76" t="s">
        <v>26</v>
      </c>
      <c r="E76" t="s">
        <v>27</v>
      </c>
      <c r="F76" s="1">
        <v>44990</v>
      </c>
      <c r="G76" s="1">
        <v>45164</v>
      </c>
      <c r="H76">
        <v>10</v>
      </c>
      <c r="I76" t="s">
        <v>49</v>
      </c>
      <c r="J76" t="s">
        <v>53</v>
      </c>
      <c r="K76">
        <v>3</v>
      </c>
      <c r="L76">
        <v>3</v>
      </c>
      <c r="M76">
        <v>2</v>
      </c>
      <c r="N76">
        <v>5</v>
      </c>
      <c r="O76">
        <v>3</v>
      </c>
      <c r="P76">
        <v>2</v>
      </c>
      <c r="Q76">
        <v>4</v>
      </c>
      <c r="R76">
        <v>3</v>
      </c>
      <c r="S76">
        <v>4</v>
      </c>
      <c r="T76">
        <v>3</v>
      </c>
      <c r="U76" t="s">
        <v>37</v>
      </c>
      <c r="V76" t="s">
        <v>46</v>
      </c>
      <c r="W76" t="s">
        <v>47</v>
      </c>
      <c r="X76" t="s">
        <v>33</v>
      </c>
      <c r="Y76">
        <v>36</v>
      </c>
      <c r="Z76" s="1">
        <v>45529</v>
      </c>
      <c r="AA76" t="str" cm="1">
        <f t="array" ref="AA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6" t="str" cm="1">
        <f t="array" ref="AC76">_xlfn.IFS(Table2[[#This Row],[Satification_points]]&gt;=4.5,"GREAT",AND(Table2[[#This Row],[Satification_points]]&gt;=4,Table2[[#This Row],[Satification_points]]&lt;4.5),"GOOD",AND(Table2[[#This Row],[Satification_points]]&gt;=3,Table2[[#This Row],[Satification_points]]&lt;4),"AVERAGE",Table2[[#This Row],[Satification_points]]&lt;3,"POOR")</f>
        <v>AVERAGE</v>
      </c>
    </row>
    <row r="77" spans="1:29" x14ac:dyDescent="0.3">
      <c r="A77">
        <v>76</v>
      </c>
      <c r="B77">
        <v>92489</v>
      </c>
      <c r="C77" t="s">
        <v>134</v>
      </c>
      <c r="D77" t="s">
        <v>48</v>
      </c>
      <c r="E77" t="s">
        <v>57</v>
      </c>
      <c r="F77" s="1">
        <v>45127</v>
      </c>
      <c r="G77" s="1">
        <v>45395</v>
      </c>
      <c r="H77">
        <v>5</v>
      </c>
      <c r="I77" t="s">
        <v>28</v>
      </c>
      <c r="J77" t="s">
        <v>29</v>
      </c>
      <c r="K77">
        <v>1</v>
      </c>
      <c r="L77">
        <v>3</v>
      </c>
      <c r="M77">
        <v>2</v>
      </c>
      <c r="N77">
        <v>5</v>
      </c>
      <c r="O77">
        <v>3</v>
      </c>
      <c r="P77">
        <v>2</v>
      </c>
      <c r="Q77">
        <v>4</v>
      </c>
      <c r="R77">
        <v>3</v>
      </c>
      <c r="S77">
        <v>2</v>
      </c>
      <c r="T77">
        <v>2</v>
      </c>
      <c r="U77" t="s">
        <v>37</v>
      </c>
      <c r="V77" t="s">
        <v>31</v>
      </c>
      <c r="W77" t="s">
        <v>39</v>
      </c>
      <c r="X77" t="s">
        <v>33</v>
      </c>
      <c r="Y77">
        <v>63</v>
      </c>
      <c r="Z77" s="1">
        <v>45395</v>
      </c>
      <c r="AA77" t="str" cm="1">
        <f t="array" ref="AA77">_xlfn.IFS(AND(Table2[[#This Row],[Guest_Age]]&gt;=18,Table2[[#This Row],[Guest_Age]]&lt;=25),"Young Adults",AND(Table2[[#This Row],[Guest_Age]]&gt;=26,Table2[[#This Row],[Guest_Age]]&lt;=35),"Adults",AND(Table2[[#This Row],[Guest_Age]]&gt;=36,Table2[[#This Row],[Guest_Age]]&lt;=50),"Middle Aged Adults",Table2[[#This Row],[Guest_Age]]&gt;50,"Senior")</f>
        <v>Senior</v>
      </c>
      <c r="AB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7" t="str" cm="1">
        <f t="array" ref="AC77">_xlfn.IFS(Table2[[#This Row],[Satification_points]]&gt;=4.5,"GREAT",AND(Table2[[#This Row],[Satification_points]]&gt;=4,Table2[[#This Row],[Satification_points]]&lt;4.5),"GOOD",AND(Table2[[#This Row],[Satification_points]]&gt;=3,Table2[[#This Row],[Satification_points]]&lt;4),"AVERAGE",Table2[[#This Row],[Satification_points]]&lt;3,"POOR")</f>
        <v>POOR</v>
      </c>
    </row>
    <row r="78" spans="1:29" x14ac:dyDescent="0.3">
      <c r="A78">
        <v>77</v>
      </c>
      <c r="B78">
        <v>71065</v>
      </c>
      <c r="C78" t="s">
        <v>135</v>
      </c>
      <c r="D78" t="s">
        <v>41</v>
      </c>
      <c r="E78" t="s">
        <v>57</v>
      </c>
      <c r="F78" s="1">
        <v>45233</v>
      </c>
      <c r="G78" s="1">
        <v>45426</v>
      </c>
      <c r="H78">
        <v>8</v>
      </c>
      <c r="I78" t="s">
        <v>28</v>
      </c>
      <c r="J78" t="s">
        <v>29</v>
      </c>
      <c r="K78">
        <v>3</v>
      </c>
      <c r="L78">
        <v>5</v>
      </c>
      <c r="M78">
        <v>1</v>
      </c>
      <c r="N78">
        <v>2</v>
      </c>
      <c r="O78">
        <v>1</v>
      </c>
      <c r="P78">
        <v>3</v>
      </c>
      <c r="Q78">
        <v>5</v>
      </c>
      <c r="R78">
        <v>3</v>
      </c>
      <c r="S78">
        <v>2</v>
      </c>
      <c r="T78">
        <v>2</v>
      </c>
      <c r="U78" t="s">
        <v>37</v>
      </c>
      <c r="V78" t="s">
        <v>54</v>
      </c>
      <c r="W78" t="s">
        <v>56</v>
      </c>
      <c r="X78" t="s">
        <v>44</v>
      </c>
      <c r="Y78">
        <v>65</v>
      </c>
      <c r="Z78" s="1">
        <v>45426</v>
      </c>
      <c r="AA78" t="str" cm="1">
        <f t="array" ref="AA78">_xlfn.IFS(AND(Table2[[#This Row],[Guest_Age]]&gt;=18,Table2[[#This Row],[Guest_Age]]&lt;=25),"Young Adults",AND(Table2[[#This Row],[Guest_Age]]&gt;=26,Table2[[#This Row],[Guest_Age]]&lt;=35),"Adults",AND(Table2[[#This Row],[Guest_Age]]&gt;=36,Table2[[#This Row],[Guest_Age]]&lt;=50),"Middle Aged Adults",Table2[[#This Row],[Guest_Age]]&gt;50,"Senior")</f>
        <v>Senior</v>
      </c>
      <c r="AB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8" t="str" cm="1">
        <f t="array" ref="AC78">_xlfn.IFS(Table2[[#This Row],[Satification_points]]&gt;=4.5,"GREAT",AND(Table2[[#This Row],[Satification_points]]&gt;=4,Table2[[#This Row],[Satification_points]]&lt;4.5),"GOOD",AND(Table2[[#This Row],[Satification_points]]&gt;=3,Table2[[#This Row],[Satification_points]]&lt;4),"AVERAGE",Table2[[#This Row],[Satification_points]]&lt;3,"POOR")</f>
        <v>POOR</v>
      </c>
    </row>
    <row r="79" spans="1:29" x14ac:dyDescent="0.3">
      <c r="A79">
        <v>78</v>
      </c>
      <c r="B79">
        <v>91798</v>
      </c>
      <c r="C79" t="s">
        <v>136</v>
      </c>
      <c r="D79" t="s">
        <v>26</v>
      </c>
      <c r="E79" t="s">
        <v>27</v>
      </c>
      <c r="F79" s="1">
        <v>45101</v>
      </c>
      <c r="G79" s="1">
        <v>45439</v>
      </c>
      <c r="H79">
        <v>10</v>
      </c>
      <c r="I79" t="s">
        <v>49</v>
      </c>
      <c r="J79" t="s">
        <v>36</v>
      </c>
      <c r="K79">
        <v>3</v>
      </c>
      <c r="L79">
        <v>3</v>
      </c>
      <c r="M79">
        <v>2</v>
      </c>
      <c r="N79">
        <v>4</v>
      </c>
      <c r="O79">
        <v>4</v>
      </c>
      <c r="P79">
        <v>4</v>
      </c>
      <c r="Q79">
        <v>1</v>
      </c>
      <c r="R79">
        <v>3</v>
      </c>
      <c r="S79">
        <v>4</v>
      </c>
      <c r="T79">
        <v>5</v>
      </c>
      <c r="U79" t="s">
        <v>30</v>
      </c>
      <c r="V79" t="s">
        <v>31</v>
      </c>
      <c r="W79" t="s">
        <v>56</v>
      </c>
      <c r="X79" t="s">
        <v>40</v>
      </c>
      <c r="Y79">
        <v>57</v>
      </c>
      <c r="Z79" s="1">
        <v>45601</v>
      </c>
      <c r="AA79" t="str" cm="1">
        <f t="array" ref="AA79">_xlfn.IFS(AND(Table2[[#This Row],[Guest_Age]]&gt;=18,Table2[[#This Row],[Guest_Age]]&lt;=25),"Young Adults",AND(Table2[[#This Row],[Guest_Age]]&gt;=26,Table2[[#This Row],[Guest_Age]]&lt;=35),"Adults",AND(Table2[[#This Row],[Guest_Age]]&gt;=36,Table2[[#This Row],[Guest_Age]]&lt;=50),"Middle Aged Adults",Table2[[#This Row],[Guest_Age]]&gt;50,"Senior")</f>
        <v>Senior</v>
      </c>
      <c r="AB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9" t="str" cm="1">
        <f t="array" ref="AC79">_xlfn.IFS(Table2[[#This Row],[Satification_points]]&gt;=4.5,"GREAT",AND(Table2[[#This Row],[Satification_points]]&gt;=4,Table2[[#This Row],[Satification_points]]&lt;4.5),"GOOD",AND(Table2[[#This Row],[Satification_points]]&gt;=3,Table2[[#This Row],[Satification_points]]&lt;4),"AVERAGE",Table2[[#This Row],[Satification_points]]&lt;3,"POOR")</f>
        <v>AVERAGE</v>
      </c>
    </row>
    <row r="80" spans="1:29" x14ac:dyDescent="0.3">
      <c r="A80">
        <v>79</v>
      </c>
      <c r="B80">
        <v>79452</v>
      </c>
      <c r="C80" t="s">
        <v>137</v>
      </c>
      <c r="D80" t="s">
        <v>48</v>
      </c>
      <c r="E80" t="s">
        <v>57</v>
      </c>
      <c r="F80" s="1">
        <v>45615</v>
      </c>
      <c r="G80" s="1">
        <v>45616</v>
      </c>
      <c r="H80">
        <v>9</v>
      </c>
      <c r="I80" t="s">
        <v>28</v>
      </c>
      <c r="J80" t="s">
        <v>43</v>
      </c>
      <c r="K80">
        <v>3</v>
      </c>
      <c r="L80">
        <v>1</v>
      </c>
      <c r="M80">
        <v>1</v>
      </c>
      <c r="N80">
        <v>4</v>
      </c>
      <c r="O80">
        <v>4</v>
      </c>
      <c r="P80">
        <v>5</v>
      </c>
      <c r="Q80">
        <v>2</v>
      </c>
      <c r="R80">
        <v>4</v>
      </c>
      <c r="S80">
        <v>2</v>
      </c>
      <c r="T80">
        <v>2</v>
      </c>
      <c r="U80" t="s">
        <v>30</v>
      </c>
      <c r="V80" t="s">
        <v>31</v>
      </c>
      <c r="W80" t="s">
        <v>47</v>
      </c>
      <c r="X80" t="s">
        <v>40</v>
      </c>
      <c r="Y80">
        <v>35</v>
      </c>
      <c r="Z80" s="1">
        <v>45616</v>
      </c>
      <c r="AA80" t="str" cm="1">
        <f t="array" ref="AA80">_xlfn.IFS(AND(Table2[[#This Row],[Guest_Age]]&gt;=18,Table2[[#This Row],[Guest_Age]]&lt;=25),"Young Adults",AND(Table2[[#This Row],[Guest_Age]]&gt;=26,Table2[[#This Row],[Guest_Age]]&lt;=35),"Adults",AND(Table2[[#This Row],[Guest_Age]]&gt;=36,Table2[[#This Row],[Guest_Age]]&lt;=50),"Middle Aged Adults",Table2[[#This Row],[Guest_Age]]&gt;50,"Senior")</f>
        <v>Adults</v>
      </c>
      <c r="AB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0" t="str" cm="1">
        <f t="array" ref="AC80">_xlfn.IFS(Table2[[#This Row],[Satification_points]]&gt;=4.5,"GREAT",AND(Table2[[#This Row],[Satification_points]]&gt;=4,Table2[[#This Row],[Satification_points]]&lt;4.5),"GOOD",AND(Table2[[#This Row],[Satification_points]]&gt;=3,Table2[[#This Row],[Satification_points]]&lt;4),"AVERAGE",Table2[[#This Row],[Satification_points]]&lt;3,"POOR")</f>
        <v>POOR</v>
      </c>
    </row>
    <row r="81" spans="1:29" x14ac:dyDescent="0.3">
      <c r="A81">
        <v>80</v>
      </c>
      <c r="B81">
        <v>84728</v>
      </c>
      <c r="C81" t="s">
        <v>138</v>
      </c>
      <c r="D81" t="s">
        <v>41</v>
      </c>
      <c r="E81" t="s">
        <v>35</v>
      </c>
      <c r="F81" s="1">
        <v>45523</v>
      </c>
      <c r="G81" s="1">
        <v>45524</v>
      </c>
      <c r="H81">
        <v>13</v>
      </c>
      <c r="I81" t="s">
        <v>49</v>
      </c>
      <c r="J81" t="s">
        <v>36</v>
      </c>
      <c r="K81">
        <v>2</v>
      </c>
      <c r="L81">
        <v>1</v>
      </c>
      <c r="M81">
        <v>1</v>
      </c>
      <c r="N81">
        <v>1</v>
      </c>
      <c r="O81">
        <v>2</v>
      </c>
      <c r="P81">
        <v>3</v>
      </c>
      <c r="Q81">
        <v>3</v>
      </c>
      <c r="R81">
        <v>5</v>
      </c>
      <c r="S81">
        <v>5</v>
      </c>
      <c r="T81">
        <v>2</v>
      </c>
      <c r="U81" t="s">
        <v>30</v>
      </c>
      <c r="V81" t="s">
        <v>58</v>
      </c>
      <c r="W81" t="s">
        <v>32</v>
      </c>
      <c r="X81" t="s">
        <v>40</v>
      </c>
      <c r="Y81">
        <v>58</v>
      </c>
      <c r="Z81" s="1">
        <v>45524</v>
      </c>
      <c r="AA81" t="str" cm="1">
        <f t="array" ref="AA81">_xlfn.IFS(AND(Table2[[#This Row],[Guest_Age]]&gt;=18,Table2[[#This Row],[Guest_Age]]&lt;=25),"Young Adults",AND(Table2[[#This Row],[Guest_Age]]&gt;=26,Table2[[#This Row],[Guest_Age]]&lt;=35),"Adults",AND(Table2[[#This Row],[Guest_Age]]&gt;=36,Table2[[#This Row],[Guest_Age]]&lt;=50),"Middle Aged Adults",Table2[[#This Row],[Guest_Age]]&gt;50,"Senior")</f>
        <v>Senior</v>
      </c>
      <c r="AB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81" t="str" cm="1">
        <f t="array" ref="AC81">_xlfn.IFS(Table2[[#This Row],[Satification_points]]&gt;=4.5,"GREAT",AND(Table2[[#This Row],[Satification_points]]&gt;=4,Table2[[#This Row],[Satification_points]]&lt;4.5),"GOOD",AND(Table2[[#This Row],[Satification_points]]&gt;=3,Table2[[#This Row],[Satification_points]]&lt;4),"AVERAGE",Table2[[#This Row],[Satification_points]]&lt;3,"POOR")</f>
        <v>POOR</v>
      </c>
    </row>
    <row r="82" spans="1:29" x14ac:dyDescent="0.3">
      <c r="A82">
        <v>81</v>
      </c>
      <c r="B82">
        <v>45692</v>
      </c>
      <c r="C82" t="s">
        <v>139</v>
      </c>
      <c r="D82" t="s">
        <v>41</v>
      </c>
      <c r="E82" t="s">
        <v>45</v>
      </c>
      <c r="F82" s="1">
        <v>45598</v>
      </c>
      <c r="G82" s="1">
        <v>45599</v>
      </c>
      <c r="H82">
        <v>1</v>
      </c>
      <c r="I82" t="s">
        <v>49</v>
      </c>
      <c r="J82" t="s">
        <v>29</v>
      </c>
      <c r="K82">
        <v>3</v>
      </c>
      <c r="L82">
        <v>2</v>
      </c>
      <c r="M82">
        <v>5</v>
      </c>
      <c r="N82">
        <v>1</v>
      </c>
      <c r="O82">
        <v>1</v>
      </c>
      <c r="P82">
        <v>1</v>
      </c>
      <c r="Q82">
        <v>1</v>
      </c>
      <c r="R82">
        <v>4</v>
      </c>
      <c r="S82">
        <v>3</v>
      </c>
      <c r="T82">
        <v>3</v>
      </c>
      <c r="U82" t="s">
        <v>37</v>
      </c>
      <c r="V82" t="s">
        <v>38</v>
      </c>
      <c r="W82" t="s">
        <v>39</v>
      </c>
      <c r="X82" t="s">
        <v>40</v>
      </c>
      <c r="Y82">
        <v>53</v>
      </c>
      <c r="Z82" s="1">
        <v>45599</v>
      </c>
      <c r="AA82" t="str" cm="1">
        <f t="array" ref="AA82">_xlfn.IFS(AND(Table2[[#This Row],[Guest_Age]]&gt;=18,Table2[[#This Row],[Guest_Age]]&lt;=25),"Young Adults",AND(Table2[[#This Row],[Guest_Age]]&gt;=26,Table2[[#This Row],[Guest_Age]]&lt;=35),"Adults",AND(Table2[[#This Row],[Guest_Age]]&gt;=36,Table2[[#This Row],[Guest_Age]]&lt;=50),"Middle Aged Adults",Table2[[#This Row],[Guest_Age]]&gt;50,"Senior")</f>
        <v>Senior</v>
      </c>
      <c r="AB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82" t="str" cm="1">
        <f t="array" ref="AC82">_xlfn.IFS(Table2[[#This Row],[Satification_points]]&gt;=4.5,"GREAT",AND(Table2[[#This Row],[Satification_points]]&gt;=4,Table2[[#This Row],[Satification_points]]&lt;4.5),"GOOD",AND(Table2[[#This Row],[Satification_points]]&gt;=3,Table2[[#This Row],[Satification_points]]&lt;4),"AVERAGE",Table2[[#This Row],[Satification_points]]&lt;3,"POOR")</f>
        <v>POOR</v>
      </c>
    </row>
    <row r="83" spans="1:29" x14ac:dyDescent="0.3">
      <c r="A83">
        <v>82</v>
      </c>
      <c r="B83">
        <v>57197</v>
      </c>
      <c r="C83" t="s">
        <v>140</v>
      </c>
      <c r="D83" t="s">
        <v>34</v>
      </c>
      <c r="E83" t="s">
        <v>27</v>
      </c>
      <c r="F83" s="1">
        <v>45620</v>
      </c>
      <c r="G83" s="1">
        <v>45621</v>
      </c>
      <c r="H83">
        <v>9</v>
      </c>
      <c r="I83" t="s">
        <v>49</v>
      </c>
      <c r="J83" t="s">
        <v>53</v>
      </c>
      <c r="K83">
        <v>1</v>
      </c>
      <c r="L83">
        <v>5</v>
      </c>
      <c r="M83">
        <v>5</v>
      </c>
      <c r="N83">
        <v>4</v>
      </c>
      <c r="O83">
        <v>2</v>
      </c>
      <c r="P83">
        <v>5</v>
      </c>
      <c r="Q83">
        <v>4</v>
      </c>
      <c r="R83">
        <v>2</v>
      </c>
      <c r="S83">
        <v>2</v>
      </c>
      <c r="T83">
        <v>2</v>
      </c>
      <c r="U83" t="s">
        <v>30</v>
      </c>
      <c r="V83" t="s">
        <v>31</v>
      </c>
      <c r="W83" t="s">
        <v>55</v>
      </c>
      <c r="X83" t="s">
        <v>40</v>
      </c>
      <c r="Y83">
        <v>63</v>
      </c>
      <c r="Z83" s="1">
        <v>45621</v>
      </c>
      <c r="AA83" t="str" cm="1">
        <f t="array" ref="AA83">_xlfn.IFS(AND(Table2[[#This Row],[Guest_Age]]&gt;=18,Table2[[#This Row],[Guest_Age]]&lt;=25),"Young Adults",AND(Table2[[#This Row],[Guest_Age]]&gt;=26,Table2[[#This Row],[Guest_Age]]&lt;=35),"Adults",AND(Table2[[#This Row],[Guest_Age]]&gt;=36,Table2[[#This Row],[Guest_Age]]&lt;=50),"Middle Aged Adults",Table2[[#This Row],[Guest_Age]]&gt;50,"Senior")</f>
        <v>Senior</v>
      </c>
      <c r="AB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3" t="str" cm="1">
        <f t="array" ref="AC83">_xlfn.IFS(Table2[[#This Row],[Satification_points]]&gt;=4.5,"GREAT",AND(Table2[[#This Row],[Satification_points]]&gt;=4,Table2[[#This Row],[Satification_points]]&lt;4.5),"GOOD",AND(Table2[[#This Row],[Satification_points]]&gt;=3,Table2[[#This Row],[Satification_points]]&lt;4),"AVERAGE",Table2[[#This Row],[Satification_points]]&lt;3,"POOR")</f>
        <v>AVERAGE</v>
      </c>
    </row>
    <row r="84" spans="1:29" x14ac:dyDescent="0.3">
      <c r="A84">
        <v>83</v>
      </c>
      <c r="B84">
        <v>62404</v>
      </c>
      <c r="C84" t="s">
        <v>141</v>
      </c>
      <c r="D84" t="s">
        <v>48</v>
      </c>
      <c r="E84" t="s">
        <v>52</v>
      </c>
      <c r="F84" s="1">
        <v>45474</v>
      </c>
      <c r="G84" s="1">
        <v>45475</v>
      </c>
      <c r="H84">
        <v>5</v>
      </c>
      <c r="I84" t="s">
        <v>42</v>
      </c>
      <c r="J84" t="s">
        <v>43</v>
      </c>
      <c r="K84">
        <v>4</v>
      </c>
      <c r="L84">
        <v>2</v>
      </c>
      <c r="M84">
        <v>4</v>
      </c>
      <c r="N84">
        <v>5</v>
      </c>
      <c r="O84">
        <v>4</v>
      </c>
      <c r="P84">
        <v>3</v>
      </c>
      <c r="Q84">
        <v>4</v>
      </c>
      <c r="R84">
        <v>1</v>
      </c>
      <c r="S84">
        <v>1</v>
      </c>
      <c r="T84">
        <v>4</v>
      </c>
      <c r="U84" t="s">
        <v>37</v>
      </c>
      <c r="V84" t="s">
        <v>54</v>
      </c>
      <c r="W84" t="s">
        <v>39</v>
      </c>
      <c r="X84" t="s">
        <v>44</v>
      </c>
      <c r="Y84">
        <v>69</v>
      </c>
      <c r="Z84" s="1">
        <v>45630</v>
      </c>
      <c r="AA84" t="str" cm="1">
        <f t="array" ref="AA84">_xlfn.IFS(AND(Table2[[#This Row],[Guest_Age]]&gt;=18,Table2[[#This Row],[Guest_Age]]&lt;=25),"Young Adults",AND(Table2[[#This Row],[Guest_Age]]&gt;=26,Table2[[#This Row],[Guest_Age]]&lt;=35),"Adults",AND(Table2[[#This Row],[Guest_Age]]&gt;=36,Table2[[#This Row],[Guest_Age]]&lt;=50),"Middle Aged Adults",Table2[[#This Row],[Guest_Age]]&gt;50,"Senior")</f>
        <v>Senior</v>
      </c>
      <c r="AB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4" t="str" cm="1">
        <f t="array" ref="AC84">_xlfn.IFS(Table2[[#This Row],[Satification_points]]&gt;=4.5,"GREAT",AND(Table2[[#This Row],[Satification_points]]&gt;=4,Table2[[#This Row],[Satification_points]]&lt;4.5),"GOOD",AND(Table2[[#This Row],[Satification_points]]&gt;=3,Table2[[#This Row],[Satification_points]]&lt;4),"AVERAGE",Table2[[#This Row],[Satification_points]]&lt;3,"POOR")</f>
        <v>AVERAGE</v>
      </c>
    </row>
    <row r="85" spans="1:29" x14ac:dyDescent="0.3">
      <c r="A85">
        <v>84</v>
      </c>
      <c r="B85">
        <v>70736</v>
      </c>
      <c r="C85" t="s">
        <v>142</v>
      </c>
      <c r="D85" t="s">
        <v>34</v>
      </c>
      <c r="E85" t="s">
        <v>57</v>
      </c>
      <c r="F85" s="1">
        <v>45025</v>
      </c>
      <c r="G85" s="1">
        <v>45026</v>
      </c>
      <c r="H85">
        <v>4</v>
      </c>
      <c r="I85" t="s">
        <v>28</v>
      </c>
      <c r="J85" t="s">
        <v>40</v>
      </c>
      <c r="K85">
        <v>2</v>
      </c>
      <c r="L85">
        <v>3</v>
      </c>
      <c r="M85">
        <v>5</v>
      </c>
      <c r="N85">
        <v>1</v>
      </c>
      <c r="O85">
        <v>1</v>
      </c>
      <c r="P85">
        <v>3</v>
      </c>
      <c r="Q85">
        <v>1</v>
      </c>
      <c r="R85">
        <v>5</v>
      </c>
      <c r="S85">
        <v>2</v>
      </c>
      <c r="T85">
        <v>4</v>
      </c>
      <c r="U85" t="s">
        <v>30</v>
      </c>
      <c r="V85" t="s">
        <v>38</v>
      </c>
      <c r="W85" t="s">
        <v>47</v>
      </c>
      <c r="X85" t="s">
        <v>40</v>
      </c>
      <c r="Y85">
        <v>67</v>
      </c>
      <c r="Z85" s="1">
        <v>45151</v>
      </c>
      <c r="AA85" t="str" cm="1">
        <f t="array" ref="AA85">_xlfn.IFS(AND(Table2[[#This Row],[Guest_Age]]&gt;=18,Table2[[#This Row],[Guest_Age]]&lt;=25),"Young Adults",AND(Table2[[#This Row],[Guest_Age]]&gt;=26,Table2[[#This Row],[Guest_Age]]&lt;=35),"Adults",AND(Table2[[#This Row],[Guest_Age]]&gt;=36,Table2[[#This Row],[Guest_Age]]&lt;=50),"Middle Aged Adults",Table2[[#This Row],[Guest_Age]]&gt;50,"Senior")</f>
        <v>Senior</v>
      </c>
      <c r="AB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5" t="str" cm="1">
        <f t="array" ref="AC85">_xlfn.IFS(Table2[[#This Row],[Satification_points]]&gt;=4.5,"GREAT",AND(Table2[[#This Row],[Satification_points]]&gt;=4,Table2[[#This Row],[Satification_points]]&lt;4.5),"GOOD",AND(Table2[[#This Row],[Satification_points]]&gt;=3,Table2[[#This Row],[Satification_points]]&lt;4),"AVERAGE",Table2[[#This Row],[Satification_points]]&lt;3,"POOR")</f>
        <v>POOR</v>
      </c>
    </row>
    <row r="86" spans="1:29" x14ac:dyDescent="0.3">
      <c r="A86">
        <v>85</v>
      </c>
      <c r="B86">
        <v>33942</v>
      </c>
      <c r="C86" t="s">
        <v>143</v>
      </c>
      <c r="D86" t="s">
        <v>34</v>
      </c>
      <c r="E86" t="s">
        <v>45</v>
      </c>
      <c r="F86" s="1">
        <v>45152</v>
      </c>
      <c r="G86" s="1">
        <v>45585</v>
      </c>
      <c r="H86">
        <v>10</v>
      </c>
      <c r="I86" t="s">
        <v>50</v>
      </c>
      <c r="J86" t="s">
        <v>43</v>
      </c>
      <c r="K86">
        <v>3</v>
      </c>
      <c r="L86">
        <v>4</v>
      </c>
      <c r="M86">
        <v>2</v>
      </c>
      <c r="N86">
        <v>2</v>
      </c>
      <c r="O86">
        <v>1</v>
      </c>
      <c r="P86">
        <v>2</v>
      </c>
      <c r="Q86">
        <v>1</v>
      </c>
      <c r="R86">
        <v>2</v>
      </c>
      <c r="S86">
        <v>5</v>
      </c>
      <c r="T86">
        <v>1</v>
      </c>
      <c r="U86" t="s">
        <v>37</v>
      </c>
      <c r="V86" t="s">
        <v>38</v>
      </c>
      <c r="W86" t="s">
        <v>55</v>
      </c>
      <c r="X86" t="s">
        <v>44</v>
      </c>
      <c r="Y86">
        <v>37</v>
      </c>
      <c r="Z86" s="1">
        <v>45585</v>
      </c>
      <c r="AA86" t="str" cm="1">
        <f t="array" ref="AA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86" t="str" cm="1">
        <f t="array" ref="AC86">_xlfn.IFS(Table2[[#This Row],[Satification_points]]&gt;=4.5,"GREAT",AND(Table2[[#This Row],[Satification_points]]&gt;=4,Table2[[#This Row],[Satification_points]]&lt;4.5),"GOOD",AND(Table2[[#This Row],[Satification_points]]&gt;=3,Table2[[#This Row],[Satification_points]]&lt;4),"AVERAGE",Table2[[#This Row],[Satification_points]]&lt;3,"POOR")</f>
        <v>POOR</v>
      </c>
    </row>
    <row r="87" spans="1:29" x14ac:dyDescent="0.3">
      <c r="A87">
        <v>86</v>
      </c>
      <c r="B87">
        <v>78928</v>
      </c>
      <c r="C87" t="s">
        <v>144</v>
      </c>
      <c r="D87" t="s">
        <v>51</v>
      </c>
      <c r="E87" t="s">
        <v>35</v>
      </c>
      <c r="F87" s="1">
        <v>45475</v>
      </c>
      <c r="G87" s="1">
        <v>45476</v>
      </c>
      <c r="H87">
        <v>5</v>
      </c>
      <c r="I87" t="s">
        <v>42</v>
      </c>
      <c r="J87" t="s">
        <v>36</v>
      </c>
      <c r="K87">
        <v>3</v>
      </c>
      <c r="L87">
        <v>1</v>
      </c>
      <c r="M87">
        <v>5</v>
      </c>
      <c r="N87">
        <v>2</v>
      </c>
      <c r="O87">
        <v>1</v>
      </c>
      <c r="P87">
        <v>4</v>
      </c>
      <c r="Q87">
        <v>4</v>
      </c>
      <c r="R87">
        <v>1</v>
      </c>
      <c r="S87">
        <v>5</v>
      </c>
      <c r="T87">
        <v>4</v>
      </c>
      <c r="U87" t="s">
        <v>30</v>
      </c>
      <c r="V87" t="s">
        <v>54</v>
      </c>
      <c r="W87" t="s">
        <v>39</v>
      </c>
      <c r="X87" t="s">
        <v>33</v>
      </c>
      <c r="Y87">
        <v>54</v>
      </c>
      <c r="Z87" s="1">
        <v>45476</v>
      </c>
      <c r="AA87" t="str" cm="1">
        <f t="array" ref="AA87">_xlfn.IFS(AND(Table2[[#This Row],[Guest_Age]]&gt;=18,Table2[[#This Row],[Guest_Age]]&lt;=25),"Young Adults",AND(Table2[[#This Row],[Guest_Age]]&gt;=26,Table2[[#This Row],[Guest_Age]]&lt;=35),"Adults",AND(Table2[[#This Row],[Guest_Age]]&gt;=36,Table2[[#This Row],[Guest_Age]]&lt;=50),"Middle Aged Adults",Table2[[#This Row],[Guest_Age]]&gt;50,"Senior")</f>
        <v>Senior</v>
      </c>
      <c r="AB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7" t="str" cm="1">
        <f t="array" ref="AC87">_xlfn.IFS(Table2[[#This Row],[Satification_points]]&gt;=4.5,"GREAT",AND(Table2[[#This Row],[Satification_points]]&gt;=4,Table2[[#This Row],[Satification_points]]&lt;4.5),"GOOD",AND(Table2[[#This Row],[Satification_points]]&gt;=3,Table2[[#This Row],[Satification_points]]&lt;4),"AVERAGE",Table2[[#This Row],[Satification_points]]&lt;3,"POOR")</f>
        <v>AVERAGE</v>
      </c>
    </row>
    <row r="88" spans="1:29" x14ac:dyDescent="0.3">
      <c r="A88">
        <v>87</v>
      </c>
      <c r="B88">
        <v>29001</v>
      </c>
      <c r="C88" t="s">
        <v>145</v>
      </c>
      <c r="D88" t="s">
        <v>34</v>
      </c>
      <c r="E88" t="s">
        <v>35</v>
      </c>
      <c r="F88" s="1">
        <v>45199</v>
      </c>
      <c r="G88" s="1">
        <v>45200</v>
      </c>
      <c r="H88">
        <v>14</v>
      </c>
      <c r="I88" t="s">
        <v>49</v>
      </c>
      <c r="J88" t="s">
        <v>43</v>
      </c>
      <c r="K88">
        <v>4</v>
      </c>
      <c r="L88">
        <v>4</v>
      </c>
      <c r="M88">
        <v>1</v>
      </c>
      <c r="N88">
        <v>4</v>
      </c>
      <c r="O88">
        <v>2</v>
      </c>
      <c r="P88">
        <v>4</v>
      </c>
      <c r="Q88">
        <v>3</v>
      </c>
      <c r="R88">
        <v>4</v>
      </c>
      <c r="S88">
        <v>5</v>
      </c>
      <c r="T88">
        <v>4</v>
      </c>
      <c r="U88" t="s">
        <v>30</v>
      </c>
      <c r="V88" t="s">
        <v>46</v>
      </c>
      <c r="W88" t="s">
        <v>32</v>
      </c>
      <c r="X88" t="s">
        <v>33</v>
      </c>
      <c r="Y88">
        <v>18</v>
      </c>
      <c r="Z88" s="1">
        <v>45261</v>
      </c>
      <c r="AA88" t="str" cm="1">
        <f t="array" ref="AA88">_xlfn.IFS(AND(Table2[[#This Row],[Guest_Age]]&gt;=18,Table2[[#This Row],[Guest_Age]]&lt;=25),"Young Adults",AND(Table2[[#This Row],[Guest_Age]]&gt;=26,Table2[[#This Row],[Guest_Age]]&lt;=35),"Adults",AND(Table2[[#This Row],[Guest_Age]]&gt;=36,Table2[[#This Row],[Guest_Age]]&lt;=50),"Middle Aged Adults",Table2[[#This Row],[Guest_Age]]&gt;50,"Senior")</f>
        <v>Young Adults</v>
      </c>
      <c r="AB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88" t="str" cm="1">
        <f t="array" ref="AC88">_xlfn.IFS(Table2[[#This Row],[Satification_points]]&gt;=4.5,"GREAT",AND(Table2[[#This Row],[Satification_points]]&gt;=4,Table2[[#This Row],[Satification_points]]&lt;4.5),"GOOD",AND(Table2[[#This Row],[Satification_points]]&gt;=3,Table2[[#This Row],[Satification_points]]&lt;4),"AVERAGE",Table2[[#This Row],[Satification_points]]&lt;3,"POOR")</f>
        <v>AVERAGE</v>
      </c>
    </row>
    <row r="89" spans="1:29" x14ac:dyDescent="0.3">
      <c r="A89">
        <v>88</v>
      </c>
      <c r="B89">
        <v>38696</v>
      </c>
      <c r="C89" t="s">
        <v>146</v>
      </c>
      <c r="D89" t="s">
        <v>34</v>
      </c>
      <c r="E89" t="s">
        <v>52</v>
      </c>
      <c r="F89" s="1">
        <v>45112</v>
      </c>
      <c r="G89" s="1">
        <v>45113</v>
      </c>
      <c r="H89">
        <v>9</v>
      </c>
      <c r="I89" t="s">
        <v>28</v>
      </c>
      <c r="J89" t="s">
        <v>53</v>
      </c>
      <c r="K89">
        <v>4</v>
      </c>
      <c r="L89">
        <v>2</v>
      </c>
      <c r="M89">
        <v>5</v>
      </c>
      <c r="N89">
        <v>1</v>
      </c>
      <c r="O89">
        <v>3</v>
      </c>
      <c r="P89">
        <v>5</v>
      </c>
      <c r="Q89">
        <v>3</v>
      </c>
      <c r="R89">
        <v>3</v>
      </c>
      <c r="S89">
        <v>2</v>
      </c>
      <c r="T89">
        <v>5</v>
      </c>
      <c r="U89" t="s">
        <v>37</v>
      </c>
      <c r="V89" t="s">
        <v>54</v>
      </c>
      <c r="W89" t="s">
        <v>56</v>
      </c>
      <c r="X89" t="s">
        <v>44</v>
      </c>
      <c r="Y89">
        <v>40</v>
      </c>
      <c r="Z89" s="1">
        <v>45231</v>
      </c>
      <c r="AA89" t="str" cm="1">
        <f t="array" ref="AA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9" t="str" cm="1">
        <f t="array" ref="AC89">_xlfn.IFS(Table2[[#This Row],[Satification_points]]&gt;=4.5,"GREAT",AND(Table2[[#This Row],[Satification_points]]&gt;=4,Table2[[#This Row],[Satification_points]]&lt;4.5),"GOOD",AND(Table2[[#This Row],[Satification_points]]&gt;=3,Table2[[#This Row],[Satification_points]]&lt;4),"AVERAGE",Table2[[#This Row],[Satification_points]]&lt;3,"POOR")</f>
        <v>AVERAGE</v>
      </c>
    </row>
    <row r="90" spans="1:29" x14ac:dyDescent="0.3">
      <c r="A90">
        <v>89</v>
      </c>
      <c r="B90">
        <v>32319</v>
      </c>
      <c r="C90" t="s">
        <v>147</v>
      </c>
      <c r="D90" t="s">
        <v>51</v>
      </c>
      <c r="E90" t="s">
        <v>35</v>
      </c>
      <c r="F90" s="1">
        <v>45378</v>
      </c>
      <c r="G90" s="1">
        <v>45379</v>
      </c>
      <c r="H90">
        <v>8</v>
      </c>
      <c r="I90" t="s">
        <v>50</v>
      </c>
      <c r="J90" t="s">
        <v>43</v>
      </c>
      <c r="K90">
        <v>2</v>
      </c>
      <c r="L90">
        <v>2</v>
      </c>
      <c r="M90">
        <v>2</v>
      </c>
      <c r="N90">
        <v>1</v>
      </c>
      <c r="O90">
        <v>3</v>
      </c>
      <c r="P90">
        <v>3</v>
      </c>
      <c r="Q90">
        <v>1</v>
      </c>
      <c r="R90">
        <v>2</v>
      </c>
      <c r="S90">
        <v>3</v>
      </c>
      <c r="T90">
        <v>4</v>
      </c>
      <c r="U90" t="s">
        <v>30</v>
      </c>
      <c r="V90" t="s">
        <v>46</v>
      </c>
      <c r="W90" t="s">
        <v>55</v>
      </c>
      <c r="X90" t="s">
        <v>40</v>
      </c>
      <c r="Y90">
        <v>55</v>
      </c>
      <c r="Z90" s="1">
        <v>45379</v>
      </c>
      <c r="AA90" t="str" cm="1">
        <f t="array" ref="AA90">_xlfn.IFS(AND(Table2[[#This Row],[Guest_Age]]&gt;=18,Table2[[#This Row],[Guest_Age]]&lt;=25),"Young Adults",AND(Table2[[#This Row],[Guest_Age]]&gt;=26,Table2[[#This Row],[Guest_Age]]&lt;=35),"Adults",AND(Table2[[#This Row],[Guest_Age]]&gt;=36,Table2[[#This Row],[Guest_Age]]&lt;=50),"Middle Aged Adults",Table2[[#This Row],[Guest_Age]]&gt;50,"Senior")</f>
        <v>Senior</v>
      </c>
      <c r="AB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90" t="str" cm="1">
        <f t="array" ref="AC90">_xlfn.IFS(Table2[[#This Row],[Satification_points]]&gt;=4.5,"GREAT",AND(Table2[[#This Row],[Satification_points]]&gt;=4,Table2[[#This Row],[Satification_points]]&lt;4.5),"GOOD",AND(Table2[[#This Row],[Satification_points]]&gt;=3,Table2[[#This Row],[Satification_points]]&lt;4),"AVERAGE",Table2[[#This Row],[Satification_points]]&lt;3,"POOR")</f>
        <v>POOR</v>
      </c>
    </row>
    <row r="91" spans="1:29" x14ac:dyDescent="0.3">
      <c r="A91">
        <v>90</v>
      </c>
      <c r="B91">
        <v>47123</v>
      </c>
      <c r="C91" t="s">
        <v>148</v>
      </c>
      <c r="D91" t="s">
        <v>51</v>
      </c>
      <c r="E91" t="s">
        <v>45</v>
      </c>
      <c r="F91" s="1">
        <v>45487</v>
      </c>
      <c r="G91" s="1">
        <v>45488</v>
      </c>
      <c r="H91">
        <v>10</v>
      </c>
      <c r="I91" t="s">
        <v>49</v>
      </c>
      <c r="J91" t="s">
        <v>40</v>
      </c>
      <c r="K91">
        <v>1</v>
      </c>
      <c r="L91">
        <v>1</v>
      </c>
      <c r="M91">
        <v>4</v>
      </c>
      <c r="N91">
        <v>5</v>
      </c>
      <c r="O91">
        <v>3</v>
      </c>
      <c r="P91">
        <v>2</v>
      </c>
      <c r="Q91">
        <v>5</v>
      </c>
      <c r="R91">
        <v>3</v>
      </c>
      <c r="S91">
        <v>1</v>
      </c>
      <c r="T91">
        <v>2</v>
      </c>
      <c r="U91" t="s">
        <v>30</v>
      </c>
      <c r="V91" t="s">
        <v>38</v>
      </c>
      <c r="W91" t="s">
        <v>39</v>
      </c>
      <c r="X91" t="s">
        <v>40</v>
      </c>
      <c r="Y91">
        <v>37</v>
      </c>
      <c r="Z91" s="1">
        <v>45589</v>
      </c>
      <c r="AA91" t="str" cm="1">
        <f t="array" ref="AA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1" t="str" cm="1">
        <f t="array" ref="AC91">_xlfn.IFS(Table2[[#This Row],[Satification_points]]&gt;=4.5,"GREAT",AND(Table2[[#This Row],[Satification_points]]&gt;=4,Table2[[#This Row],[Satification_points]]&lt;4.5),"GOOD",AND(Table2[[#This Row],[Satification_points]]&gt;=3,Table2[[#This Row],[Satification_points]]&lt;4),"AVERAGE",Table2[[#This Row],[Satification_points]]&lt;3,"POOR")</f>
        <v>POOR</v>
      </c>
    </row>
    <row r="92" spans="1:29" x14ac:dyDescent="0.3">
      <c r="A92">
        <v>91</v>
      </c>
      <c r="B92">
        <v>61165</v>
      </c>
      <c r="C92" t="s">
        <v>149</v>
      </c>
      <c r="D92" t="s">
        <v>26</v>
      </c>
      <c r="E92" t="s">
        <v>52</v>
      </c>
      <c r="F92" s="1">
        <v>45431</v>
      </c>
      <c r="G92" s="1">
        <v>45568</v>
      </c>
      <c r="H92">
        <v>13</v>
      </c>
      <c r="I92" t="s">
        <v>28</v>
      </c>
      <c r="J92" t="s">
        <v>36</v>
      </c>
      <c r="K92">
        <v>2</v>
      </c>
      <c r="L92">
        <v>2</v>
      </c>
      <c r="M92">
        <v>3</v>
      </c>
      <c r="N92">
        <v>1</v>
      </c>
      <c r="O92">
        <v>1</v>
      </c>
      <c r="P92">
        <v>1</v>
      </c>
      <c r="Q92">
        <v>4</v>
      </c>
      <c r="R92">
        <v>3</v>
      </c>
      <c r="S92">
        <v>3</v>
      </c>
      <c r="T92">
        <v>5</v>
      </c>
      <c r="U92" t="s">
        <v>37</v>
      </c>
      <c r="V92" t="s">
        <v>54</v>
      </c>
      <c r="W92" t="s">
        <v>32</v>
      </c>
      <c r="X92" t="s">
        <v>40</v>
      </c>
      <c r="Y92">
        <v>21</v>
      </c>
      <c r="Z92" s="1">
        <v>45568</v>
      </c>
      <c r="AA92" t="str" cm="1">
        <f t="array" ref="AA92">_xlfn.IFS(AND(Table2[[#This Row],[Guest_Age]]&gt;=18,Table2[[#This Row],[Guest_Age]]&lt;=25),"Young Adults",AND(Table2[[#This Row],[Guest_Age]]&gt;=26,Table2[[#This Row],[Guest_Age]]&lt;=35),"Adults",AND(Table2[[#This Row],[Guest_Age]]&gt;=36,Table2[[#This Row],[Guest_Age]]&lt;=50),"Middle Aged Adults",Table2[[#This Row],[Guest_Age]]&gt;50,"Senior")</f>
        <v>Young Adults</v>
      </c>
      <c r="AB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92" t="str" cm="1">
        <f t="array" ref="AC92">_xlfn.IFS(Table2[[#This Row],[Satification_points]]&gt;=4.5,"GREAT",AND(Table2[[#This Row],[Satification_points]]&gt;=4,Table2[[#This Row],[Satification_points]]&lt;4.5),"GOOD",AND(Table2[[#This Row],[Satification_points]]&gt;=3,Table2[[#This Row],[Satification_points]]&lt;4),"AVERAGE",Table2[[#This Row],[Satification_points]]&lt;3,"POOR")</f>
        <v>POOR</v>
      </c>
    </row>
    <row r="93" spans="1:29" x14ac:dyDescent="0.3">
      <c r="A93">
        <v>92</v>
      </c>
      <c r="B93">
        <v>28311</v>
      </c>
      <c r="C93" t="s">
        <v>150</v>
      </c>
      <c r="D93" t="s">
        <v>34</v>
      </c>
      <c r="E93" t="s">
        <v>27</v>
      </c>
      <c r="F93" s="1">
        <v>45020</v>
      </c>
      <c r="G93" s="1">
        <v>45138</v>
      </c>
      <c r="H93">
        <v>12</v>
      </c>
      <c r="I93" t="s">
        <v>49</v>
      </c>
      <c r="J93" t="s">
        <v>36</v>
      </c>
      <c r="K93">
        <v>4</v>
      </c>
      <c r="L93">
        <v>4</v>
      </c>
      <c r="M93">
        <v>1</v>
      </c>
      <c r="N93">
        <v>4</v>
      </c>
      <c r="O93">
        <v>4</v>
      </c>
      <c r="P93">
        <v>3</v>
      </c>
      <c r="Q93">
        <v>2</v>
      </c>
      <c r="R93">
        <v>3</v>
      </c>
      <c r="S93">
        <v>2</v>
      </c>
      <c r="T93">
        <v>4</v>
      </c>
      <c r="U93" t="s">
        <v>37</v>
      </c>
      <c r="V93" t="s">
        <v>31</v>
      </c>
      <c r="W93" t="s">
        <v>39</v>
      </c>
      <c r="X93" t="s">
        <v>40</v>
      </c>
      <c r="Y93">
        <v>68</v>
      </c>
      <c r="Z93" s="1">
        <v>45200</v>
      </c>
      <c r="AA93" t="str" cm="1">
        <f t="array" ref="AA93">_xlfn.IFS(AND(Table2[[#This Row],[Guest_Age]]&gt;=18,Table2[[#This Row],[Guest_Age]]&lt;=25),"Young Adults",AND(Table2[[#This Row],[Guest_Age]]&gt;=26,Table2[[#This Row],[Guest_Age]]&lt;=35),"Adults",AND(Table2[[#This Row],[Guest_Age]]&gt;=36,Table2[[#This Row],[Guest_Age]]&lt;=50),"Middle Aged Adults",Table2[[#This Row],[Guest_Age]]&gt;50,"Senior")</f>
        <v>Senior</v>
      </c>
      <c r="AB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3" t="str" cm="1">
        <f t="array" ref="AC93">_xlfn.IFS(Table2[[#This Row],[Satification_points]]&gt;=4.5,"GREAT",AND(Table2[[#This Row],[Satification_points]]&gt;=4,Table2[[#This Row],[Satification_points]]&lt;4.5),"GOOD",AND(Table2[[#This Row],[Satification_points]]&gt;=3,Table2[[#This Row],[Satification_points]]&lt;4),"AVERAGE",Table2[[#This Row],[Satification_points]]&lt;3,"POOR")</f>
        <v>AVERAGE</v>
      </c>
    </row>
    <row r="94" spans="1:29" x14ac:dyDescent="0.3">
      <c r="A94">
        <v>93</v>
      </c>
      <c r="B94">
        <v>37120</v>
      </c>
      <c r="C94" t="s">
        <v>151</v>
      </c>
      <c r="D94" t="s">
        <v>41</v>
      </c>
      <c r="E94" t="s">
        <v>52</v>
      </c>
      <c r="F94" s="1">
        <v>45233</v>
      </c>
      <c r="G94" s="1">
        <v>45234</v>
      </c>
      <c r="H94">
        <v>5</v>
      </c>
      <c r="I94" t="s">
        <v>50</v>
      </c>
      <c r="J94" t="s">
        <v>29</v>
      </c>
      <c r="K94">
        <v>1</v>
      </c>
      <c r="L94">
        <v>2</v>
      </c>
      <c r="M94">
        <v>2</v>
      </c>
      <c r="N94">
        <v>1</v>
      </c>
      <c r="O94">
        <v>2</v>
      </c>
      <c r="P94">
        <v>2</v>
      </c>
      <c r="Q94">
        <v>4</v>
      </c>
      <c r="R94">
        <v>5</v>
      </c>
      <c r="S94">
        <v>3</v>
      </c>
      <c r="T94">
        <v>2</v>
      </c>
      <c r="U94" t="s">
        <v>30</v>
      </c>
      <c r="V94" t="s">
        <v>54</v>
      </c>
      <c r="W94" t="s">
        <v>55</v>
      </c>
      <c r="X94" t="s">
        <v>40</v>
      </c>
      <c r="Y94">
        <v>66</v>
      </c>
      <c r="Z94" s="1">
        <v>45601</v>
      </c>
      <c r="AA94" t="str" cm="1">
        <f t="array" ref="AA94">_xlfn.IFS(AND(Table2[[#This Row],[Guest_Age]]&gt;=18,Table2[[#This Row],[Guest_Age]]&lt;=25),"Young Adults",AND(Table2[[#This Row],[Guest_Age]]&gt;=26,Table2[[#This Row],[Guest_Age]]&lt;=35),"Adults",AND(Table2[[#This Row],[Guest_Age]]&gt;=36,Table2[[#This Row],[Guest_Age]]&lt;=50),"Middle Aged Adults",Table2[[#This Row],[Guest_Age]]&gt;50,"Senior")</f>
        <v>Senior</v>
      </c>
      <c r="AB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94" t="str" cm="1">
        <f t="array" ref="AC94">_xlfn.IFS(Table2[[#This Row],[Satification_points]]&gt;=4.5,"GREAT",AND(Table2[[#This Row],[Satification_points]]&gt;=4,Table2[[#This Row],[Satification_points]]&lt;4.5),"GOOD",AND(Table2[[#This Row],[Satification_points]]&gt;=3,Table2[[#This Row],[Satification_points]]&lt;4),"AVERAGE",Table2[[#This Row],[Satification_points]]&lt;3,"POOR")</f>
        <v>POOR</v>
      </c>
    </row>
    <row r="95" spans="1:29" x14ac:dyDescent="0.3">
      <c r="A95">
        <v>94</v>
      </c>
      <c r="B95">
        <v>32642</v>
      </c>
      <c r="C95" t="s">
        <v>152</v>
      </c>
      <c r="D95" t="s">
        <v>51</v>
      </c>
      <c r="E95" t="s">
        <v>27</v>
      </c>
      <c r="F95" s="1">
        <v>45443</v>
      </c>
      <c r="G95" s="1">
        <v>45444</v>
      </c>
      <c r="H95">
        <v>13</v>
      </c>
      <c r="I95" t="s">
        <v>28</v>
      </c>
      <c r="J95" t="s">
        <v>36</v>
      </c>
      <c r="K95">
        <v>3</v>
      </c>
      <c r="L95">
        <v>4</v>
      </c>
      <c r="M95">
        <v>2</v>
      </c>
      <c r="N95">
        <v>1</v>
      </c>
      <c r="O95">
        <v>2</v>
      </c>
      <c r="P95">
        <v>1</v>
      </c>
      <c r="Q95">
        <v>3</v>
      </c>
      <c r="R95">
        <v>1</v>
      </c>
      <c r="S95">
        <v>4</v>
      </c>
      <c r="T95">
        <v>1</v>
      </c>
      <c r="U95" t="s">
        <v>30</v>
      </c>
      <c r="V95" t="s">
        <v>31</v>
      </c>
      <c r="W95" t="s">
        <v>32</v>
      </c>
      <c r="X95" t="s">
        <v>44</v>
      </c>
      <c r="Y95">
        <v>55</v>
      </c>
      <c r="Z95" s="1">
        <v>45444</v>
      </c>
      <c r="AA95" t="str" cm="1">
        <f t="array" ref="AA95">_xlfn.IFS(AND(Table2[[#This Row],[Guest_Age]]&gt;=18,Table2[[#This Row],[Guest_Age]]&lt;=25),"Young Adults",AND(Table2[[#This Row],[Guest_Age]]&gt;=26,Table2[[#This Row],[Guest_Age]]&lt;=35),"Adults",AND(Table2[[#This Row],[Guest_Age]]&gt;=36,Table2[[#This Row],[Guest_Age]]&lt;=50),"Middle Aged Adults",Table2[[#This Row],[Guest_Age]]&gt;50,"Senior")</f>
        <v>Senior</v>
      </c>
      <c r="AB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95" t="str" cm="1">
        <f t="array" ref="AC95">_xlfn.IFS(Table2[[#This Row],[Satification_points]]&gt;=4.5,"GREAT",AND(Table2[[#This Row],[Satification_points]]&gt;=4,Table2[[#This Row],[Satification_points]]&lt;4.5),"GOOD",AND(Table2[[#This Row],[Satification_points]]&gt;=3,Table2[[#This Row],[Satification_points]]&lt;4),"AVERAGE",Table2[[#This Row],[Satification_points]]&lt;3,"POOR")</f>
        <v>POOR</v>
      </c>
    </row>
    <row r="96" spans="1:29" x14ac:dyDescent="0.3">
      <c r="A96">
        <v>95</v>
      </c>
      <c r="B96">
        <v>80083</v>
      </c>
      <c r="C96" t="s">
        <v>153</v>
      </c>
      <c r="D96" t="s">
        <v>48</v>
      </c>
      <c r="E96" t="s">
        <v>35</v>
      </c>
      <c r="F96" s="1">
        <v>45100</v>
      </c>
      <c r="G96" s="1">
        <v>45433</v>
      </c>
      <c r="H96">
        <v>11</v>
      </c>
      <c r="I96" t="s">
        <v>50</v>
      </c>
      <c r="J96" t="s">
        <v>40</v>
      </c>
      <c r="K96">
        <v>3</v>
      </c>
      <c r="L96">
        <v>3</v>
      </c>
      <c r="M96">
        <v>3</v>
      </c>
      <c r="N96">
        <v>2</v>
      </c>
      <c r="O96">
        <v>4</v>
      </c>
      <c r="P96">
        <v>1</v>
      </c>
      <c r="Q96">
        <v>3</v>
      </c>
      <c r="R96">
        <v>3</v>
      </c>
      <c r="S96">
        <v>1</v>
      </c>
      <c r="T96">
        <v>5</v>
      </c>
      <c r="U96" t="s">
        <v>37</v>
      </c>
      <c r="V96" t="s">
        <v>31</v>
      </c>
      <c r="W96" t="s">
        <v>56</v>
      </c>
      <c r="X96" t="s">
        <v>44</v>
      </c>
      <c r="Y96">
        <v>22</v>
      </c>
      <c r="Z96" s="1">
        <v>45433</v>
      </c>
      <c r="AA96" t="str" cm="1">
        <f t="array" ref="AA96">_xlfn.IFS(AND(Table2[[#This Row],[Guest_Age]]&gt;=18,Table2[[#This Row],[Guest_Age]]&lt;=25),"Young Adults",AND(Table2[[#This Row],[Guest_Age]]&gt;=26,Table2[[#This Row],[Guest_Age]]&lt;=35),"Adults",AND(Table2[[#This Row],[Guest_Age]]&gt;=36,Table2[[#This Row],[Guest_Age]]&lt;=50),"Middle Aged Adults",Table2[[#This Row],[Guest_Age]]&gt;50,"Senior")</f>
        <v>Young Adults</v>
      </c>
      <c r="AB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6" t="str" cm="1">
        <f t="array" ref="AC96">_xlfn.IFS(Table2[[#This Row],[Satification_points]]&gt;=4.5,"GREAT",AND(Table2[[#This Row],[Satification_points]]&gt;=4,Table2[[#This Row],[Satification_points]]&lt;4.5),"GOOD",AND(Table2[[#This Row],[Satification_points]]&gt;=3,Table2[[#This Row],[Satification_points]]&lt;4),"AVERAGE",Table2[[#This Row],[Satification_points]]&lt;3,"POOR")</f>
        <v>POOR</v>
      </c>
    </row>
    <row r="97" spans="1:29" x14ac:dyDescent="0.3">
      <c r="A97">
        <v>96</v>
      </c>
      <c r="B97">
        <v>39371</v>
      </c>
      <c r="C97" t="s">
        <v>154</v>
      </c>
      <c r="D97" t="s">
        <v>26</v>
      </c>
      <c r="E97" t="s">
        <v>45</v>
      </c>
      <c r="F97" s="1">
        <v>45621</v>
      </c>
      <c r="G97" s="1">
        <v>45622</v>
      </c>
      <c r="H97">
        <v>14</v>
      </c>
      <c r="I97" t="s">
        <v>49</v>
      </c>
      <c r="J97" t="s">
        <v>40</v>
      </c>
      <c r="K97">
        <v>5</v>
      </c>
      <c r="L97">
        <v>5</v>
      </c>
      <c r="M97">
        <v>4</v>
      </c>
      <c r="N97">
        <v>4</v>
      </c>
      <c r="O97">
        <v>3</v>
      </c>
      <c r="P97">
        <v>5</v>
      </c>
      <c r="Q97">
        <v>2</v>
      </c>
      <c r="R97">
        <v>2</v>
      </c>
      <c r="S97">
        <v>4</v>
      </c>
      <c r="T97">
        <v>2</v>
      </c>
      <c r="U97" t="s">
        <v>30</v>
      </c>
      <c r="V97" t="s">
        <v>38</v>
      </c>
      <c r="W97" t="s">
        <v>32</v>
      </c>
      <c r="X97" t="s">
        <v>44</v>
      </c>
      <c r="Y97">
        <v>23</v>
      </c>
      <c r="Z97" s="1">
        <v>45622</v>
      </c>
      <c r="AA97" t="str" cm="1">
        <f t="array" ref="AA97">_xlfn.IFS(AND(Table2[[#This Row],[Guest_Age]]&gt;=18,Table2[[#This Row],[Guest_Age]]&lt;=25),"Young Adults",AND(Table2[[#This Row],[Guest_Age]]&gt;=26,Table2[[#This Row],[Guest_Age]]&lt;=35),"Adults",AND(Table2[[#This Row],[Guest_Age]]&gt;=36,Table2[[#This Row],[Guest_Age]]&lt;=50),"Middle Aged Adults",Table2[[#This Row],[Guest_Age]]&gt;50,"Senior")</f>
        <v>Young Adults</v>
      </c>
      <c r="AB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97" t="str" cm="1">
        <f t="array" ref="AC97">_xlfn.IFS(Table2[[#This Row],[Satification_points]]&gt;=4.5,"GREAT",AND(Table2[[#This Row],[Satification_points]]&gt;=4,Table2[[#This Row],[Satification_points]]&lt;4.5),"GOOD",AND(Table2[[#This Row],[Satification_points]]&gt;=3,Table2[[#This Row],[Satification_points]]&lt;4),"AVERAGE",Table2[[#This Row],[Satification_points]]&lt;3,"POOR")</f>
        <v>AVERAGE</v>
      </c>
    </row>
    <row r="98" spans="1:29" x14ac:dyDescent="0.3">
      <c r="A98">
        <v>97</v>
      </c>
      <c r="B98">
        <v>95639</v>
      </c>
      <c r="C98" t="s">
        <v>155</v>
      </c>
      <c r="D98" t="s">
        <v>26</v>
      </c>
      <c r="E98" t="s">
        <v>57</v>
      </c>
      <c r="F98" s="1">
        <v>44999</v>
      </c>
      <c r="G98" s="1">
        <v>45000</v>
      </c>
      <c r="H98">
        <v>10</v>
      </c>
      <c r="I98" t="s">
        <v>49</v>
      </c>
      <c r="J98" t="s">
        <v>36</v>
      </c>
      <c r="K98">
        <v>4</v>
      </c>
      <c r="L98">
        <v>1</v>
      </c>
      <c r="M98">
        <v>1</v>
      </c>
      <c r="N98">
        <v>3</v>
      </c>
      <c r="O98">
        <v>5</v>
      </c>
      <c r="P98">
        <v>4</v>
      </c>
      <c r="Q98">
        <v>3</v>
      </c>
      <c r="R98">
        <v>5</v>
      </c>
      <c r="S98">
        <v>4</v>
      </c>
      <c r="T98">
        <v>5</v>
      </c>
      <c r="U98" t="s">
        <v>30</v>
      </c>
      <c r="V98" t="s">
        <v>46</v>
      </c>
      <c r="W98" t="s">
        <v>39</v>
      </c>
      <c r="X98" t="s">
        <v>33</v>
      </c>
      <c r="Y98">
        <v>43</v>
      </c>
      <c r="Z98" s="1">
        <v>45149</v>
      </c>
      <c r="AA98" t="str" cm="1">
        <f t="array" ref="AA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98" t="str" cm="1">
        <f t="array" ref="AC98">_xlfn.IFS(Table2[[#This Row],[Satification_points]]&gt;=4.5,"GREAT",AND(Table2[[#This Row],[Satification_points]]&gt;=4,Table2[[#This Row],[Satification_points]]&lt;4.5),"GOOD",AND(Table2[[#This Row],[Satification_points]]&gt;=3,Table2[[#This Row],[Satification_points]]&lt;4),"AVERAGE",Table2[[#This Row],[Satification_points]]&lt;3,"POOR")</f>
        <v>AVERAGE</v>
      </c>
    </row>
    <row r="99" spans="1:29" x14ac:dyDescent="0.3">
      <c r="A99">
        <v>98</v>
      </c>
      <c r="B99">
        <v>87401</v>
      </c>
      <c r="C99" t="s">
        <v>156</v>
      </c>
      <c r="D99" t="s">
        <v>34</v>
      </c>
      <c r="E99" t="s">
        <v>52</v>
      </c>
      <c r="F99" s="1">
        <v>45071</v>
      </c>
      <c r="G99" s="1">
        <v>45072</v>
      </c>
      <c r="H99">
        <v>5</v>
      </c>
      <c r="I99" t="s">
        <v>50</v>
      </c>
      <c r="J99" t="s">
        <v>43</v>
      </c>
      <c r="K99">
        <v>5</v>
      </c>
      <c r="L99">
        <v>2</v>
      </c>
      <c r="M99">
        <v>4</v>
      </c>
      <c r="N99">
        <v>4</v>
      </c>
      <c r="O99">
        <v>4</v>
      </c>
      <c r="P99">
        <v>4</v>
      </c>
      <c r="Q99">
        <v>2</v>
      </c>
      <c r="R99">
        <v>1</v>
      </c>
      <c r="S99">
        <v>3</v>
      </c>
      <c r="T99">
        <v>1</v>
      </c>
      <c r="U99" t="s">
        <v>30</v>
      </c>
      <c r="V99" t="s">
        <v>46</v>
      </c>
      <c r="W99" t="s">
        <v>39</v>
      </c>
      <c r="X99" t="s">
        <v>33</v>
      </c>
      <c r="Y99">
        <v>18</v>
      </c>
      <c r="Z99" s="1">
        <v>45276</v>
      </c>
      <c r="AA99" t="str" cm="1">
        <f t="array" ref="AA99">_xlfn.IFS(AND(Table2[[#This Row],[Guest_Age]]&gt;=18,Table2[[#This Row],[Guest_Age]]&lt;=25),"Young Adults",AND(Table2[[#This Row],[Guest_Age]]&gt;=26,Table2[[#This Row],[Guest_Age]]&lt;=35),"Adults",AND(Table2[[#This Row],[Guest_Age]]&gt;=36,Table2[[#This Row],[Guest_Age]]&lt;=50),"Middle Aged Adults",Table2[[#This Row],[Guest_Age]]&gt;50,"Senior")</f>
        <v>Young Adults</v>
      </c>
      <c r="AB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9" t="str" cm="1">
        <f t="array" ref="AC99">_xlfn.IFS(Table2[[#This Row],[Satification_points]]&gt;=4.5,"GREAT",AND(Table2[[#This Row],[Satification_points]]&gt;=4,Table2[[#This Row],[Satification_points]]&lt;4.5),"GOOD",AND(Table2[[#This Row],[Satification_points]]&gt;=3,Table2[[#This Row],[Satification_points]]&lt;4),"AVERAGE",Table2[[#This Row],[Satification_points]]&lt;3,"POOR")</f>
        <v>AVERAGE</v>
      </c>
    </row>
    <row r="100" spans="1:29" x14ac:dyDescent="0.3">
      <c r="A100">
        <v>99</v>
      </c>
      <c r="B100">
        <v>75244</v>
      </c>
      <c r="C100" t="s">
        <v>157</v>
      </c>
      <c r="D100" t="s">
        <v>41</v>
      </c>
      <c r="E100" t="s">
        <v>35</v>
      </c>
      <c r="F100" s="1">
        <v>45590</v>
      </c>
      <c r="G100" s="1">
        <v>45591</v>
      </c>
      <c r="H100">
        <v>1</v>
      </c>
      <c r="I100" t="s">
        <v>42</v>
      </c>
      <c r="J100" t="s">
        <v>40</v>
      </c>
      <c r="K100">
        <v>2</v>
      </c>
      <c r="L100">
        <v>1</v>
      </c>
      <c r="M100">
        <v>3</v>
      </c>
      <c r="N100">
        <v>4</v>
      </c>
      <c r="O100">
        <v>3</v>
      </c>
      <c r="P100">
        <v>5</v>
      </c>
      <c r="Q100">
        <v>3</v>
      </c>
      <c r="R100">
        <v>2</v>
      </c>
      <c r="S100">
        <v>4</v>
      </c>
      <c r="T100">
        <v>1</v>
      </c>
      <c r="U100" t="s">
        <v>37</v>
      </c>
      <c r="V100" t="s">
        <v>31</v>
      </c>
      <c r="W100" t="s">
        <v>39</v>
      </c>
      <c r="X100" t="s">
        <v>44</v>
      </c>
      <c r="Y100">
        <v>67</v>
      </c>
      <c r="Z100" s="1">
        <v>45591</v>
      </c>
      <c r="AA100" t="str" cm="1">
        <f t="array" ref="AA100">_xlfn.IFS(AND(Table2[[#This Row],[Guest_Age]]&gt;=18,Table2[[#This Row],[Guest_Age]]&lt;=25),"Young Adults",AND(Table2[[#This Row],[Guest_Age]]&gt;=26,Table2[[#This Row],[Guest_Age]]&lt;=35),"Adults",AND(Table2[[#This Row],[Guest_Age]]&gt;=36,Table2[[#This Row],[Guest_Age]]&lt;=50),"Middle Aged Adults",Table2[[#This Row],[Guest_Age]]&gt;50,"Senior")</f>
        <v>Senior</v>
      </c>
      <c r="AB1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0" t="str" cm="1">
        <f t="array" ref="AC100">_xlfn.IFS(Table2[[#This Row],[Satification_points]]&gt;=4.5,"GREAT",AND(Table2[[#This Row],[Satification_points]]&gt;=4,Table2[[#This Row],[Satification_points]]&lt;4.5),"GOOD",AND(Table2[[#This Row],[Satification_points]]&gt;=3,Table2[[#This Row],[Satification_points]]&lt;4),"AVERAGE",Table2[[#This Row],[Satification_points]]&lt;3,"POOR")</f>
        <v>POOR</v>
      </c>
    </row>
    <row r="101" spans="1:29" x14ac:dyDescent="0.3">
      <c r="A101">
        <v>100</v>
      </c>
      <c r="B101">
        <v>85279</v>
      </c>
      <c r="C101" t="s">
        <v>158</v>
      </c>
      <c r="D101" t="s">
        <v>51</v>
      </c>
      <c r="E101" t="s">
        <v>45</v>
      </c>
      <c r="F101" s="1">
        <v>44982</v>
      </c>
      <c r="G101" s="1">
        <v>45117</v>
      </c>
      <c r="H101">
        <v>9</v>
      </c>
      <c r="I101" t="s">
        <v>42</v>
      </c>
      <c r="J101" t="s">
        <v>36</v>
      </c>
      <c r="K101">
        <v>2</v>
      </c>
      <c r="L101">
        <v>2</v>
      </c>
      <c r="M101">
        <v>1</v>
      </c>
      <c r="N101">
        <v>3</v>
      </c>
      <c r="O101">
        <v>1</v>
      </c>
      <c r="P101">
        <v>3</v>
      </c>
      <c r="Q101">
        <v>2</v>
      </c>
      <c r="R101">
        <v>5</v>
      </c>
      <c r="S101">
        <v>1</v>
      </c>
      <c r="T101">
        <v>5</v>
      </c>
      <c r="U101" t="s">
        <v>30</v>
      </c>
      <c r="V101" t="s">
        <v>46</v>
      </c>
      <c r="W101" t="s">
        <v>39</v>
      </c>
      <c r="X101" t="s">
        <v>44</v>
      </c>
      <c r="Y101">
        <v>32</v>
      </c>
      <c r="Z101" s="1">
        <v>45117</v>
      </c>
      <c r="AA101" t="str" cm="1">
        <f t="array" ref="AA101">_xlfn.IFS(AND(Table2[[#This Row],[Guest_Age]]&gt;=18,Table2[[#This Row],[Guest_Age]]&lt;=25),"Young Adults",AND(Table2[[#This Row],[Guest_Age]]&gt;=26,Table2[[#This Row],[Guest_Age]]&lt;=35),"Adults",AND(Table2[[#This Row],[Guest_Age]]&gt;=36,Table2[[#This Row],[Guest_Age]]&lt;=50),"Middle Aged Adults",Table2[[#This Row],[Guest_Age]]&gt;50,"Senior")</f>
        <v>Adults</v>
      </c>
      <c r="AB1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1" t="str" cm="1">
        <f t="array" ref="AC101">_xlfn.IFS(Table2[[#This Row],[Satification_points]]&gt;=4.5,"GREAT",AND(Table2[[#This Row],[Satification_points]]&gt;=4,Table2[[#This Row],[Satification_points]]&lt;4.5),"GOOD",AND(Table2[[#This Row],[Satification_points]]&gt;=3,Table2[[#This Row],[Satification_points]]&lt;4),"AVERAGE",Table2[[#This Row],[Satification_points]]&lt;3,"POOR")</f>
        <v>POOR</v>
      </c>
    </row>
    <row r="102" spans="1:29" x14ac:dyDescent="0.3">
      <c r="A102">
        <v>101</v>
      </c>
      <c r="B102">
        <v>44450</v>
      </c>
      <c r="C102" t="s">
        <v>159</v>
      </c>
      <c r="D102" t="s">
        <v>48</v>
      </c>
      <c r="E102" t="s">
        <v>57</v>
      </c>
      <c r="F102" s="1">
        <v>45621</v>
      </c>
      <c r="G102" s="1">
        <v>45622</v>
      </c>
      <c r="H102">
        <v>3</v>
      </c>
      <c r="I102" t="s">
        <v>28</v>
      </c>
      <c r="J102" t="s">
        <v>36</v>
      </c>
      <c r="K102">
        <v>1</v>
      </c>
      <c r="L102">
        <v>3</v>
      </c>
      <c r="M102">
        <v>5</v>
      </c>
      <c r="N102">
        <v>3</v>
      </c>
      <c r="O102">
        <v>4</v>
      </c>
      <c r="P102">
        <v>2</v>
      </c>
      <c r="Q102">
        <v>5</v>
      </c>
      <c r="R102">
        <v>5</v>
      </c>
      <c r="S102">
        <v>4</v>
      </c>
      <c r="T102">
        <v>2</v>
      </c>
      <c r="U102" t="s">
        <v>30</v>
      </c>
      <c r="V102" t="s">
        <v>54</v>
      </c>
      <c r="W102" t="s">
        <v>39</v>
      </c>
      <c r="X102" t="s">
        <v>33</v>
      </c>
      <c r="Y102">
        <v>33</v>
      </c>
      <c r="Z102" s="1">
        <v>45622</v>
      </c>
      <c r="AA102" t="str" cm="1">
        <f t="array" ref="AA102">_xlfn.IFS(AND(Table2[[#This Row],[Guest_Age]]&gt;=18,Table2[[#This Row],[Guest_Age]]&lt;=25),"Young Adults",AND(Table2[[#This Row],[Guest_Age]]&gt;=26,Table2[[#This Row],[Guest_Age]]&lt;=35),"Adults",AND(Table2[[#This Row],[Guest_Age]]&gt;=36,Table2[[#This Row],[Guest_Age]]&lt;=50),"Middle Aged Adults",Table2[[#This Row],[Guest_Age]]&gt;50,"Senior")</f>
        <v>Adults</v>
      </c>
      <c r="AB1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2" t="str" cm="1">
        <f t="array" ref="AC102">_xlfn.IFS(Table2[[#This Row],[Satification_points]]&gt;=4.5,"GREAT",AND(Table2[[#This Row],[Satification_points]]&gt;=4,Table2[[#This Row],[Satification_points]]&lt;4.5),"GOOD",AND(Table2[[#This Row],[Satification_points]]&gt;=3,Table2[[#This Row],[Satification_points]]&lt;4),"AVERAGE",Table2[[#This Row],[Satification_points]]&lt;3,"POOR")</f>
        <v>AVERAGE</v>
      </c>
    </row>
    <row r="103" spans="1:29" x14ac:dyDescent="0.3">
      <c r="A103">
        <v>102</v>
      </c>
      <c r="B103">
        <v>92304</v>
      </c>
      <c r="C103" t="s">
        <v>160</v>
      </c>
      <c r="D103" t="s">
        <v>34</v>
      </c>
      <c r="E103" t="s">
        <v>52</v>
      </c>
      <c r="F103" s="1">
        <v>45560</v>
      </c>
      <c r="G103" s="1">
        <v>45561</v>
      </c>
      <c r="H103">
        <v>1</v>
      </c>
      <c r="I103" t="s">
        <v>28</v>
      </c>
      <c r="J103" t="s">
        <v>43</v>
      </c>
      <c r="K103">
        <v>4</v>
      </c>
      <c r="L103">
        <v>4</v>
      </c>
      <c r="M103">
        <v>4</v>
      </c>
      <c r="N103">
        <v>2</v>
      </c>
      <c r="O103">
        <v>3</v>
      </c>
      <c r="P103">
        <v>4</v>
      </c>
      <c r="Q103">
        <v>4</v>
      </c>
      <c r="R103">
        <v>1</v>
      </c>
      <c r="S103">
        <v>2</v>
      </c>
      <c r="T103">
        <v>3</v>
      </c>
      <c r="U103" t="s">
        <v>37</v>
      </c>
      <c r="V103" t="s">
        <v>31</v>
      </c>
      <c r="W103" t="s">
        <v>47</v>
      </c>
      <c r="X103" t="s">
        <v>44</v>
      </c>
      <c r="Y103">
        <v>40</v>
      </c>
      <c r="Z103" s="1">
        <v>45561</v>
      </c>
      <c r="AA103" t="str" cm="1">
        <f t="array" ref="AA1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3" t="str" cm="1">
        <f t="array" ref="AC103">_xlfn.IFS(Table2[[#This Row],[Satification_points]]&gt;=4.5,"GREAT",AND(Table2[[#This Row],[Satification_points]]&gt;=4,Table2[[#This Row],[Satification_points]]&lt;4.5),"GOOD",AND(Table2[[#This Row],[Satification_points]]&gt;=3,Table2[[#This Row],[Satification_points]]&lt;4),"AVERAGE",Table2[[#This Row],[Satification_points]]&lt;3,"POOR")</f>
        <v>AVERAGE</v>
      </c>
    </row>
    <row r="104" spans="1:29" x14ac:dyDescent="0.3">
      <c r="A104">
        <v>103</v>
      </c>
      <c r="B104">
        <v>96628</v>
      </c>
      <c r="C104" t="s">
        <v>161</v>
      </c>
      <c r="D104" t="s">
        <v>41</v>
      </c>
      <c r="E104" t="s">
        <v>45</v>
      </c>
      <c r="F104" s="1">
        <v>45170</v>
      </c>
      <c r="G104" s="1">
        <v>45188</v>
      </c>
      <c r="H104">
        <v>5</v>
      </c>
      <c r="I104" t="s">
        <v>42</v>
      </c>
      <c r="J104" t="s">
        <v>36</v>
      </c>
      <c r="K104">
        <v>1</v>
      </c>
      <c r="L104">
        <v>1</v>
      </c>
      <c r="M104">
        <v>5</v>
      </c>
      <c r="N104">
        <v>5</v>
      </c>
      <c r="O104">
        <v>2</v>
      </c>
      <c r="P104">
        <v>5</v>
      </c>
      <c r="Q104">
        <v>3</v>
      </c>
      <c r="R104">
        <v>3</v>
      </c>
      <c r="S104">
        <v>1</v>
      </c>
      <c r="T104">
        <v>5</v>
      </c>
      <c r="U104" t="s">
        <v>37</v>
      </c>
      <c r="V104" t="s">
        <v>31</v>
      </c>
      <c r="W104" t="s">
        <v>32</v>
      </c>
      <c r="X104" t="s">
        <v>33</v>
      </c>
      <c r="Y104">
        <v>58</v>
      </c>
      <c r="Z104" s="1">
        <v>45231</v>
      </c>
      <c r="AA104" t="str" cm="1">
        <f t="array" ref="AA104">_xlfn.IFS(AND(Table2[[#This Row],[Guest_Age]]&gt;=18,Table2[[#This Row],[Guest_Age]]&lt;=25),"Young Adults",AND(Table2[[#This Row],[Guest_Age]]&gt;=26,Table2[[#This Row],[Guest_Age]]&lt;=35),"Adults",AND(Table2[[#This Row],[Guest_Age]]&gt;=36,Table2[[#This Row],[Guest_Age]]&lt;=50),"Middle Aged Adults",Table2[[#This Row],[Guest_Age]]&gt;50,"Senior")</f>
        <v>Senior</v>
      </c>
      <c r="AB1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4" t="str" cm="1">
        <f t="array" ref="AC104">_xlfn.IFS(Table2[[#This Row],[Satification_points]]&gt;=4.5,"GREAT",AND(Table2[[#This Row],[Satification_points]]&gt;=4,Table2[[#This Row],[Satification_points]]&lt;4.5),"GOOD",AND(Table2[[#This Row],[Satification_points]]&gt;=3,Table2[[#This Row],[Satification_points]]&lt;4),"AVERAGE",Table2[[#This Row],[Satification_points]]&lt;3,"POOR")</f>
        <v>AVERAGE</v>
      </c>
    </row>
    <row r="105" spans="1:29" x14ac:dyDescent="0.3">
      <c r="A105">
        <v>104</v>
      </c>
      <c r="B105">
        <v>85994</v>
      </c>
      <c r="C105" t="s">
        <v>162</v>
      </c>
      <c r="D105" t="s">
        <v>34</v>
      </c>
      <c r="E105" t="s">
        <v>35</v>
      </c>
      <c r="F105" s="1">
        <v>45130</v>
      </c>
      <c r="G105" s="1">
        <v>45637</v>
      </c>
      <c r="H105">
        <v>10</v>
      </c>
      <c r="I105" t="s">
        <v>50</v>
      </c>
      <c r="J105" t="s">
        <v>53</v>
      </c>
      <c r="K105">
        <v>1</v>
      </c>
      <c r="L105">
        <v>3</v>
      </c>
      <c r="M105">
        <v>1</v>
      </c>
      <c r="N105">
        <v>4</v>
      </c>
      <c r="O105">
        <v>5</v>
      </c>
      <c r="P105">
        <v>4</v>
      </c>
      <c r="Q105">
        <v>1</v>
      </c>
      <c r="R105">
        <v>2</v>
      </c>
      <c r="S105">
        <v>2</v>
      </c>
      <c r="T105">
        <v>3</v>
      </c>
      <c r="U105" t="s">
        <v>37</v>
      </c>
      <c r="V105" t="s">
        <v>58</v>
      </c>
      <c r="W105" t="s">
        <v>32</v>
      </c>
      <c r="X105" t="s">
        <v>33</v>
      </c>
      <c r="Y105">
        <v>39</v>
      </c>
      <c r="Z105" s="1">
        <v>45637</v>
      </c>
      <c r="AA105" t="str" cm="1">
        <f t="array" ref="AA1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5" t="str" cm="1">
        <f t="array" ref="AC105">_xlfn.IFS(Table2[[#This Row],[Satification_points]]&gt;=4.5,"GREAT",AND(Table2[[#This Row],[Satification_points]]&gt;=4,Table2[[#This Row],[Satification_points]]&lt;4.5),"GOOD",AND(Table2[[#This Row],[Satification_points]]&gt;=3,Table2[[#This Row],[Satification_points]]&lt;4),"AVERAGE",Table2[[#This Row],[Satification_points]]&lt;3,"POOR")</f>
        <v>POOR</v>
      </c>
    </row>
    <row r="106" spans="1:29" x14ac:dyDescent="0.3">
      <c r="A106">
        <v>105</v>
      </c>
      <c r="B106">
        <v>33407</v>
      </c>
      <c r="C106" t="s">
        <v>163</v>
      </c>
      <c r="D106" t="s">
        <v>34</v>
      </c>
      <c r="E106" t="s">
        <v>52</v>
      </c>
      <c r="F106" s="1">
        <v>45517</v>
      </c>
      <c r="G106" s="1">
        <v>45518</v>
      </c>
      <c r="H106">
        <v>3</v>
      </c>
      <c r="I106" t="s">
        <v>49</v>
      </c>
      <c r="J106" t="s">
        <v>29</v>
      </c>
      <c r="K106">
        <v>2</v>
      </c>
      <c r="L106">
        <v>3</v>
      </c>
      <c r="M106">
        <v>3</v>
      </c>
      <c r="N106">
        <v>4</v>
      </c>
      <c r="O106">
        <v>5</v>
      </c>
      <c r="P106">
        <v>4</v>
      </c>
      <c r="Q106">
        <v>2</v>
      </c>
      <c r="R106">
        <v>4</v>
      </c>
      <c r="S106">
        <v>2</v>
      </c>
      <c r="T106">
        <v>2</v>
      </c>
      <c r="U106" t="s">
        <v>30</v>
      </c>
      <c r="V106" t="s">
        <v>54</v>
      </c>
      <c r="W106" t="s">
        <v>32</v>
      </c>
      <c r="X106" t="s">
        <v>44</v>
      </c>
      <c r="Y106">
        <v>22</v>
      </c>
      <c r="Z106" s="1">
        <v>45518</v>
      </c>
      <c r="AA106" t="str" cm="1">
        <f t="array" ref="AA106">_xlfn.IFS(AND(Table2[[#This Row],[Guest_Age]]&gt;=18,Table2[[#This Row],[Guest_Age]]&lt;=25),"Young Adults",AND(Table2[[#This Row],[Guest_Age]]&gt;=26,Table2[[#This Row],[Guest_Age]]&lt;=35),"Adults",AND(Table2[[#This Row],[Guest_Age]]&gt;=36,Table2[[#This Row],[Guest_Age]]&lt;=50),"Middle Aged Adults",Table2[[#This Row],[Guest_Age]]&gt;50,"Senior")</f>
        <v>Young Adults</v>
      </c>
      <c r="AB1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6" t="str" cm="1">
        <f t="array" ref="AC106">_xlfn.IFS(Table2[[#This Row],[Satification_points]]&gt;=4.5,"GREAT",AND(Table2[[#This Row],[Satification_points]]&gt;=4,Table2[[#This Row],[Satification_points]]&lt;4.5),"GOOD",AND(Table2[[#This Row],[Satification_points]]&gt;=3,Table2[[#This Row],[Satification_points]]&lt;4),"AVERAGE",Table2[[#This Row],[Satification_points]]&lt;3,"POOR")</f>
        <v>AVERAGE</v>
      </c>
    </row>
    <row r="107" spans="1:29" x14ac:dyDescent="0.3">
      <c r="A107">
        <v>106</v>
      </c>
      <c r="B107">
        <v>80188</v>
      </c>
      <c r="C107" t="s">
        <v>164</v>
      </c>
      <c r="D107" t="s">
        <v>26</v>
      </c>
      <c r="E107" t="s">
        <v>52</v>
      </c>
      <c r="F107" s="1">
        <v>44942</v>
      </c>
      <c r="G107" s="1">
        <v>44943</v>
      </c>
      <c r="H107">
        <v>6</v>
      </c>
      <c r="I107" t="s">
        <v>49</v>
      </c>
      <c r="J107" t="s">
        <v>40</v>
      </c>
      <c r="K107">
        <v>2</v>
      </c>
      <c r="L107">
        <v>5</v>
      </c>
      <c r="M107">
        <v>5</v>
      </c>
      <c r="N107">
        <v>4</v>
      </c>
      <c r="O107">
        <v>5</v>
      </c>
      <c r="P107">
        <v>4</v>
      </c>
      <c r="Q107">
        <v>2</v>
      </c>
      <c r="R107">
        <v>3</v>
      </c>
      <c r="S107">
        <v>5</v>
      </c>
      <c r="T107">
        <v>4</v>
      </c>
      <c r="U107" t="s">
        <v>30</v>
      </c>
      <c r="V107" t="s">
        <v>46</v>
      </c>
      <c r="W107" t="s">
        <v>32</v>
      </c>
      <c r="X107" t="s">
        <v>44</v>
      </c>
      <c r="Y107">
        <v>60</v>
      </c>
      <c r="Z107" s="1">
        <v>45172</v>
      </c>
      <c r="AA107" t="str" cm="1">
        <f t="array" ref="AA107">_xlfn.IFS(AND(Table2[[#This Row],[Guest_Age]]&gt;=18,Table2[[#This Row],[Guest_Age]]&lt;=25),"Young Adults",AND(Table2[[#This Row],[Guest_Age]]&gt;=26,Table2[[#This Row],[Guest_Age]]&lt;=35),"Adults",AND(Table2[[#This Row],[Guest_Age]]&gt;=36,Table2[[#This Row],[Guest_Age]]&lt;=50),"Middle Aged Adults",Table2[[#This Row],[Guest_Age]]&gt;50,"Senior")</f>
        <v>Senior</v>
      </c>
      <c r="AB1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07" t="str" cm="1">
        <f t="array" ref="AC107">_xlfn.IFS(Table2[[#This Row],[Satification_points]]&gt;=4.5,"GREAT",AND(Table2[[#This Row],[Satification_points]]&gt;=4,Table2[[#This Row],[Satification_points]]&lt;4.5),"GOOD",AND(Table2[[#This Row],[Satification_points]]&gt;=3,Table2[[#This Row],[Satification_points]]&lt;4),"AVERAGE",Table2[[#This Row],[Satification_points]]&lt;3,"POOR")</f>
        <v>AVERAGE</v>
      </c>
    </row>
    <row r="108" spans="1:29" x14ac:dyDescent="0.3">
      <c r="A108">
        <v>107</v>
      </c>
      <c r="B108">
        <v>14445</v>
      </c>
      <c r="C108" t="s">
        <v>165</v>
      </c>
      <c r="D108" t="s">
        <v>48</v>
      </c>
      <c r="E108" t="s">
        <v>27</v>
      </c>
      <c r="F108" s="1">
        <v>45052</v>
      </c>
      <c r="G108" s="1">
        <v>45053</v>
      </c>
      <c r="H108">
        <v>7</v>
      </c>
      <c r="I108" t="s">
        <v>28</v>
      </c>
      <c r="J108" t="s">
        <v>43</v>
      </c>
      <c r="K108">
        <v>4</v>
      </c>
      <c r="L108">
        <v>3</v>
      </c>
      <c r="M108">
        <v>5</v>
      </c>
      <c r="N108">
        <v>4</v>
      </c>
      <c r="O108">
        <v>3</v>
      </c>
      <c r="P108">
        <v>3</v>
      </c>
      <c r="Q108">
        <v>2</v>
      </c>
      <c r="R108">
        <v>4</v>
      </c>
      <c r="S108">
        <v>5</v>
      </c>
      <c r="T108">
        <v>5</v>
      </c>
      <c r="U108" t="s">
        <v>37</v>
      </c>
      <c r="V108" t="s">
        <v>46</v>
      </c>
      <c r="W108" t="s">
        <v>55</v>
      </c>
      <c r="X108" t="s">
        <v>33</v>
      </c>
      <c r="Y108">
        <v>22</v>
      </c>
      <c r="Z108" s="1">
        <v>45109</v>
      </c>
      <c r="AA108" t="str" cm="1">
        <f t="array" ref="AA108">_xlfn.IFS(AND(Table2[[#This Row],[Guest_Age]]&gt;=18,Table2[[#This Row],[Guest_Age]]&lt;=25),"Young Adults",AND(Table2[[#This Row],[Guest_Age]]&gt;=26,Table2[[#This Row],[Guest_Age]]&lt;=35),"Adults",AND(Table2[[#This Row],[Guest_Age]]&gt;=36,Table2[[#This Row],[Guest_Age]]&lt;=50),"Middle Aged Adults",Table2[[#This Row],[Guest_Age]]&gt;50,"Senior")</f>
        <v>Young Adults</v>
      </c>
      <c r="AB1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08" t="str" cm="1">
        <f t="array" ref="AC108">_xlfn.IFS(Table2[[#This Row],[Satification_points]]&gt;=4.5,"GREAT",AND(Table2[[#This Row],[Satification_points]]&gt;=4,Table2[[#This Row],[Satification_points]]&lt;4.5),"GOOD",AND(Table2[[#This Row],[Satification_points]]&gt;=3,Table2[[#This Row],[Satification_points]]&lt;4),"AVERAGE",Table2[[#This Row],[Satification_points]]&lt;3,"POOR")</f>
        <v>AVERAGE</v>
      </c>
    </row>
    <row r="109" spans="1:29" x14ac:dyDescent="0.3">
      <c r="A109">
        <v>108</v>
      </c>
      <c r="B109">
        <v>92309</v>
      </c>
      <c r="C109" t="s">
        <v>166</v>
      </c>
      <c r="D109" t="s">
        <v>48</v>
      </c>
      <c r="E109" t="s">
        <v>27</v>
      </c>
      <c r="F109" s="1">
        <v>45525</v>
      </c>
      <c r="G109" s="1">
        <v>45526</v>
      </c>
      <c r="H109">
        <v>11</v>
      </c>
      <c r="I109" t="s">
        <v>28</v>
      </c>
      <c r="J109" t="s">
        <v>43</v>
      </c>
      <c r="K109">
        <v>2</v>
      </c>
      <c r="L109">
        <v>5</v>
      </c>
      <c r="M109">
        <v>2</v>
      </c>
      <c r="N109">
        <v>2</v>
      </c>
      <c r="O109">
        <v>3</v>
      </c>
      <c r="P109">
        <v>5</v>
      </c>
      <c r="Q109">
        <v>3</v>
      </c>
      <c r="R109">
        <v>2</v>
      </c>
      <c r="S109">
        <v>2</v>
      </c>
      <c r="T109">
        <v>1</v>
      </c>
      <c r="U109" t="s">
        <v>37</v>
      </c>
      <c r="V109" t="s">
        <v>58</v>
      </c>
      <c r="W109" t="s">
        <v>39</v>
      </c>
      <c r="X109" t="s">
        <v>44</v>
      </c>
      <c r="Y109">
        <v>23</v>
      </c>
      <c r="Z109" s="1">
        <v>45526</v>
      </c>
      <c r="AA109" t="str" cm="1">
        <f t="array" ref="AA109">_xlfn.IFS(AND(Table2[[#This Row],[Guest_Age]]&gt;=18,Table2[[#This Row],[Guest_Age]]&lt;=25),"Young Adults",AND(Table2[[#This Row],[Guest_Age]]&gt;=26,Table2[[#This Row],[Guest_Age]]&lt;=35),"Adults",AND(Table2[[#This Row],[Guest_Age]]&gt;=36,Table2[[#This Row],[Guest_Age]]&lt;=50),"Middle Aged Adults",Table2[[#This Row],[Guest_Age]]&gt;50,"Senior")</f>
        <v>Young Adults</v>
      </c>
      <c r="AB1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9" t="str" cm="1">
        <f t="array" ref="AC109">_xlfn.IFS(Table2[[#This Row],[Satification_points]]&gt;=4.5,"GREAT",AND(Table2[[#This Row],[Satification_points]]&gt;=4,Table2[[#This Row],[Satification_points]]&lt;4.5),"GOOD",AND(Table2[[#This Row],[Satification_points]]&gt;=3,Table2[[#This Row],[Satification_points]]&lt;4),"AVERAGE",Table2[[#This Row],[Satification_points]]&lt;3,"POOR")</f>
        <v>POOR</v>
      </c>
    </row>
    <row r="110" spans="1:29" x14ac:dyDescent="0.3">
      <c r="A110">
        <v>109</v>
      </c>
      <c r="B110">
        <v>41096</v>
      </c>
      <c r="C110" t="s">
        <v>167</v>
      </c>
      <c r="D110" t="s">
        <v>48</v>
      </c>
      <c r="E110" t="s">
        <v>52</v>
      </c>
      <c r="F110" s="1">
        <v>45392</v>
      </c>
      <c r="G110" s="1">
        <v>45393</v>
      </c>
      <c r="H110">
        <v>4</v>
      </c>
      <c r="I110" t="s">
        <v>49</v>
      </c>
      <c r="J110" t="s">
        <v>29</v>
      </c>
      <c r="K110">
        <v>4</v>
      </c>
      <c r="L110">
        <v>3</v>
      </c>
      <c r="M110">
        <v>1</v>
      </c>
      <c r="N110">
        <v>4</v>
      </c>
      <c r="O110">
        <v>1</v>
      </c>
      <c r="P110">
        <v>4</v>
      </c>
      <c r="Q110">
        <v>4</v>
      </c>
      <c r="R110">
        <v>4</v>
      </c>
      <c r="S110">
        <v>4</v>
      </c>
      <c r="T110">
        <v>4</v>
      </c>
      <c r="U110" t="s">
        <v>37</v>
      </c>
      <c r="V110" t="s">
        <v>54</v>
      </c>
      <c r="W110" t="s">
        <v>47</v>
      </c>
      <c r="X110" t="s">
        <v>40</v>
      </c>
      <c r="Y110">
        <v>19</v>
      </c>
      <c r="Z110" s="1">
        <v>45556</v>
      </c>
      <c r="AA110" t="str" cm="1">
        <f t="array" ref="AA110">_xlfn.IFS(AND(Table2[[#This Row],[Guest_Age]]&gt;=18,Table2[[#This Row],[Guest_Age]]&lt;=25),"Young Adults",AND(Table2[[#This Row],[Guest_Age]]&gt;=26,Table2[[#This Row],[Guest_Age]]&lt;=35),"Adults",AND(Table2[[#This Row],[Guest_Age]]&gt;=36,Table2[[#This Row],[Guest_Age]]&lt;=50),"Middle Aged Adults",Table2[[#This Row],[Guest_Age]]&gt;50,"Senior")</f>
        <v>Young Adults</v>
      </c>
      <c r="AB1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0" t="str" cm="1">
        <f t="array" ref="AC110">_xlfn.IFS(Table2[[#This Row],[Satification_points]]&gt;=4.5,"GREAT",AND(Table2[[#This Row],[Satification_points]]&gt;=4,Table2[[#This Row],[Satification_points]]&lt;4.5),"GOOD",AND(Table2[[#This Row],[Satification_points]]&gt;=3,Table2[[#This Row],[Satification_points]]&lt;4),"AVERAGE",Table2[[#This Row],[Satification_points]]&lt;3,"POOR")</f>
        <v>AVERAGE</v>
      </c>
    </row>
    <row r="111" spans="1:29" x14ac:dyDescent="0.3">
      <c r="A111">
        <v>110</v>
      </c>
      <c r="B111">
        <v>11142</v>
      </c>
      <c r="C111" t="s">
        <v>168</v>
      </c>
      <c r="D111" t="s">
        <v>48</v>
      </c>
      <c r="E111" t="s">
        <v>45</v>
      </c>
      <c r="F111" s="1">
        <v>45354</v>
      </c>
      <c r="G111" s="1">
        <v>45476</v>
      </c>
      <c r="H111">
        <v>4</v>
      </c>
      <c r="I111" t="s">
        <v>42</v>
      </c>
      <c r="J111" t="s">
        <v>53</v>
      </c>
      <c r="K111">
        <v>5</v>
      </c>
      <c r="L111">
        <v>4</v>
      </c>
      <c r="M111">
        <v>3</v>
      </c>
      <c r="N111">
        <v>3</v>
      </c>
      <c r="O111">
        <v>5</v>
      </c>
      <c r="P111">
        <v>4</v>
      </c>
      <c r="Q111">
        <v>1</v>
      </c>
      <c r="R111">
        <v>4</v>
      </c>
      <c r="S111">
        <v>2</v>
      </c>
      <c r="T111">
        <v>2</v>
      </c>
      <c r="U111" t="s">
        <v>30</v>
      </c>
      <c r="V111" t="s">
        <v>38</v>
      </c>
      <c r="W111" t="s">
        <v>55</v>
      </c>
      <c r="X111" t="s">
        <v>33</v>
      </c>
      <c r="Y111">
        <v>27</v>
      </c>
      <c r="Z111" s="1">
        <v>45476</v>
      </c>
      <c r="AA111" t="str" cm="1">
        <f t="array" ref="AA111">_xlfn.IFS(AND(Table2[[#This Row],[Guest_Age]]&gt;=18,Table2[[#This Row],[Guest_Age]]&lt;=25),"Young Adults",AND(Table2[[#This Row],[Guest_Age]]&gt;=26,Table2[[#This Row],[Guest_Age]]&lt;=35),"Adults",AND(Table2[[#This Row],[Guest_Age]]&gt;=36,Table2[[#This Row],[Guest_Age]]&lt;=50),"Middle Aged Adults",Table2[[#This Row],[Guest_Age]]&gt;50,"Senior")</f>
        <v>Adults</v>
      </c>
      <c r="AB1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1" t="str" cm="1">
        <f t="array" ref="AC111">_xlfn.IFS(Table2[[#This Row],[Satification_points]]&gt;=4.5,"GREAT",AND(Table2[[#This Row],[Satification_points]]&gt;=4,Table2[[#This Row],[Satification_points]]&lt;4.5),"GOOD",AND(Table2[[#This Row],[Satification_points]]&gt;=3,Table2[[#This Row],[Satification_points]]&lt;4),"AVERAGE",Table2[[#This Row],[Satification_points]]&lt;3,"POOR")</f>
        <v>AVERAGE</v>
      </c>
    </row>
    <row r="112" spans="1:29" x14ac:dyDescent="0.3">
      <c r="A112">
        <v>111</v>
      </c>
      <c r="B112">
        <v>59897</v>
      </c>
      <c r="C112" t="s">
        <v>169</v>
      </c>
      <c r="D112" t="s">
        <v>51</v>
      </c>
      <c r="E112" t="s">
        <v>35</v>
      </c>
      <c r="F112" s="1">
        <v>45277</v>
      </c>
      <c r="G112" s="1">
        <v>45278</v>
      </c>
      <c r="H112">
        <v>2</v>
      </c>
      <c r="I112" t="s">
        <v>28</v>
      </c>
      <c r="J112" t="s">
        <v>29</v>
      </c>
      <c r="K112">
        <v>3</v>
      </c>
      <c r="L112">
        <v>3</v>
      </c>
      <c r="M112">
        <v>2</v>
      </c>
      <c r="N112">
        <v>3</v>
      </c>
      <c r="O112">
        <v>2</v>
      </c>
      <c r="P112">
        <v>5</v>
      </c>
      <c r="Q112">
        <v>2</v>
      </c>
      <c r="R112">
        <v>1</v>
      </c>
      <c r="S112">
        <v>2</v>
      </c>
      <c r="T112">
        <v>1</v>
      </c>
      <c r="U112" t="s">
        <v>37</v>
      </c>
      <c r="V112" t="s">
        <v>38</v>
      </c>
      <c r="W112" t="s">
        <v>32</v>
      </c>
      <c r="X112" t="s">
        <v>33</v>
      </c>
      <c r="Y112">
        <v>53</v>
      </c>
      <c r="Z112" s="1">
        <v>45441</v>
      </c>
      <c r="AA112" t="str" cm="1">
        <f t="array" ref="AA112">_xlfn.IFS(AND(Table2[[#This Row],[Guest_Age]]&gt;=18,Table2[[#This Row],[Guest_Age]]&lt;=25),"Young Adults",AND(Table2[[#This Row],[Guest_Age]]&gt;=26,Table2[[#This Row],[Guest_Age]]&lt;=35),"Adults",AND(Table2[[#This Row],[Guest_Age]]&gt;=36,Table2[[#This Row],[Guest_Age]]&lt;=50),"Middle Aged Adults",Table2[[#This Row],[Guest_Age]]&gt;50,"Senior")</f>
        <v>Senior</v>
      </c>
      <c r="AB1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12" t="str" cm="1">
        <f t="array" ref="AC112">_xlfn.IFS(Table2[[#This Row],[Satification_points]]&gt;=4.5,"GREAT",AND(Table2[[#This Row],[Satification_points]]&gt;=4,Table2[[#This Row],[Satification_points]]&lt;4.5),"GOOD",AND(Table2[[#This Row],[Satification_points]]&gt;=3,Table2[[#This Row],[Satification_points]]&lt;4),"AVERAGE",Table2[[#This Row],[Satification_points]]&lt;3,"POOR")</f>
        <v>POOR</v>
      </c>
    </row>
    <row r="113" spans="1:29" x14ac:dyDescent="0.3">
      <c r="A113">
        <v>112</v>
      </c>
      <c r="B113">
        <v>75485</v>
      </c>
      <c r="C113" t="s">
        <v>170</v>
      </c>
      <c r="D113" t="s">
        <v>51</v>
      </c>
      <c r="E113" t="s">
        <v>57</v>
      </c>
      <c r="F113" s="1">
        <v>45481</v>
      </c>
      <c r="G113" s="1">
        <v>45614</v>
      </c>
      <c r="H113">
        <v>2</v>
      </c>
      <c r="I113" t="s">
        <v>49</v>
      </c>
      <c r="J113" t="s">
        <v>36</v>
      </c>
      <c r="K113">
        <v>5</v>
      </c>
      <c r="L113">
        <v>4</v>
      </c>
      <c r="M113">
        <v>4</v>
      </c>
      <c r="N113">
        <v>1</v>
      </c>
      <c r="O113">
        <v>5</v>
      </c>
      <c r="P113">
        <v>1</v>
      </c>
      <c r="Q113">
        <v>2</v>
      </c>
      <c r="R113">
        <v>1</v>
      </c>
      <c r="S113">
        <v>5</v>
      </c>
      <c r="T113">
        <v>5</v>
      </c>
      <c r="U113" t="s">
        <v>37</v>
      </c>
      <c r="V113" t="s">
        <v>54</v>
      </c>
      <c r="W113" t="s">
        <v>32</v>
      </c>
      <c r="X113" t="s">
        <v>40</v>
      </c>
      <c r="Y113">
        <v>63</v>
      </c>
      <c r="Z113" s="1">
        <v>45614</v>
      </c>
      <c r="AA113" t="str" cm="1">
        <f t="array" ref="AA113">_xlfn.IFS(AND(Table2[[#This Row],[Guest_Age]]&gt;=18,Table2[[#This Row],[Guest_Age]]&lt;=25),"Young Adults",AND(Table2[[#This Row],[Guest_Age]]&gt;=26,Table2[[#This Row],[Guest_Age]]&lt;=35),"Adults",AND(Table2[[#This Row],[Guest_Age]]&gt;=36,Table2[[#This Row],[Guest_Age]]&lt;=50),"Middle Aged Adults",Table2[[#This Row],[Guest_Age]]&gt;50,"Senior")</f>
        <v>Senior</v>
      </c>
      <c r="AB1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3" t="str" cm="1">
        <f t="array" ref="AC113">_xlfn.IFS(Table2[[#This Row],[Satification_points]]&gt;=4.5,"GREAT",AND(Table2[[#This Row],[Satification_points]]&gt;=4,Table2[[#This Row],[Satification_points]]&lt;4.5),"GOOD",AND(Table2[[#This Row],[Satification_points]]&gt;=3,Table2[[#This Row],[Satification_points]]&lt;4),"AVERAGE",Table2[[#This Row],[Satification_points]]&lt;3,"POOR")</f>
        <v>AVERAGE</v>
      </c>
    </row>
    <row r="114" spans="1:29" x14ac:dyDescent="0.3">
      <c r="A114">
        <v>113</v>
      </c>
      <c r="B114">
        <v>98071</v>
      </c>
      <c r="C114" t="s">
        <v>171</v>
      </c>
      <c r="D114" t="s">
        <v>48</v>
      </c>
      <c r="E114" t="s">
        <v>27</v>
      </c>
      <c r="F114" s="1">
        <v>45005</v>
      </c>
      <c r="G114" s="1">
        <v>45136</v>
      </c>
      <c r="H114">
        <v>7</v>
      </c>
      <c r="I114" t="s">
        <v>28</v>
      </c>
      <c r="J114" t="s">
        <v>43</v>
      </c>
      <c r="K114">
        <v>2</v>
      </c>
      <c r="L114">
        <v>2</v>
      </c>
      <c r="M114">
        <v>3</v>
      </c>
      <c r="N114">
        <v>2</v>
      </c>
      <c r="O114">
        <v>4</v>
      </c>
      <c r="P114">
        <v>3</v>
      </c>
      <c r="Q114">
        <v>2</v>
      </c>
      <c r="R114">
        <v>1</v>
      </c>
      <c r="S114">
        <v>3</v>
      </c>
      <c r="T114">
        <v>2</v>
      </c>
      <c r="U114" t="s">
        <v>30</v>
      </c>
      <c r="V114" t="s">
        <v>46</v>
      </c>
      <c r="W114" t="s">
        <v>47</v>
      </c>
      <c r="X114" t="s">
        <v>40</v>
      </c>
      <c r="Y114">
        <v>52</v>
      </c>
      <c r="Z114" s="1">
        <v>45150</v>
      </c>
      <c r="AA114" t="str" cm="1">
        <f t="array" ref="AA114">_xlfn.IFS(AND(Table2[[#This Row],[Guest_Age]]&gt;=18,Table2[[#This Row],[Guest_Age]]&lt;=25),"Young Adults",AND(Table2[[#This Row],[Guest_Age]]&gt;=26,Table2[[#This Row],[Guest_Age]]&lt;=35),"Adults",AND(Table2[[#This Row],[Guest_Age]]&gt;=36,Table2[[#This Row],[Guest_Age]]&lt;=50),"Middle Aged Adults",Table2[[#This Row],[Guest_Age]]&gt;50,"Senior")</f>
        <v>Senior</v>
      </c>
      <c r="AB1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14" t="str" cm="1">
        <f t="array" ref="AC114">_xlfn.IFS(Table2[[#This Row],[Satification_points]]&gt;=4.5,"GREAT",AND(Table2[[#This Row],[Satification_points]]&gt;=4,Table2[[#This Row],[Satification_points]]&lt;4.5),"GOOD",AND(Table2[[#This Row],[Satification_points]]&gt;=3,Table2[[#This Row],[Satification_points]]&lt;4),"AVERAGE",Table2[[#This Row],[Satification_points]]&lt;3,"POOR")</f>
        <v>POOR</v>
      </c>
    </row>
    <row r="115" spans="1:29" x14ac:dyDescent="0.3">
      <c r="A115">
        <v>114</v>
      </c>
      <c r="B115">
        <v>77266</v>
      </c>
      <c r="C115" t="s">
        <v>172</v>
      </c>
      <c r="D115" t="s">
        <v>41</v>
      </c>
      <c r="E115" t="s">
        <v>35</v>
      </c>
      <c r="F115" s="1">
        <v>45427</v>
      </c>
      <c r="G115" s="1">
        <v>45428</v>
      </c>
      <c r="H115">
        <v>11</v>
      </c>
      <c r="I115" t="s">
        <v>42</v>
      </c>
      <c r="J115" t="s">
        <v>36</v>
      </c>
      <c r="K115">
        <v>3</v>
      </c>
      <c r="L115">
        <v>3</v>
      </c>
      <c r="M115">
        <v>2</v>
      </c>
      <c r="N115">
        <v>1</v>
      </c>
      <c r="O115">
        <v>4</v>
      </c>
      <c r="P115">
        <v>3</v>
      </c>
      <c r="Q115">
        <v>2</v>
      </c>
      <c r="R115">
        <v>4</v>
      </c>
      <c r="S115">
        <v>3</v>
      </c>
      <c r="T115">
        <v>5</v>
      </c>
      <c r="U115" t="s">
        <v>30</v>
      </c>
      <c r="V115" t="s">
        <v>38</v>
      </c>
      <c r="W115" t="s">
        <v>32</v>
      </c>
      <c r="X115" t="s">
        <v>40</v>
      </c>
      <c r="Y115">
        <v>62</v>
      </c>
      <c r="Z115" s="1">
        <v>45428</v>
      </c>
      <c r="AA115" t="str" cm="1">
        <f t="array" ref="AA115">_xlfn.IFS(AND(Table2[[#This Row],[Guest_Age]]&gt;=18,Table2[[#This Row],[Guest_Age]]&lt;=25),"Young Adults",AND(Table2[[#This Row],[Guest_Age]]&gt;=26,Table2[[#This Row],[Guest_Age]]&lt;=35),"Adults",AND(Table2[[#This Row],[Guest_Age]]&gt;=36,Table2[[#This Row],[Guest_Age]]&lt;=50),"Middle Aged Adults",Table2[[#This Row],[Guest_Age]]&gt;50,"Senior")</f>
        <v>Senior</v>
      </c>
      <c r="AB1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5" t="str" cm="1">
        <f t="array" ref="AC115">_xlfn.IFS(Table2[[#This Row],[Satification_points]]&gt;=4.5,"GREAT",AND(Table2[[#This Row],[Satification_points]]&gt;=4,Table2[[#This Row],[Satification_points]]&lt;4.5),"GOOD",AND(Table2[[#This Row],[Satification_points]]&gt;=3,Table2[[#This Row],[Satification_points]]&lt;4),"AVERAGE",Table2[[#This Row],[Satification_points]]&lt;3,"POOR")</f>
        <v>AVERAGE</v>
      </c>
    </row>
    <row r="116" spans="1:29" x14ac:dyDescent="0.3">
      <c r="A116">
        <v>115</v>
      </c>
      <c r="B116">
        <v>73202</v>
      </c>
      <c r="C116" t="s">
        <v>173</v>
      </c>
      <c r="D116" t="s">
        <v>51</v>
      </c>
      <c r="E116" t="s">
        <v>52</v>
      </c>
      <c r="F116" s="1">
        <v>45305</v>
      </c>
      <c r="G116" s="1">
        <v>45463</v>
      </c>
      <c r="H116">
        <v>5</v>
      </c>
      <c r="I116" t="s">
        <v>50</v>
      </c>
      <c r="J116" t="s">
        <v>43</v>
      </c>
      <c r="K116">
        <v>3</v>
      </c>
      <c r="L116">
        <v>3</v>
      </c>
      <c r="M116">
        <v>4</v>
      </c>
      <c r="N116">
        <v>4</v>
      </c>
      <c r="O116">
        <v>2</v>
      </c>
      <c r="P116">
        <v>2</v>
      </c>
      <c r="Q116">
        <v>1</v>
      </c>
      <c r="R116">
        <v>4</v>
      </c>
      <c r="S116">
        <v>3</v>
      </c>
      <c r="T116">
        <v>4</v>
      </c>
      <c r="U116" t="s">
        <v>37</v>
      </c>
      <c r="V116" t="s">
        <v>38</v>
      </c>
      <c r="W116" t="s">
        <v>32</v>
      </c>
      <c r="X116" t="s">
        <v>44</v>
      </c>
      <c r="Y116">
        <v>40</v>
      </c>
      <c r="Z116" s="1">
        <v>45510</v>
      </c>
      <c r="AA116" t="str" cm="1">
        <f t="array" ref="AA1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6" t="str" cm="1">
        <f t="array" ref="AC116">_xlfn.IFS(Table2[[#This Row],[Satification_points]]&gt;=4.5,"GREAT",AND(Table2[[#This Row],[Satification_points]]&gt;=4,Table2[[#This Row],[Satification_points]]&lt;4.5),"GOOD",AND(Table2[[#This Row],[Satification_points]]&gt;=3,Table2[[#This Row],[Satification_points]]&lt;4),"AVERAGE",Table2[[#This Row],[Satification_points]]&lt;3,"POOR")</f>
        <v>AVERAGE</v>
      </c>
    </row>
    <row r="117" spans="1:29" x14ac:dyDescent="0.3">
      <c r="A117">
        <v>116</v>
      </c>
      <c r="B117">
        <v>71466</v>
      </c>
      <c r="C117" t="s">
        <v>174</v>
      </c>
      <c r="D117" t="s">
        <v>51</v>
      </c>
      <c r="E117" t="s">
        <v>35</v>
      </c>
      <c r="F117" s="1">
        <v>45190</v>
      </c>
      <c r="G117" s="1">
        <v>45545</v>
      </c>
      <c r="H117">
        <v>5</v>
      </c>
      <c r="I117" t="s">
        <v>28</v>
      </c>
      <c r="J117" t="s">
        <v>43</v>
      </c>
      <c r="K117">
        <v>1</v>
      </c>
      <c r="L117">
        <v>2</v>
      </c>
      <c r="M117">
        <v>3</v>
      </c>
      <c r="N117">
        <v>2</v>
      </c>
      <c r="O117">
        <v>3</v>
      </c>
      <c r="P117">
        <v>2</v>
      </c>
      <c r="Q117">
        <v>2</v>
      </c>
      <c r="R117">
        <v>5</v>
      </c>
      <c r="S117">
        <v>2</v>
      </c>
      <c r="T117">
        <v>5</v>
      </c>
      <c r="U117" t="s">
        <v>37</v>
      </c>
      <c r="V117" t="s">
        <v>46</v>
      </c>
      <c r="W117" t="s">
        <v>32</v>
      </c>
      <c r="X117" t="s">
        <v>40</v>
      </c>
      <c r="Y117">
        <v>64</v>
      </c>
      <c r="Z117" s="1">
        <v>45545</v>
      </c>
      <c r="AA117" t="str" cm="1">
        <f t="array" ref="AA117">_xlfn.IFS(AND(Table2[[#This Row],[Guest_Age]]&gt;=18,Table2[[#This Row],[Guest_Age]]&lt;=25),"Young Adults",AND(Table2[[#This Row],[Guest_Age]]&gt;=26,Table2[[#This Row],[Guest_Age]]&lt;=35),"Adults",AND(Table2[[#This Row],[Guest_Age]]&gt;=36,Table2[[#This Row],[Guest_Age]]&lt;=50),"Middle Aged Adults",Table2[[#This Row],[Guest_Age]]&gt;50,"Senior")</f>
        <v>Senior</v>
      </c>
      <c r="AB1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7" t="str" cm="1">
        <f t="array" ref="AC117">_xlfn.IFS(Table2[[#This Row],[Satification_points]]&gt;=4.5,"GREAT",AND(Table2[[#This Row],[Satification_points]]&gt;=4,Table2[[#This Row],[Satification_points]]&lt;4.5),"GOOD",AND(Table2[[#This Row],[Satification_points]]&gt;=3,Table2[[#This Row],[Satification_points]]&lt;4),"AVERAGE",Table2[[#This Row],[Satification_points]]&lt;3,"POOR")</f>
        <v>POOR</v>
      </c>
    </row>
    <row r="118" spans="1:29" x14ac:dyDescent="0.3">
      <c r="A118">
        <v>117</v>
      </c>
      <c r="B118">
        <v>96305</v>
      </c>
      <c r="C118" t="s">
        <v>175</v>
      </c>
      <c r="D118" t="s">
        <v>41</v>
      </c>
      <c r="E118" t="s">
        <v>35</v>
      </c>
      <c r="F118" s="1">
        <v>45231</v>
      </c>
      <c r="G118" s="1">
        <v>45232</v>
      </c>
      <c r="H118">
        <v>12</v>
      </c>
      <c r="I118" t="s">
        <v>49</v>
      </c>
      <c r="J118" t="s">
        <v>36</v>
      </c>
      <c r="K118">
        <v>3</v>
      </c>
      <c r="L118">
        <v>5</v>
      </c>
      <c r="M118">
        <v>2</v>
      </c>
      <c r="N118">
        <v>2</v>
      </c>
      <c r="O118">
        <v>5</v>
      </c>
      <c r="P118">
        <v>1</v>
      </c>
      <c r="Q118">
        <v>1</v>
      </c>
      <c r="R118">
        <v>5</v>
      </c>
      <c r="S118">
        <v>2</v>
      </c>
      <c r="T118">
        <v>1</v>
      </c>
      <c r="U118" t="s">
        <v>37</v>
      </c>
      <c r="V118" t="s">
        <v>54</v>
      </c>
      <c r="W118" t="s">
        <v>32</v>
      </c>
      <c r="X118" t="s">
        <v>40</v>
      </c>
      <c r="Y118">
        <v>33</v>
      </c>
      <c r="Z118" s="1">
        <v>45589</v>
      </c>
      <c r="AA118" t="str" cm="1">
        <f t="array" ref="AA118">_xlfn.IFS(AND(Table2[[#This Row],[Guest_Age]]&gt;=18,Table2[[#This Row],[Guest_Age]]&lt;=25),"Young Adults",AND(Table2[[#This Row],[Guest_Age]]&gt;=26,Table2[[#This Row],[Guest_Age]]&lt;=35),"Adults",AND(Table2[[#This Row],[Guest_Age]]&gt;=36,Table2[[#This Row],[Guest_Age]]&lt;=50),"Middle Aged Adults",Table2[[#This Row],[Guest_Age]]&gt;50,"Senior")</f>
        <v>Adults</v>
      </c>
      <c r="AB1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8" t="str" cm="1">
        <f t="array" ref="AC118">_xlfn.IFS(Table2[[#This Row],[Satification_points]]&gt;=4.5,"GREAT",AND(Table2[[#This Row],[Satification_points]]&gt;=4,Table2[[#This Row],[Satification_points]]&lt;4.5),"GOOD",AND(Table2[[#This Row],[Satification_points]]&gt;=3,Table2[[#This Row],[Satification_points]]&lt;4),"AVERAGE",Table2[[#This Row],[Satification_points]]&lt;3,"POOR")</f>
        <v>POOR</v>
      </c>
    </row>
    <row r="119" spans="1:29" x14ac:dyDescent="0.3">
      <c r="A119">
        <v>118</v>
      </c>
      <c r="B119">
        <v>14123</v>
      </c>
      <c r="C119" t="s">
        <v>176</v>
      </c>
      <c r="D119" t="s">
        <v>48</v>
      </c>
      <c r="E119" t="s">
        <v>35</v>
      </c>
      <c r="F119" s="1">
        <v>45414</v>
      </c>
      <c r="G119" s="1">
        <v>45415</v>
      </c>
      <c r="H119">
        <v>2</v>
      </c>
      <c r="I119" t="s">
        <v>42</v>
      </c>
      <c r="J119" t="s">
        <v>29</v>
      </c>
      <c r="K119">
        <v>4</v>
      </c>
      <c r="L119">
        <v>4</v>
      </c>
      <c r="M119">
        <v>3</v>
      </c>
      <c r="N119">
        <v>5</v>
      </c>
      <c r="O119">
        <v>4</v>
      </c>
      <c r="P119">
        <v>2</v>
      </c>
      <c r="Q119">
        <v>1</v>
      </c>
      <c r="R119">
        <v>1</v>
      </c>
      <c r="S119">
        <v>4</v>
      </c>
      <c r="T119">
        <v>5</v>
      </c>
      <c r="U119" t="s">
        <v>37</v>
      </c>
      <c r="V119" t="s">
        <v>58</v>
      </c>
      <c r="W119" t="s">
        <v>55</v>
      </c>
      <c r="X119" t="s">
        <v>44</v>
      </c>
      <c r="Y119">
        <v>54</v>
      </c>
      <c r="Z119" s="1">
        <v>45646</v>
      </c>
      <c r="AA119" t="str" cm="1">
        <f t="array" ref="AA119">_xlfn.IFS(AND(Table2[[#This Row],[Guest_Age]]&gt;=18,Table2[[#This Row],[Guest_Age]]&lt;=25),"Young Adults",AND(Table2[[#This Row],[Guest_Age]]&gt;=26,Table2[[#This Row],[Guest_Age]]&lt;=35),"Adults",AND(Table2[[#This Row],[Guest_Age]]&gt;=36,Table2[[#This Row],[Guest_Age]]&lt;=50),"Middle Aged Adults",Table2[[#This Row],[Guest_Age]]&gt;50,"Senior")</f>
        <v>Senior</v>
      </c>
      <c r="AB1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9" t="str" cm="1">
        <f t="array" ref="AC119">_xlfn.IFS(Table2[[#This Row],[Satification_points]]&gt;=4.5,"GREAT",AND(Table2[[#This Row],[Satification_points]]&gt;=4,Table2[[#This Row],[Satification_points]]&lt;4.5),"GOOD",AND(Table2[[#This Row],[Satification_points]]&gt;=3,Table2[[#This Row],[Satification_points]]&lt;4),"AVERAGE",Table2[[#This Row],[Satification_points]]&lt;3,"POOR")</f>
        <v>AVERAGE</v>
      </c>
    </row>
    <row r="120" spans="1:29" x14ac:dyDescent="0.3">
      <c r="A120">
        <v>119</v>
      </c>
      <c r="B120">
        <v>78766</v>
      </c>
      <c r="C120" t="s">
        <v>177</v>
      </c>
      <c r="D120" t="s">
        <v>34</v>
      </c>
      <c r="E120" t="s">
        <v>52</v>
      </c>
      <c r="F120" s="1">
        <v>45051</v>
      </c>
      <c r="G120" s="1">
        <v>45608</v>
      </c>
      <c r="H120">
        <v>7</v>
      </c>
      <c r="I120" t="s">
        <v>49</v>
      </c>
      <c r="J120" t="s">
        <v>40</v>
      </c>
      <c r="K120">
        <v>2</v>
      </c>
      <c r="L120">
        <v>2</v>
      </c>
      <c r="M120">
        <v>5</v>
      </c>
      <c r="N120">
        <v>5</v>
      </c>
      <c r="O120">
        <v>2</v>
      </c>
      <c r="P120">
        <v>4</v>
      </c>
      <c r="Q120">
        <v>2</v>
      </c>
      <c r="R120">
        <v>5</v>
      </c>
      <c r="S120">
        <v>5</v>
      </c>
      <c r="T120">
        <v>4</v>
      </c>
      <c r="U120" t="s">
        <v>37</v>
      </c>
      <c r="V120" t="s">
        <v>54</v>
      </c>
      <c r="W120" t="s">
        <v>55</v>
      </c>
      <c r="X120" t="s">
        <v>40</v>
      </c>
      <c r="Y120">
        <v>59</v>
      </c>
      <c r="Z120" s="1">
        <v>45639</v>
      </c>
      <c r="AA120" t="str" cm="1">
        <f t="array" ref="AA120">_xlfn.IFS(AND(Table2[[#This Row],[Guest_Age]]&gt;=18,Table2[[#This Row],[Guest_Age]]&lt;=25),"Young Adults",AND(Table2[[#This Row],[Guest_Age]]&gt;=26,Table2[[#This Row],[Guest_Age]]&lt;=35),"Adults",AND(Table2[[#This Row],[Guest_Age]]&gt;=36,Table2[[#This Row],[Guest_Age]]&lt;=50),"Middle Aged Adults",Table2[[#This Row],[Guest_Age]]&gt;50,"Senior")</f>
        <v>Senior</v>
      </c>
      <c r="AB1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20" t="str" cm="1">
        <f t="array" ref="AC120">_xlfn.IFS(Table2[[#This Row],[Satification_points]]&gt;=4.5,"GREAT",AND(Table2[[#This Row],[Satification_points]]&gt;=4,Table2[[#This Row],[Satification_points]]&lt;4.5),"GOOD",AND(Table2[[#This Row],[Satification_points]]&gt;=3,Table2[[#This Row],[Satification_points]]&lt;4),"AVERAGE",Table2[[#This Row],[Satification_points]]&lt;3,"POOR")</f>
        <v>AVERAGE</v>
      </c>
    </row>
    <row r="121" spans="1:29" x14ac:dyDescent="0.3">
      <c r="A121">
        <v>120</v>
      </c>
      <c r="B121">
        <v>28898</v>
      </c>
      <c r="C121" t="s">
        <v>178</v>
      </c>
      <c r="D121" t="s">
        <v>51</v>
      </c>
      <c r="E121" t="s">
        <v>27</v>
      </c>
      <c r="F121" s="1">
        <v>45544</v>
      </c>
      <c r="G121" s="1">
        <v>45545</v>
      </c>
      <c r="H121">
        <v>2</v>
      </c>
      <c r="I121" t="s">
        <v>42</v>
      </c>
      <c r="J121" t="s">
        <v>40</v>
      </c>
      <c r="K121">
        <v>2</v>
      </c>
      <c r="L121">
        <v>2</v>
      </c>
      <c r="M121">
        <v>2</v>
      </c>
      <c r="N121">
        <v>1</v>
      </c>
      <c r="O121">
        <v>1</v>
      </c>
      <c r="P121">
        <v>4</v>
      </c>
      <c r="Q121">
        <v>5</v>
      </c>
      <c r="R121">
        <v>3</v>
      </c>
      <c r="S121">
        <v>2</v>
      </c>
      <c r="T121">
        <v>4</v>
      </c>
      <c r="U121" t="s">
        <v>37</v>
      </c>
      <c r="V121" t="s">
        <v>58</v>
      </c>
      <c r="W121" t="s">
        <v>55</v>
      </c>
      <c r="X121" t="s">
        <v>33</v>
      </c>
      <c r="Y121">
        <v>52</v>
      </c>
      <c r="Z121" s="1">
        <v>45545</v>
      </c>
      <c r="AA121" t="str" cm="1">
        <f t="array" ref="AA121">_xlfn.IFS(AND(Table2[[#This Row],[Guest_Age]]&gt;=18,Table2[[#This Row],[Guest_Age]]&lt;=25),"Young Adults",AND(Table2[[#This Row],[Guest_Age]]&gt;=26,Table2[[#This Row],[Guest_Age]]&lt;=35),"Adults",AND(Table2[[#This Row],[Guest_Age]]&gt;=36,Table2[[#This Row],[Guest_Age]]&lt;=50),"Middle Aged Adults",Table2[[#This Row],[Guest_Age]]&gt;50,"Senior")</f>
        <v>Senior</v>
      </c>
      <c r="AB1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1" t="str" cm="1">
        <f t="array" ref="AC121">_xlfn.IFS(Table2[[#This Row],[Satification_points]]&gt;=4.5,"GREAT",AND(Table2[[#This Row],[Satification_points]]&gt;=4,Table2[[#This Row],[Satification_points]]&lt;4.5),"GOOD",AND(Table2[[#This Row],[Satification_points]]&gt;=3,Table2[[#This Row],[Satification_points]]&lt;4),"AVERAGE",Table2[[#This Row],[Satification_points]]&lt;3,"POOR")</f>
        <v>POOR</v>
      </c>
    </row>
    <row r="122" spans="1:29" x14ac:dyDescent="0.3">
      <c r="A122">
        <v>121</v>
      </c>
      <c r="B122">
        <v>51067</v>
      </c>
      <c r="C122" t="s">
        <v>179</v>
      </c>
      <c r="D122" t="s">
        <v>34</v>
      </c>
      <c r="E122" t="s">
        <v>57</v>
      </c>
      <c r="F122" s="1">
        <v>45572</v>
      </c>
      <c r="G122" s="1">
        <v>45597</v>
      </c>
      <c r="H122">
        <v>13</v>
      </c>
      <c r="I122" t="s">
        <v>50</v>
      </c>
      <c r="J122" t="s">
        <v>29</v>
      </c>
      <c r="K122">
        <v>1</v>
      </c>
      <c r="L122">
        <v>1</v>
      </c>
      <c r="M122">
        <v>5</v>
      </c>
      <c r="N122">
        <v>1</v>
      </c>
      <c r="O122">
        <v>4</v>
      </c>
      <c r="P122">
        <v>2</v>
      </c>
      <c r="Q122">
        <v>1</v>
      </c>
      <c r="R122">
        <v>5</v>
      </c>
      <c r="S122">
        <v>1</v>
      </c>
      <c r="T122">
        <v>1</v>
      </c>
      <c r="U122" t="s">
        <v>37</v>
      </c>
      <c r="V122" t="s">
        <v>54</v>
      </c>
      <c r="W122" t="s">
        <v>32</v>
      </c>
      <c r="X122" t="s">
        <v>40</v>
      </c>
      <c r="Y122">
        <v>65</v>
      </c>
      <c r="Z122" s="1">
        <v>45597</v>
      </c>
      <c r="AA122" t="str" cm="1">
        <f t="array" ref="AA122">_xlfn.IFS(AND(Table2[[#This Row],[Guest_Age]]&gt;=18,Table2[[#This Row],[Guest_Age]]&lt;=25),"Young Adults",AND(Table2[[#This Row],[Guest_Age]]&gt;=26,Table2[[#This Row],[Guest_Age]]&lt;=35),"Adults",AND(Table2[[#This Row],[Guest_Age]]&gt;=36,Table2[[#This Row],[Guest_Age]]&lt;=50),"Middle Aged Adults",Table2[[#This Row],[Guest_Age]]&gt;50,"Senior")</f>
        <v>Senior</v>
      </c>
      <c r="AB1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22" t="str" cm="1">
        <f t="array" ref="AC122">_xlfn.IFS(Table2[[#This Row],[Satification_points]]&gt;=4.5,"GREAT",AND(Table2[[#This Row],[Satification_points]]&gt;=4,Table2[[#This Row],[Satification_points]]&lt;4.5),"GOOD",AND(Table2[[#This Row],[Satification_points]]&gt;=3,Table2[[#This Row],[Satification_points]]&lt;4),"AVERAGE",Table2[[#This Row],[Satification_points]]&lt;3,"POOR")</f>
        <v>POOR</v>
      </c>
    </row>
    <row r="123" spans="1:29" x14ac:dyDescent="0.3">
      <c r="A123">
        <v>122</v>
      </c>
      <c r="B123">
        <v>55946</v>
      </c>
      <c r="C123" t="s">
        <v>180</v>
      </c>
      <c r="D123" t="s">
        <v>34</v>
      </c>
      <c r="E123" t="s">
        <v>45</v>
      </c>
      <c r="F123" s="1">
        <v>45007</v>
      </c>
      <c r="G123" s="1">
        <v>45392</v>
      </c>
      <c r="H123">
        <v>12</v>
      </c>
      <c r="I123" t="s">
        <v>50</v>
      </c>
      <c r="J123" t="s">
        <v>53</v>
      </c>
      <c r="K123">
        <v>1</v>
      </c>
      <c r="L123">
        <v>2</v>
      </c>
      <c r="M123">
        <v>2</v>
      </c>
      <c r="N123">
        <v>3</v>
      </c>
      <c r="O123">
        <v>4</v>
      </c>
      <c r="P123">
        <v>3</v>
      </c>
      <c r="Q123">
        <v>5</v>
      </c>
      <c r="R123">
        <v>5</v>
      </c>
      <c r="S123">
        <v>1</v>
      </c>
      <c r="T123">
        <v>3</v>
      </c>
      <c r="U123" t="s">
        <v>30</v>
      </c>
      <c r="V123" t="s">
        <v>38</v>
      </c>
      <c r="W123" t="s">
        <v>56</v>
      </c>
      <c r="X123" t="s">
        <v>40</v>
      </c>
      <c r="Y123">
        <v>57</v>
      </c>
      <c r="Z123" s="1">
        <v>45392</v>
      </c>
      <c r="AA123" t="str" cm="1">
        <f t="array" ref="AA123">_xlfn.IFS(AND(Table2[[#This Row],[Guest_Age]]&gt;=18,Table2[[#This Row],[Guest_Age]]&lt;=25),"Young Adults",AND(Table2[[#This Row],[Guest_Age]]&gt;=26,Table2[[#This Row],[Guest_Age]]&lt;=35),"Adults",AND(Table2[[#This Row],[Guest_Age]]&gt;=36,Table2[[#This Row],[Guest_Age]]&lt;=50),"Middle Aged Adults",Table2[[#This Row],[Guest_Age]]&gt;50,"Senior")</f>
        <v>Senior</v>
      </c>
      <c r="AB1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3" t="str" cm="1">
        <f t="array" ref="AC123">_xlfn.IFS(Table2[[#This Row],[Satification_points]]&gt;=4.5,"GREAT",AND(Table2[[#This Row],[Satification_points]]&gt;=4,Table2[[#This Row],[Satification_points]]&lt;4.5),"GOOD",AND(Table2[[#This Row],[Satification_points]]&gt;=3,Table2[[#This Row],[Satification_points]]&lt;4),"AVERAGE",Table2[[#This Row],[Satification_points]]&lt;3,"POOR")</f>
        <v>POOR</v>
      </c>
    </row>
    <row r="124" spans="1:29" x14ac:dyDescent="0.3">
      <c r="A124">
        <v>123</v>
      </c>
      <c r="B124">
        <v>84504</v>
      </c>
      <c r="C124" t="s">
        <v>181</v>
      </c>
      <c r="D124" t="s">
        <v>41</v>
      </c>
      <c r="E124" t="s">
        <v>27</v>
      </c>
      <c r="F124" s="1">
        <v>45547</v>
      </c>
      <c r="G124" s="1">
        <v>45562</v>
      </c>
      <c r="H124">
        <v>5</v>
      </c>
      <c r="I124" t="s">
        <v>49</v>
      </c>
      <c r="J124" t="s">
        <v>29</v>
      </c>
      <c r="K124">
        <v>2</v>
      </c>
      <c r="L124">
        <v>5</v>
      </c>
      <c r="M124">
        <v>5</v>
      </c>
      <c r="N124">
        <v>3</v>
      </c>
      <c r="O124">
        <v>5</v>
      </c>
      <c r="P124">
        <v>1</v>
      </c>
      <c r="Q124">
        <v>1</v>
      </c>
      <c r="R124">
        <v>3</v>
      </c>
      <c r="S124">
        <v>5</v>
      </c>
      <c r="T124">
        <v>3</v>
      </c>
      <c r="U124" t="s">
        <v>30</v>
      </c>
      <c r="V124" t="s">
        <v>31</v>
      </c>
      <c r="W124" t="s">
        <v>55</v>
      </c>
      <c r="X124" t="s">
        <v>44</v>
      </c>
      <c r="Y124">
        <v>33</v>
      </c>
      <c r="Z124" s="1">
        <v>45562</v>
      </c>
      <c r="AA124" t="str" cm="1">
        <f t="array" ref="AA124">_xlfn.IFS(AND(Table2[[#This Row],[Guest_Age]]&gt;=18,Table2[[#This Row],[Guest_Age]]&lt;=25),"Young Adults",AND(Table2[[#This Row],[Guest_Age]]&gt;=26,Table2[[#This Row],[Guest_Age]]&lt;=35),"Adults",AND(Table2[[#This Row],[Guest_Age]]&gt;=36,Table2[[#This Row],[Guest_Age]]&lt;=50),"Middle Aged Adults",Table2[[#This Row],[Guest_Age]]&gt;50,"Senior")</f>
        <v>Adults</v>
      </c>
      <c r="AB1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4" t="str" cm="1">
        <f t="array" ref="AC124">_xlfn.IFS(Table2[[#This Row],[Satification_points]]&gt;=4.5,"GREAT",AND(Table2[[#This Row],[Satification_points]]&gt;=4,Table2[[#This Row],[Satification_points]]&lt;4.5),"GOOD",AND(Table2[[#This Row],[Satification_points]]&gt;=3,Table2[[#This Row],[Satification_points]]&lt;4),"AVERAGE",Table2[[#This Row],[Satification_points]]&lt;3,"POOR")</f>
        <v>AVERAGE</v>
      </c>
    </row>
    <row r="125" spans="1:29" x14ac:dyDescent="0.3">
      <c r="A125">
        <v>124</v>
      </c>
      <c r="B125">
        <v>72429</v>
      </c>
      <c r="C125" t="s">
        <v>182</v>
      </c>
      <c r="D125" t="s">
        <v>48</v>
      </c>
      <c r="E125" t="s">
        <v>57</v>
      </c>
      <c r="F125" s="1">
        <v>45101</v>
      </c>
      <c r="G125" s="1">
        <v>45102</v>
      </c>
      <c r="H125">
        <v>5</v>
      </c>
      <c r="I125" t="s">
        <v>50</v>
      </c>
      <c r="J125" t="s">
        <v>29</v>
      </c>
      <c r="K125">
        <v>1</v>
      </c>
      <c r="L125">
        <v>5</v>
      </c>
      <c r="M125">
        <v>1</v>
      </c>
      <c r="N125">
        <v>3</v>
      </c>
      <c r="O125">
        <v>3</v>
      </c>
      <c r="P125">
        <v>4</v>
      </c>
      <c r="Q125">
        <v>3</v>
      </c>
      <c r="R125">
        <v>3</v>
      </c>
      <c r="S125">
        <v>1</v>
      </c>
      <c r="T125">
        <v>5</v>
      </c>
      <c r="U125" t="s">
        <v>37</v>
      </c>
      <c r="V125" t="s">
        <v>31</v>
      </c>
      <c r="W125" t="s">
        <v>39</v>
      </c>
      <c r="X125" t="s">
        <v>44</v>
      </c>
      <c r="Y125">
        <v>22</v>
      </c>
      <c r="Z125" s="1">
        <v>45246</v>
      </c>
      <c r="AA125" t="str" cm="1">
        <f t="array" ref="AA125">_xlfn.IFS(AND(Table2[[#This Row],[Guest_Age]]&gt;=18,Table2[[#This Row],[Guest_Age]]&lt;=25),"Young Adults",AND(Table2[[#This Row],[Guest_Age]]&gt;=26,Table2[[#This Row],[Guest_Age]]&lt;=35),"Adults",AND(Table2[[#This Row],[Guest_Age]]&gt;=36,Table2[[#This Row],[Guest_Age]]&lt;=50),"Middle Aged Adults",Table2[[#This Row],[Guest_Age]]&gt;50,"Senior")</f>
        <v>Young Adults</v>
      </c>
      <c r="AB1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5" t="str" cm="1">
        <f t="array" ref="AC125">_xlfn.IFS(Table2[[#This Row],[Satification_points]]&gt;=4.5,"GREAT",AND(Table2[[#This Row],[Satification_points]]&gt;=4,Table2[[#This Row],[Satification_points]]&lt;4.5),"GOOD",AND(Table2[[#This Row],[Satification_points]]&gt;=3,Table2[[#This Row],[Satification_points]]&lt;4),"AVERAGE",Table2[[#This Row],[Satification_points]]&lt;3,"POOR")</f>
        <v>POOR</v>
      </c>
    </row>
    <row r="126" spans="1:29" x14ac:dyDescent="0.3">
      <c r="A126">
        <v>125</v>
      </c>
      <c r="B126">
        <v>17992</v>
      </c>
      <c r="C126" t="s">
        <v>183</v>
      </c>
      <c r="D126" t="s">
        <v>34</v>
      </c>
      <c r="E126" t="s">
        <v>52</v>
      </c>
      <c r="F126" s="1">
        <v>45602</v>
      </c>
      <c r="G126" s="1">
        <v>45603</v>
      </c>
      <c r="H126">
        <v>3</v>
      </c>
      <c r="I126" t="s">
        <v>28</v>
      </c>
      <c r="J126" t="s">
        <v>29</v>
      </c>
      <c r="K126">
        <v>3</v>
      </c>
      <c r="L126">
        <v>5</v>
      </c>
      <c r="M126">
        <v>5</v>
      </c>
      <c r="N126">
        <v>2</v>
      </c>
      <c r="O126">
        <v>4</v>
      </c>
      <c r="P126">
        <v>1</v>
      </c>
      <c r="Q126">
        <v>2</v>
      </c>
      <c r="R126">
        <v>2</v>
      </c>
      <c r="S126">
        <v>1</v>
      </c>
      <c r="T126">
        <v>4</v>
      </c>
      <c r="U126" t="s">
        <v>37</v>
      </c>
      <c r="V126" t="s">
        <v>46</v>
      </c>
      <c r="W126" t="s">
        <v>39</v>
      </c>
      <c r="X126" t="s">
        <v>40</v>
      </c>
      <c r="Y126">
        <v>28</v>
      </c>
      <c r="Z126" s="1">
        <v>45603</v>
      </c>
      <c r="AA126" t="str" cm="1">
        <f t="array" ref="AA126">_xlfn.IFS(AND(Table2[[#This Row],[Guest_Age]]&gt;=18,Table2[[#This Row],[Guest_Age]]&lt;=25),"Young Adults",AND(Table2[[#This Row],[Guest_Age]]&gt;=26,Table2[[#This Row],[Guest_Age]]&lt;=35),"Adults",AND(Table2[[#This Row],[Guest_Age]]&gt;=36,Table2[[#This Row],[Guest_Age]]&lt;=50),"Middle Aged Adults",Table2[[#This Row],[Guest_Age]]&gt;50,"Senior")</f>
        <v>Adults</v>
      </c>
      <c r="AB1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6" t="str" cm="1">
        <f t="array" ref="AC126">_xlfn.IFS(Table2[[#This Row],[Satification_points]]&gt;=4.5,"GREAT",AND(Table2[[#This Row],[Satification_points]]&gt;=4,Table2[[#This Row],[Satification_points]]&lt;4.5),"GOOD",AND(Table2[[#This Row],[Satification_points]]&gt;=3,Table2[[#This Row],[Satification_points]]&lt;4),"AVERAGE",Table2[[#This Row],[Satification_points]]&lt;3,"POOR")</f>
        <v>POOR</v>
      </c>
    </row>
    <row r="127" spans="1:29" x14ac:dyDescent="0.3">
      <c r="A127">
        <v>126</v>
      </c>
      <c r="B127">
        <v>65173</v>
      </c>
      <c r="C127" t="s">
        <v>184</v>
      </c>
      <c r="D127" t="s">
        <v>48</v>
      </c>
      <c r="E127" t="s">
        <v>57</v>
      </c>
      <c r="F127" s="1">
        <v>45051</v>
      </c>
      <c r="G127" s="1">
        <v>45052</v>
      </c>
      <c r="H127">
        <v>2</v>
      </c>
      <c r="I127" t="s">
        <v>42</v>
      </c>
      <c r="J127" t="s">
        <v>40</v>
      </c>
      <c r="K127">
        <v>3</v>
      </c>
      <c r="L127">
        <v>4</v>
      </c>
      <c r="M127">
        <v>1</v>
      </c>
      <c r="N127">
        <v>4</v>
      </c>
      <c r="O127">
        <v>4</v>
      </c>
      <c r="P127">
        <v>2</v>
      </c>
      <c r="Q127">
        <v>3</v>
      </c>
      <c r="R127">
        <v>4</v>
      </c>
      <c r="S127">
        <v>5</v>
      </c>
      <c r="T127">
        <v>2</v>
      </c>
      <c r="U127" t="s">
        <v>30</v>
      </c>
      <c r="V127" t="s">
        <v>54</v>
      </c>
      <c r="W127" t="s">
        <v>56</v>
      </c>
      <c r="X127" t="s">
        <v>40</v>
      </c>
      <c r="Y127">
        <v>68</v>
      </c>
      <c r="Z127" s="1">
        <v>45052</v>
      </c>
      <c r="AA127" t="str" cm="1">
        <f t="array" ref="AA127">_xlfn.IFS(AND(Table2[[#This Row],[Guest_Age]]&gt;=18,Table2[[#This Row],[Guest_Age]]&lt;=25),"Young Adults",AND(Table2[[#This Row],[Guest_Age]]&gt;=26,Table2[[#This Row],[Guest_Age]]&lt;=35),"Adults",AND(Table2[[#This Row],[Guest_Age]]&gt;=36,Table2[[#This Row],[Guest_Age]]&lt;=50),"Middle Aged Adults",Table2[[#This Row],[Guest_Age]]&gt;50,"Senior")</f>
        <v>Senior</v>
      </c>
      <c r="AB1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7" t="str" cm="1">
        <f t="array" ref="AC127">_xlfn.IFS(Table2[[#This Row],[Satification_points]]&gt;=4.5,"GREAT",AND(Table2[[#This Row],[Satification_points]]&gt;=4,Table2[[#This Row],[Satification_points]]&lt;4.5),"GOOD",AND(Table2[[#This Row],[Satification_points]]&gt;=3,Table2[[#This Row],[Satification_points]]&lt;4),"AVERAGE",Table2[[#This Row],[Satification_points]]&lt;3,"POOR")</f>
        <v>AVERAGE</v>
      </c>
    </row>
    <row r="128" spans="1:29" x14ac:dyDescent="0.3">
      <c r="A128">
        <v>127</v>
      </c>
      <c r="B128">
        <v>20125</v>
      </c>
      <c r="C128" t="s">
        <v>185</v>
      </c>
      <c r="D128" t="s">
        <v>26</v>
      </c>
      <c r="E128" t="s">
        <v>52</v>
      </c>
      <c r="F128" s="1">
        <v>45274</v>
      </c>
      <c r="G128" s="1">
        <v>45275</v>
      </c>
      <c r="H128">
        <v>3</v>
      </c>
      <c r="I128" t="s">
        <v>42</v>
      </c>
      <c r="J128" t="s">
        <v>43</v>
      </c>
      <c r="K128">
        <v>4</v>
      </c>
      <c r="L128">
        <v>4</v>
      </c>
      <c r="M128">
        <v>3</v>
      </c>
      <c r="N128">
        <v>1</v>
      </c>
      <c r="O128">
        <v>5</v>
      </c>
      <c r="P128">
        <v>5</v>
      </c>
      <c r="Q128">
        <v>1</v>
      </c>
      <c r="R128">
        <v>4</v>
      </c>
      <c r="S128">
        <v>2</v>
      </c>
      <c r="T128">
        <v>2</v>
      </c>
      <c r="U128" t="s">
        <v>37</v>
      </c>
      <c r="V128" t="s">
        <v>54</v>
      </c>
      <c r="W128" t="s">
        <v>47</v>
      </c>
      <c r="X128" t="s">
        <v>33</v>
      </c>
      <c r="Y128">
        <v>46</v>
      </c>
      <c r="Z128" s="1">
        <v>45543</v>
      </c>
      <c r="AA128" t="str" cm="1">
        <f t="array" ref="AA1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8" t="str" cm="1">
        <f t="array" ref="AC128">_xlfn.IFS(Table2[[#This Row],[Satification_points]]&gt;=4.5,"GREAT",AND(Table2[[#This Row],[Satification_points]]&gt;=4,Table2[[#This Row],[Satification_points]]&lt;4.5),"GOOD",AND(Table2[[#This Row],[Satification_points]]&gt;=3,Table2[[#This Row],[Satification_points]]&lt;4),"AVERAGE",Table2[[#This Row],[Satification_points]]&lt;3,"POOR")</f>
        <v>AVERAGE</v>
      </c>
    </row>
    <row r="129" spans="1:29" x14ac:dyDescent="0.3">
      <c r="A129">
        <v>128</v>
      </c>
      <c r="B129">
        <v>32430</v>
      </c>
      <c r="C129" t="s">
        <v>186</v>
      </c>
      <c r="D129" t="s">
        <v>48</v>
      </c>
      <c r="E129" t="s">
        <v>57</v>
      </c>
      <c r="F129" s="1">
        <v>45293</v>
      </c>
      <c r="G129" s="1">
        <v>45294</v>
      </c>
      <c r="H129">
        <v>11</v>
      </c>
      <c r="I129" t="s">
        <v>42</v>
      </c>
      <c r="J129" t="s">
        <v>53</v>
      </c>
      <c r="K129">
        <v>1</v>
      </c>
      <c r="L129">
        <v>3</v>
      </c>
      <c r="M129">
        <v>4</v>
      </c>
      <c r="N129">
        <v>3</v>
      </c>
      <c r="O129">
        <v>3</v>
      </c>
      <c r="P129">
        <v>1</v>
      </c>
      <c r="Q129">
        <v>3</v>
      </c>
      <c r="R129">
        <v>1</v>
      </c>
      <c r="S129">
        <v>2</v>
      </c>
      <c r="T129">
        <v>4</v>
      </c>
      <c r="U129" t="s">
        <v>30</v>
      </c>
      <c r="V129" t="s">
        <v>46</v>
      </c>
      <c r="W129" t="s">
        <v>39</v>
      </c>
      <c r="X129" t="s">
        <v>44</v>
      </c>
      <c r="Y129">
        <v>65</v>
      </c>
      <c r="Z129" s="1">
        <v>45294</v>
      </c>
      <c r="AA129" t="str" cm="1">
        <f t="array" ref="AA129">_xlfn.IFS(AND(Table2[[#This Row],[Guest_Age]]&gt;=18,Table2[[#This Row],[Guest_Age]]&lt;=25),"Young Adults",AND(Table2[[#This Row],[Guest_Age]]&gt;=26,Table2[[#This Row],[Guest_Age]]&lt;=35),"Adults",AND(Table2[[#This Row],[Guest_Age]]&gt;=36,Table2[[#This Row],[Guest_Age]]&lt;=50),"Middle Aged Adults",Table2[[#This Row],[Guest_Age]]&gt;50,"Senior")</f>
        <v>Senior</v>
      </c>
      <c r="AB1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29" t="str" cm="1">
        <f t="array" ref="AC129">_xlfn.IFS(Table2[[#This Row],[Satification_points]]&gt;=4.5,"GREAT",AND(Table2[[#This Row],[Satification_points]]&gt;=4,Table2[[#This Row],[Satification_points]]&lt;4.5),"GOOD",AND(Table2[[#This Row],[Satification_points]]&gt;=3,Table2[[#This Row],[Satification_points]]&lt;4),"AVERAGE",Table2[[#This Row],[Satification_points]]&lt;3,"POOR")</f>
        <v>POOR</v>
      </c>
    </row>
    <row r="130" spans="1:29" x14ac:dyDescent="0.3">
      <c r="A130">
        <v>129</v>
      </c>
      <c r="B130">
        <v>84165</v>
      </c>
      <c r="C130" t="s">
        <v>187</v>
      </c>
      <c r="D130" t="s">
        <v>41</v>
      </c>
      <c r="E130" t="s">
        <v>27</v>
      </c>
      <c r="F130" s="1">
        <v>45461</v>
      </c>
      <c r="G130" s="1">
        <v>45462</v>
      </c>
      <c r="H130">
        <v>5</v>
      </c>
      <c r="I130" t="s">
        <v>50</v>
      </c>
      <c r="J130" t="s">
        <v>53</v>
      </c>
      <c r="K130">
        <v>2</v>
      </c>
      <c r="L130">
        <v>2</v>
      </c>
      <c r="M130">
        <v>4</v>
      </c>
      <c r="N130">
        <v>2</v>
      </c>
      <c r="O130">
        <v>1</v>
      </c>
      <c r="P130">
        <v>1</v>
      </c>
      <c r="Q130">
        <v>2</v>
      </c>
      <c r="R130">
        <v>2</v>
      </c>
      <c r="S130">
        <v>4</v>
      </c>
      <c r="T130">
        <v>2</v>
      </c>
      <c r="U130" t="s">
        <v>30</v>
      </c>
      <c r="V130" t="s">
        <v>46</v>
      </c>
      <c r="W130" t="s">
        <v>47</v>
      </c>
      <c r="X130" t="s">
        <v>33</v>
      </c>
      <c r="Y130">
        <v>63</v>
      </c>
      <c r="Z130" s="1">
        <v>45462</v>
      </c>
      <c r="AA130" t="str" cm="1">
        <f t="array" ref="AA130">_xlfn.IFS(AND(Table2[[#This Row],[Guest_Age]]&gt;=18,Table2[[#This Row],[Guest_Age]]&lt;=25),"Young Adults",AND(Table2[[#This Row],[Guest_Age]]&gt;=26,Table2[[#This Row],[Guest_Age]]&lt;=35),"Adults",AND(Table2[[#This Row],[Guest_Age]]&gt;=36,Table2[[#This Row],[Guest_Age]]&lt;=50),"Middle Aged Adults",Table2[[#This Row],[Guest_Age]]&gt;50,"Senior")</f>
        <v>Senior</v>
      </c>
      <c r="AB1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30" t="str" cm="1">
        <f t="array" ref="AC130">_xlfn.IFS(Table2[[#This Row],[Satification_points]]&gt;=4.5,"GREAT",AND(Table2[[#This Row],[Satification_points]]&gt;=4,Table2[[#This Row],[Satification_points]]&lt;4.5),"GOOD",AND(Table2[[#This Row],[Satification_points]]&gt;=3,Table2[[#This Row],[Satification_points]]&lt;4),"AVERAGE",Table2[[#This Row],[Satification_points]]&lt;3,"POOR")</f>
        <v>POOR</v>
      </c>
    </row>
    <row r="131" spans="1:29" x14ac:dyDescent="0.3">
      <c r="A131">
        <v>130</v>
      </c>
      <c r="B131">
        <v>19226</v>
      </c>
      <c r="C131" t="s">
        <v>188</v>
      </c>
      <c r="D131" t="s">
        <v>41</v>
      </c>
      <c r="E131" t="s">
        <v>52</v>
      </c>
      <c r="F131" s="1">
        <v>45341</v>
      </c>
      <c r="G131" s="1">
        <v>45342</v>
      </c>
      <c r="H131">
        <v>12</v>
      </c>
      <c r="I131" t="s">
        <v>50</v>
      </c>
      <c r="J131" t="s">
        <v>53</v>
      </c>
      <c r="K131">
        <v>5</v>
      </c>
      <c r="L131">
        <v>5</v>
      </c>
      <c r="M131">
        <v>4</v>
      </c>
      <c r="N131">
        <v>5</v>
      </c>
      <c r="O131">
        <v>1</v>
      </c>
      <c r="P131">
        <v>2</v>
      </c>
      <c r="Q131">
        <v>2</v>
      </c>
      <c r="R131">
        <v>2</v>
      </c>
      <c r="S131">
        <v>2</v>
      </c>
      <c r="T131">
        <v>1</v>
      </c>
      <c r="U131" t="s">
        <v>37</v>
      </c>
      <c r="V131" t="s">
        <v>58</v>
      </c>
      <c r="W131" t="s">
        <v>39</v>
      </c>
      <c r="X131" t="s">
        <v>33</v>
      </c>
      <c r="Y131">
        <v>28</v>
      </c>
      <c r="Z131" s="1">
        <v>45342</v>
      </c>
      <c r="AA131" t="str" cm="1">
        <f t="array" ref="AA131">_xlfn.IFS(AND(Table2[[#This Row],[Guest_Age]]&gt;=18,Table2[[#This Row],[Guest_Age]]&lt;=25),"Young Adults",AND(Table2[[#This Row],[Guest_Age]]&gt;=26,Table2[[#This Row],[Guest_Age]]&lt;=35),"Adults",AND(Table2[[#This Row],[Guest_Age]]&gt;=36,Table2[[#This Row],[Guest_Age]]&lt;=50),"Middle Aged Adults",Table2[[#This Row],[Guest_Age]]&gt;50,"Senior")</f>
        <v>Adults</v>
      </c>
      <c r="AB1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1" t="str" cm="1">
        <f t="array" ref="AC131">_xlfn.IFS(Table2[[#This Row],[Satification_points]]&gt;=4.5,"GREAT",AND(Table2[[#This Row],[Satification_points]]&gt;=4,Table2[[#This Row],[Satification_points]]&lt;4.5),"GOOD",AND(Table2[[#This Row],[Satification_points]]&gt;=3,Table2[[#This Row],[Satification_points]]&lt;4),"AVERAGE",Table2[[#This Row],[Satification_points]]&lt;3,"POOR")</f>
        <v>POOR</v>
      </c>
    </row>
    <row r="132" spans="1:29" x14ac:dyDescent="0.3">
      <c r="A132">
        <v>131</v>
      </c>
      <c r="B132">
        <v>27220</v>
      </c>
      <c r="C132" t="s">
        <v>189</v>
      </c>
      <c r="D132" t="s">
        <v>26</v>
      </c>
      <c r="E132" t="s">
        <v>35</v>
      </c>
      <c r="F132" s="1">
        <v>45500</v>
      </c>
      <c r="G132" s="1">
        <v>45501</v>
      </c>
      <c r="H132">
        <v>13</v>
      </c>
      <c r="I132" t="s">
        <v>28</v>
      </c>
      <c r="J132" t="s">
        <v>36</v>
      </c>
      <c r="K132">
        <v>2</v>
      </c>
      <c r="L132">
        <v>2</v>
      </c>
      <c r="M132">
        <v>1</v>
      </c>
      <c r="N132">
        <v>4</v>
      </c>
      <c r="O132">
        <v>1</v>
      </c>
      <c r="P132">
        <v>2</v>
      </c>
      <c r="Q132">
        <v>1</v>
      </c>
      <c r="R132">
        <v>2</v>
      </c>
      <c r="S132">
        <v>1</v>
      </c>
      <c r="T132">
        <v>5</v>
      </c>
      <c r="U132" t="s">
        <v>37</v>
      </c>
      <c r="V132" t="s">
        <v>58</v>
      </c>
      <c r="W132" t="s">
        <v>56</v>
      </c>
      <c r="X132" t="s">
        <v>40</v>
      </c>
      <c r="Y132">
        <v>63</v>
      </c>
      <c r="Z132" s="1">
        <v>45501</v>
      </c>
      <c r="AA132" t="str" cm="1">
        <f t="array" ref="AA132">_xlfn.IFS(AND(Table2[[#This Row],[Guest_Age]]&gt;=18,Table2[[#This Row],[Guest_Age]]&lt;=25),"Young Adults",AND(Table2[[#This Row],[Guest_Age]]&gt;=26,Table2[[#This Row],[Guest_Age]]&lt;=35),"Adults",AND(Table2[[#This Row],[Guest_Age]]&gt;=36,Table2[[#This Row],[Guest_Age]]&lt;=50),"Middle Aged Adults",Table2[[#This Row],[Guest_Age]]&gt;50,"Senior")</f>
        <v>Senior</v>
      </c>
      <c r="AB1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32" t="str" cm="1">
        <f t="array" ref="AC132">_xlfn.IFS(Table2[[#This Row],[Satification_points]]&gt;=4.5,"GREAT",AND(Table2[[#This Row],[Satification_points]]&gt;=4,Table2[[#This Row],[Satification_points]]&lt;4.5),"GOOD",AND(Table2[[#This Row],[Satification_points]]&gt;=3,Table2[[#This Row],[Satification_points]]&lt;4),"AVERAGE",Table2[[#This Row],[Satification_points]]&lt;3,"POOR")</f>
        <v>POOR</v>
      </c>
    </row>
    <row r="133" spans="1:29" x14ac:dyDescent="0.3">
      <c r="A133">
        <v>132</v>
      </c>
      <c r="B133">
        <v>14702</v>
      </c>
      <c r="C133" t="s">
        <v>190</v>
      </c>
      <c r="D133" t="s">
        <v>41</v>
      </c>
      <c r="E133" t="s">
        <v>52</v>
      </c>
      <c r="F133" s="1">
        <v>45650</v>
      </c>
      <c r="G133" s="1">
        <v>45651</v>
      </c>
      <c r="H133">
        <v>6</v>
      </c>
      <c r="I133" t="s">
        <v>50</v>
      </c>
      <c r="J133" t="s">
        <v>29</v>
      </c>
      <c r="K133">
        <v>5</v>
      </c>
      <c r="L133">
        <v>3</v>
      </c>
      <c r="M133">
        <v>4</v>
      </c>
      <c r="N133">
        <v>5</v>
      </c>
      <c r="O133">
        <v>1</v>
      </c>
      <c r="P133">
        <v>4</v>
      </c>
      <c r="Q133">
        <v>1</v>
      </c>
      <c r="R133">
        <v>2</v>
      </c>
      <c r="S133">
        <v>1</v>
      </c>
      <c r="T133">
        <v>4</v>
      </c>
      <c r="U133" t="s">
        <v>37</v>
      </c>
      <c r="V133" t="s">
        <v>31</v>
      </c>
      <c r="W133" t="s">
        <v>55</v>
      </c>
      <c r="X133" t="s">
        <v>40</v>
      </c>
      <c r="Y133">
        <v>33</v>
      </c>
      <c r="Z133" s="1">
        <v>45651</v>
      </c>
      <c r="AA133" t="str" cm="1">
        <f t="array" ref="AA133">_xlfn.IFS(AND(Table2[[#This Row],[Guest_Age]]&gt;=18,Table2[[#This Row],[Guest_Age]]&lt;=25),"Young Adults",AND(Table2[[#This Row],[Guest_Age]]&gt;=26,Table2[[#This Row],[Guest_Age]]&lt;=35),"Adults",AND(Table2[[#This Row],[Guest_Age]]&gt;=36,Table2[[#This Row],[Guest_Age]]&lt;=50),"Middle Aged Adults",Table2[[#This Row],[Guest_Age]]&gt;50,"Senior")</f>
        <v>Adults</v>
      </c>
      <c r="AB1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3" t="str" cm="1">
        <f t="array" ref="AC133">_xlfn.IFS(Table2[[#This Row],[Satification_points]]&gt;=4.5,"GREAT",AND(Table2[[#This Row],[Satification_points]]&gt;=4,Table2[[#This Row],[Satification_points]]&lt;4.5),"GOOD",AND(Table2[[#This Row],[Satification_points]]&gt;=3,Table2[[#This Row],[Satification_points]]&lt;4),"AVERAGE",Table2[[#This Row],[Satification_points]]&lt;3,"POOR")</f>
        <v>AVERAGE</v>
      </c>
    </row>
    <row r="134" spans="1:29" x14ac:dyDescent="0.3">
      <c r="A134">
        <v>133</v>
      </c>
      <c r="B134">
        <v>10641</v>
      </c>
      <c r="C134" t="s">
        <v>191</v>
      </c>
      <c r="D134" t="s">
        <v>48</v>
      </c>
      <c r="E134" t="s">
        <v>52</v>
      </c>
      <c r="F134" s="1">
        <v>45178</v>
      </c>
      <c r="G134" s="1">
        <v>45500</v>
      </c>
      <c r="H134">
        <v>4</v>
      </c>
      <c r="I134" t="s">
        <v>42</v>
      </c>
      <c r="J134" t="s">
        <v>43</v>
      </c>
      <c r="K134">
        <v>5</v>
      </c>
      <c r="L134">
        <v>3</v>
      </c>
      <c r="M134">
        <v>4</v>
      </c>
      <c r="N134">
        <v>5</v>
      </c>
      <c r="O134">
        <v>3</v>
      </c>
      <c r="P134">
        <v>5</v>
      </c>
      <c r="Q134">
        <v>5</v>
      </c>
      <c r="R134">
        <v>5</v>
      </c>
      <c r="S134">
        <v>4</v>
      </c>
      <c r="T134">
        <v>5</v>
      </c>
      <c r="U134" t="s">
        <v>30</v>
      </c>
      <c r="V134" t="s">
        <v>38</v>
      </c>
      <c r="W134" t="s">
        <v>47</v>
      </c>
      <c r="X134" t="s">
        <v>40</v>
      </c>
      <c r="Y134">
        <v>42</v>
      </c>
      <c r="Z134" s="1">
        <v>45500</v>
      </c>
      <c r="AA134" t="str" cm="1">
        <f t="array" ref="AA1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4.4000000000000004</v>
      </c>
      <c r="AC134" t="str" cm="1">
        <f t="array" ref="AC134">_xlfn.IFS(Table2[[#This Row],[Satification_points]]&gt;=4.5,"GREAT",AND(Table2[[#This Row],[Satification_points]]&gt;=4,Table2[[#This Row],[Satification_points]]&lt;4.5),"GOOD",AND(Table2[[#This Row],[Satification_points]]&gt;=3,Table2[[#This Row],[Satification_points]]&lt;4),"AVERAGE",Table2[[#This Row],[Satification_points]]&lt;3,"POOR")</f>
        <v>GOOD</v>
      </c>
    </row>
    <row r="135" spans="1:29" x14ac:dyDescent="0.3">
      <c r="A135">
        <v>134</v>
      </c>
      <c r="B135">
        <v>45942</v>
      </c>
      <c r="C135" t="s">
        <v>192</v>
      </c>
      <c r="D135" t="s">
        <v>48</v>
      </c>
      <c r="E135" t="s">
        <v>57</v>
      </c>
      <c r="F135" s="1">
        <v>45534</v>
      </c>
      <c r="G135" s="1">
        <v>45535</v>
      </c>
      <c r="H135">
        <v>7</v>
      </c>
      <c r="I135" t="s">
        <v>28</v>
      </c>
      <c r="J135" t="s">
        <v>43</v>
      </c>
      <c r="K135">
        <v>4</v>
      </c>
      <c r="L135">
        <v>5</v>
      </c>
      <c r="M135">
        <v>5</v>
      </c>
      <c r="N135">
        <v>4</v>
      </c>
      <c r="O135">
        <v>1</v>
      </c>
      <c r="P135">
        <v>5</v>
      </c>
      <c r="Q135">
        <v>4</v>
      </c>
      <c r="R135">
        <v>2</v>
      </c>
      <c r="S135">
        <v>5</v>
      </c>
      <c r="T135">
        <v>1</v>
      </c>
      <c r="U135" t="s">
        <v>37</v>
      </c>
      <c r="V135" t="s">
        <v>54</v>
      </c>
      <c r="W135" t="s">
        <v>47</v>
      </c>
      <c r="X135" t="s">
        <v>33</v>
      </c>
      <c r="Y135">
        <v>67</v>
      </c>
      <c r="Z135" s="1">
        <v>45535</v>
      </c>
      <c r="AA135" t="str" cm="1">
        <f t="array" ref="AA135">_xlfn.IFS(AND(Table2[[#This Row],[Guest_Age]]&gt;=18,Table2[[#This Row],[Guest_Age]]&lt;=25),"Young Adults",AND(Table2[[#This Row],[Guest_Age]]&gt;=26,Table2[[#This Row],[Guest_Age]]&lt;=35),"Adults",AND(Table2[[#This Row],[Guest_Age]]&gt;=36,Table2[[#This Row],[Guest_Age]]&lt;=50),"Middle Aged Adults",Table2[[#This Row],[Guest_Age]]&gt;50,"Senior")</f>
        <v>Senior</v>
      </c>
      <c r="AB1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5" t="str" cm="1">
        <f t="array" ref="AC135">_xlfn.IFS(Table2[[#This Row],[Satification_points]]&gt;=4.5,"GREAT",AND(Table2[[#This Row],[Satification_points]]&gt;=4,Table2[[#This Row],[Satification_points]]&lt;4.5),"GOOD",AND(Table2[[#This Row],[Satification_points]]&gt;=3,Table2[[#This Row],[Satification_points]]&lt;4),"AVERAGE",Table2[[#This Row],[Satification_points]]&lt;3,"POOR")</f>
        <v>AVERAGE</v>
      </c>
    </row>
    <row r="136" spans="1:29" x14ac:dyDescent="0.3">
      <c r="A136">
        <v>135</v>
      </c>
      <c r="B136">
        <v>93728</v>
      </c>
      <c r="C136" t="s">
        <v>193</v>
      </c>
      <c r="D136" t="s">
        <v>48</v>
      </c>
      <c r="E136" t="s">
        <v>52</v>
      </c>
      <c r="F136" s="1">
        <v>45647</v>
      </c>
      <c r="G136" s="1">
        <v>45648</v>
      </c>
      <c r="H136">
        <v>2</v>
      </c>
      <c r="I136" t="s">
        <v>28</v>
      </c>
      <c r="J136" t="s">
        <v>36</v>
      </c>
      <c r="K136">
        <v>5</v>
      </c>
      <c r="L136">
        <v>2</v>
      </c>
      <c r="M136">
        <v>4</v>
      </c>
      <c r="N136">
        <v>2</v>
      </c>
      <c r="O136">
        <v>5</v>
      </c>
      <c r="P136">
        <v>1</v>
      </c>
      <c r="Q136">
        <v>3</v>
      </c>
      <c r="R136">
        <v>1</v>
      </c>
      <c r="S136">
        <v>1</v>
      </c>
      <c r="T136">
        <v>2</v>
      </c>
      <c r="U136" t="s">
        <v>37</v>
      </c>
      <c r="V136" t="s">
        <v>31</v>
      </c>
      <c r="W136" t="s">
        <v>56</v>
      </c>
      <c r="X136" t="s">
        <v>33</v>
      </c>
      <c r="Y136">
        <v>20</v>
      </c>
      <c r="Z136" s="1">
        <v>45648</v>
      </c>
      <c r="AA136" t="str" cm="1">
        <f t="array" ref="AA136">_xlfn.IFS(AND(Table2[[#This Row],[Guest_Age]]&gt;=18,Table2[[#This Row],[Guest_Age]]&lt;=25),"Young Adults",AND(Table2[[#This Row],[Guest_Age]]&gt;=26,Table2[[#This Row],[Guest_Age]]&lt;=35),"Adults",AND(Table2[[#This Row],[Guest_Age]]&gt;=36,Table2[[#This Row],[Guest_Age]]&lt;=50),"Middle Aged Adults",Table2[[#This Row],[Guest_Age]]&gt;50,"Senior")</f>
        <v>Young Adults</v>
      </c>
      <c r="AB1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6" t="str" cm="1">
        <f t="array" ref="AC136">_xlfn.IFS(Table2[[#This Row],[Satification_points]]&gt;=4.5,"GREAT",AND(Table2[[#This Row],[Satification_points]]&gt;=4,Table2[[#This Row],[Satification_points]]&lt;4.5),"GOOD",AND(Table2[[#This Row],[Satification_points]]&gt;=3,Table2[[#This Row],[Satification_points]]&lt;4),"AVERAGE",Table2[[#This Row],[Satification_points]]&lt;3,"POOR")</f>
        <v>POOR</v>
      </c>
    </row>
    <row r="137" spans="1:29" x14ac:dyDescent="0.3">
      <c r="A137">
        <v>136</v>
      </c>
      <c r="B137">
        <v>65405</v>
      </c>
      <c r="C137" t="s">
        <v>194</v>
      </c>
      <c r="D137" t="s">
        <v>41</v>
      </c>
      <c r="E137" t="s">
        <v>57</v>
      </c>
      <c r="F137" s="1">
        <v>45495</v>
      </c>
      <c r="G137" s="1">
        <v>45496</v>
      </c>
      <c r="H137">
        <v>14</v>
      </c>
      <c r="I137" t="s">
        <v>42</v>
      </c>
      <c r="J137" t="s">
        <v>40</v>
      </c>
      <c r="K137">
        <v>3</v>
      </c>
      <c r="L137">
        <v>3</v>
      </c>
      <c r="M137">
        <v>1</v>
      </c>
      <c r="N137">
        <v>5</v>
      </c>
      <c r="O137">
        <v>5</v>
      </c>
      <c r="P137">
        <v>5</v>
      </c>
      <c r="Q137">
        <v>5</v>
      </c>
      <c r="R137">
        <v>4</v>
      </c>
      <c r="S137">
        <v>2</v>
      </c>
      <c r="T137">
        <v>4</v>
      </c>
      <c r="U137" t="s">
        <v>37</v>
      </c>
      <c r="V137" t="s">
        <v>31</v>
      </c>
      <c r="W137" t="s">
        <v>47</v>
      </c>
      <c r="X137" t="s">
        <v>44</v>
      </c>
      <c r="Y137">
        <v>20</v>
      </c>
      <c r="Z137" s="1">
        <v>45569</v>
      </c>
      <c r="AA137" t="str" cm="1">
        <f t="array" ref="AA137">_xlfn.IFS(AND(Table2[[#This Row],[Guest_Age]]&gt;=18,Table2[[#This Row],[Guest_Age]]&lt;=25),"Young Adults",AND(Table2[[#This Row],[Guest_Age]]&gt;=26,Table2[[#This Row],[Guest_Age]]&lt;=35),"Adults",AND(Table2[[#This Row],[Guest_Age]]&gt;=36,Table2[[#This Row],[Guest_Age]]&lt;=50),"Middle Aged Adults",Table2[[#This Row],[Guest_Age]]&gt;50,"Senior")</f>
        <v>Young Adults</v>
      </c>
      <c r="AB1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37" t="str" cm="1">
        <f t="array" ref="AC137">_xlfn.IFS(Table2[[#This Row],[Satification_points]]&gt;=4.5,"GREAT",AND(Table2[[#This Row],[Satification_points]]&gt;=4,Table2[[#This Row],[Satification_points]]&lt;4.5),"GOOD",AND(Table2[[#This Row],[Satification_points]]&gt;=3,Table2[[#This Row],[Satification_points]]&lt;4),"AVERAGE",Table2[[#This Row],[Satification_points]]&lt;3,"POOR")</f>
        <v>AVERAGE</v>
      </c>
    </row>
    <row r="138" spans="1:29" x14ac:dyDescent="0.3">
      <c r="A138">
        <v>137</v>
      </c>
      <c r="B138">
        <v>13875</v>
      </c>
      <c r="C138" t="s">
        <v>195</v>
      </c>
      <c r="D138" t="s">
        <v>48</v>
      </c>
      <c r="E138" t="s">
        <v>27</v>
      </c>
      <c r="F138" s="1">
        <v>45160</v>
      </c>
      <c r="G138" s="1">
        <v>45411</v>
      </c>
      <c r="H138">
        <v>6</v>
      </c>
      <c r="I138" t="s">
        <v>49</v>
      </c>
      <c r="J138" t="s">
        <v>36</v>
      </c>
      <c r="K138">
        <v>3</v>
      </c>
      <c r="L138">
        <v>1</v>
      </c>
      <c r="M138">
        <v>5</v>
      </c>
      <c r="N138">
        <v>2</v>
      </c>
      <c r="O138">
        <v>5</v>
      </c>
      <c r="P138">
        <v>2</v>
      </c>
      <c r="Q138">
        <v>3</v>
      </c>
      <c r="R138">
        <v>2</v>
      </c>
      <c r="S138">
        <v>2</v>
      </c>
      <c r="T138">
        <v>1</v>
      </c>
      <c r="U138" t="s">
        <v>30</v>
      </c>
      <c r="V138" t="s">
        <v>38</v>
      </c>
      <c r="W138" t="s">
        <v>39</v>
      </c>
      <c r="X138" t="s">
        <v>44</v>
      </c>
      <c r="Y138">
        <v>18</v>
      </c>
      <c r="Z138" s="1">
        <v>45411</v>
      </c>
      <c r="AA138" t="str" cm="1">
        <f t="array" ref="AA138">_xlfn.IFS(AND(Table2[[#This Row],[Guest_Age]]&gt;=18,Table2[[#This Row],[Guest_Age]]&lt;=25),"Young Adults",AND(Table2[[#This Row],[Guest_Age]]&gt;=26,Table2[[#This Row],[Guest_Age]]&lt;=35),"Adults",AND(Table2[[#This Row],[Guest_Age]]&gt;=36,Table2[[#This Row],[Guest_Age]]&lt;=50),"Middle Aged Adults",Table2[[#This Row],[Guest_Age]]&gt;50,"Senior")</f>
        <v>Young Adults</v>
      </c>
      <c r="AB1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8" t="str" cm="1">
        <f t="array" ref="AC138">_xlfn.IFS(Table2[[#This Row],[Satification_points]]&gt;=4.5,"GREAT",AND(Table2[[#This Row],[Satification_points]]&gt;=4,Table2[[#This Row],[Satification_points]]&lt;4.5),"GOOD",AND(Table2[[#This Row],[Satification_points]]&gt;=3,Table2[[#This Row],[Satification_points]]&lt;4),"AVERAGE",Table2[[#This Row],[Satification_points]]&lt;3,"POOR")</f>
        <v>POOR</v>
      </c>
    </row>
    <row r="139" spans="1:29" x14ac:dyDescent="0.3">
      <c r="A139">
        <v>138</v>
      </c>
      <c r="B139">
        <v>51602</v>
      </c>
      <c r="C139" t="s">
        <v>196</v>
      </c>
      <c r="D139" t="s">
        <v>51</v>
      </c>
      <c r="E139" t="s">
        <v>52</v>
      </c>
      <c r="F139" s="1">
        <v>45284</v>
      </c>
      <c r="G139" s="1">
        <v>45285</v>
      </c>
      <c r="H139">
        <v>14</v>
      </c>
      <c r="I139" t="s">
        <v>50</v>
      </c>
      <c r="J139" t="s">
        <v>36</v>
      </c>
      <c r="K139">
        <v>4</v>
      </c>
      <c r="L139">
        <v>4</v>
      </c>
      <c r="M139">
        <v>1</v>
      </c>
      <c r="N139">
        <v>5</v>
      </c>
      <c r="O139">
        <v>1</v>
      </c>
      <c r="P139">
        <v>2</v>
      </c>
      <c r="Q139">
        <v>2</v>
      </c>
      <c r="R139">
        <v>4</v>
      </c>
      <c r="S139">
        <v>2</v>
      </c>
      <c r="T139">
        <v>1</v>
      </c>
      <c r="U139" t="s">
        <v>30</v>
      </c>
      <c r="V139" t="s">
        <v>31</v>
      </c>
      <c r="W139" t="s">
        <v>55</v>
      </c>
      <c r="X139" t="s">
        <v>44</v>
      </c>
      <c r="Y139">
        <v>29</v>
      </c>
      <c r="Z139" s="1">
        <v>45490</v>
      </c>
      <c r="AA139" t="str" cm="1">
        <f t="array" ref="AA139">_xlfn.IFS(AND(Table2[[#This Row],[Guest_Age]]&gt;=18,Table2[[#This Row],[Guest_Age]]&lt;=25),"Young Adults",AND(Table2[[#This Row],[Guest_Age]]&gt;=26,Table2[[#This Row],[Guest_Age]]&lt;=35),"Adults",AND(Table2[[#This Row],[Guest_Age]]&gt;=36,Table2[[#This Row],[Guest_Age]]&lt;=50),"Middle Aged Adults",Table2[[#This Row],[Guest_Age]]&gt;50,"Senior")</f>
        <v>Adults</v>
      </c>
      <c r="AB1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9" t="str" cm="1">
        <f t="array" ref="AC139">_xlfn.IFS(Table2[[#This Row],[Satification_points]]&gt;=4.5,"GREAT",AND(Table2[[#This Row],[Satification_points]]&gt;=4,Table2[[#This Row],[Satification_points]]&lt;4.5),"GOOD",AND(Table2[[#This Row],[Satification_points]]&gt;=3,Table2[[#This Row],[Satification_points]]&lt;4),"AVERAGE",Table2[[#This Row],[Satification_points]]&lt;3,"POOR")</f>
        <v>POOR</v>
      </c>
    </row>
    <row r="140" spans="1:29" x14ac:dyDescent="0.3">
      <c r="A140">
        <v>139</v>
      </c>
      <c r="B140">
        <v>84430</v>
      </c>
      <c r="C140" t="s">
        <v>197</v>
      </c>
      <c r="D140" t="s">
        <v>26</v>
      </c>
      <c r="E140" t="s">
        <v>35</v>
      </c>
      <c r="F140" s="1">
        <v>45252</v>
      </c>
      <c r="G140" s="1">
        <v>45253</v>
      </c>
      <c r="H140">
        <v>9</v>
      </c>
      <c r="I140" t="s">
        <v>50</v>
      </c>
      <c r="J140" t="s">
        <v>29</v>
      </c>
      <c r="K140">
        <v>2</v>
      </c>
      <c r="L140">
        <v>2</v>
      </c>
      <c r="M140">
        <v>2</v>
      </c>
      <c r="N140">
        <v>3</v>
      </c>
      <c r="O140">
        <v>5</v>
      </c>
      <c r="P140">
        <v>2</v>
      </c>
      <c r="Q140">
        <v>1</v>
      </c>
      <c r="R140">
        <v>3</v>
      </c>
      <c r="S140">
        <v>1</v>
      </c>
      <c r="T140">
        <v>5</v>
      </c>
      <c r="U140" t="s">
        <v>30</v>
      </c>
      <c r="V140" t="s">
        <v>31</v>
      </c>
      <c r="W140" t="s">
        <v>32</v>
      </c>
      <c r="X140" t="s">
        <v>44</v>
      </c>
      <c r="Y140">
        <v>24</v>
      </c>
      <c r="Z140" s="1">
        <v>45299</v>
      </c>
      <c r="AA140" t="str" cm="1">
        <f t="array" ref="AA140">_xlfn.IFS(AND(Table2[[#This Row],[Guest_Age]]&gt;=18,Table2[[#This Row],[Guest_Age]]&lt;=25),"Young Adults",AND(Table2[[#This Row],[Guest_Age]]&gt;=26,Table2[[#This Row],[Guest_Age]]&lt;=35),"Adults",AND(Table2[[#This Row],[Guest_Age]]&gt;=36,Table2[[#This Row],[Guest_Age]]&lt;=50),"Middle Aged Adults",Table2[[#This Row],[Guest_Age]]&gt;50,"Senior")</f>
        <v>Young Adults</v>
      </c>
      <c r="AB1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40" t="str" cm="1">
        <f t="array" ref="AC140">_xlfn.IFS(Table2[[#This Row],[Satification_points]]&gt;=4.5,"GREAT",AND(Table2[[#This Row],[Satification_points]]&gt;=4,Table2[[#This Row],[Satification_points]]&lt;4.5),"GOOD",AND(Table2[[#This Row],[Satification_points]]&gt;=3,Table2[[#This Row],[Satification_points]]&lt;4),"AVERAGE",Table2[[#This Row],[Satification_points]]&lt;3,"POOR")</f>
        <v>POOR</v>
      </c>
    </row>
    <row r="141" spans="1:29" x14ac:dyDescent="0.3">
      <c r="A141">
        <v>140</v>
      </c>
      <c r="B141">
        <v>75322</v>
      </c>
      <c r="C141" t="s">
        <v>198</v>
      </c>
      <c r="D141" t="s">
        <v>51</v>
      </c>
      <c r="E141" t="s">
        <v>35</v>
      </c>
      <c r="F141" s="1">
        <v>44991</v>
      </c>
      <c r="G141" s="1">
        <v>45315</v>
      </c>
      <c r="H141">
        <v>10</v>
      </c>
      <c r="I141" t="s">
        <v>42</v>
      </c>
      <c r="J141" t="s">
        <v>40</v>
      </c>
      <c r="K141">
        <v>2</v>
      </c>
      <c r="L141">
        <v>5</v>
      </c>
      <c r="M141">
        <v>4</v>
      </c>
      <c r="N141">
        <v>4</v>
      </c>
      <c r="O141">
        <v>5</v>
      </c>
      <c r="P141">
        <v>1</v>
      </c>
      <c r="Q141">
        <v>3</v>
      </c>
      <c r="R141">
        <v>1</v>
      </c>
      <c r="S141">
        <v>3</v>
      </c>
      <c r="T141">
        <v>4</v>
      </c>
      <c r="U141" t="s">
        <v>30</v>
      </c>
      <c r="V141" t="s">
        <v>38</v>
      </c>
      <c r="W141" t="s">
        <v>56</v>
      </c>
      <c r="X141" t="s">
        <v>44</v>
      </c>
      <c r="Y141">
        <v>60</v>
      </c>
      <c r="Z141" s="1">
        <v>45315</v>
      </c>
      <c r="AA141" t="str" cm="1">
        <f t="array" ref="AA141">_xlfn.IFS(AND(Table2[[#This Row],[Guest_Age]]&gt;=18,Table2[[#This Row],[Guest_Age]]&lt;=25),"Young Adults",AND(Table2[[#This Row],[Guest_Age]]&gt;=26,Table2[[#This Row],[Guest_Age]]&lt;=35),"Adults",AND(Table2[[#This Row],[Guest_Age]]&gt;=36,Table2[[#This Row],[Guest_Age]]&lt;=50),"Middle Aged Adults",Table2[[#This Row],[Guest_Age]]&gt;50,"Senior")</f>
        <v>Senior</v>
      </c>
      <c r="AB1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1" t="str" cm="1">
        <f t="array" ref="AC141">_xlfn.IFS(Table2[[#This Row],[Satification_points]]&gt;=4.5,"GREAT",AND(Table2[[#This Row],[Satification_points]]&gt;=4,Table2[[#This Row],[Satification_points]]&lt;4.5),"GOOD",AND(Table2[[#This Row],[Satification_points]]&gt;=3,Table2[[#This Row],[Satification_points]]&lt;4),"AVERAGE",Table2[[#This Row],[Satification_points]]&lt;3,"POOR")</f>
        <v>AVERAGE</v>
      </c>
    </row>
    <row r="142" spans="1:29" x14ac:dyDescent="0.3">
      <c r="A142">
        <v>141</v>
      </c>
      <c r="B142">
        <v>78384</v>
      </c>
      <c r="C142" t="s">
        <v>199</v>
      </c>
      <c r="D142" t="s">
        <v>48</v>
      </c>
      <c r="E142" t="s">
        <v>27</v>
      </c>
      <c r="F142" s="1">
        <v>45219</v>
      </c>
      <c r="G142" s="1">
        <v>45220</v>
      </c>
      <c r="H142">
        <v>5</v>
      </c>
      <c r="I142" t="s">
        <v>49</v>
      </c>
      <c r="J142" t="s">
        <v>36</v>
      </c>
      <c r="K142">
        <v>2</v>
      </c>
      <c r="L142">
        <v>3</v>
      </c>
      <c r="M142">
        <v>1</v>
      </c>
      <c r="N142">
        <v>1</v>
      </c>
      <c r="O142">
        <v>2</v>
      </c>
      <c r="P142">
        <v>3</v>
      </c>
      <c r="Q142">
        <v>4</v>
      </c>
      <c r="R142">
        <v>3</v>
      </c>
      <c r="S142">
        <v>1</v>
      </c>
      <c r="T142">
        <v>5</v>
      </c>
      <c r="U142" t="s">
        <v>37</v>
      </c>
      <c r="V142" t="s">
        <v>31</v>
      </c>
      <c r="W142" t="s">
        <v>47</v>
      </c>
      <c r="X142" t="s">
        <v>44</v>
      </c>
      <c r="Y142">
        <v>62</v>
      </c>
      <c r="Z142" s="1">
        <v>45234</v>
      </c>
      <c r="AA142" t="str" cm="1">
        <f t="array" ref="AA142">_xlfn.IFS(AND(Table2[[#This Row],[Guest_Age]]&gt;=18,Table2[[#This Row],[Guest_Age]]&lt;=25),"Young Adults",AND(Table2[[#This Row],[Guest_Age]]&gt;=26,Table2[[#This Row],[Guest_Age]]&lt;=35),"Adults",AND(Table2[[#This Row],[Guest_Age]]&gt;=36,Table2[[#This Row],[Guest_Age]]&lt;=50),"Middle Aged Adults",Table2[[#This Row],[Guest_Age]]&gt;50,"Senior")</f>
        <v>Senior</v>
      </c>
      <c r="AB1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42" t="str" cm="1">
        <f t="array" ref="AC142">_xlfn.IFS(Table2[[#This Row],[Satification_points]]&gt;=4.5,"GREAT",AND(Table2[[#This Row],[Satification_points]]&gt;=4,Table2[[#This Row],[Satification_points]]&lt;4.5),"GOOD",AND(Table2[[#This Row],[Satification_points]]&gt;=3,Table2[[#This Row],[Satification_points]]&lt;4),"AVERAGE",Table2[[#This Row],[Satification_points]]&lt;3,"POOR")</f>
        <v>POOR</v>
      </c>
    </row>
    <row r="143" spans="1:29" x14ac:dyDescent="0.3">
      <c r="A143">
        <v>142</v>
      </c>
      <c r="B143">
        <v>26077</v>
      </c>
      <c r="C143" t="s">
        <v>200</v>
      </c>
      <c r="D143" t="s">
        <v>41</v>
      </c>
      <c r="E143" t="s">
        <v>35</v>
      </c>
      <c r="F143" s="1">
        <v>45250</v>
      </c>
      <c r="G143" s="1">
        <v>45293</v>
      </c>
      <c r="H143">
        <v>4</v>
      </c>
      <c r="I143" t="s">
        <v>50</v>
      </c>
      <c r="J143" t="s">
        <v>43</v>
      </c>
      <c r="K143">
        <v>2</v>
      </c>
      <c r="L143">
        <v>3</v>
      </c>
      <c r="M143">
        <v>1</v>
      </c>
      <c r="N143">
        <v>4</v>
      </c>
      <c r="O143">
        <v>1</v>
      </c>
      <c r="P143">
        <v>2</v>
      </c>
      <c r="Q143">
        <v>2</v>
      </c>
      <c r="R143">
        <v>2</v>
      </c>
      <c r="S143">
        <v>1</v>
      </c>
      <c r="T143">
        <v>5</v>
      </c>
      <c r="U143" t="s">
        <v>37</v>
      </c>
      <c r="V143" t="s">
        <v>54</v>
      </c>
      <c r="W143" t="s">
        <v>47</v>
      </c>
      <c r="X143" t="s">
        <v>33</v>
      </c>
      <c r="Y143">
        <v>63</v>
      </c>
      <c r="Z143" s="1">
        <v>45346</v>
      </c>
      <c r="AA143" t="str" cm="1">
        <f t="array" ref="AA143">_xlfn.IFS(AND(Table2[[#This Row],[Guest_Age]]&gt;=18,Table2[[#This Row],[Guest_Age]]&lt;=25),"Young Adults",AND(Table2[[#This Row],[Guest_Age]]&gt;=26,Table2[[#This Row],[Guest_Age]]&lt;=35),"Adults",AND(Table2[[#This Row],[Guest_Age]]&gt;=36,Table2[[#This Row],[Guest_Age]]&lt;=50),"Middle Aged Adults",Table2[[#This Row],[Guest_Age]]&gt;50,"Senior")</f>
        <v>Senior</v>
      </c>
      <c r="AB1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43" t="str" cm="1">
        <f t="array" ref="AC143">_xlfn.IFS(Table2[[#This Row],[Satification_points]]&gt;=4.5,"GREAT",AND(Table2[[#This Row],[Satification_points]]&gt;=4,Table2[[#This Row],[Satification_points]]&lt;4.5),"GOOD",AND(Table2[[#This Row],[Satification_points]]&gt;=3,Table2[[#This Row],[Satification_points]]&lt;4),"AVERAGE",Table2[[#This Row],[Satification_points]]&lt;3,"POOR")</f>
        <v>POOR</v>
      </c>
    </row>
    <row r="144" spans="1:29" x14ac:dyDescent="0.3">
      <c r="A144">
        <v>143</v>
      </c>
      <c r="B144">
        <v>13612</v>
      </c>
      <c r="C144" t="s">
        <v>201</v>
      </c>
      <c r="D144" t="s">
        <v>26</v>
      </c>
      <c r="E144" t="s">
        <v>57</v>
      </c>
      <c r="F144" s="1">
        <v>45257</v>
      </c>
      <c r="G144" s="1">
        <v>45258</v>
      </c>
      <c r="H144">
        <v>14</v>
      </c>
      <c r="I144" t="s">
        <v>49</v>
      </c>
      <c r="J144" t="s">
        <v>29</v>
      </c>
      <c r="K144">
        <v>3</v>
      </c>
      <c r="L144">
        <v>3</v>
      </c>
      <c r="M144">
        <v>5</v>
      </c>
      <c r="N144">
        <v>5</v>
      </c>
      <c r="O144">
        <v>5</v>
      </c>
      <c r="P144">
        <v>5</v>
      </c>
      <c r="Q144">
        <v>2</v>
      </c>
      <c r="R144">
        <v>5</v>
      </c>
      <c r="S144">
        <v>3</v>
      </c>
      <c r="T144">
        <v>1</v>
      </c>
      <c r="U144" t="s">
        <v>30</v>
      </c>
      <c r="V144" t="s">
        <v>46</v>
      </c>
      <c r="W144" t="s">
        <v>47</v>
      </c>
      <c r="X144" t="s">
        <v>40</v>
      </c>
      <c r="Y144">
        <v>49</v>
      </c>
      <c r="Z144" s="1">
        <v>45258</v>
      </c>
      <c r="AA144" t="str" cm="1">
        <f t="array" ref="AA1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44" t="str" cm="1">
        <f t="array" ref="AC144">_xlfn.IFS(Table2[[#This Row],[Satification_points]]&gt;=4.5,"GREAT",AND(Table2[[#This Row],[Satification_points]]&gt;=4,Table2[[#This Row],[Satification_points]]&lt;4.5),"GOOD",AND(Table2[[#This Row],[Satification_points]]&gt;=3,Table2[[#This Row],[Satification_points]]&lt;4),"AVERAGE",Table2[[#This Row],[Satification_points]]&lt;3,"POOR")</f>
        <v>AVERAGE</v>
      </c>
    </row>
    <row r="145" spans="1:29" x14ac:dyDescent="0.3">
      <c r="A145">
        <v>144</v>
      </c>
      <c r="B145">
        <v>82598</v>
      </c>
      <c r="C145" t="s">
        <v>202</v>
      </c>
      <c r="D145" t="s">
        <v>51</v>
      </c>
      <c r="E145" t="s">
        <v>52</v>
      </c>
      <c r="F145" s="1">
        <v>45455</v>
      </c>
      <c r="G145" s="1">
        <v>45456</v>
      </c>
      <c r="H145">
        <v>9</v>
      </c>
      <c r="I145" t="s">
        <v>42</v>
      </c>
      <c r="J145" t="s">
        <v>40</v>
      </c>
      <c r="K145">
        <v>3</v>
      </c>
      <c r="L145">
        <v>4</v>
      </c>
      <c r="M145">
        <v>2</v>
      </c>
      <c r="N145">
        <v>5</v>
      </c>
      <c r="O145">
        <v>3</v>
      </c>
      <c r="P145">
        <v>5</v>
      </c>
      <c r="Q145">
        <v>5</v>
      </c>
      <c r="R145">
        <v>5</v>
      </c>
      <c r="S145">
        <v>3</v>
      </c>
      <c r="T145">
        <v>5</v>
      </c>
      <c r="U145" t="s">
        <v>37</v>
      </c>
      <c r="V145" t="s">
        <v>38</v>
      </c>
      <c r="W145" t="s">
        <v>47</v>
      </c>
      <c r="X145" t="s">
        <v>44</v>
      </c>
      <c r="Y145">
        <v>39</v>
      </c>
      <c r="Z145" s="1">
        <v>45456</v>
      </c>
      <c r="AA145" t="str" cm="1">
        <f t="array" ref="AA1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45" t="str" cm="1">
        <f t="array" ref="AC145">_xlfn.IFS(Table2[[#This Row],[Satification_points]]&gt;=4.5,"GREAT",AND(Table2[[#This Row],[Satification_points]]&gt;=4,Table2[[#This Row],[Satification_points]]&lt;4.5),"GOOD",AND(Table2[[#This Row],[Satification_points]]&gt;=3,Table2[[#This Row],[Satification_points]]&lt;4),"AVERAGE",Table2[[#This Row],[Satification_points]]&lt;3,"POOR")</f>
        <v>GOOD</v>
      </c>
    </row>
    <row r="146" spans="1:29" x14ac:dyDescent="0.3">
      <c r="A146">
        <v>145</v>
      </c>
      <c r="B146">
        <v>68192</v>
      </c>
      <c r="C146" t="s">
        <v>203</v>
      </c>
      <c r="D146" t="s">
        <v>48</v>
      </c>
      <c r="E146" t="s">
        <v>45</v>
      </c>
      <c r="F146" s="1">
        <v>45061</v>
      </c>
      <c r="G146" s="1">
        <v>45165</v>
      </c>
      <c r="H146">
        <v>6</v>
      </c>
      <c r="I146" t="s">
        <v>42</v>
      </c>
      <c r="J146" t="s">
        <v>43</v>
      </c>
      <c r="K146">
        <v>4</v>
      </c>
      <c r="L146">
        <v>2</v>
      </c>
      <c r="M146">
        <v>2</v>
      </c>
      <c r="N146">
        <v>3</v>
      </c>
      <c r="O146">
        <v>5</v>
      </c>
      <c r="P146">
        <v>2</v>
      </c>
      <c r="Q146">
        <v>4</v>
      </c>
      <c r="R146">
        <v>1</v>
      </c>
      <c r="S146">
        <v>2</v>
      </c>
      <c r="T146">
        <v>2</v>
      </c>
      <c r="U146" t="s">
        <v>37</v>
      </c>
      <c r="V146" t="s">
        <v>46</v>
      </c>
      <c r="W146" t="s">
        <v>56</v>
      </c>
      <c r="X146" t="s">
        <v>33</v>
      </c>
      <c r="Y146">
        <v>29</v>
      </c>
      <c r="Z146" s="1">
        <v>45652</v>
      </c>
      <c r="AA146" t="str" cm="1">
        <f t="array" ref="AA146">_xlfn.IFS(AND(Table2[[#This Row],[Guest_Age]]&gt;=18,Table2[[#This Row],[Guest_Age]]&lt;=25),"Young Adults",AND(Table2[[#This Row],[Guest_Age]]&gt;=26,Table2[[#This Row],[Guest_Age]]&lt;=35),"Adults",AND(Table2[[#This Row],[Guest_Age]]&gt;=36,Table2[[#This Row],[Guest_Age]]&lt;=50),"Middle Aged Adults",Table2[[#This Row],[Guest_Age]]&gt;50,"Senior")</f>
        <v>Adults</v>
      </c>
      <c r="AB1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6" t="str" cm="1">
        <f t="array" ref="AC146">_xlfn.IFS(Table2[[#This Row],[Satification_points]]&gt;=4.5,"GREAT",AND(Table2[[#This Row],[Satification_points]]&gt;=4,Table2[[#This Row],[Satification_points]]&lt;4.5),"GOOD",AND(Table2[[#This Row],[Satification_points]]&gt;=3,Table2[[#This Row],[Satification_points]]&lt;4),"AVERAGE",Table2[[#This Row],[Satification_points]]&lt;3,"POOR")</f>
        <v>POOR</v>
      </c>
    </row>
    <row r="147" spans="1:29" x14ac:dyDescent="0.3">
      <c r="A147">
        <v>146</v>
      </c>
      <c r="B147">
        <v>98240</v>
      </c>
      <c r="C147" t="s">
        <v>135</v>
      </c>
      <c r="D147" t="s">
        <v>41</v>
      </c>
      <c r="E147" t="s">
        <v>52</v>
      </c>
      <c r="F147" s="1">
        <v>45345</v>
      </c>
      <c r="G147" s="1">
        <v>45346</v>
      </c>
      <c r="H147">
        <v>12</v>
      </c>
      <c r="I147" t="s">
        <v>49</v>
      </c>
      <c r="J147" t="s">
        <v>53</v>
      </c>
      <c r="K147">
        <v>4</v>
      </c>
      <c r="L147">
        <v>3</v>
      </c>
      <c r="M147">
        <v>4</v>
      </c>
      <c r="N147">
        <v>3</v>
      </c>
      <c r="O147">
        <v>2</v>
      </c>
      <c r="P147">
        <v>3</v>
      </c>
      <c r="Q147">
        <v>2</v>
      </c>
      <c r="R147">
        <v>2</v>
      </c>
      <c r="S147">
        <v>2</v>
      </c>
      <c r="T147">
        <v>2</v>
      </c>
      <c r="U147" t="s">
        <v>30</v>
      </c>
      <c r="V147" t="s">
        <v>54</v>
      </c>
      <c r="W147" t="s">
        <v>39</v>
      </c>
      <c r="X147" t="s">
        <v>33</v>
      </c>
      <c r="Y147">
        <v>23</v>
      </c>
      <c r="Z147" s="1">
        <v>45346</v>
      </c>
      <c r="AA147" t="str" cm="1">
        <f t="array" ref="AA147">_xlfn.IFS(AND(Table2[[#This Row],[Guest_Age]]&gt;=18,Table2[[#This Row],[Guest_Age]]&lt;=25),"Young Adults",AND(Table2[[#This Row],[Guest_Age]]&gt;=26,Table2[[#This Row],[Guest_Age]]&lt;=35),"Adults",AND(Table2[[#This Row],[Guest_Age]]&gt;=36,Table2[[#This Row],[Guest_Age]]&lt;=50),"Middle Aged Adults",Table2[[#This Row],[Guest_Age]]&gt;50,"Senior")</f>
        <v>Young Adults</v>
      </c>
      <c r="AB1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7" t="str" cm="1">
        <f t="array" ref="AC147">_xlfn.IFS(Table2[[#This Row],[Satification_points]]&gt;=4.5,"GREAT",AND(Table2[[#This Row],[Satification_points]]&gt;=4,Table2[[#This Row],[Satification_points]]&lt;4.5),"GOOD",AND(Table2[[#This Row],[Satification_points]]&gt;=3,Table2[[#This Row],[Satification_points]]&lt;4),"AVERAGE",Table2[[#This Row],[Satification_points]]&lt;3,"POOR")</f>
        <v>POOR</v>
      </c>
    </row>
    <row r="148" spans="1:29" x14ac:dyDescent="0.3">
      <c r="A148">
        <v>147</v>
      </c>
      <c r="B148">
        <v>76998</v>
      </c>
      <c r="C148" t="s">
        <v>204</v>
      </c>
      <c r="D148" t="s">
        <v>48</v>
      </c>
      <c r="E148" t="s">
        <v>52</v>
      </c>
      <c r="F148" s="1">
        <v>45056</v>
      </c>
      <c r="G148" s="1">
        <v>45452</v>
      </c>
      <c r="H148">
        <v>4</v>
      </c>
      <c r="I148" t="s">
        <v>42</v>
      </c>
      <c r="J148" t="s">
        <v>29</v>
      </c>
      <c r="K148">
        <v>4</v>
      </c>
      <c r="L148">
        <v>4</v>
      </c>
      <c r="M148">
        <v>3</v>
      </c>
      <c r="N148">
        <v>4</v>
      </c>
      <c r="O148">
        <v>3</v>
      </c>
      <c r="P148">
        <v>1</v>
      </c>
      <c r="Q148">
        <v>4</v>
      </c>
      <c r="R148">
        <v>2</v>
      </c>
      <c r="S148">
        <v>2</v>
      </c>
      <c r="T148">
        <v>1</v>
      </c>
      <c r="U148" t="s">
        <v>30</v>
      </c>
      <c r="V148" t="s">
        <v>31</v>
      </c>
      <c r="W148" t="s">
        <v>39</v>
      </c>
      <c r="X148" t="s">
        <v>40</v>
      </c>
      <c r="Y148">
        <v>55</v>
      </c>
      <c r="Z148" s="1">
        <v>45452</v>
      </c>
      <c r="AA148" t="str" cm="1">
        <f t="array" ref="AA148">_xlfn.IFS(AND(Table2[[#This Row],[Guest_Age]]&gt;=18,Table2[[#This Row],[Guest_Age]]&lt;=25),"Young Adults",AND(Table2[[#This Row],[Guest_Age]]&gt;=26,Table2[[#This Row],[Guest_Age]]&lt;=35),"Adults",AND(Table2[[#This Row],[Guest_Age]]&gt;=36,Table2[[#This Row],[Guest_Age]]&lt;=50),"Middle Aged Adults",Table2[[#This Row],[Guest_Age]]&gt;50,"Senior")</f>
        <v>Senior</v>
      </c>
      <c r="AB1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8" t="str" cm="1">
        <f t="array" ref="AC148">_xlfn.IFS(Table2[[#This Row],[Satification_points]]&gt;=4.5,"GREAT",AND(Table2[[#This Row],[Satification_points]]&gt;=4,Table2[[#This Row],[Satification_points]]&lt;4.5),"GOOD",AND(Table2[[#This Row],[Satification_points]]&gt;=3,Table2[[#This Row],[Satification_points]]&lt;4),"AVERAGE",Table2[[#This Row],[Satification_points]]&lt;3,"POOR")</f>
        <v>POOR</v>
      </c>
    </row>
    <row r="149" spans="1:29" x14ac:dyDescent="0.3">
      <c r="A149">
        <v>148</v>
      </c>
      <c r="B149">
        <v>65114</v>
      </c>
      <c r="C149" t="s">
        <v>205</v>
      </c>
      <c r="D149" t="s">
        <v>51</v>
      </c>
      <c r="E149" t="s">
        <v>45</v>
      </c>
      <c r="F149" s="1">
        <v>45475</v>
      </c>
      <c r="G149" s="1">
        <v>45476</v>
      </c>
      <c r="H149">
        <v>1</v>
      </c>
      <c r="I149" t="s">
        <v>42</v>
      </c>
      <c r="J149" t="s">
        <v>43</v>
      </c>
      <c r="K149">
        <v>2</v>
      </c>
      <c r="L149">
        <v>1</v>
      </c>
      <c r="M149">
        <v>3</v>
      </c>
      <c r="N149">
        <v>1</v>
      </c>
      <c r="O149">
        <v>3</v>
      </c>
      <c r="P149">
        <v>2</v>
      </c>
      <c r="Q149">
        <v>1</v>
      </c>
      <c r="R149">
        <v>2</v>
      </c>
      <c r="S149">
        <v>1</v>
      </c>
      <c r="T149">
        <v>5</v>
      </c>
      <c r="U149" t="s">
        <v>30</v>
      </c>
      <c r="V149" t="s">
        <v>31</v>
      </c>
      <c r="W149" t="s">
        <v>55</v>
      </c>
      <c r="X149" t="s">
        <v>44</v>
      </c>
      <c r="Y149">
        <v>56</v>
      </c>
      <c r="Z149" s="1">
        <v>45489</v>
      </c>
      <c r="AA149" t="str" cm="1">
        <f t="array" ref="AA149">_xlfn.IFS(AND(Table2[[#This Row],[Guest_Age]]&gt;=18,Table2[[#This Row],[Guest_Age]]&lt;=25),"Young Adults",AND(Table2[[#This Row],[Guest_Age]]&gt;=26,Table2[[#This Row],[Guest_Age]]&lt;=35),"Adults",AND(Table2[[#This Row],[Guest_Age]]&gt;=36,Table2[[#This Row],[Guest_Age]]&lt;=50),"Middle Aged Adults",Table2[[#This Row],[Guest_Age]]&gt;50,"Senior")</f>
        <v>Senior</v>
      </c>
      <c r="AB1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49" t="str" cm="1">
        <f t="array" ref="AC149">_xlfn.IFS(Table2[[#This Row],[Satification_points]]&gt;=4.5,"GREAT",AND(Table2[[#This Row],[Satification_points]]&gt;=4,Table2[[#This Row],[Satification_points]]&lt;4.5),"GOOD",AND(Table2[[#This Row],[Satification_points]]&gt;=3,Table2[[#This Row],[Satification_points]]&lt;4),"AVERAGE",Table2[[#This Row],[Satification_points]]&lt;3,"POOR")</f>
        <v>POOR</v>
      </c>
    </row>
    <row r="150" spans="1:29" x14ac:dyDescent="0.3">
      <c r="A150">
        <v>149</v>
      </c>
      <c r="B150">
        <v>49579</v>
      </c>
      <c r="C150" t="s">
        <v>206</v>
      </c>
      <c r="D150" t="s">
        <v>51</v>
      </c>
      <c r="E150" t="s">
        <v>35</v>
      </c>
      <c r="F150" s="1">
        <v>45495</v>
      </c>
      <c r="G150" s="1">
        <v>45496</v>
      </c>
      <c r="H150">
        <v>9</v>
      </c>
      <c r="I150" t="s">
        <v>28</v>
      </c>
      <c r="J150" t="s">
        <v>36</v>
      </c>
      <c r="K150">
        <v>2</v>
      </c>
      <c r="L150">
        <v>2</v>
      </c>
      <c r="M150">
        <v>5</v>
      </c>
      <c r="N150">
        <v>4</v>
      </c>
      <c r="O150">
        <v>4</v>
      </c>
      <c r="P150">
        <v>1</v>
      </c>
      <c r="Q150">
        <v>4</v>
      </c>
      <c r="R150">
        <v>2</v>
      </c>
      <c r="S150">
        <v>5</v>
      </c>
      <c r="T150">
        <v>2</v>
      </c>
      <c r="U150" t="s">
        <v>30</v>
      </c>
      <c r="V150" t="s">
        <v>31</v>
      </c>
      <c r="W150" t="s">
        <v>55</v>
      </c>
      <c r="X150" t="s">
        <v>40</v>
      </c>
      <c r="Y150">
        <v>55</v>
      </c>
      <c r="Z150" s="1">
        <v>45496</v>
      </c>
      <c r="AA150" t="str" cm="1">
        <f t="array" ref="AA150">_xlfn.IFS(AND(Table2[[#This Row],[Guest_Age]]&gt;=18,Table2[[#This Row],[Guest_Age]]&lt;=25),"Young Adults",AND(Table2[[#This Row],[Guest_Age]]&gt;=26,Table2[[#This Row],[Guest_Age]]&lt;=35),"Adults",AND(Table2[[#This Row],[Guest_Age]]&gt;=36,Table2[[#This Row],[Guest_Age]]&lt;=50),"Middle Aged Adults",Table2[[#This Row],[Guest_Age]]&gt;50,"Senior")</f>
        <v>Senior</v>
      </c>
      <c r="AB1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0" t="str" cm="1">
        <f t="array" ref="AC150">_xlfn.IFS(Table2[[#This Row],[Satification_points]]&gt;=4.5,"GREAT",AND(Table2[[#This Row],[Satification_points]]&gt;=4,Table2[[#This Row],[Satification_points]]&lt;4.5),"GOOD",AND(Table2[[#This Row],[Satification_points]]&gt;=3,Table2[[#This Row],[Satification_points]]&lt;4),"AVERAGE",Table2[[#This Row],[Satification_points]]&lt;3,"POOR")</f>
        <v>AVERAGE</v>
      </c>
    </row>
    <row r="151" spans="1:29" x14ac:dyDescent="0.3">
      <c r="A151">
        <v>150</v>
      </c>
      <c r="B151">
        <v>38405</v>
      </c>
      <c r="C151" t="s">
        <v>207</v>
      </c>
      <c r="D151" t="s">
        <v>26</v>
      </c>
      <c r="E151" t="s">
        <v>35</v>
      </c>
      <c r="F151" s="1">
        <v>45283</v>
      </c>
      <c r="G151" s="1">
        <v>45408</v>
      </c>
      <c r="H151">
        <v>10</v>
      </c>
      <c r="I151" t="s">
        <v>49</v>
      </c>
      <c r="J151" t="s">
        <v>36</v>
      </c>
      <c r="K151">
        <v>3</v>
      </c>
      <c r="L151">
        <v>5</v>
      </c>
      <c r="M151">
        <v>4</v>
      </c>
      <c r="N151">
        <v>1</v>
      </c>
      <c r="O151">
        <v>2</v>
      </c>
      <c r="P151">
        <v>3</v>
      </c>
      <c r="Q151">
        <v>5</v>
      </c>
      <c r="R151">
        <v>1</v>
      </c>
      <c r="S151">
        <v>4</v>
      </c>
      <c r="T151">
        <v>3</v>
      </c>
      <c r="U151" t="s">
        <v>30</v>
      </c>
      <c r="V151" t="s">
        <v>46</v>
      </c>
      <c r="W151" t="s">
        <v>32</v>
      </c>
      <c r="X151" t="s">
        <v>40</v>
      </c>
      <c r="Y151">
        <v>58</v>
      </c>
      <c r="Z151" s="1">
        <v>45408</v>
      </c>
      <c r="AA151" t="str" cm="1">
        <f t="array" ref="AA151">_xlfn.IFS(AND(Table2[[#This Row],[Guest_Age]]&gt;=18,Table2[[#This Row],[Guest_Age]]&lt;=25),"Young Adults",AND(Table2[[#This Row],[Guest_Age]]&gt;=26,Table2[[#This Row],[Guest_Age]]&lt;=35),"Adults",AND(Table2[[#This Row],[Guest_Age]]&gt;=36,Table2[[#This Row],[Guest_Age]]&lt;=50),"Middle Aged Adults",Table2[[#This Row],[Guest_Age]]&gt;50,"Senior")</f>
        <v>Senior</v>
      </c>
      <c r="AB1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1" t="str" cm="1">
        <f t="array" ref="AC151">_xlfn.IFS(Table2[[#This Row],[Satification_points]]&gt;=4.5,"GREAT",AND(Table2[[#This Row],[Satification_points]]&gt;=4,Table2[[#This Row],[Satification_points]]&lt;4.5),"GOOD",AND(Table2[[#This Row],[Satification_points]]&gt;=3,Table2[[#This Row],[Satification_points]]&lt;4),"AVERAGE",Table2[[#This Row],[Satification_points]]&lt;3,"POOR")</f>
        <v>AVERAGE</v>
      </c>
    </row>
    <row r="152" spans="1:29" x14ac:dyDescent="0.3">
      <c r="A152">
        <v>151</v>
      </c>
      <c r="B152">
        <v>87510</v>
      </c>
      <c r="C152" t="s">
        <v>208</v>
      </c>
      <c r="D152" t="s">
        <v>41</v>
      </c>
      <c r="E152" t="s">
        <v>52</v>
      </c>
      <c r="F152" s="1">
        <v>45448</v>
      </c>
      <c r="G152" s="1">
        <v>45449</v>
      </c>
      <c r="H152">
        <v>3</v>
      </c>
      <c r="I152" t="s">
        <v>50</v>
      </c>
      <c r="J152" t="s">
        <v>29</v>
      </c>
      <c r="K152">
        <v>3</v>
      </c>
      <c r="L152">
        <v>2</v>
      </c>
      <c r="M152">
        <v>5</v>
      </c>
      <c r="N152">
        <v>2</v>
      </c>
      <c r="O152">
        <v>2</v>
      </c>
      <c r="P152">
        <v>2</v>
      </c>
      <c r="Q152">
        <v>5</v>
      </c>
      <c r="R152">
        <v>1</v>
      </c>
      <c r="S152">
        <v>5</v>
      </c>
      <c r="T152">
        <v>3</v>
      </c>
      <c r="U152" t="s">
        <v>30</v>
      </c>
      <c r="V152" t="s">
        <v>58</v>
      </c>
      <c r="W152" t="s">
        <v>39</v>
      </c>
      <c r="X152" t="s">
        <v>40</v>
      </c>
      <c r="Y152">
        <v>38</v>
      </c>
      <c r="Z152" s="1">
        <v>45579</v>
      </c>
      <c r="AA152" t="str" cm="1">
        <f t="array" ref="AA1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2" t="str" cm="1">
        <f t="array" ref="AC152">_xlfn.IFS(Table2[[#This Row],[Satification_points]]&gt;=4.5,"GREAT",AND(Table2[[#This Row],[Satification_points]]&gt;=4,Table2[[#This Row],[Satification_points]]&lt;4.5),"GOOD",AND(Table2[[#This Row],[Satification_points]]&gt;=3,Table2[[#This Row],[Satification_points]]&lt;4),"AVERAGE",Table2[[#This Row],[Satification_points]]&lt;3,"POOR")</f>
        <v>AVERAGE</v>
      </c>
    </row>
    <row r="153" spans="1:29" x14ac:dyDescent="0.3">
      <c r="A153">
        <v>152</v>
      </c>
      <c r="B153">
        <v>44924</v>
      </c>
      <c r="C153" t="s">
        <v>209</v>
      </c>
      <c r="D153" t="s">
        <v>34</v>
      </c>
      <c r="E153" t="s">
        <v>35</v>
      </c>
      <c r="F153" s="1">
        <v>45386</v>
      </c>
      <c r="G153" s="1">
        <v>45387</v>
      </c>
      <c r="H153">
        <v>6</v>
      </c>
      <c r="I153" t="s">
        <v>50</v>
      </c>
      <c r="J153" t="s">
        <v>40</v>
      </c>
      <c r="K153">
        <v>1</v>
      </c>
      <c r="L153">
        <v>3</v>
      </c>
      <c r="M153">
        <v>4</v>
      </c>
      <c r="N153">
        <v>5</v>
      </c>
      <c r="O153">
        <v>5</v>
      </c>
      <c r="P153">
        <v>2</v>
      </c>
      <c r="Q153">
        <v>3</v>
      </c>
      <c r="R153">
        <v>1</v>
      </c>
      <c r="S153">
        <v>3</v>
      </c>
      <c r="T153">
        <v>5</v>
      </c>
      <c r="U153" t="s">
        <v>30</v>
      </c>
      <c r="V153" t="s">
        <v>46</v>
      </c>
      <c r="W153" t="s">
        <v>56</v>
      </c>
      <c r="X153" t="s">
        <v>44</v>
      </c>
      <c r="Y153">
        <v>45</v>
      </c>
      <c r="Z153" s="1">
        <v>45387</v>
      </c>
      <c r="AA153" t="str" cm="1">
        <f t="array" ref="AA1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53" t="str" cm="1">
        <f t="array" ref="AC153">_xlfn.IFS(Table2[[#This Row],[Satification_points]]&gt;=4.5,"GREAT",AND(Table2[[#This Row],[Satification_points]]&gt;=4,Table2[[#This Row],[Satification_points]]&lt;4.5),"GOOD",AND(Table2[[#This Row],[Satification_points]]&gt;=3,Table2[[#This Row],[Satification_points]]&lt;4),"AVERAGE",Table2[[#This Row],[Satification_points]]&lt;3,"POOR")</f>
        <v>AVERAGE</v>
      </c>
    </row>
    <row r="154" spans="1:29" x14ac:dyDescent="0.3">
      <c r="A154">
        <v>153</v>
      </c>
      <c r="B154">
        <v>12919</v>
      </c>
      <c r="C154" t="s">
        <v>210</v>
      </c>
      <c r="D154" t="s">
        <v>48</v>
      </c>
      <c r="E154" t="s">
        <v>57</v>
      </c>
      <c r="F154" s="1">
        <v>45519</v>
      </c>
      <c r="G154" s="1">
        <v>45520</v>
      </c>
      <c r="H154">
        <v>1</v>
      </c>
      <c r="I154" t="s">
        <v>28</v>
      </c>
      <c r="J154" t="s">
        <v>36</v>
      </c>
      <c r="K154">
        <v>1</v>
      </c>
      <c r="L154">
        <v>5</v>
      </c>
      <c r="M154">
        <v>2</v>
      </c>
      <c r="N154">
        <v>2</v>
      </c>
      <c r="O154">
        <v>2</v>
      </c>
      <c r="P154">
        <v>2</v>
      </c>
      <c r="Q154">
        <v>1</v>
      </c>
      <c r="R154">
        <v>5</v>
      </c>
      <c r="S154">
        <v>1</v>
      </c>
      <c r="T154">
        <v>1</v>
      </c>
      <c r="U154" t="s">
        <v>30</v>
      </c>
      <c r="V154" t="s">
        <v>58</v>
      </c>
      <c r="W154" t="s">
        <v>39</v>
      </c>
      <c r="X154" t="s">
        <v>44</v>
      </c>
      <c r="Y154">
        <v>49</v>
      </c>
      <c r="Z154" s="1">
        <v>45520</v>
      </c>
      <c r="AA154" t="str" cm="1">
        <f t="array" ref="AA15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54" t="str" cm="1">
        <f t="array" ref="AC154">_xlfn.IFS(Table2[[#This Row],[Satification_points]]&gt;=4.5,"GREAT",AND(Table2[[#This Row],[Satification_points]]&gt;=4,Table2[[#This Row],[Satification_points]]&lt;4.5),"GOOD",AND(Table2[[#This Row],[Satification_points]]&gt;=3,Table2[[#This Row],[Satification_points]]&lt;4),"AVERAGE",Table2[[#This Row],[Satification_points]]&lt;3,"POOR")</f>
        <v>POOR</v>
      </c>
    </row>
    <row r="155" spans="1:29" x14ac:dyDescent="0.3">
      <c r="A155">
        <v>154</v>
      </c>
      <c r="B155">
        <v>97111</v>
      </c>
      <c r="C155" t="s">
        <v>211</v>
      </c>
      <c r="D155" t="s">
        <v>41</v>
      </c>
      <c r="E155" t="s">
        <v>57</v>
      </c>
      <c r="F155" s="1">
        <v>45528</v>
      </c>
      <c r="G155" s="1">
        <v>45570</v>
      </c>
      <c r="H155">
        <v>6</v>
      </c>
      <c r="I155" t="s">
        <v>42</v>
      </c>
      <c r="J155" t="s">
        <v>43</v>
      </c>
      <c r="K155">
        <v>2</v>
      </c>
      <c r="L155">
        <v>2</v>
      </c>
      <c r="M155">
        <v>3</v>
      </c>
      <c r="N155">
        <v>4</v>
      </c>
      <c r="O155">
        <v>3</v>
      </c>
      <c r="P155">
        <v>4</v>
      </c>
      <c r="Q155">
        <v>1</v>
      </c>
      <c r="R155">
        <v>2</v>
      </c>
      <c r="S155">
        <v>1</v>
      </c>
      <c r="T155">
        <v>2</v>
      </c>
      <c r="U155" t="s">
        <v>37</v>
      </c>
      <c r="V155" t="s">
        <v>46</v>
      </c>
      <c r="W155" t="s">
        <v>39</v>
      </c>
      <c r="X155" t="s">
        <v>44</v>
      </c>
      <c r="Y155">
        <v>44</v>
      </c>
      <c r="Z155" s="1">
        <v>45570</v>
      </c>
      <c r="AA155" t="str" cm="1">
        <f t="array" ref="AA15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55" t="str" cm="1">
        <f t="array" ref="AC155">_xlfn.IFS(Table2[[#This Row],[Satification_points]]&gt;=4.5,"GREAT",AND(Table2[[#This Row],[Satification_points]]&gt;=4,Table2[[#This Row],[Satification_points]]&lt;4.5),"GOOD",AND(Table2[[#This Row],[Satification_points]]&gt;=3,Table2[[#This Row],[Satification_points]]&lt;4),"AVERAGE",Table2[[#This Row],[Satification_points]]&lt;3,"POOR")</f>
        <v>POOR</v>
      </c>
    </row>
    <row r="156" spans="1:29" x14ac:dyDescent="0.3">
      <c r="A156">
        <v>155</v>
      </c>
      <c r="B156">
        <v>82168</v>
      </c>
      <c r="C156" t="s">
        <v>212</v>
      </c>
      <c r="D156" t="s">
        <v>34</v>
      </c>
      <c r="E156" t="s">
        <v>45</v>
      </c>
      <c r="F156" s="1">
        <v>45558</v>
      </c>
      <c r="G156" s="1">
        <v>45559</v>
      </c>
      <c r="H156">
        <v>3</v>
      </c>
      <c r="I156" t="s">
        <v>42</v>
      </c>
      <c r="J156" t="s">
        <v>53</v>
      </c>
      <c r="K156">
        <v>3</v>
      </c>
      <c r="L156">
        <v>5</v>
      </c>
      <c r="M156">
        <v>1</v>
      </c>
      <c r="N156">
        <v>1</v>
      </c>
      <c r="O156">
        <v>3</v>
      </c>
      <c r="P156">
        <v>2</v>
      </c>
      <c r="Q156">
        <v>4</v>
      </c>
      <c r="R156">
        <v>3</v>
      </c>
      <c r="S156">
        <v>4</v>
      </c>
      <c r="T156">
        <v>4</v>
      </c>
      <c r="U156" t="s">
        <v>30</v>
      </c>
      <c r="V156" t="s">
        <v>54</v>
      </c>
      <c r="W156" t="s">
        <v>55</v>
      </c>
      <c r="X156" t="s">
        <v>33</v>
      </c>
      <c r="Y156">
        <v>66</v>
      </c>
      <c r="Z156" s="1">
        <v>45591</v>
      </c>
      <c r="AA156" t="str" cm="1">
        <f t="array" ref="AA156">_xlfn.IFS(AND(Table2[[#This Row],[Guest_Age]]&gt;=18,Table2[[#This Row],[Guest_Age]]&lt;=25),"Young Adults",AND(Table2[[#This Row],[Guest_Age]]&gt;=26,Table2[[#This Row],[Guest_Age]]&lt;=35),"Adults",AND(Table2[[#This Row],[Guest_Age]]&gt;=36,Table2[[#This Row],[Guest_Age]]&lt;=50),"Middle Aged Adults",Table2[[#This Row],[Guest_Age]]&gt;50,"Senior")</f>
        <v>Senior</v>
      </c>
      <c r="AB1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6" t="str" cm="1">
        <f t="array" ref="AC156">_xlfn.IFS(Table2[[#This Row],[Satification_points]]&gt;=4.5,"GREAT",AND(Table2[[#This Row],[Satification_points]]&gt;=4,Table2[[#This Row],[Satification_points]]&lt;4.5),"GOOD",AND(Table2[[#This Row],[Satification_points]]&gt;=3,Table2[[#This Row],[Satification_points]]&lt;4),"AVERAGE",Table2[[#This Row],[Satification_points]]&lt;3,"POOR")</f>
        <v>AVERAGE</v>
      </c>
    </row>
    <row r="157" spans="1:29" x14ac:dyDescent="0.3">
      <c r="A157">
        <v>156</v>
      </c>
      <c r="B157">
        <v>84460</v>
      </c>
      <c r="C157" t="s">
        <v>213</v>
      </c>
      <c r="D157" t="s">
        <v>41</v>
      </c>
      <c r="E157" t="s">
        <v>52</v>
      </c>
      <c r="F157" s="1">
        <v>45540</v>
      </c>
      <c r="G157" s="1">
        <v>45541</v>
      </c>
      <c r="H157">
        <v>3</v>
      </c>
      <c r="I157" t="s">
        <v>28</v>
      </c>
      <c r="J157" t="s">
        <v>40</v>
      </c>
      <c r="K157">
        <v>2</v>
      </c>
      <c r="L157">
        <v>2</v>
      </c>
      <c r="M157">
        <v>3</v>
      </c>
      <c r="N157">
        <v>1</v>
      </c>
      <c r="O157">
        <v>5</v>
      </c>
      <c r="P157">
        <v>2</v>
      </c>
      <c r="Q157">
        <v>5</v>
      </c>
      <c r="R157">
        <v>4</v>
      </c>
      <c r="S157">
        <v>5</v>
      </c>
      <c r="T157">
        <v>4</v>
      </c>
      <c r="U157" t="s">
        <v>37</v>
      </c>
      <c r="V157" t="s">
        <v>46</v>
      </c>
      <c r="W157" t="s">
        <v>47</v>
      </c>
      <c r="X157" t="s">
        <v>33</v>
      </c>
      <c r="Y157">
        <v>66</v>
      </c>
      <c r="Z157" s="1">
        <v>45640</v>
      </c>
      <c r="AA157" t="str" cm="1">
        <f t="array" ref="AA157">_xlfn.IFS(AND(Table2[[#This Row],[Guest_Age]]&gt;=18,Table2[[#This Row],[Guest_Age]]&lt;=25),"Young Adults",AND(Table2[[#This Row],[Guest_Age]]&gt;=26,Table2[[#This Row],[Guest_Age]]&lt;=35),"Adults",AND(Table2[[#This Row],[Guest_Age]]&gt;=36,Table2[[#This Row],[Guest_Age]]&lt;=50),"Middle Aged Adults",Table2[[#This Row],[Guest_Age]]&gt;50,"Senior")</f>
        <v>Senior</v>
      </c>
      <c r="AB1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7" t="str" cm="1">
        <f t="array" ref="AC157">_xlfn.IFS(Table2[[#This Row],[Satification_points]]&gt;=4.5,"GREAT",AND(Table2[[#This Row],[Satification_points]]&gt;=4,Table2[[#This Row],[Satification_points]]&lt;4.5),"GOOD",AND(Table2[[#This Row],[Satification_points]]&gt;=3,Table2[[#This Row],[Satification_points]]&lt;4),"AVERAGE",Table2[[#This Row],[Satification_points]]&lt;3,"POOR")</f>
        <v>AVERAGE</v>
      </c>
    </row>
    <row r="158" spans="1:29" x14ac:dyDescent="0.3">
      <c r="A158">
        <v>157</v>
      </c>
      <c r="B158">
        <v>73768</v>
      </c>
      <c r="C158" t="s">
        <v>214</v>
      </c>
      <c r="D158" t="s">
        <v>48</v>
      </c>
      <c r="E158" t="s">
        <v>57</v>
      </c>
      <c r="F158" s="1">
        <v>45421</v>
      </c>
      <c r="G158" s="1">
        <v>45560</v>
      </c>
      <c r="H158">
        <v>11</v>
      </c>
      <c r="I158" t="s">
        <v>28</v>
      </c>
      <c r="J158" t="s">
        <v>29</v>
      </c>
      <c r="K158">
        <v>5</v>
      </c>
      <c r="L158">
        <v>1</v>
      </c>
      <c r="M158">
        <v>4</v>
      </c>
      <c r="N158">
        <v>2</v>
      </c>
      <c r="O158">
        <v>3</v>
      </c>
      <c r="P158">
        <v>3</v>
      </c>
      <c r="Q158">
        <v>5</v>
      </c>
      <c r="R158">
        <v>1</v>
      </c>
      <c r="S158">
        <v>3</v>
      </c>
      <c r="T158">
        <v>2</v>
      </c>
      <c r="U158" t="s">
        <v>30</v>
      </c>
      <c r="V158" t="s">
        <v>46</v>
      </c>
      <c r="W158" t="s">
        <v>47</v>
      </c>
      <c r="X158" t="s">
        <v>33</v>
      </c>
      <c r="Y158">
        <v>32</v>
      </c>
      <c r="Z158" s="1">
        <v>45560</v>
      </c>
      <c r="AA158" t="str" cm="1">
        <f t="array" ref="AA158">_xlfn.IFS(AND(Table2[[#This Row],[Guest_Age]]&gt;=18,Table2[[#This Row],[Guest_Age]]&lt;=25),"Young Adults",AND(Table2[[#This Row],[Guest_Age]]&gt;=26,Table2[[#This Row],[Guest_Age]]&lt;=35),"Adults",AND(Table2[[#This Row],[Guest_Age]]&gt;=36,Table2[[#This Row],[Guest_Age]]&lt;=50),"Middle Aged Adults",Table2[[#This Row],[Guest_Age]]&gt;50,"Senior")</f>
        <v>Adults</v>
      </c>
      <c r="AB1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8" t="str" cm="1">
        <f t="array" ref="AC158">_xlfn.IFS(Table2[[#This Row],[Satification_points]]&gt;=4.5,"GREAT",AND(Table2[[#This Row],[Satification_points]]&gt;=4,Table2[[#This Row],[Satification_points]]&lt;4.5),"GOOD",AND(Table2[[#This Row],[Satification_points]]&gt;=3,Table2[[#This Row],[Satification_points]]&lt;4),"AVERAGE",Table2[[#This Row],[Satification_points]]&lt;3,"POOR")</f>
        <v>POOR</v>
      </c>
    </row>
    <row r="159" spans="1:29" x14ac:dyDescent="0.3">
      <c r="A159">
        <v>158</v>
      </c>
      <c r="B159">
        <v>53910</v>
      </c>
      <c r="C159" t="s">
        <v>215</v>
      </c>
      <c r="D159" t="s">
        <v>48</v>
      </c>
      <c r="E159" t="s">
        <v>27</v>
      </c>
      <c r="F159" s="1">
        <v>45465</v>
      </c>
      <c r="G159" s="1">
        <v>45466</v>
      </c>
      <c r="H159">
        <v>7</v>
      </c>
      <c r="I159" t="s">
        <v>42</v>
      </c>
      <c r="J159" t="s">
        <v>36</v>
      </c>
      <c r="K159">
        <v>1</v>
      </c>
      <c r="L159">
        <v>1</v>
      </c>
      <c r="M159">
        <v>3</v>
      </c>
      <c r="N159">
        <v>3</v>
      </c>
      <c r="O159">
        <v>5</v>
      </c>
      <c r="P159">
        <v>3</v>
      </c>
      <c r="Q159">
        <v>5</v>
      </c>
      <c r="R159">
        <v>1</v>
      </c>
      <c r="S159">
        <v>4</v>
      </c>
      <c r="T159">
        <v>5</v>
      </c>
      <c r="U159" t="s">
        <v>30</v>
      </c>
      <c r="V159" t="s">
        <v>38</v>
      </c>
      <c r="W159" t="s">
        <v>39</v>
      </c>
      <c r="X159" t="s">
        <v>44</v>
      </c>
      <c r="Y159">
        <v>50</v>
      </c>
      <c r="Z159" s="1">
        <v>45513</v>
      </c>
      <c r="AA159" t="str" cm="1">
        <f t="array" ref="AA15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9" t="str" cm="1">
        <f t="array" ref="AC159">_xlfn.IFS(Table2[[#This Row],[Satification_points]]&gt;=4.5,"GREAT",AND(Table2[[#This Row],[Satification_points]]&gt;=4,Table2[[#This Row],[Satification_points]]&lt;4.5),"GOOD",AND(Table2[[#This Row],[Satification_points]]&gt;=3,Table2[[#This Row],[Satification_points]]&lt;4),"AVERAGE",Table2[[#This Row],[Satification_points]]&lt;3,"POOR")</f>
        <v>AVERAGE</v>
      </c>
    </row>
    <row r="160" spans="1:29" x14ac:dyDescent="0.3">
      <c r="A160">
        <v>159</v>
      </c>
      <c r="B160">
        <v>44005</v>
      </c>
      <c r="C160" t="s">
        <v>216</v>
      </c>
      <c r="D160" t="s">
        <v>26</v>
      </c>
      <c r="E160" t="s">
        <v>35</v>
      </c>
      <c r="F160" s="1">
        <v>45187</v>
      </c>
      <c r="G160" s="1">
        <v>45455</v>
      </c>
      <c r="H160">
        <v>11</v>
      </c>
      <c r="I160" t="s">
        <v>49</v>
      </c>
      <c r="J160" t="s">
        <v>40</v>
      </c>
      <c r="K160">
        <v>4</v>
      </c>
      <c r="L160">
        <v>1</v>
      </c>
      <c r="M160">
        <v>1</v>
      </c>
      <c r="N160">
        <v>3</v>
      </c>
      <c r="O160">
        <v>4</v>
      </c>
      <c r="P160">
        <v>4</v>
      </c>
      <c r="Q160">
        <v>1</v>
      </c>
      <c r="R160">
        <v>5</v>
      </c>
      <c r="S160">
        <v>1</v>
      </c>
      <c r="T160">
        <v>3</v>
      </c>
      <c r="U160" t="s">
        <v>30</v>
      </c>
      <c r="V160" t="s">
        <v>31</v>
      </c>
      <c r="W160" t="s">
        <v>39</v>
      </c>
      <c r="X160" t="s">
        <v>40</v>
      </c>
      <c r="Y160">
        <v>49</v>
      </c>
      <c r="Z160" s="1">
        <v>45516</v>
      </c>
      <c r="AA160" t="str" cm="1">
        <f t="array" ref="AA16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0" t="str" cm="1">
        <f t="array" ref="AC160">_xlfn.IFS(Table2[[#This Row],[Satification_points]]&gt;=4.5,"GREAT",AND(Table2[[#This Row],[Satification_points]]&gt;=4,Table2[[#This Row],[Satification_points]]&lt;4.5),"GOOD",AND(Table2[[#This Row],[Satification_points]]&gt;=3,Table2[[#This Row],[Satification_points]]&lt;4),"AVERAGE",Table2[[#This Row],[Satification_points]]&lt;3,"POOR")</f>
        <v>POOR</v>
      </c>
    </row>
    <row r="161" spans="1:29" x14ac:dyDescent="0.3">
      <c r="A161">
        <v>160</v>
      </c>
      <c r="B161">
        <v>93400</v>
      </c>
      <c r="C161" t="s">
        <v>217</v>
      </c>
      <c r="D161" t="s">
        <v>51</v>
      </c>
      <c r="E161" t="s">
        <v>52</v>
      </c>
      <c r="F161" s="1">
        <v>45499</v>
      </c>
      <c r="G161" s="1">
        <v>45500</v>
      </c>
      <c r="H161">
        <v>9</v>
      </c>
      <c r="I161" t="s">
        <v>28</v>
      </c>
      <c r="J161" t="s">
        <v>53</v>
      </c>
      <c r="K161">
        <v>2</v>
      </c>
      <c r="L161">
        <v>2</v>
      </c>
      <c r="M161">
        <v>2</v>
      </c>
      <c r="N161">
        <v>2</v>
      </c>
      <c r="O161">
        <v>2</v>
      </c>
      <c r="P161">
        <v>2</v>
      </c>
      <c r="Q161">
        <v>5</v>
      </c>
      <c r="R161">
        <v>5</v>
      </c>
      <c r="S161">
        <v>4</v>
      </c>
      <c r="T161">
        <v>3</v>
      </c>
      <c r="U161" t="s">
        <v>30</v>
      </c>
      <c r="V161" t="s">
        <v>31</v>
      </c>
      <c r="W161" t="s">
        <v>39</v>
      </c>
      <c r="X161" t="s">
        <v>40</v>
      </c>
      <c r="Y161">
        <v>63</v>
      </c>
      <c r="Z161" s="1">
        <v>45536</v>
      </c>
      <c r="AA161" t="str" cm="1">
        <f t="array" ref="AA161">_xlfn.IFS(AND(Table2[[#This Row],[Guest_Age]]&gt;=18,Table2[[#This Row],[Guest_Age]]&lt;=25),"Young Adults",AND(Table2[[#This Row],[Guest_Age]]&gt;=26,Table2[[#This Row],[Guest_Age]]&lt;=35),"Adults",AND(Table2[[#This Row],[Guest_Age]]&gt;=36,Table2[[#This Row],[Guest_Age]]&lt;=50),"Middle Aged Adults",Table2[[#This Row],[Guest_Age]]&gt;50,"Senior")</f>
        <v>Senior</v>
      </c>
      <c r="AB1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1" t="str" cm="1">
        <f t="array" ref="AC161">_xlfn.IFS(Table2[[#This Row],[Satification_points]]&gt;=4.5,"GREAT",AND(Table2[[#This Row],[Satification_points]]&gt;=4,Table2[[#This Row],[Satification_points]]&lt;4.5),"GOOD",AND(Table2[[#This Row],[Satification_points]]&gt;=3,Table2[[#This Row],[Satification_points]]&lt;4),"AVERAGE",Table2[[#This Row],[Satification_points]]&lt;3,"POOR")</f>
        <v>POOR</v>
      </c>
    </row>
    <row r="162" spans="1:29" x14ac:dyDescent="0.3">
      <c r="A162">
        <v>161</v>
      </c>
      <c r="B162">
        <v>20657</v>
      </c>
      <c r="C162" t="s">
        <v>218</v>
      </c>
      <c r="D162" t="s">
        <v>51</v>
      </c>
      <c r="E162" t="s">
        <v>57</v>
      </c>
      <c r="F162" s="1">
        <v>45062</v>
      </c>
      <c r="G162" s="1">
        <v>45379</v>
      </c>
      <c r="H162">
        <v>6</v>
      </c>
      <c r="I162" t="s">
        <v>49</v>
      </c>
      <c r="J162" t="s">
        <v>40</v>
      </c>
      <c r="K162">
        <v>5</v>
      </c>
      <c r="L162">
        <v>5</v>
      </c>
      <c r="M162">
        <v>2</v>
      </c>
      <c r="N162">
        <v>3</v>
      </c>
      <c r="O162">
        <v>2</v>
      </c>
      <c r="P162">
        <v>5</v>
      </c>
      <c r="Q162">
        <v>3</v>
      </c>
      <c r="R162">
        <v>4</v>
      </c>
      <c r="S162">
        <v>2</v>
      </c>
      <c r="T162">
        <v>2</v>
      </c>
      <c r="U162" t="s">
        <v>30</v>
      </c>
      <c r="V162" t="s">
        <v>31</v>
      </c>
      <c r="W162" t="s">
        <v>39</v>
      </c>
      <c r="X162" t="s">
        <v>33</v>
      </c>
      <c r="Y162">
        <v>51</v>
      </c>
      <c r="Z162" s="1">
        <v>45379</v>
      </c>
      <c r="AA162" t="str" cm="1">
        <f t="array" ref="AA162">_xlfn.IFS(AND(Table2[[#This Row],[Guest_Age]]&gt;=18,Table2[[#This Row],[Guest_Age]]&lt;=25),"Young Adults",AND(Table2[[#This Row],[Guest_Age]]&gt;=26,Table2[[#This Row],[Guest_Age]]&lt;=35),"Adults",AND(Table2[[#This Row],[Guest_Age]]&gt;=36,Table2[[#This Row],[Guest_Age]]&lt;=50),"Middle Aged Adults",Table2[[#This Row],[Guest_Age]]&gt;50,"Senior")</f>
        <v>Senior</v>
      </c>
      <c r="AB1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2" t="str" cm="1">
        <f t="array" ref="AC162">_xlfn.IFS(Table2[[#This Row],[Satification_points]]&gt;=4.5,"GREAT",AND(Table2[[#This Row],[Satification_points]]&gt;=4,Table2[[#This Row],[Satification_points]]&lt;4.5),"GOOD",AND(Table2[[#This Row],[Satification_points]]&gt;=3,Table2[[#This Row],[Satification_points]]&lt;4),"AVERAGE",Table2[[#This Row],[Satification_points]]&lt;3,"POOR")</f>
        <v>AVERAGE</v>
      </c>
    </row>
    <row r="163" spans="1:29" x14ac:dyDescent="0.3">
      <c r="A163">
        <v>162</v>
      </c>
      <c r="B163">
        <v>28394</v>
      </c>
      <c r="C163" t="s">
        <v>219</v>
      </c>
      <c r="D163" t="s">
        <v>51</v>
      </c>
      <c r="E163" t="s">
        <v>45</v>
      </c>
      <c r="F163" s="1">
        <v>45535</v>
      </c>
      <c r="G163" s="1">
        <v>45536</v>
      </c>
      <c r="H163">
        <v>12</v>
      </c>
      <c r="I163" t="s">
        <v>50</v>
      </c>
      <c r="J163" t="s">
        <v>40</v>
      </c>
      <c r="K163">
        <v>4</v>
      </c>
      <c r="L163">
        <v>1</v>
      </c>
      <c r="M163">
        <v>4</v>
      </c>
      <c r="N163">
        <v>1</v>
      </c>
      <c r="O163">
        <v>2</v>
      </c>
      <c r="P163">
        <v>1</v>
      </c>
      <c r="Q163">
        <v>2</v>
      </c>
      <c r="R163">
        <v>5</v>
      </c>
      <c r="S163">
        <v>5</v>
      </c>
      <c r="T163">
        <v>3</v>
      </c>
      <c r="U163" t="s">
        <v>30</v>
      </c>
      <c r="V163" t="s">
        <v>58</v>
      </c>
      <c r="W163" t="s">
        <v>55</v>
      </c>
      <c r="X163" t="s">
        <v>40</v>
      </c>
      <c r="Y163">
        <v>69</v>
      </c>
      <c r="Z163" s="1">
        <v>45536</v>
      </c>
      <c r="AA163" t="str" cm="1">
        <f t="array" ref="AA163">_xlfn.IFS(AND(Table2[[#This Row],[Guest_Age]]&gt;=18,Table2[[#This Row],[Guest_Age]]&lt;=25),"Young Adults",AND(Table2[[#This Row],[Guest_Age]]&gt;=26,Table2[[#This Row],[Guest_Age]]&lt;=35),"Adults",AND(Table2[[#This Row],[Guest_Age]]&gt;=36,Table2[[#This Row],[Guest_Age]]&lt;=50),"Middle Aged Adults",Table2[[#This Row],[Guest_Age]]&gt;50,"Senior")</f>
        <v>Senior</v>
      </c>
      <c r="AB1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3" t="str" cm="1">
        <f t="array" ref="AC163">_xlfn.IFS(Table2[[#This Row],[Satification_points]]&gt;=4.5,"GREAT",AND(Table2[[#This Row],[Satification_points]]&gt;=4,Table2[[#This Row],[Satification_points]]&lt;4.5),"GOOD",AND(Table2[[#This Row],[Satification_points]]&gt;=3,Table2[[#This Row],[Satification_points]]&lt;4),"AVERAGE",Table2[[#This Row],[Satification_points]]&lt;3,"POOR")</f>
        <v>POOR</v>
      </c>
    </row>
    <row r="164" spans="1:29" x14ac:dyDescent="0.3">
      <c r="A164">
        <v>163</v>
      </c>
      <c r="B164">
        <v>82433</v>
      </c>
      <c r="C164" t="s">
        <v>220</v>
      </c>
      <c r="D164" t="s">
        <v>26</v>
      </c>
      <c r="E164" t="s">
        <v>57</v>
      </c>
      <c r="F164" s="1">
        <v>45587</v>
      </c>
      <c r="G164" s="1">
        <v>45588</v>
      </c>
      <c r="H164">
        <v>14</v>
      </c>
      <c r="I164" t="s">
        <v>42</v>
      </c>
      <c r="J164" t="s">
        <v>29</v>
      </c>
      <c r="K164">
        <v>5</v>
      </c>
      <c r="L164">
        <v>4</v>
      </c>
      <c r="M164">
        <v>3</v>
      </c>
      <c r="N164">
        <v>4</v>
      </c>
      <c r="O164">
        <v>4</v>
      </c>
      <c r="P164">
        <v>2</v>
      </c>
      <c r="Q164">
        <v>5</v>
      </c>
      <c r="R164">
        <v>1</v>
      </c>
      <c r="S164">
        <v>3</v>
      </c>
      <c r="T164">
        <v>2</v>
      </c>
      <c r="U164" t="s">
        <v>37</v>
      </c>
      <c r="V164" t="s">
        <v>54</v>
      </c>
      <c r="W164" t="s">
        <v>39</v>
      </c>
      <c r="X164" t="s">
        <v>33</v>
      </c>
      <c r="Y164">
        <v>24</v>
      </c>
      <c r="Z164" s="1">
        <v>45588</v>
      </c>
      <c r="AA164" t="str" cm="1">
        <f t="array" ref="AA164">_xlfn.IFS(AND(Table2[[#This Row],[Guest_Age]]&gt;=18,Table2[[#This Row],[Guest_Age]]&lt;=25),"Young Adults",AND(Table2[[#This Row],[Guest_Age]]&gt;=26,Table2[[#This Row],[Guest_Age]]&lt;=35),"Adults",AND(Table2[[#This Row],[Guest_Age]]&gt;=36,Table2[[#This Row],[Guest_Age]]&lt;=50),"Middle Aged Adults",Table2[[#This Row],[Guest_Age]]&gt;50,"Senior")</f>
        <v>Young Adults</v>
      </c>
      <c r="AB1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4" t="str" cm="1">
        <f t="array" ref="AC164">_xlfn.IFS(Table2[[#This Row],[Satification_points]]&gt;=4.5,"GREAT",AND(Table2[[#This Row],[Satification_points]]&gt;=4,Table2[[#This Row],[Satification_points]]&lt;4.5),"GOOD",AND(Table2[[#This Row],[Satification_points]]&gt;=3,Table2[[#This Row],[Satification_points]]&lt;4),"AVERAGE",Table2[[#This Row],[Satification_points]]&lt;3,"POOR")</f>
        <v>AVERAGE</v>
      </c>
    </row>
    <row r="165" spans="1:29" x14ac:dyDescent="0.3">
      <c r="A165">
        <v>164</v>
      </c>
      <c r="B165">
        <v>48397</v>
      </c>
      <c r="C165" t="s">
        <v>221</v>
      </c>
      <c r="D165" t="s">
        <v>51</v>
      </c>
      <c r="E165" t="s">
        <v>27</v>
      </c>
      <c r="F165" s="1">
        <v>45153</v>
      </c>
      <c r="G165" s="1">
        <v>45154</v>
      </c>
      <c r="H165">
        <v>14</v>
      </c>
      <c r="I165" t="s">
        <v>49</v>
      </c>
      <c r="J165" t="s">
        <v>53</v>
      </c>
      <c r="K165">
        <v>3</v>
      </c>
      <c r="L165">
        <v>4</v>
      </c>
      <c r="M165">
        <v>4</v>
      </c>
      <c r="N165">
        <v>3</v>
      </c>
      <c r="O165">
        <v>2</v>
      </c>
      <c r="P165">
        <v>4</v>
      </c>
      <c r="Q165">
        <v>3</v>
      </c>
      <c r="R165">
        <v>2</v>
      </c>
      <c r="S165">
        <v>2</v>
      </c>
      <c r="T165">
        <v>1</v>
      </c>
      <c r="U165" t="s">
        <v>30</v>
      </c>
      <c r="V165" t="s">
        <v>58</v>
      </c>
      <c r="W165" t="s">
        <v>39</v>
      </c>
      <c r="X165" t="s">
        <v>40</v>
      </c>
      <c r="Y165">
        <v>30</v>
      </c>
      <c r="Z165" s="1">
        <v>45290</v>
      </c>
      <c r="AA165" t="str" cm="1">
        <f t="array" ref="AA165">_xlfn.IFS(AND(Table2[[#This Row],[Guest_Age]]&gt;=18,Table2[[#This Row],[Guest_Age]]&lt;=25),"Young Adults",AND(Table2[[#This Row],[Guest_Age]]&gt;=26,Table2[[#This Row],[Guest_Age]]&lt;=35),"Adults",AND(Table2[[#This Row],[Guest_Age]]&gt;=36,Table2[[#This Row],[Guest_Age]]&lt;=50),"Middle Aged Adults",Table2[[#This Row],[Guest_Age]]&gt;50,"Senior")</f>
        <v>Adults</v>
      </c>
      <c r="AB1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5" t="str" cm="1">
        <f t="array" ref="AC165">_xlfn.IFS(Table2[[#This Row],[Satification_points]]&gt;=4.5,"GREAT",AND(Table2[[#This Row],[Satification_points]]&gt;=4,Table2[[#This Row],[Satification_points]]&lt;4.5),"GOOD",AND(Table2[[#This Row],[Satification_points]]&gt;=3,Table2[[#This Row],[Satification_points]]&lt;4),"AVERAGE",Table2[[#This Row],[Satification_points]]&lt;3,"POOR")</f>
        <v>POOR</v>
      </c>
    </row>
    <row r="166" spans="1:29" x14ac:dyDescent="0.3">
      <c r="A166">
        <v>165</v>
      </c>
      <c r="B166">
        <v>33874</v>
      </c>
      <c r="C166" t="s">
        <v>222</v>
      </c>
      <c r="D166" t="s">
        <v>41</v>
      </c>
      <c r="E166" t="s">
        <v>57</v>
      </c>
      <c r="F166" s="1">
        <v>45154</v>
      </c>
      <c r="G166" s="1">
        <v>45437</v>
      </c>
      <c r="H166">
        <v>1</v>
      </c>
      <c r="I166" t="s">
        <v>49</v>
      </c>
      <c r="J166" t="s">
        <v>53</v>
      </c>
      <c r="K166">
        <v>3</v>
      </c>
      <c r="L166">
        <v>1</v>
      </c>
      <c r="M166">
        <v>3</v>
      </c>
      <c r="N166">
        <v>1</v>
      </c>
      <c r="O166">
        <v>4</v>
      </c>
      <c r="P166">
        <v>5</v>
      </c>
      <c r="Q166">
        <v>3</v>
      </c>
      <c r="R166">
        <v>2</v>
      </c>
      <c r="S166">
        <v>5</v>
      </c>
      <c r="T166">
        <v>3</v>
      </c>
      <c r="U166" t="s">
        <v>30</v>
      </c>
      <c r="V166" t="s">
        <v>38</v>
      </c>
      <c r="W166" t="s">
        <v>32</v>
      </c>
      <c r="X166" t="s">
        <v>44</v>
      </c>
      <c r="Y166">
        <v>56</v>
      </c>
      <c r="Z166" s="1">
        <v>45437</v>
      </c>
      <c r="AA166" t="str" cm="1">
        <f t="array" ref="AA166">_xlfn.IFS(AND(Table2[[#This Row],[Guest_Age]]&gt;=18,Table2[[#This Row],[Guest_Age]]&lt;=25),"Young Adults",AND(Table2[[#This Row],[Guest_Age]]&gt;=26,Table2[[#This Row],[Guest_Age]]&lt;=35),"Adults",AND(Table2[[#This Row],[Guest_Age]]&gt;=36,Table2[[#This Row],[Guest_Age]]&lt;=50),"Middle Aged Adults",Table2[[#This Row],[Guest_Age]]&gt;50,"Senior")</f>
        <v>Senior</v>
      </c>
      <c r="AB1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6" t="str" cm="1">
        <f t="array" ref="AC166">_xlfn.IFS(Table2[[#This Row],[Satification_points]]&gt;=4.5,"GREAT",AND(Table2[[#This Row],[Satification_points]]&gt;=4,Table2[[#This Row],[Satification_points]]&lt;4.5),"GOOD",AND(Table2[[#This Row],[Satification_points]]&gt;=3,Table2[[#This Row],[Satification_points]]&lt;4),"AVERAGE",Table2[[#This Row],[Satification_points]]&lt;3,"POOR")</f>
        <v>AVERAGE</v>
      </c>
    </row>
    <row r="167" spans="1:29" x14ac:dyDescent="0.3">
      <c r="A167">
        <v>166</v>
      </c>
      <c r="B167">
        <v>39873</v>
      </c>
      <c r="C167" t="s">
        <v>223</v>
      </c>
      <c r="D167" t="s">
        <v>51</v>
      </c>
      <c r="E167" t="s">
        <v>52</v>
      </c>
      <c r="F167" s="1">
        <v>45184</v>
      </c>
      <c r="G167" s="1">
        <v>45590</v>
      </c>
      <c r="H167">
        <v>9</v>
      </c>
      <c r="I167" t="s">
        <v>42</v>
      </c>
      <c r="J167" t="s">
        <v>40</v>
      </c>
      <c r="K167">
        <v>3</v>
      </c>
      <c r="L167">
        <v>1</v>
      </c>
      <c r="M167">
        <v>5</v>
      </c>
      <c r="N167">
        <v>4</v>
      </c>
      <c r="O167">
        <v>4</v>
      </c>
      <c r="P167">
        <v>3</v>
      </c>
      <c r="Q167">
        <v>2</v>
      </c>
      <c r="R167">
        <v>5</v>
      </c>
      <c r="S167">
        <v>2</v>
      </c>
      <c r="T167">
        <v>5</v>
      </c>
      <c r="U167" t="s">
        <v>37</v>
      </c>
      <c r="V167" t="s">
        <v>38</v>
      </c>
      <c r="W167" t="s">
        <v>32</v>
      </c>
      <c r="X167" t="s">
        <v>33</v>
      </c>
      <c r="Y167">
        <v>67</v>
      </c>
      <c r="Z167" s="1">
        <v>45590</v>
      </c>
      <c r="AA167" t="str" cm="1">
        <f t="array" ref="AA167">_xlfn.IFS(AND(Table2[[#This Row],[Guest_Age]]&gt;=18,Table2[[#This Row],[Guest_Age]]&lt;=25),"Young Adults",AND(Table2[[#This Row],[Guest_Age]]&gt;=26,Table2[[#This Row],[Guest_Age]]&lt;=35),"Adults",AND(Table2[[#This Row],[Guest_Age]]&gt;=36,Table2[[#This Row],[Guest_Age]]&lt;=50),"Middle Aged Adults",Table2[[#This Row],[Guest_Age]]&gt;50,"Senior")</f>
        <v>Senior</v>
      </c>
      <c r="AB1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67" t="str" cm="1">
        <f t="array" ref="AC167">_xlfn.IFS(Table2[[#This Row],[Satification_points]]&gt;=4.5,"GREAT",AND(Table2[[#This Row],[Satification_points]]&gt;=4,Table2[[#This Row],[Satification_points]]&lt;4.5),"GOOD",AND(Table2[[#This Row],[Satification_points]]&gt;=3,Table2[[#This Row],[Satification_points]]&lt;4),"AVERAGE",Table2[[#This Row],[Satification_points]]&lt;3,"POOR")</f>
        <v>AVERAGE</v>
      </c>
    </row>
    <row r="168" spans="1:29" x14ac:dyDescent="0.3">
      <c r="A168">
        <v>167</v>
      </c>
      <c r="B168">
        <v>94655</v>
      </c>
      <c r="C168" t="s">
        <v>224</v>
      </c>
      <c r="D168" t="s">
        <v>51</v>
      </c>
      <c r="E168" t="s">
        <v>45</v>
      </c>
      <c r="F168" s="1">
        <v>45340</v>
      </c>
      <c r="G168" s="1">
        <v>45482</v>
      </c>
      <c r="H168">
        <v>13</v>
      </c>
      <c r="I168" t="s">
        <v>42</v>
      </c>
      <c r="J168" t="s">
        <v>36</v>
      </c>
      <c r="K168">
        <v>4</v>
      </c>
      <c r="L168">
        <v>3</v>
      </c>
      <c r="M168">
        <v>4</v>
      </c>
      <c r="N168">
        <v>1</v>
      </c>
      <c r="O168">
        <v>5</v>
      </c>
      <c r="P168">
        <v>1</v>
      </c>
      <c r="Q168">
        <v>1</v>
      </c>
      <c r="R168">
        <v>4</v>
      </c>
      <c r="S168">
        <v>4</v>
      </c>
      <c r="T168">
        <v>3</v>
      </c>
      <c r="U168" t="s">
        <v>37</v>
      </c>
      <c r="V168" t="s">
        <v>46</v>
      </c>
      <c r="W168" t="s">
        <v>39</v>
      </c>
      <c r="X168" t="s">
        <v>33</v>
      </c>
      <c r="Y168">
        <v>23</v>
      </c>
      <c r="Z168" s="1">
        <v>45482</v>
      </c>
      <c r="AA168" t="str" cm="1">
        <f t="array" ref="AA168">_xlfn.IFS(AND(Table2[[#This Row],[Guest_Age]]&gt;=18,Table2[[#This Row],[Guest_Age]]&lt;=25),"Young Adults",AND(Table2[[#This Row],[Guest_Age]]&gt;=26,Table2[[#This Row],[Guest_Age]]&lt;=35),"Adults",AND(Table2[[#This Row],[Guest_Age]]&gt;=36,Table2[[#This Row],[Guest_Age]]&lt;=50),"Middle Aged Adults",Table2[[#This Row],[Guest_Age]]&gt;50,"Senior")</f>
        <v>Young Adults</v>
      </c>
      <c r="AB1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8" t="str" cm="1">
        <f t="array" ref="AC168">_xlfn.IFS(Table2[[#This Row],[Satification_points]]&gt;=4.5,"GREAT",AND(Table2[[#This Row],[Satification_points]]&gt;=4,Table2[[#This Row],[Satification_points]]&lt;4.5),"GOOD",AND(Table2[[#This Row],[Satification_points]]&gt;=3,Table2[[#This Row],[Satification_points]]&lt;4),"AVERAGE",Table2[[#This Row],[Satification_points]]&lt;3,"POOR")</f>
        <v>AVERAGE</v>
      </c>
    </row>
    <row r="169" spans="1:29" x14ac:dyDescent="0.3">
      <c r="A169">
        <v>168</v>
      </c>
      <c r="B169">
        <v>33670</v>
      </c>
      <c r="C169" t="s">
        <v>225</v>
      </c>
      <c r="D169" t="s">
        <v>48</v>
      </c>
      <c r="E169" t="s">
        <v>45</v>
      </c>
      <c r="F169" s="1">
        <v>45146</v>
      </c>
      <c r="G169" s="1">
        <v>45227</v>
      </c>
      <c r="H169">
        <v>5</v>
      </c>
      <c r="I169" t="s">
        <v>50</v>
      </c>
      <c r="J169" t="s">
        <v>40</v>
      </c>
      <c r="K169">
        <v>4</v>
      </c>
      <c r="L169">
        <v>4</v>
      </c>
      <c r="M169">
        <v>3</v>
      </c>
      <c r="N169">
        <v>5</v>
      </c>
      <c r="O169">
        <v>1</v>
      </c>
      <c r="P169">
        <v>4</v>
      </c>
      <c r="Q169">
        <v>5</v>
      </c>
      <c r="R169">
        <v>2</v>
      </c>
      <c r="S169">
        <v>3</v>
      </c>
      <c r="T169">
        <v>2</v>
      </c>
      <c r="U169" t="s">
        <v>30</v>
      </c>
      <c r="V169" t="s">
        <v>38</v>
      </c>
      <c r="W169" t="s">
        <v>47</v>
      </c>
      <c r="X169" t="s">
        <v>40</v>
      </c>
      <c r="Y169">
        <v>68</v>
      </c>
      <c r="Z169" s="1">
        <v>45538</v>
      </c>
      <c r="AA169" t="str" cm="1">
        <f t="array" ref="AA169">_xlfn.IFS(AND(Table2[[#This Row],[Guest_Age]]&gt;=18,Table2[[#This Row],[Guest_Age]]&lt;=25),"Young Adults",AND(Table2[[#This Row],[Guest_Age]]&gt;=26,Table2[[#This Row],[Guest_Age]]&lt;=35),"Adults",AND(Table2[[#This Row],[Guest_Age]]&gt;=36,Table2[[#This Row],[Guest_Age]]&lt;=50),"Middle Aged Adults",Table2[[#This Row],[Guest_Age]]&gt;50,"Senior")</f>
        <v>Senior</v>
      </c>
      <c r="AB1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9" t="str" cm="1">
        <f t="array" ref="AC169">_xlfn.IFS(Table2[[#This Row],[Satification_points]]&gt;=4.5,"GREAT",AND(Table2[[#This Row],[Satification_points]]&gt;=4,Table2[[#This Row],[Satification_points]]&lt;4.5),"GOOD",AND(Table2[[#This Row],[Satification_points]]&gt;=3,Table2[[#This Row],[Satification_points]]&lt;4),"AVERAGE",Table2[[#This Row],[Satification_points]]&lt;3,"POOR")</f>
        <v>AVERAGE</v>
      </c>
    </row>
    <row r="170" spans="1:29" x14ac:dyDescent="0.3">
      <c r="A170">
        <v>169</v>
      </c>
      <c r="B170">
        <v>20951</v>
      </c>
      <c r="C170" t="s">
        <v>226</v>
      </c>
      <c r="D170" t="s">
        <v>26</v>
      </c>
      <c r="E170" t="s">
        <v>27</v>
      </c>
      <c r="F170" s="1">
        <v>45162</v>
      </c>
      <c r="G170" s="1">
        <v>45557</v>
      </c>
      <c r="H170">
        <v>2</v>
      </c>
      <c r="I170" t="s">
        <v>42</v>
      </c>
      <c r="J170" t="s">
        <v>43</v>
      </c>
      <c r="K170">
        <v>3</v>
      </c>
      <c r="L170">
        <v>4</v>
      </c>
      <c r="M170">
        <v>5</v>
      </c>
      <c r="N170">
        <v>4</v>
      </c>
      <c r="O170">
        <v>1</v>
      </c>
      <c r="P170">
        <v>3</v>
      </c>
      <c r="Q170">
        <v>3</v>
      </c>
      <c r="R170">
        <v>1</v>
      </c>
      <c r="S170">
        <v>4</v>
      </c>
      <c r="T170">
        <v>4</v>
      </c>
      <c r="U170" t="s">
        <v>37</v>
      </c>
      <c r="V170" t="s">
        <v>38</v>
      </c>
      <c r="W170" t="s">
        <v>56</v>
      </c>
      <c r="X170" t="s">
        <v>44</v>
      </c>
      <c r="Y170">
        <v>26</v>
      </c>
      <c r="Z170" s="1">
        <v>45557</v>
      </c>
      <c r="AA170" t="str" cm="1">
        <f t="array" ref="AA170">_xlfn.IFS(AND(Table2[[#This Row],[Guest_Age]]&gt;=18,Table2[[#This Row],[Guest_Age]]&lt;=25),"Young Adults",AND(Table2[[#This Row],[Guest_Age]]&gt;=26,Table2[[#This Row],[Guest_Age]]&lt;=35),"Adults",AND(Table2[[#This Row],[Guest_Age]]&gt;=36,Table2[[#This Row],[Guest_Age]]&lt;=50),"Middle Aged Adults",Table2[[#This Row],[Guest_Age]]&gt;50,"Senior")</f>
        <v>Adults</v>
      </c>
      <c r="AB1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0" t="str" cm="1">
        <f t="array" ref="AC170">_xlfn.IFS(Table2[[#This Row],[Satification_points]]&gt;=4.5,"GREAT",AND(Table2[[#This Row],[Satification_points]]&gt;=4,Table2[[#This Row],[Satification_points]]&lt;4.5),"GOOD",AND(Table2[[#This Row],[Satification_points]]&gt;=3,Table2[[#This Row],[Satification_points]]&lt;4),"AVERAGE",Table2[[#This Row],[Satification_points]]&lt;3,"POOR")</f>
        <v>AVERAGE</v>
      </c>
    </row>
    <row r="171" spans="1:29" x14ac:dyDescent="0.3">
      <c r="A171">
        <v>170</v>
      </c>
      <c r="B171">
        <v>74069</v>
      </c>
      <c r="C171" t="s">
        <v>227</v>
      </c>
      <c r="D171" t="s">
        <v>26</v>
      </c>
      <c r="E171" t="s">
        <v>52</v>
      </c>
      <c r="F171" s="1">
        <v>44946</v>
      </c>
      <c r="G171" s="1">
        <v>45206</v>
      </c>
      <c r="H171">
        <v>3</v>
      </c>
      <c r="I171" t="s">
        <v>49</v>
      </c>
      <c r="J171" t="s">
        <v>36</v>
      </c>
      <c r="K171">
        <v>4</v>
      </c>
      <c r="L171">
        <v>1</v>
      </c>
      <c r="M171">
        <v>4</v>
      </c>
      <c r="N171">
        <v>5</v>
      </c>
      <c r="O171">
        <v>5</v>
      </c>
      <c r="P171">
        <v>2</v>
      </c>
      <c r="Q171">
        <v>3</v>
      </c>
      <c r="R171">
        <v>2</v>
      </c>
      <c r="S171">
        <v>4</v>
      </c>
      <c r="T171">
        <v>3</v>
      </c>
      <c r="U171" t="s">
        <v>37</v>
      </c>
      <c r="V171" t="s">
        <v>54</v>
      </c>
      <c r="W171" t="s">
        <v>32</v>
      </c>
      <c r="X171" t="s">
        <v>44</v>
      </c>
      <c r="Y171">
        <v>59</v>
      </c>
      <c r="Z171" s="1">
        <v>45467</v>
      </c>
      <c r="AA171" t="str" cm="1">
        <f t="array" ref="AA171">_xlfn.IFS(AND(Table2[[#This Row],[Guest_Age]]&gt;=18,Table2[[#This Row],[Guest_Age]]&lt;=25),"Young Adults",AND(Table2[[#This Row],[Guest_Age]]&gt;=26,Table2[[#This Row],[Guest_Age]]&lt;=35),"Adults",AND(Table2[[#This Row],[Guest_Age]]&gt;=36,Table2[[#This Row],[Guest_Age]]&lt;=50),"Middle Aged Adults",Table2[[#This Row],[Guest_Age]]&gt;50,"Senior")</f>
        <v>Senior</v>
      </c>
      <c r="AB1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1" t="str" cm="1">
        <f t="array" ref="AC171">_xlfn.IFS(Table2[[#This Row],[Satification_points]]&gt;=4.5,"GREAT",AND(Table2[[#This Row],[Satification_points]]&gt;=4,Table2[[#This Row],[Satification_points]]&lt;4.5),"GOOD",AND(Table2[[#This Row],[Satification_points]]&gt;=3,Table2[[#This Row],[Satification_points]]&lt;4),"AVERAGE",Table2[[#This Row],[Satification_points]]&lt;3,"POOR")</f>
        <v>AVERAGE</v>
      </c>
    </row>
    <row r="172" spans="1:29" x14ac:dyDescent="0.3">
      <c r="A172">
        <v>171</v>
      </c>
      <c r="B172">
        <v>65352</v>
      </c>
      <c r="C172" t="s">
        <v>228</v>
      </c>
      <c r="D172" t="s">
        <v>51</v>
      </c>
      <c r="E172" t="s">
        <v>27</v>
      </c>
      <c r="F172" s="1">
        <v>45350</v>
      </c>
      <c r="G172" s="1">
        <v>45351</v>
      </c>
      <c r="H172">
        <v>11</v>
      </c>
      <c r="I172" t="s">
        <v>28</v>
      </c>
      <c r="J172" t="s">
        <v>29</v>
      </c>
      <c r="K172">
        <v>3</v>
      </c>
      <c r="L172">
        <v>3</v>
      </c>
      <c r="M172">
        <v>2</v>
      </c>
      <c r="N172">
        <v>3</v>
      </c>
      <c r="O172">
        <v>5</v>
      </c>
      <c r="P172">
        <v>4</v>
      </c>
      <c r="Q172">
        <v>2</v>
      </c>
      <c r="R172">
        <v>4</v>
      </c>
      <c r="S172">
        <v>5</v>
      </c>
      <c r="T172">
        <v>2</v>
      </c>
      <c r="U172" t="s">
        <v>30</v>
      </c>
      <c r="V172" t="s">
        <v>38</v>
      </c>
      <c r="W172" t="s">
        <v>39</v>
      </c>
      <c r="X172" t="s">
        <v>44</v>
      </c>
      <c r="Y172">
        <v>21</v>
      </c>
      <c r="Z172" s="1">
        <v>45397</v>
      </c>
      <c r="AA172" t="str" cm="1">
        <f t="array" ref="AA172">_xlfn.IFS(AND(Table2[[#This Row],[Guest_Age]]&gt;=18,Table2[[#This Row],[Guest_Age]]&lt;=25),"Young Adults",AND(Table2[[#This Row],[Guest_Age]]&gt;=26,Table2[[#This Row],[Guest_Age]]&lt;=35),"Adults",AND(Table2[[#This Row],[Guest_Age]]&gt;=36,Table2[[#This Row],[Guest_Age]]&lt;=50),"Middle Aged Adults",Table2[[#This Row],[Guest_Age]]&gt;50,"Senior")</f>
        <v>Young Adults</v>
      </c>
      <c r="AB1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2" t="str" cm="1">
        <f t="array" ref="AC172">_xlfn.IFS(Table2[[#This Row],[Satification_points]]&gt;=4.5,"GREAT",AND(Table2[[#This Row],[Satification_points]]&gt;=4,Table2[[#This Row],[Satification_points]]&lt;4.5),"GOOD",AND(Table2[[#This Row],[Satification_points]]&gt;=3,Table2[[#This Row],[Satification_points]]&lt;4),"AVERAGE",Table2[[#This Row],[Satification_points]]&lt;3,"POOR")</f>
        <v>AVERAGE</v>
      </c>
    </row>
    <row r="173" spans="1:29" x14ac:dyDescent="0.3">
      <c r="A173">
        <v>172</v>
      </c>
      <c r="B173">
        <v>25768</v>
      </c>
      <c r="C173" t="s">
        <v>229</v>
      </c>
      <c r="D173" t="s">
        <v>34</v>
      </c>
      <c r="E173" t="s">
        <v>27</v>
      </c>
      <c r="F173" s="1">
        <v>45339</v>
      </c>
      <c r="G173" s="1">
        <v>45667</v>
      </c>
      <c r="H173">
        <v>5</v>
      </c>
      <c r="I173" t="s">
        <v>42</v>
      </c>
      <c r="J173" t="s">
        <v>53</v>
      </c>
      <c r="K173">
        <v>2</v>
      </c>
      <c r="L173">
        <v>5</v>
      </c>
      <c r="M173">
        <v>5</v>
      </c>
      <c r="N173">
        <v>3</v>
      </c>
      <c r="O173">
        <v>5</v>
      </c>
      <c r="P173">
        <v>2</v>
      </c>
      <c r="Q173">
        <v>3</v>
      </c>
      <c r="R173">
        <v>5</v>
      </c>
      <c r="S173">
        <v>3</v>
      </c>
      <c r="T173">
        <v>3</v>
      </c>
      <c r="U173" t="s">
        <v>37</v>
      </c>
      <c r="V173" t="s">
        <v>46</v>
      </c>
      <c r="W173" t="s">
        <v>32</v>
      </c>
      <c r="X173" t="s">
        <v>44</v>
      </c>
      <c r="Y173">
        <v>47</v>
      </c>
      <c r="Z173" s="1">
        <v>45667</v>
      </c>
      <c r="AA173" t="str" cm="1">
        <f t="array" ref="AA17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3" t="str" cm="1">
        <f t="array" ref="AC173">_xlfn.IFS(Table2[[#This Row],[Satification_points]]&gt;=4.5,"GREAT",AND(Table2[[#This Row],[Satification_points]]&gt;=4,Table2[[#This Row],[Satification_points]]&lt;4.5),"GOOD",AND(Table2[[#This Row],[Satification_points]]&gt;=3,Table2[[#This Row],[Satification_points]]&lt;4),"AVERAGE",Table2[[#This Row],[Satification_points]]&lt;3,"POOR")</f>
        <v>AVERAGE</v>
      </c>
    </row>
    <row r="174" spans="1:29" x14ac:dyDescent="0.3">
      <c r="A174">
        <v>173</v>
      </c>
      <c r="B174">
        <v>76113</v>
      </c>
      <c r="C174" t="s">
        <v>230</v>
      </c>
      <c r="D174" t="s">
        <v>48</v>
      </c>
      <c r="E174" t="s">
        <v>27</v>
      </c>
      <c r="F174" s="1">
        <v>45315</v>
      </c>
      <c r="G174" s="1">
        <v>45316</v>
      </c>
      <c r="H174">
        <v>12</v>
      </c>
      <c r="I174" t="s">
        <v>42</v>
      </c>
      <c r="J174" t="s">
        <v>36</v>
      </c>
      <c r="K174">
        <v>3</v>
      </c>
      <c r="L174">
        <v>3</v>
      </c>
      <c r="M174">
        <v>4</v>
      </c>
      <c r="N174">
        <v>1</v>
      </c>
      <c r="O174">
        <v>2</v>
      </c>
      <c r="P174">
        <v>4</v>
      </c>
      <c r="Q174">
        <v>5</v>
      </c>
      <c r="R174">
        <v>3</v>
      </c>
      <c r="S174">
        <v>3</v>
      </c>
      <c r="T174">
        <v>3</v>
      </c>
      <c r="U174" t="s">
        <v>37</v>
      </c>
      <c r="V174" t="s">
        <v>31</v>
      </c>
      <c r="W174" t="s">
        <v>39</v>
      </c>
      <c r="X174" t="s">
        <v>33</v>
      </c>
      <c r="Y174">
        <v>45</v>
      </c>
      <c r="Z174" s="1">
        <v>45316</v>
      </c>
      <c r="AA174" t="str" cm="1">
        <f t="array" ref="AA17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4" t="str" cm="1">
        <f t="array" ref="AC174">_xlfn.IFS(Table2[[#This Row],[Satification_points]]&gt;=4.5,"GREAT",AND(Table2[[#This Row],[Satification_points]]&gt;=4,Table2[[#This Row],[Satification_points]]&lt;4.5),"GOOD",AND(Table2[[#This Row],[Satification_points]]&gt;=3,Table2[[#This Row],[Satification_points]]&lt;4),"AVERAGE",Table2[[#This Row],[Satification_points]]&lt;3,"POOR")</f>
        <v>AVERAGE</v>
      </c>
    </row>
    <row r="175" spans="1:29" x14ac:dyDescent="0.3">
      <c r="A175">
        <v>174</v>
      </c>
      <c r="B175">
        <v>34463</v>
      </c>
      <c r="C175" t="s">
        <v>231</v>
      </c>
      <c r="D175" t="s">
        <v>51</v>
      </c>
      <c r="E175" t="s">
        <v>57</v>
      </c>
      <c r="F175" s="1">
        <v>45271</v>
      </c>
      <c r="G175" s="1">
        <v>45272</v>
      </c>
      <c r="H175">
        <v>2</v>
      </c>
      <c r="I175" t="s">
        <v>28</v>
      </c>
      <c r="J175" t="s">
        <v>29</v>
      </c>
      <c r="K175">
        <v>1</v>
      </c>
      <c r="L175">
        <v>3</v>
      </c>
      <c r="M175">
        <v>1</v>
      </c>
      <c r="N175">
        <v>2</v>
      </c>
      <c r="O175">
        <v>3</v>
      </c>
      <c r="P175">
        <v>4</v>
      </c>
      <c r="Q175">
        <v>1</v>
      </c>
      <c r="R175">
        <v>2</v>
      </c>
      <c r="S175">
        <v>4</v>
      </c>
      <c r="T175">
        <v>3</v>
      </c>
      <c r="U175" t="s">
        <v>30</v>
      </c>
      <c r="V175" t="s">
        <v>58</v>
      </c>
      <c r="W175" t="s">
        <v>47</v>
      </c>
      <c r="X175" t="s">
        <v>44</v>
      </c>
      <c r="Y175">
        <v>38</v>
      </c>
      <c r="Z175" s="1">
        <v>45606</v>
      </c>
      <c r="AA175" t="str" cm="1">
        <f t="array" ref="AA17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5" t="str" cm="1">
        <f t="array" ref="AC175">_xlfn.IFS(Table2[[#This Row],[Satification_points]]&gt;=4.5,"GREAT",AND(Table2[[#This Row],[Satification_points]]&gt;=4,Table2[[#This Row],[Satification_points]]&lt;4.5),"GOOD",AND(Table2[[#This Row],[Satification_points]]&gt;=3,Table2[[#This Row],[Satification_points]]&lt;4),"AVERAGE",Table2[[#This Row],[Satification_points]]&lt;3,"POOR")</f>
        <v>POOR</v>
      </c>
    </row>
    <row r="176" spans="1:29" x14ac:dyDescent="0.3">
      <c r="A176">
        <v>175</v>
      </c>
      <c r="B176">
        <v>88905</v>
      </c>
      <c r="C176" t="s">
        <v>232</v>
      </c>
      <c r="D176" t="s">
        <v>34</v>
      </c>
      <c r="E176" t="s">
        <v>35</v>
      </c>
      <c r="F176" s="1">
        <v>45576</v>
      </c>
      <c r="G176" s="1">
        <v>45577</v>
      </c>
      <c r="H176">
        <v>14</v>
      </c>
      <c r="I176" t="s">
        <v>42</v>
      </c>
      <c r="J176" t="s">
        <v>40</v>
      </c>
      <c r="K176">
        <v>2</v>
      </c>
      <c r="L176">
        <v>4</v>
      </c>
      <c r="M176">
        <v>2</v>
      </c>
      <c r="N176">
        <v>1</v>
      </c>
      <c r="O176">
        <v>5</v>
      </c>
      <c r="P176">
        <v>2</v>
      </c>
      <c r="Q176">
        <v>3</v>
      </c>
      <c r="R176">
        <v>1</v>
      </c>
      <c r="S176">
        <v>3</v>
      </c>
      <c r="T176">
        <v>4</v>
      </c>
      <c r="U176" t="s">
        <v>30</v>
      </c>
      <c r="V176" t="s">
        <v>58</v>
      </c>
      <c r="W176" t="s">
        <v>47</v>
      </c>
      <c r="X176" t="s">
        <v>40</v>
      </c>
      <c r="Y176">
        <v>29</v>
      </c>
      <c r="Z176" s="1">
        <v>45600</v>
      </c>
      <c r="AA176" t="str" cm="1">
        <f t="array" ref="AA176">_xlfn.IFS(AND(Table2[[#This Row],[Guest_Age]]&gt;=18,Table2[[#This Row],[Guest_Age]]&lt;=25),"Young Adults",AND(Table2[[#This Row],[Guest_Age]]&gt;=26,Table2[[#This Row],[Guest_Age]]&lt;=35),"Adults",AND(Table2[[#This Row],[Guest_Age]]&gt;=36,Table2[[#This Row],[Guest_Age]]&lt;=50),"Middle Aged Adults",Table2[[#This Row],[Guest_Age]]&gt;50,"Senior")</f>
        <v>Adults</v>
      </c>
      <c r="AB1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6" t="str" cm="1">
        <f t="array" ref="AC176">_xlfn.IFS(Table2[[#This Row],[Satification_points]]&gt;=4.5,"GREAT",AND(Table2[[#This Row],[Satification_points]]&gt;=4,Table2[[#This Row],[Satification_points]]&lt;4.5),"GOOD",AND(Table2[[#This Row],[Satification_points]]&gt;=3,Table2[[#This Row],[Satification_points]]&lt;4),"AVERAGE",Table2[[#This Row],[Satification_points]]&lt;3,"POOR")</f>
        <v>POOR</v>
      </c>
    </row>
    <row r="177" spans="1:29" x14ac:dyDescent="0.3">
      <c r="A177">
        <v>176</v>
      </c>
      <c r="B177">
        <v>40836</v>
      </c>
      <c r="C177" t="s">
        <v>233</v>
      </c>
      <c r="D177" t="s">
        <v>41</v>
      </c>
      <c r="E177" t="s">
        <v>57</v>
      </c>
      <c r="F177" s="1">
        <v>45393</v>
      </c>
      <c r="G177" s="1">
        <v>45394</v>
      </c>
      <c r="H177">
        <v>12</v>
      </c>
      <c r="I177" t="s">
        <v>42</v>
      </c>
      <c r="J177" t="s">
        <v>29</v>
      </c>
      <c r="K177">
        <v>3</v>
      </c>
      <c r="L177">
        <v>1</v>
      </c>
      <c r="M177">
        <v>5</v>
      </c>
      <c r="N177">
        <v>5</v>
      </c>
      <c r="O177">
        <v>4</v>
      </c>
      <c r="P177">
        <v>4</v>
      </c>
      <c r="Q177">
        <v>1</v>
      </c>
      <c r="R177">
        <v>4</v>
      </c>
      <c r="S177">
        <v>1</v>
      </c>
      <c r="T177">
        <v>2</v>
      </c>
      <c r="U177" t="s">
        <v>37</v>
      </c>
      <c r="V177" t="s">
        <v>58</v>
      </c>
      <c r="W177" t="s">
        <v>32</v>
      </c>
      <c r="X177" t="s">
        <v>33</v>
      </c>
      <c r="Y177">
        <v>30</v>
      </c>
      <c r="Z177" s="1">
        <v>45436</v>
      </c>
      <c r="AA177" t="str" cm="1">
        <f t="array" ref="AA177">_xlfn.IFS(AND(Table2[[#This Row],[Guest_Age]]&gt;=18,Table2[[#This Row],[Guest_Age]]&lt;=25),"Young Adults",AND(Table2[[#This Row],[Guest_Age]]&gt;=26,Table2[[#This Row],[Guest_Age]]&lt;=35),"Adults",AND(Table2[[#This Row],[Guest_Age]]&gt;=36,Table2[[#This Row],[Guest_Age]]&lt;=50),"Middle Aged Adults",Table2[[#This Row],[Guest_Age]]&gt;50,"Senior")</f>
        <v>Adults</v>
      </c>
      <c r="AB1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7" t="str" cm="1">
        <f t="array" ref="AC177">_xlfn.IFS(Table2[[#This Row],[Satification_points]]&gt;=4.5,"GREAT",AND(Table2[[#This Row],[Satification_points]]&gt;=4,Table2[[#This Row],[Satification_points]]&lt;4.5),"GOOD",AND(Table2[[#This Row],[Satification_points]]&gt;=3,Table2[[#This Row],[Satification_points]]&lt;4),"AVERAGE",Table2[[#This Row],[Satification_points]]&lt;3,"POOR")</f>
        <v>AVERAGE</v>
      </c>
    </row>
    <row r="178" spans="1:29" x14ac:dyDescent="0.3">
      <c r="A178">
        <v>177</v>
      </c>
      <c r="B178">
        <v>21688</v>
      </c>
      <c r="C178" t="s">
        <v>234</v>
      </c>
      <c r="D178" t="s">
        <v>48</v>
      </c>
      <c r="E178" t="s">
        <v>52</v>
      </c>
      <c r="F178" s="1">
        <v>45115</v>
      </c>
      <c r="G178" s="1">
        <v>45116</v>
      </c>
      <c r="H178">
        <v>13</v>
      </c>
      <c r="I178" t="s">
        <v>28</v>
      </c>
      <c r="J178" t="s">
        <v>43</v>
      </c>
      <c r="K178">
        <v>1</v>
      </c>
      <c r="L178">
        <v>1</v>
      </c>
      <c r="M178">
        <v>3</v>
      </c>
      <c r="N178">
        <v>4</v>
      </c>
      <c r="O178">
        <v>1</v>
      </c>
      <c r="P178">
        <v>3</v>
      </c>
      <c r="Q178">
        <v>3</v>
      </c>
      <c r="R178">
        <v>2</v>
      </c>
      <c r="S178">
        <v>3</v>
      </c>
      <c r="T178">
        <v>1</v>
      </c>
      <c r="U178" t="s">
        <v>37</v>
      </c>
      <c r="V178" t="s">
        <v>46</v>
      </c>
      <c r="W178" t="s">
        <v>56</v>
      </c>
      <c r="X178" t="s">
        <v>40</v>
      </c>
      <c r="Y178">
        <v>67</v>
      </c>
      <c r="Z178" s="1">
        <v>45517</v>
      </c>
      <c r="AA178" t="str" cm="1">
        <f t="array" ref="AA178">_xlfn.IFS(AND(Table2[[#This Row],[Guest_Age]]&gt;=18,Table2[[#This Row],[Guest_Age]]&lt;=25),"Young Adults",AND(Table2[[#This Row],[Guest_Age]]&gt;=26,Table2[[#This Row],[Guest_Age]]&lt;=35),"Adults",AND(Table2[[#This Row],[Guest_Age]]&gt;=36,Table2[[#This Row],[Guest_Age]]&lt;=50),"Middle Aged Adults",Table2[[#This Row],[Guest_Age]]&gt;50,"Senior")</f>
        <v>Senior</v>
      </c>
      <c r="AB1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78" t="str" cm="1">
        <f t="array" ref="AC178">_xlfn.IFS(Table2[[#This Row],[Satification_points]]&gt;=4.5,"GREAT",AND(Table2[[#This Row],[Satification_points]]&gt;=4,Table2[[#This Row],[Satification_points]]&lt;4.5),"GOOD",AND(Table2[[#This Row],[Satification_points]]&gt;=3,Table2[[#This Row],[Satification_points]]&lt;4),"AVERAGE",Table2[[#This Row],[Satification_points]]&lt;3,"POOR")</f>
        <v>POOR</v>
      </c>
    </row>
    <row r="179" spans="1:29" x14ac:dyDescent="0.3">
      <c r="A179">
        <v>178</v>
      </c>
      <c r="B179">
        <v>27202</v>
      </c>
      <c r="C179" t="s">
        <v>235</v>
      </c>
      <c r="D179" t="s">
        <v>26</v>
      </c>
      <c r="E179" t="s">
        <v>27</v>
      </c>
      <c r="F179" s="1">
        <v>45543</v>
      </c>
      <c r="G179" s="1">
        <v>45544</v>
      </c>
      <c r="H179">
        <v>14</v>
      </c>
      <c r="I179" t="s">
        <v>49</v>
      </c>
      <c r="J179" t="s">
        <v>29</v>
      </c>
      <c r="K179">
        <v>3</v>
      </c>
      <c r="L179">
        <v>1</v>
      </c>
      <c r="M179">
        <v>1</v>
      </c>
      <c r="N179">
        <v>2</v>
      </c>
      <c r="O179">
        <v>2</v>
      </c>
      <c r="P179">
        <v>3</v>
      </c>
      <c r="Q179">
        <v>3</v>
      </c>
      <c r="R179">
        <v>3</v>
      </c>
      <c r="S179">
        <v>4</v>
      </c>
      <c r="T179">
        <v>5</v>
      </c>
      <c r="U179" t="s">
        <v>37</v>
      </c>
      <c r="V179" t="s">
        <v>54</v>
      </c>
      <c r="W179" t="s">
        <v>56</v>
      </c>
      <c r="X179" t="s">
        <v>44</v>
      </c>
      <c r="Y179">
        <v>30</v>
      </c>
      <c r="Z179" s="1">
        <v>45544</v>
      </c>
      <c r="AA179" t="str" cm="1">
        <f t="array" ref="AA179">_xlfn.IFS(AND(Table2[[#This Row],[Guest_Age]]&gt;=18,Table2[[#This Row],[Guest_Age]]&lt;=25),"Young Adults",AND(Table2[[#This Row],[Guest_Age]]&gt;=26,Table2[[#This Row],[Guest_Age]]&lt;=35),"Adults",AND(Table2[[#This Row],[Guest_Age]]&gt;=36,Table2[[#This Row],[Guest_Age]]&lt;=50),"Middle Aged Adults",Table2[[#This Row],[Guest_Age]]&gt;50,"Senior")</f>
        <v>Adults</v>
      </c>
      <c r="AB1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9" t="str" cm="1">
        <f t="array" ref="AC179">_xlfn.IFS(Table2[[#This Row],[Satification_points]]&gt;=4.5,"GREAT",AND(Table2[[#This Row],[Satification_points]]&gt;=4,Table2[[#This Row],[Satification_points]]&lt;4.5),"GOOD",AND(Table2[[#This Row],[Satification_points]]&gt;=3,Table2[[#This Row],[Satification_points]]&lt;4),"AVERAGE",Table2[[#This Row],[Satification_points]]&lt;3,"POOR")</f>
        <v>POOR</v>
      </c>
    </row>
    <row r="180" spans="1:29" x14ac:dyDescent="0.3">
      <c r="A180">
        <v>179</v>
      </c>
      <c r="B180">
        <v>17188</v>
      </c>
      <c r="C180" t="s">
        <v>236</v>
      </c>
      <c r="D180" t="s">
        <v>34</v>
      </c>
      <c r="E180" t="s">
        <v>27</v>
      </c>
      <c r="F180" s="1">
        <v>45294</v>
      </c>
      <c r="G180" s="1">
        <v>45625</v>
      </c>
      <c r="H180">
        <v>12</v>
      </c>
      <c r="I180" t="s">
        <v>50</v>
      </c>
      <c r="J180" t="s">
        <v>36</v>
      </c>
      <c r="K180">
        <v>2</v>
      </c>
      <c r="L180">
        <v>3</v>
      </c>
      <c r="M180">
        <v>3</v>
      </c>
      <c r="N180">
        <v>1</v>
      </c>
      <c r="O180">
        <v>3</v>
      </c>
      <c r="P180">
        <v>1</v>
      </c>
      <c r="Q180">
        <v>5</v>
      </c>
      <c r="R180">
        <v>5</v>
      </c>
      <c r="S180">
        <v>1</v>
      </c>
      <c r="T180">
        <v>4</v>
      </c>
      <c r="U180" t="s">
        <v>37</v>
      </c>
      <c r="V180" t="s">
        <v>46</v>
      </c>
      <c r="W180" t="s">
        <v>56</v>
      </c>
      <c r="X180" t="s">
        <v>33</v>
      </c>
      <c r="Y180">
        <v>69</v>
      </c>
      <c r="Z180" s="1">
        <v>45625</v>
      </c>
      <c r="AA180" t="str" cm="1">
        <f t="array" ref="AA180">_xlfn.IFS(AND(Table2[[#This Row],[Guest_Age]]&gt;=18,Table2[[#This Row],[Guest_Age]]&lt;=25),"Young Adults",AND(Table2[[#This Row],[Guest_Age]]&gt;=26,Table2[[#This Row],[Guest_Age]]&lt;=35),"Adults",AND(Table2[[#This Row],[Guest_Age]]&gt;=36,Table2[[#This Row],[Guest_Age]]&lt;=50),"Middle Aged Adults",Table2[[#This Row],[Guest_Age]]&gt;50,"Senior")</f>
        <v>Senior</v>
      </c>
      <c r="AB1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0" t="str" cm="1">
        <f t="array" ref="AC180">_xlfn.IFS(Table2[[#This Row],[Satification_points]]&gt;=4.5,"GREAT",AND(Table2[[#This Row],[Satification_points]]&gt;=4,Table2[[#This Row],[Satification_points]]&lt;4.5),"GOOD",AND(Table2[[#This Row],[Satification_points]]&gt;=3,Table2[[#This Row],[Satification_points]]&lt;4),"AVERAGE",Table2[[#This Row],[Satification_points]]&lt;3,"POOR")</f>
        <v>POOR</v>
      </c>
    </row>
    <row r="181" spans="1:29" x14ac:dyDescent="0.3">
      <c r="A181">
        <v>180</v>
      </c>
      <c r="B181">
        <v>63326</v>
      </c>
      <c r="C181" t="s">
        <v>237</v>
      </c>
      <c r="D181" t="s">
        <v>51</v>
      </c>
      <c r="E181" t="s">
        <v>35</v>
      </c>
      <c r="F181" s="1">
        <v>45311</v>
      </c>
      <c r="G181" s="1">
        <v>45376</v>
      </c>
      <c r="H181">
        <v>3</v>
      </c>
      <c r="I181" t="s">
        <v>50</v>
      </c>
      <c r="J181" t="s">
        <v>53</v>
      </c>
      <c r="K181">
        <v>3</v>
      </c>
      <c r="L181">
        <v>3</v>
      </c>
      <c r="M181">
        <v>1</v>
      </c>
      <c r="N181">
        <v>5</v>
      </c>
      <c r="O181">
        <v>1</v>
      </c>
      <c r="P181">
        <v>1</v>
      </c>
      <c r="Q181">
        <v>1</v>
      </c>
      <c r="R181">
        <v>2</v>
      </c>
      <c r="S181">
        <v>1</v>
      </c>
      <c r="T181">
        <v>5</v>
      </c>
      <c r="U181" t="s">
        <v>37</v>
      </c>
      <c r="V181" t="s">
        <v>58</v>
      </c>
      <c r="W181" t="s">
        <v>56</v>
      </c>
      <c r="X181" t="s">
        <v>40</v>
      </c>
      <c r="Y181">
        <v>44</v>
      </c>
      <c r="Z181" s="1">
        <v>45376</v>
      </c>
      <c r="AA181" t="str" cm="1">
        <f t="array" ref="AA1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81" t="str" cm="1">
        <f t="array" ref="AC181">_xlfn.IFS(Table2[[#This Row],[Satification_points]]&gt;=4.5,"GREAT",AND(Table2[[#This Row],[Satification_points]]&gt;=4,Table2[[#This Row],[Satification_points]]&lt;4.5),"GOOD",AND(Table2[[#This Row],[Satification_points]]&gt;=3,Table2[[#This Row],[Satification_points]]&lt;4),"AVERAGE",Table2[[#This Row],[Satification_points]]&lt;3,"POOR")</f>
        <v>POOR</v>
      </c>
    </row>
    <row r="182" spans="1:29" x14ac:dyDescent="0.3">
      <c r="A182">
        <v>181</v>
      </c>
      <c r="B182">
        <v>24135</v>
      </c>
      <c r="C182" t="s">
        <v>238</v>
      </c>
      <c r="D182" t="s">
        <v>34</v>
      </c>
      <c r="E182" t="s">
        <v>45</v>
      </c>
      <c r="F182" s="1">
        <v>45024</v>
      </c>
      <c r="G182" s="1">
        <v>45242</v>
      </c>
      <c r="H182">
        <v>8</v>
      </c>
      <c r="I182" t="s">
        <v>50</v>
      </c>
      <c r="J182" t="s">
        <v>36</v>
      </c>
      <c r="K182">
        <v>4</v>
      </c>
      <c r="L182">
        <v>2</v>
      </c>
      <c r="M182">
        <v>4</v>
      </c>
      <c r="N182">
        <v>5</v>
      </c>
      <c r="O182">
        <v>1</v>
      </c>
      <c r="P182">
        <v>4</v>
      </c>
      <c r="Q182">
        <v>4</v>
      </c>
      <c r="R182">
        <v>4</v>
      </c>
      <c r="S182">
        <v>5</v>
      </c>
      <c r="T182">
        <v>5</v>
      </c>
      <c r="U182" t="s">
        <v>30</v>
      </c>
      <c r="V182" t="s">
        <v>46</v>
      </c>
      <c r="W182" t="s">
        <v>55</v>
      </c>
      <c r="X182" t="s">
        <v>44</v>
      </c>
      <c r="Y182">
        <v>45</v>
      </c>
      <c r="Z182" s="1">
        <v>45242</v>
      </c>
      <c r="AA182" t="str" cm="1">
        <f t="array" ref="AA18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82" t="str" cm="1">
        <f t="array" ref="AC182">_xlfn.IFS(Table2[[#This Row],[Satification_points]]&gt;=4.5,"GREAT",AND(Table2[[#This Row],[Satification_points]]&gt;=4,Table2[[#This Row],[Satification_points]]&lt;4.5),"GOOD",AND(Table2[[#This Row],[Satification_points]]&gt;=3,Table2[[#This Row],[Satification_points]]&lt;4),"AVERAGE",Table2[[#This Row],[Satification_points]]&lt;3,"POOR")</f>
        <v>AVERAGE</v>
      </c>
    </row>
    <row r="183" spans="1:29" x14ac:dyDescent="0.3">
      <c r="A183">
        <v>182</v>
      </c>
      <c r="B183">
        <v>44657</v>
      </c>
      <c r="C183" t="s">
        <v>239</v>
      </c>
      <c r="D183" t="s">
        <v>26</v>
      </c>
      <c r="E183" t="s">
        <v>27</v>
      </c>
      <c r="F183" s="1">
        <v>45196</v>
      </c>
      <c r="G183" s="1">
        <v>45197</v>
      </c>
      <c r="H183">
        <v>13</v>
      </c>
      <c r="I183" t="s">
        <v>49</v>
      </c>
      <c r="J183" t="s">
        <v>36</v>
      </c>
      <c r="K183">
        <v>3</v>
      </c>
      <c r="L183">
        <v>5</v>
      </c>
      <c r="M183">
        <v>4</v>
      </c>
      <c r="N183">
        <v>3</v>
      </c>
      <c r="O183">
        <v>1</v>
      </c>
      <c r="P183">
        <v>3</v>
      </c>
      <c r="Q183">
        <v>5</v>
      </c>
      <c r="R183">
        <v>2</v>
      </c>
      <c r="S183">
        <v>4</v>
      </c>
      <c r="T183">
        <v>1</v>
      </c>
      <c r="U183" t="s">
        <v>37</v>
      </c>
      <c r="V183" t="s">
        <v>46</v>
      </c>
      <c r="W183" t="s">
        <v>39</v>
      </c>
      <c r="X183" t="s">
        <v>33</v>
      </c>
      <c r="Y183">
        <v>35</v>
      </c>
      <c r="Z183" s="1">
        <v>45580</v>
      </c>
      <c r="AA183" t="str" cm="1">
        <f t="array" ref="AA183">_xlfn.IFS(AND(Table2[[#This Row],[Guest_Age]]&gt;=18,Table2[[#This Row],[Guest_Age]]&lt;=25),"Young Adults",AND(Table2[[#This Row],[Guest_Age]]&gt;=26,Table2[[#This Row],[Guest_Age]]&lt;=35),"Adults",AND(Table2[[#This Row],[Guest_Age]]&gt;=36,Table2[[#This Row],[Guest_Age]]&lt;=50),"Middle Aged Adults",Table2[[#This Row],[Guest_Age]]&gt;50,"Senior")</f>
        <v>Adults</v>
      </c>
      <c r="AB1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3" t="str" cm="1">
        <f t="array" ref="AC183">_xlfn.IFS(Table2[[#This Row],[Satification_points]]&gt;=4.5,"GREAT",AND(Table2[[#This Row],[Satification_points]]&gt;=4,Table2[[#This Row],[Satification_points]]&lt;4.5),"GOOD",AND(Table2[[#This Row],[Satification_points]]&gt;=3,Table2[[#This Row],[Satification_points]]&lt;4),"AVERAGE",Table2[[#This Row],[Satification_points]]&lt;3,"POOR")</f>
        <v>AVERAGE</v>
      </c>
    </row>
    <row r="184" spans="1:29" x14ac:dyDescent="0.3">
      <c r="A184">
        <v>183</v>
      </c>
      <c r="B184">
        <v>10558</v>
      </c>
      <c r="C184" t="s">
        <v>240</v>
      </c>
      <c r="D184" t="s">
        <v>41</v>
      </c>
      <c r="E184" t="s">
        <v>57</v>
      </c>
      <c r="F184" s="1">
        <v>45591</v>
      </c>
      <c r="G184" s="1">
        <v>45592</v>
      </c>
      <c r="H184">
        <v>6</v>
      </c>
      <c r="I184" t="s">
        <v>50</v>
      </c>
      <c r="J184" t="s">
        <v>53</v>
      </c>
      <c r="K184">
        <v>2</v>
      </c>
      <c r="L184">
        <v>2</v>
      </c>
      <c r="M184">
        <v>3</v>
      </c>
      <c r="N184">
        <v>1</v>
      </c>
      <c r="O184">
        <v>4</v>
      </c>
      <c r="P184">
        <v>2</v>
      </c>
      <c r="Q184">
        <v>1</v>
      </c>
      <c r="R184">
        <v>5</v>
      </c>
      <c r="S184">
        <v>3</v>
      </c>
      <c r="T184">
        <v>3</v>
      </c>
      <c r="U184" t="s">
        <v>37</v>
      </c>
      <c r="V184" t="s">
        <v>46</v>
      </c>
      <c r="W184" t="s">
        <v>47</v>
      </c>
      <c r="X184" t="s">
        <v>44</v>
      </c>
      <c r="Y184">
        <v>54</v>
      </c>
      <c r="Z184" s="1">
        <v>45592</v>
      </c>
      <c r="AA184" t="str" cm="1">
        <f t="array" ref="AA184">_xlfn.IFS(AND(Table2[[#This Row],[Guest_Age]]&gt;=18,Table2[[#This Row],[Guest_Age]]&lt;=25),"Young Adults",AND(Table2[[#This Row],[Guest_Age]]&gt;=26,Table2[[#This Row],[Guest_Age]]&lt;=35),"Adults",AND(Table2[[#This Row],[Guest_Age]]&gt;=36,Table2[[#This Row],[Guest_Age]]&lt;=50),"Middle Aged Adults",Table2[[#This Row],[Guest_Age]]&gt;50,"Senior")</f>
        <v>Senior</v>
      </c>
      <c r="AB1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84" t="str" cm="1">
        <f t="array" ref="AC184">_xlfn.IFS(Table2[[#This Row],[Satification_points]]&gt;=4.5,"GREAT",AND(Table2[[#This Row],[Satification_points]]&gt;=4,Table2[[#This Row],[Satification_points]]&lt;4.5),"GOOD",AND(Table2[[#This Row],[Satification_points]]&gt;=3,Table2[[#This Row],[Satification_points]]&lt;4),"AVERAGE",Table2[[#This Row],[Satification_points]]&lt;3,"POOR")</f>
        <v>POOR</v>
      </c>
    </row>
    <row r="185" spans="1:29" x14ac:dyDescent="0.3">
      <c r="A185">
        <v>184</v>
      </c>
      <c r="B185">
        <v>62085</v>
      </c>
      <c r="C185" t="s">
        <v>241</v>
      </c>
      <c r="D185" t="s">
        <v>34</v>
      </c>
      <c r="E185" t="s">
        <v>27</v>
      </c>
      <c r="F185" s="1">
        <v>45144</v>
      </c>
      <c r="G185" s="1">
        <v>45330</v>
      </c>
      <c r="H185">
        <v>12</v>
      </c>
      <c r="I185" t="s">
        <v>49</v>
      </c>
      <c r="J185" t="s">
        <v>43</v>
      </c>
      <c r="K185">
        <v>5</v>
      </c>
      <c r="L185">
        <v>5</v>
      </c>
      <c r="M185">
        <v>3</v>
      </c>
      <c r="N185">
        <v>1</v>
      </c>
      <c r="O185">
        <v>4</v>
      </c>
      <c r="P185">
        <v>4</v>
      </c>
      <c r="Q185">
        <v>1</v>
      </c>
      <c r="R185">
        <v>4</v>
      </c>
      <c r="S185">
        <v>1</v>
      </c>
      <c r="T185">
        <v>1</v>
      </c>
      <c r="U185" t="s">
        <v>37</v>
      </c>
      <c r="V185" t="s">
        <v>31</v>
      </c>
      <c r="W185" t="s">
        <v>56</v>
      </c>
      <c r="X185" t="s">
        <v>44</v>
      </c>
      <c r="Y185">
        <v>33</v>
      </c>
      <c r="Z185" s="1">
        <v>45548</v>
      </c>
      <c r="AA185" t="str" cm="1">
        <f t="array" ref="AA185">_xlfn.IFS(AND(Table2[[#This Row],[Guest_Age]]&gt;=18,Table2[[#This Row],[Guest_Age]]&lt;=25),"Young Adults",AND(Table2[[#This Row],[Guest_Age]]&gt;=26,Table2[[#This Row],[Guest_Age]]&lt;=35),"Adults",AND(Table2[[#This Row],[Guest_Age]]&gt;=36,Table2[[#This Row],[Guest_Age]]&lt;=50),"Middle Aged Adults",Table2[[#This Row],[Guest_Age]]&gt;50,"Senior")</f>
        <v>Adults</v>
      </c>
      <c r="AB1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5" t="str" cm="1">
        <f t="array" ref="AC185">_xlfn.IFS(Table2[[#This Row],[Satification_points]]&gt;=4.5,"GREAT",AND(Table2[[#This Row],[Satification_points]]&gt;=4,Table2[[#This Row],[Satification_points]]&lt;4.5),"GOOD",AND(Table2[[#This Row],[Satification_points]]&gt;=3,Table2[[#This Row],[Satification_points]]&lt;4),"AVERAGE",Table2[[#This Row],[Satification_points]]&lt;3,"POOR")</f>
        <v>POOR</v>
      </c>
    </row>
    <row r="186" spans="1:29" x14ac:dyDescent="0.3">
      <c r="A186">
        <v>185</v>
      </c>
      <c r="B186">
        <v>36195</v>
      </c>
      <c r="C186" t="s">
        <v>242</v>
      </c>
      <c r="D186" t="s">
        <v>51</v>
      </c>
      <c r="E186" t="s">
        <v>52</v>
      </c>
      <c r="F186" s="1">
        <v>44947</v>
      </c>
      <c r="G186" s="1">
        <v>45280</v>
      </c>
      <c r="H186">
        <v>2</v>
      </c>
      <c r="I186" t="s">
        <v>42</v>
      </c>
      <c r="J186" t="s">
        <v>36</v>
      </c>
      <c r="K186">
        <v>3</v>
      </c>
      <c r="L186">
        <v>2</v>
      </c>
      <c r="M186">
        <v>3</v>
      </c>
      <c r="N186">
        <v>5</v>
      </c>
      <c r="O186">
        <v>4</v>
      </c>
      <c r="P186">
        <v>2</v>
      </c>
      <c r="Q186">
        <v>1</v>
      </c>
      <c r="R186">
        <v>3</v>
      </c>
      <c r="S186">
        <v>4</v>
      </c>
      <c r="T186">
        <v>5</v>
      </c>
      <c r="U186" t="s">
        <v>30</v>
      </c>
      <c r="V186" t="s">
        <v>46</v>
      </c>
      <c r="W186" t="s">
        <v>55</v>
      </c>
      <c r="X186" t="s">
        <v>44</v>
      </c>
      <c r="Y186">
        <v>38</v>
      </c>
      <c r="Z186" s="1">
        <v>45524</v>
      </c>
      <c r="AA186" t="str" cm="1">
        <f t="array" ref="AA1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6" t="str" cm="1">
        <f t="array" ref="AC186">_xlfn.IFS(Table2[[#This Row],[Satification_points]]&gt;=4.5,"GREAT",AND(Table2[[#This Row],[Satification_points]]&gt;=4,Table2[[#This Row],[Satification_points]]&lt;4.5),"GOOD",AND(Table2[[#This Row],[Satification_points]]&gt;=3,Table2[[#This Row],[Satification_points]]&lt;4),"AVERAGE",Table2[[#This Row],[Satification_points]]&lt;3,"POOR")</f>
        <v>AVERAGE</v>
      </c>
    </row>
    <row r="187" spans="1:29" x14ac:dyDescent="0.3">
      <c r="A187">
        <v>186</v>
      </c>
      <c r="B187">
        <v>24443</v>
      </c>
      <c r="C187" t="s">
        <v>243</v>
      </c>
      <c r="D187" t="s">
        <v>34</v>
      </c>
      <c r="E187" t="s">
        <v>35</v>
      </c>
      <c r="F187" s="1">
        <v>45198</v>
      </c>
      <c r="G187" s="1">
        <v>45199</v>
      </c>
      <c r="H187">
        <v>2</v>
      </c>
      <c r="I187" t="s">
        <v>50</v>
      </c>
      <c r="J187" t="s">
        <v>53</v>
      </c>
      <c r="K187">
        <v>4</v>
      </c>
      <c r="L187">
        <v>2</v>
      </c>
      <c r="M187">
        <v>5</v>
      </c>
      <c r="N187">
        <v>1</v>
      </c>
      <c r="O187">
        <v>3</v>
      </c>
      <c r="P187">
        <v>5</v>
      </c>
      <c r="Q187">
        <v>4</v>
      </c>
      <c r="R187">
        <v>1</v>
      </c>
      <c r="S187">
        <v>5</v>
      </c>
      <c r="T187">
        <v>4</v>
      </c>
      <c r="U187" t="s">
        <v>30</v>
      </c>
      <c r="V187" t="s">
        <v>54</v>
      </c>
      <c r="W187" t="s">
        <v>39</v>
      </c>
      <c r="X187" t="s">
        <v>44</v>
      </c>
      <c r="Y187">
        <v>27</v>
      </c>
      <c r="Z187" s="1">
        <v>45199</v>
      </c>
      <c r="AA187" t="str" cm="1">
        <f t="array" ref="AA187">_xlfn.IFS(AND(Table2[[#This Row],[Guest_Age]]&gt;=18,Table2[[#This Row],[Guest_Age]]&lt;=25),"Young Adults",AND(Table2[[#This Row],[Guest_Age]]&gt;=26,Table2[[#This Row],[Guest_Age]]&lt;=35),"Adults",AND(Table2[[#This Row],[Guest_Age]]&gt;=36,Table2[[#This Row],[Guest_Age]]&lt;=50),"Middle Aged Adults",Table2[[#This Row],[Guest_Age]]&gt;50,"Senior")</f>
        <v>Adults</v>
      </c>
      <c r="AB1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7" t="str" cm="1">
        <f t="array" ref="AC187">_xlfn.IFS(Table2[[#This Row],[Satification_points]]&gt;=4.5,"GREAT",AND(Table2[[#This Row],[Satification_points]]&gt;=4,Table2[[#This Row],[Satification_points]]&lt;4.5),"GOOD",AND(Table2[[#This Row],[Satification_points]]&gt;=3,Table2[[#This Row],[Satification_points]]&lt;4),"AVERAGE",Table2[[#This Row],[Satification_points]]&lt;3,"POOR")</f>
        <v>AVERAGE</v>
      </c>
    </row>
    <row r="188" spans="1:29" x14ac:dyDescent="0.3">
      <c r="A188">
        <v>187</v>
      </c>
      <c r="B188">
        <v>74286</v>
      </c>
      <c r="C188" t="s">
        <v>244</v>
      </c>
      <c r="D188" t="s">
        <v>41</v>
      </c>
      <c r="E188" t="s">
        <v>45</v>
      </c>
      <c r="F188" s="1">
        <v>45640</v>
      </c>
      <c r="G188" s="1">
        <v>45641</v>
      </c>
      <c r="H188">
        <v>1</v>
      </c>
      <c r="I188" t="s">
        <v>28</v>
      </c>
      <c r="J188" t="s">
        <v>53</v>
      </c>
      <c r="K188">
        <v>2</v>
      </c>
      <c r="L188">
        <v>2</v>
      </c>
      <c r="M188">
        <v>2</v>
      </c>
      <c r="N188">
        <v>3</v>
      </c>
      <c r="O188">
        <v>1</v>
      </c>
      <c r="P188">
        <v>1</v>
      </c>
      <c r="Q188">
        <v>5</v>
      </c>
      <c r="R188">
        <v>5</v>
      </c>
      <c r="S188">
        <v>2</v>
      </c>
      <c r="T188">
        <v>5</v>
      </c>
      <c r="U188" t="s">
        <v>37</v>
      </c>
      <c r="V188" t="s">
        <v>31</v>
      </c>
      <c r="W188" t="s">
        <v>55</v>
      </c>
      <c r="X188" t="s">
        <v>40</v>
      </c>
      <c r="Y188">
        <v>31</v>
      </c>
      <c r="Z188" s="1">
        <v>45641</v>
      </c>
      <c r="AA188" t="str" cm="1">
        <f t="array" ref="AA188">_xlfn.IFS(AND(Table2[[#This Row],[Guest_Age]]&gt;=18,Table2[[#This Row],[Guest_Age]]&lt;=25),"Young Adults",AND(Table2[[#This Row],[Guest_Age]]&gt;=26,Table2[[#This Row],[Guest_Age]]&lt;=35),"Adults",AND(Table2[[#This Row],[Guest_Age]]&gt;=36,Table2[[#This Row],[Guest_Age]]&lt;=50),"Middle Aged Adults",Table2[[#This Row],[Guest_Age]]&gt;50,"Senior")</f>
        <v>Adults</v>
      </c>
      <c r="AB1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8" t="str" cm="1">
        <f t="array" ref="AC188">_xlfn.IFS(Table2[[#This Row],[Satification_points]]&gt;=4.5,"GREAT",AND(Table2[[#This Row],[Satification_points]]&gt;=4,Table2[[#This Row],[Satification_points]]&lt;4.5),"GOOD",AND(Table2[[#This Row],[Satification_points]]&gt;=3,Table2[[#This Row],[Satification_points]]&lt;4),"AVERAGE",Table2[[#This Row],[Satification_points]]&lt;3,"POOR")</f>
        <v>POOR</v>
      </c>
    </row>
    <row r="189" spans="1:29" x14ac:dyDescent="0.3">
      <c r="A189">
        <v>188</v>
      </c>
      <c r="B189">
        <v>33215</v>
      </c>
      <c r="C189" t="s">
        <v>245</v>
      </c>
      <c r="D189" t="s">
        <v>34</v>
      </c>
      <c r="E189" t="s">
        <v>52</v>
      </c>
      <c r="F189" s="1">
        <v>45086</v>
      </c>
      <c r="G189" s="1">
        <v>45087</v>
      </c>
      <c r="H189">
        <v>7</v>
      </c>
      <c r="I189" t="s">
        <v>49</v>
      </c>
      <c r="J189" t="s">
        <v>36</v>
      </c>
      <c r="K189">
        <v>1</v>
      </c>
      <c r="L189">
        <v>2</v>
      </c>
      <c r="M189">
        <v>3</v>
      </c>
      <c r="N189">
        <v>2</v>
      </c>
      <c r="O189">
        <v>5</v>
      </c>
      <c r="P189">
        <v>4</v>
      </c>
      <c r="Q189">
        <v>4</v>
      </c>
      <c r="R189">
        <v>2</v>
      </c>
      <c r="S189">
        <v>2</v>
      </c>
      <c r="T189">
        <v>5</v>
      </c>
      <c r="U189" t="s">
        <v>30</v>
      </c>
      <c r="V189" t="s">
        <v>46</v>
      </c>
      <c r="W189" t="s">
        <v>32</v>
      </c>
      <c r="X189" t="s">
        <v>44</v>
      </c>
      <c r="Y189">
        <v>45</v>
      </c>
      <c r="Z189" s="1">
        <v>45349</v>
      </c>
      <c r="AA189" t="str" cm="1">
        <f t="array" ref="AA1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9" t="str" cm="1">
        <f t="array" ref="AC189">_xlfn.IFS(Table2[[#This Row],[Satification_points]]&gt;=4.5,"GREAT",AND(Table2[[#This Row],[Satification_points]]&gt;=4,Table2[[#This Row],[Satification_points]]&lt;4.5),"GOOD",AND(Table2[[#This Row],[Satification_points]]&gt;=3,Table2[[#This Row],[Satification_points]]&lt;4),"AVERAGE",Table2[[#This Row],[Satification_points]]&lt;3,"POOR")</f>
        <v>AVERAGE</v>
      </c>
    </row>
    <row r="190" spans="1:29" x14ac:dyDescent="0.3">
      <c r="A190">
        <v>189</v>
      </c>
      <c r="B190">
        <v>15949</v>
      </c>
      <c r="C190" t="s">
        <v>246</v>
      </c>
      <c r="D190" t="s">
        <v>41</v>
      </c>
      <c r="E190" t="s">
        <v>57</v>
      </c>
      <c r="F190" s="1">
        <v>45418</v>
      </c>
      <c r="G190" s="1">
        <v>45581</v>
      </c>
      <c r="H190">
        <v>6</v>
      </c>
      <c r="I190" t="s">
        <v>50</v>
      </c>
      <c r="J190" t="s">
        <v>53</v>
      </c>
      <c r="K190">
        <v>5</v>
      </c>
      <c r="L190">
        <v>3</v>
      </c>
      <c r="M190">
        <v>4</v>
      </c>
      <c r="N190">
        <v>5</v>
      </c>
      <c r="O190">
        <v>3</v>
      </c>
      <c r="P190">
        <v>4</v>
      </c>
      <c r="Q190">
        <v>3</v>
      </c>
      <c r="R190">
        <v>3</v>
      </c>
      <c r="S190">
        <v>3</v>
      </c>
      <c r="T190">
        <v>1</v>
      </c>
      <c r="U190" t="s">
        <v>30</v>
      </c>
      <c r="V190" t="s">
        <v>38</v>
      </c>
      <c r="W190" t="s">
        <v>32</v>
      </c>
      <c r="X190" t="s">
        <v>33</v>
      </c>
      <c r="Y190">
        <v>46</v>
      </c>
      <c r="Z190" s="1">
        <v>45581</v>
      </c>
      <c r="AA190" t="str" cm="1">
        <f t="array" ref="AA1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0" t="str" cm="1">
        <f t="array" ref="AC190">_xlfn.IFS(Table2[[#This Row],[Satification_points]]&gt;=4.5,"GREAT",AND(Table2[[#This Row],[Satification_points]]&gt;=4,Table2[[#This Row],[Satification_points]]&lt;4.5),"GOOD",AND(Table2[[#This Row],[Satification_points]]&gt;=3,Table2[[#This Row],[Satification_points]]&lt;4),"AVERAGE",Table2[[#This Row],[Satification_points]]&lt;3,"POOR")</f>
        <v>AVERAGE</v>
      </c>
    </row>
    <row r="191" spans="1:29" x14ac:dyDescent="0.3">
      <c r="A191">
        <v>190</v>
      </c>
      <c r="B191">
        <v>50411</v>
      </c>
      <c r="C191" t="s">
        <v>247</v>
      </c>
      <c r="D191" t="s">
        <v>41</v>
      </c>
      <c r="E191" t="s">
        <v>52</v>
      </c>
      <c r="F191" s="1">
        <v>45355</v>
      </c>
      <c r="G191" s="1">
        <v>45356</v>
      </c>
      <c r="H191">
        <v>13</v>
      </c>
      <c r="I191" t="s">
        <v>28</v>
      </c>
      <c r="J191" t="s">
        <v>40</v>
      </c>
      <c r="K191">
        <v>3</v>
      </c>
      <c r="L191">
        <v>5</v>
      </c>
      <c r="M191">
        <v>4</v>
      </c>
      <c r="N191">
        <v>3</v>
      </c>
      <c r="O191">
        <v>4</v>
      </c>
      <c r="P191">
        <v>2</v>
      </c>
      <c r="Q191">
        <v>2</v>
      </c>
      <c r="R191">
        <v>4</v>
      </c>
      <c r="S191">
        <v>2</v>
      </c>
      <c r="T191">
        <v>2</v>
      </c>
      <c r="U191" t="s">
        <v>37</v>
      </c>
      <c r="V191" t="s">
        <v>58</v>
      </c>
      <c r="W191" t="s">
        <v>56</v>
      </c>
      <c r="X191" t="s">
        <v>40</v>
      </c>
      <c r="Y191">
        <v>64</v>
      </c>
      <c r="Z191" s="1">
        <v>45381</v>
      </c>
      <c r="AA191" t="str" cm="1">
        <f t="array" ref="AA191">_xlfn.IFS(AND(Table2[[#This Row],[Guest_Age]]&gt;=18,Table2[[#This Row],[Guest_Age]]&lt;=25),"Young Adults",AND(Table2[[#This Row],[Guest_Age]]&gt;=26,Table2[[#This Row],[Guest_Age]]&lt;=35),"Adults",AND(Table2[[#This Row],[Guest_Age]]&gt;=36,Table2[[#This Row],[Guest_Age]]&lt;=50),"Middle Aged Adults",Table2[[#This Row],[Guest_Age]]&gt;50,"Senior")</f>
        <v>Senior</v>
      </c>
      <c r="AB1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1" t="str" cm="1">
        <f t="array" ref="AC191">_xlfn.IFS(Table2[[#This Row],[Satification_points]]&gt;=4.5,"GREAT",AND(Table2[[#This Row],[Satification_points]]&gt;=4,Table2[[#This Row],[Satification_points]]&lt;4.5),"GOOD",AND(Table2[[#This Row],[Satification_points]]&gt;=3,Table2[[#This Row],[Satification_points]]&lt;4),"AVERAGE",Table2[[#This Row],[Satification_points]]&lt;3,"POOR")</f>
        <v>AVERAGE</v>
      </c>
    </row>
    <row r="192" spans="1:29" x14ac:dyDescent="0.3">
      <c r="A192">
        <v>191</v>
      </c>
      <c r="B192">
        <v>59221</v>
      </c>
      <c r="C192" t="s">
        <v>248</v>
      </c>
      <c r="D192" t="s">
        <v>48</v>
      </c>
      <c r="E192" t="s">
        <v>27</v>
      </c>
      <c r="F192" s="1">
        <v>45502</v>
      </c>
      <c r="G192" s="1">
        <v>45503</v>
      </c>
      <c r="H192">
        <v>13</v>
      </c>
      <c r="I192" t="s">
        <v>50</v>
      </c>
      <c r="J192" t="s">
        <v>36</v>
      </c>
      <c r="K192">
        <v>2</v>
      </c>
      <c r="L192">
        <v>2</v>
      </c>
      <c r="M192">
        <v>3</v>
      </c>
      <c r="N192">
        <v>3</v>
      </c>
      <c r="O192">
        <v>4</v>
      </c>
      <c r="P192">
        <v>1</v>
      </c>
      <c r="Q192">
        <v>4</v>
      </c>
      <c r="R192">
        <v>4</v>
      </c>
      <c r="S192">
        <v>1</v>
      </c>
      <c r="T192">
        <v>5</v>
      </c>
      <c r="U192" t="s">
        <v>30</v>
      </c>
      <c r="V192" t="s">
        <v>31</v>
      </c>
      <c r="W192" t="s">
        <v>32</v>
      </c>
      <c r="X192" t="s">
        <v>44</v>
      </c>
      <c r="Y192">
        <v>28</v>
      </c>
      <c r="Z192" s="1">
        <v>45503</v>
      </c>
      <c r="AA192" t="str" cm="1">
        <f t="array" ref="AA192">_xlfn.IFS(AND(Table2[[#This Row],[Guest_Age]]&gt;=18,Table2[[#This Row],[Guest_Age]]&lt;=25),"Young Adults",AND(Table2[[#This Row],[Guest_Age]]&gt;=26,Table2[[#This Row],[Guest_Age]]&lt;=35),"Adults",AND(Table2[[#This Row],[Guest_Age]]&gt;=36,Table2[[#This Row],[Guest_Age]]&lt;=50),"Middle Aged Adults",Table2[[#This Row],[Guest_Age]]&gt;50,"Senior")</f>
        <v>Adults</v>
      </c>
      <c r="AB1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2" t="str" cm="1">
        <f t="array" ref="AC192">_xlfn.IFS(Table2[[#This Row],[Satification_points]]&gt;=4.5,"GREAT",AND(Table2[[#This Row],[Satification_points]]&gt;=4,Table2[[#This Row],[Satification_points]]&lt;4.5),"GOOD",AND(Table2[[#This Row],[Satification_points]]&gt;=3,Table2[[#This Row],[Satification_points]]&lt;4),"AVERAGE",Table2[[#This Row],[Satification_points]]&lt;3,"POOR")</f>
        <v>POOR</v>
      </c>
    </row>
    <row r="193" spans="1:29" x14ac:dyDescent="0.3">
      <c r="A193">
        <v>192</v>
      </c>
      <c r="B193">
        <v>78438</v>
      </c>
      <c r="C193" t="s">
        <v>249</v>
      </c>
      <c r="D193" t="s">
        <v>48</v>
      </c>
      <c r="E193" t="s">
        <v>35</v>
      </c>
      <c r="F193" s="1">
        <v>45522</v>
      </c>
      <c r="G193" s="1">
        <v>45523</v>
      </c>
      <c r="H193">
        <v>6</v>
      </c>
      <c r="I193" t="s">
        <v>49</v>
      </c>
      <c r="J193" t="s">
        <v>43</v>
      </c>
      <c r="K193">
        <v>4</v>
      </c>
      <c r="L193">
        <v>2</v>
      </c>
      <c r="M193">
        <v>3</v>
      </c>
      <c r="N193">
        <v>4</v>
      </c>
      <c r="O193">
        <v>4</v>
      </c>
      <c r="P193">
        <v>2</v>
      </c>
      <c r="Q193">
        <v>3</v>
      </c>
      <c r="R193">
        <v>4</v>
      </c>
      <c r="S193">
        <v>1</v>
      </c>
      <c r="T193">
        <v>2</v>
      </c>
      <c r="U193" t="s">
        <v>37</v>
      </c>
      <c r="V193" t="s">
        <v>38</v>
      </c>
      <c r="W193" t="s">
        <v>39</v>
      </c>
      <c r="X193" t="s">
        <v>33</v>
      </c>
      <c r="Y193">
        <v>47</v>
      </c>
      <c r="Z193" s="1">
        <v>45523</v>
      </c>
      <c r="AA193" t="str" cm="1">
        <f t="array" ref="AA1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3" t="str" cm="1">
        <f t="array" ref="AC193">_xlfn.IFS(Table2[[#This Row],[Satification_points]]&gt;=4.5,"GREAT",AND(Table2[[#This Row],[Satification_points]]&gt;=4,Table2[[#This Row],[Satification_points]]&lt;4.5),"GOOD",AND(Table2[[#This Row],[Satification_points]]&gt;=3,Table2[[#This Row],[Satification_points]]&lt;4),"AVERAGE",Table2[[#This Row],[Satification_points]]&lt;3,"POOR")</f>
        <v>POOR</v>
      </c>
    </row>
    <row r="194" spans="1:29" x14ac:dyDescent="0.3">
      <c r="A194">
        <v>193</v>
      </c>
      <c r="B194">
        <v>72521</v>
      </c>
      <c r="C194" t="s">
        <v>250</v>
      </c>
      <c r="D194" t="s">
        <v>51</v>
      </c>
      <c r="E194" t="s">
        <v>27</v>
      </c>
      <c r="F194" s="1">
        <v>45511</v>
      </c>
      <c r="G194" s="1">
        <v>45512</v>
      </c>
      <c r="H194">
        <v>5</v>
      </c>
      <c r="I194" t="s">
        <v>49</v>
      </c>
      <c r="J194" t="s">
        <v>40</v>
      </c>
      <c r="K194">
        <v>4</v>
      </c>
      <c r="L194">
        <v>1</v>
      </c>
      <c r="M194">
        <v>4</v>
      </c>
      <c r="N194">
        <v>2</v>
      </c>
      <c r="O194">
        <v>2</v>
      </c>
      <c r="P194">
        <v>2</v>
      </c>
      <c r="Q194">
        <v>4</v>
      </c>
      <c r="R194">
        <v>2</v>
      </c>
      <c r="S194">
        <v>4</v>
      </c>
      <c r="T194">
        <v>3</v>
      </c>
      <c r="U194" t="s">
        <v>37</v>
      </c>
      <c r="V194" t="s">
        <v>58</v>
      </c>
      <c r="W194" t="s">
        <v>56</v>
      </c>
      <c r="X194" t="s">
        <v>33</v>
      </c>
      <c r="Y194">
        <v>57</v>
      </c>
      <c r="Z194" s="1">
        <v>45643</v>
      </c>
      <c r="AA194" t="str" cm="1">
        <f t="array" ref="AA194">_xlfn.IFS(AND(Table2[[#This Row],[Guest_Age]]&gt;=18,Table2[[#This Row],[Guest_Age]]&lt;=25),"Young Adults",AND(Table2[[#This Row],[Guest_Age]]&gt;=26,Table2[[#This Row],[Guest_Age]]&lt;=35),"Adults",AND(Table2[[#This Row],[Guest_Age]]&gt;=36,Table2[[#This Row],[Guest_Age]]&lt;=50),"Middle Aged Adults",Table2[[#This Row],[Guest_Age]]&gt;50,"Senior")</f>
        <v>Senior</v>
      </c>
      <c r="AB1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94" t="str" cm="1">
        <f t="array" ref="AC194">_xlfn.IFS(Table2[[#This Row],[Satification_points]]&gt;=4.5,"GREAT",AND(Table2[[#This Row],[Satification_points]]&gt;=4,Table2[[#This Row],[Satification_points]]&lt;4.5),"GOOD",AND(Table2[[#This Row],[Satification_points]]&gt;=3,Table2[[#This Row],[Satification_points]]&lt;4),"AVERAGE",Table2[[#This Row],[Satification_points]]&lt;3,"POOR")</f>
        <v>POOR</v>
      </c>
    </row>
    <row r="195" spans="1:29" x14ac:dyDescent="0.3">
      <c r="A195">
        <v>194</v>
      </c>
      <c r="B195">
        <v>89298</v>
      </c>
      <c r="C195" t="s">
        <v>251</v>
      </c>
      <c r="D195" t="s">
        <v>51</v>
      </c>
      <c r="E195" t="s">
        <v>35</v>
      </c>
      <c r="F195" s="1">
        <v>45498</v>
      </c>
      <c r="G195" s="1">
        <v>45499</v>
      </c>
      <c r="H195">
        <v>3</v>
      </c>
      <c r="I195" t="s">
        <v>42</v>
      </c>
      <c r="J195" t="s">
        <v>43</v>
      </c>
      <c r="K195">
        <v>2</v>
      </c>
      <c r="L195">
        <v>3</v>
      </c>
      <c r="M195">
        <v>5</v>
      </c>
      <c r="N195">
        <v>3</v>
      </c>
      <c r="O195">
        <v>1</v>
      </c>
      <c r="P195">
        <v>1</v>
      </c>
      <c r="Q195">
        <v>1</v>
      </c>
      <c r="R195">
        <v>5</v>
      </c>
      <c r="S195">
        <v>3</v>
      </c>
      <c r="T195">
        <v>5</v>
      </c>
      <c r="U195" t="s">
        <v>37</v>
      </c>
      <c r="V195" t="s">
        <v>54</v>
      </c>
      <c r="W195" t="s">
        <v>55</v>
      </c>
      <c r="X195" t="s">
        <v>40</v>
      </c>
      <c r="Y195">
        <v>44</v>
      </c>
      <c r="Z195" s="1">
        <v>45499</v>
      </c>
      <c r="AA195" t="str" cm="1">
        <f t="array" ref="AA19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5" t="str" cm="1">
        <f t="array" ref="AC195">_xlfn.IFS(Table2[[#This Row],[Satification_points]]&gt;=4.5,"GREAT",AND(Table2[[#This Row],[Satification_points]]&gt;=4,Table2[[#This Row],[Satification_points]]&lt;4.5),"GOOD",AND(Table2[[#This Row],[Satification_points]]&gt;=3,Table2[[#This Row],[Satification_points]]&lt;4),"AVERAGE",Table2[[#This Row],[Satification_points]]&lt;3,"POOR")</f>
        <v>POOR</v>
      </c>
    </row>
    <row r="196" spans="1:29" x14ac:dyDescent="0.3">
      <c r="A196">
        <v>195</v>
      </c>
      <c r="B196">
        <v>30724</v>
      </c>
      <c r="C196" t="s">
        <v>252</v>
      </c>
      <c r="D196" t="s">
        <v>51</v>
      </c>
      <c r="E196" t="s">
        <v>57</v>
      </c>
      <c r="F196" s="1">
        <v>45585</v>
      </c>
      <c r="G196" s="1">
        <v>45586</v>
      </c>
      <c r="H196">
        <v>8</v>
      </c>
      <c r="I196" t="s">
        <v>49</v>
      </c>
      <c r="J196" t="s">
        <v>36</v>
      </c>
      <c r="K196">
        <v>4</v>
      </c>
      <c r="L196">
        <v>4</v>
      </c>
      <c r="M196">
        <v>1</v>
      </c>
      <c r="N196">
        <v>4</v>
      </c>
      <c r="O196">
        <v>5</v>
      </c>
      <c r="P196">
        <v>5</v>
      </c>
      <c r="Q196">
        <v>2</v>
      </c>
      <c r="R196">
        <v>3</v>
      </c>
      <c r="S196">
        <v>4</v>
      </c>
      <c r="T196">
        <v>1</v>
      </c>
      <c r="U196" t="s">
        <v>30</v>
      </c>
      <c r="V196" t="s">
        <v>38</v>
      </c>
      <c r="W196" t="s">
        <v>47</v>
      </c>
      <c r="X196" t="s">
        <v>40</v>
      </c>
      <c r="Y196">
        <v>66</v>
      </c>
      <c r="Z196" s="1">
        <v>45586</v>
      </c>
      <c r="AA196" t="str" cm="1">
        <f t="array" ref="AA196">_xlfn.IFS(AND(Table2[[#This Row],[Guest_Age]]&gt;=18,Table2[[#This Row],[Guest_Age]]&lt;=25),"Young Adults",AND(Table2[[#This Row],[Guest_Age]]&gt;=26,Table2[[#This Row],[Guest_Age]]&lt;=35),"Adults",AND(Table2[[#This Row],[Guest_Age]]&gt;=36,Table2[[#This Row],[Guest_Age]]&lt;=50),"Middle Aged Adults",Table2[[#This Row],[Guest_Age]]&gt;50,"Senior")</f>
        <v>Senior</v>
      </c>
      <c r="AB1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6" t="str" cm="1">
        <f t="array" ref="AC196">_xlfn.IFS(Table2[[#This Row],[Satification_points]]&gt;=4.5,"GREAT",AND(Table2[[#This Row],[Satification_points]]&gt;=4,Table2[[#This Row],[Satification_points]]&lt;4.5),"GOOD",AND(Table2[[#This Row],[Satification_points]]&gt;=3,Table2[[#This Row],[Satification_points]]&lt;4),"AVERAGE",Table2[[#This Row],[Satification_points]]&lt;3,"POOR")</f>
        <v>AVERAGE</v>
      </c>
    </row>
    <row r="197" spans="1:29" x14ac:dyDescent="0.3">
      <c r="A197">
        <v>196</v>
      </c>
      <c r="B197">
        <v>86844</v>
      </c>
      <c r="C197" t="s">
        <v>253</v>
      </c>
      <c r="D197" t="s">
        <v>41</v>
      </c>
      <c r="E197" t="s">
        <v>52</v>
      </c>
      <c r="F197" s="1">
        <v>44973</v>
      </c>
      <c r="G197" s="1">
        <v>45278</v>
      </c>
      <c r="H197">
        <v>3</v>
      </c>
      <c r="I197" t="s">
        <v>50</v>
      </c>
      <c r="J197" t="s">
        <v>29</v>
      </c>
      <c r="K197">
        <v>5</v>
      </c>
      <c r="L197">
        <v>1</v>
      </c>
      <c r="M197">
        <v>4</v>
      </c>
      <c r="N197">
        <v>4</v>
      </c>
      <c r="O197">
        <v>1</v>
      </c>
      <c r="P197">
        <v>3</v>
      </c>
      <c r="Q197">
        <v>2</v>
      </c>
      <c r="R197">
        <v>4</v>
      </c>
      <c r="S197">
        <v>4</v>
      </c>
      <c r="T197">
        <v>3</v>
      </c>
      <c r="U197" t="s">
        <v>37</v>
      </c>
      <c r="V197" t="s">
        <v>54</v>
      </c>
      <c r="W197" t="s">
        <v>47</v>
      </c>
      <c r="X197" t="s">
        <v>40</v>
      </c>
      <c r="Y197">
        <v>20</v>
      </c>
      <c r="Z197" s="1">
        <v>45278</v>
      </c>
      <c r="AA197" t="str" cm="1">
        <f t="array" ref="AA197">_xlfn.IFS(AND(Table2[[#This Row],[Guest_Age]]&gt;=18,Table2[[#This Row],[Guest_Age]]&lt;=25),"Young Adults",AND(Table2[[#This Row],[Guest_Age]]&gt;=26,Table2[[#This Row],[Guest_Age]]&lt;=35),"Adults",AND(Table2[[#This Row],[Guest_Age]]&gt;=36,Table2[[#This Row],[Guest_Age]]&lt;=50),"Middle Aged Adults",Table2[[#This Row],[Guest_Age]]&gt;50,"Senior")</f>
        <v>Young Adults</v>
      </c>
      <c r="AB1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7" t="str" cm="1">
        <f t="array" ref="AC197">_xlfn.IFS(Table2[[#This Row],[Satification_points]]&gt;=4.5,"GREAT",AND(Table2[[#This Row],[Satification_points]]&gt;=4,Table2[[#This Row],[Satification_points]]&lt;4.5),"GOOD",AND(Table2[[#This Row],[Satification_points]]&gt;=3,Table2[[#This Row],[Satification_points]]&lt;4),"AVERAGE",Table2[[#This Row],[Satification_points]]&lt;3,"POOR")</f>
        <v>AVERAGE</v>
      </c>
    </row>
    <row r="198" spans="1:29" x14ac:dyDescent="0.3">
      <c r="A198">
        <v>197</v>
      </c>
      <c r="B198">
        <v>81431</v>
      </c>
      <c r="C198" t="s">
        <v>254</v>
      </c>
      <c r="D198" t="s">
        <v>41</v>
      </c>
      <c r="E198" t="s">
        <v>35</v>
      </c>
      <c r="F198" s="1">
        <v>45149</v>
      </c>
      <c r="G198" s="1">
        <v>45478</v>
      </c>
      <c r="H198">
        <v>5</v>
      </c>
      <c r="I198" t="s">
        <v>49</v>
      </c>
      <c r="J198" t="s">
        <v>53</v>
      </c>
      <c r="K198">
        <v>1</v>
      </c>
      <c r="L198">
        <v>4</v>
      </c>
      <c r="M198">
        <v>1</v>
      </c>
      <c r="N198">
        <v>1</v>
      </c>
      <c r="O198">
        <v>3</v>
      </c>
      <c r="P198">
        <v>3</v>
      </c>
      <c r="Q198">
        <v>3</v>
      </c>
      <c r="R198">
        <v>1</v>
      </c>
      <c r="S198">
        <v>3</v>
      </c>
      <c r="T198">
        <v>4</v>
      </c>
      <c r="U198" t="s">
        <v>37</v>
      </c>
      <c r="V198" t="s">
        <v>54</v>
      </c>
      <c r="W198" t="s">
        <v>47</v>
      </c>
      <c r="X198" t="s">
        <v>40</v>
      </c>
      <c r="Y198">
        <v>18</v>
      </c>
      <c r="Z198" s="1">
        <v>45478</v>
      </c>
      <c r="AA198" t="str" cm="1">
        <f t="array" ref="AA198">_xlfn.IFS(AND(Table2[[#This Row],[Guest_Age]]&gt;=18,Table2[[#This Row],[Guest_Age]]&lt;=25),"Young Adults",AND(Table2[[#This Row],[Guest_Age]]&gt;=26,Table2[[#This Row],[Guest_Age]]&lt;=35),"Adults",AND(Table2[[#This Row],[Guest_Age]]&gt;=36,Table2[[#This Row],[Guest_Age]]&lt;=50),"Middle Aged Adults",Table2[[#This Row],[Guest_Age]]&gt;50,"Senior")</f>
        <v>Young Adults</v>
      </c>
      <c r="AB1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8" t="str" cm="1">
        <f t="array" ref="AC198">_xlfn.IFS(Table2[[#This Row],[Satification_points]]&gt;=4.5,"GREAT",AND(Table2[[#This Row],[Satification_points]]&gt;=4,Table2[[#This Row],[Satification_points]]&lt;4.5),"GOOD",AND(Table2[[#This Row],[Satification_points]]&gt;=3,Table2[[#This Row],[Satification_points]]&lt;4),"AVERAGE",Table2[[#This Row],[Satification_points]]&lt;3,"POOR")</f>
        <v>POOR</v>
      </c>
    </row>
    <row r="199" spans="1:29" x14ac:dyDescent="0.3">
      <c r="A199">
        <v>198</v>
      </c>
      <c r="B199">
        <v>32081</v>
      </c>
      <c r="C199" t="s">
        <v>255</v>
      </c>
      <c r="D199" t="s">
        <v>48</v>
      </c>
      <c r="E199" t="s">
        <v>52</v>
      </c>
      <c r="F199" s="1">
        <v>45084</v>
      </c>
      <c r="G199" s="1">
        <v>45666</v>
      </c>
      <c r="H199">
        <v>8</v>
      </c>
      <c r="I199" t="s">
        <v>28</v>
      </c>
      <c r="J199" t="s">
        <v>40</v>
      </c>
      <c r="K199">
        <v>4</v>
      </c>
      <c r="L199">
        <v>2</v>
      </c>
      <c r="M199">
        <v>3</v>
      </c>
      <c r="N199">
        <v>3</v>
      </c>
      <c r="O199">
        <v>2</v>
      </c>
      <c r="P199">
        <v>5</v>
      </c>
      <c r="Q199">
        <v>4</v>
      </c>
      <c r="R199">
        <v>5</v>
      </c>
      <c r="S199">
        <v>4</v>
      </c>
      <c r="T199">
        <v>5</v>
      </c>
      <c r="U199" t="s">
        <v>37</v>
      </c>
      <c r="V199" t="s">
        <v>38</v>
      </c>
      <c r="W199" t="s">
        <v>39</v>
      </c>
      <c r="X199" t="s">
        <v>44</v>
      </c>
      <c r="Y199">
        <v>49</v>
      </c>
      <c r="Z199" s="1">
        <v>45666</v>
      </c>
      <c r="AA199" t="str" cm="1">
        <f t="array" ref="AA1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99" t="str" cm="1">
        <f t="array" ref="AC199">_xlfn.IFS(Table2[[#This Row],[Satification_points]]&gt;=4.5,"GREAT",AND(Table2[[#This Row],[Satification_points]]&gt;=4,Table2[[#This Row],[Satification_points]]&lt;4.5),"GOOD",AND(Table2[[#This Row],[Satification_points]]&gt;=3,Table2[[#This Row],[Satification_points]]&lt;4),"AVERAGE",Table2[[#This Row],[Satification_points]]&lt;3,"POOR")</f>
        <v>AVERAGE</v>
      </c>
    </row>
    <row r="200" spans="1:29" x14ac:dyDescent="0.3">
      <c r="A200">
        <v>199</v>
      </c>
      <c r="B200">
        <v>54732</v>
      </c>
      <c r="C200" t="s">
        <v>256</v>
      </c>
      <c r="D200" t="s">
        <v>41</v>
      </c>
      <c r="E200" t="s">
        <v>35</v>
      </c>
      <c r="F200" s="1">
        <v>44973</v>
      </c>
      <c r="G200" s="1">
        <v>45267</v>
      </c>
      <c r="H200">
        <v>14</v>
      </c>
      <c r="I200" t="s">
        <v>42</v>
      </c>
      <c r="J200" t="s">
        <v>36</v>
      </c>
      <c r="K200">
        <v>4</v>
      </c>
      <c r="L200">
        <v>5</v>
      </c>
      <c r="M200">
        <v>2</v>
      </c>
      <c r="N200">
        <v>5</v>
      </c>
      <c r="O200">
        <v>3</v>
      </c>
      <c r="P200">
        <v>1</v>
      </c>
      <c r="Q200">
        <v>4</v>
      </c>
      <c r="R200">
        <v>3</v>
      </c>
      <c r="S200">
        <v>2</v>
      </c>
      <c r="T200">
        <v>1</v>
      </c>
      <c r="U200" t="s">
        <v>30</v>
      </c>
      <c r="V200" t="s">
        <v>38</v>
      </c>
      <c r="W200" t="s">
        <v>56</v>
      </c>
      <c r="X200" t="s">
        <v>40</v>
      </c>
      <c r="Y200">
        <v>56</v>
      </c>
      <c r="Z200" s="1">
        <v>45643</v>
      </c>
      <c r="AA200" t="str" cm="1">
        <f t="array" ref="AA200">_xlfn.IFS(AND(Table2[[#This Row],[Guest_Age]]&gt;=18,Table2[[#This Row],[Guest_Age]]&lt;=25),"Young Adults",AND(Table2[[#This Row],[Guest_Age]]&gt;=26,Table2[[#This Row],[Guest_Age]]&lt;=35),"Adults",AND(Table2[[#This Row],[Guest_Age]]&gt;=36,Table2[[#This Row],[Guest_Age]]&lt;=50),"Middle Aged Adults",Table2[[#This Row],[Guest_Age]]&gt;50,"Senior")</f>
        <v>Senior</v>
      </c>
      <c r="AB2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00" t="str" cm="1">
        <f t="array" ref="AC200">_xlfn.IFS(Table2[[#This Row],[Satification_points]]&gt;=4.5,"GREAT",AND(Table2[[#This Row],[Satification_points]]&gt;=4,Table2[[#This Row],[Satification_points]]&lt;4.5),"GOOD",AND(Table2[[#This Row],[Satification_points]]&gt;=3,Table2[[#This Row],[Satification_points]]&lt;4),"AVERAGE",Table2[[#This Row],[Satification_points]]&lt;3,"POOR")</f>
        <v>AVERAGE</v>
      </c>
    </row>
    <row r="201" spans="1:29" x14ac:dyDescent="0.3">
      <c r="A201">
        <v>200</v>
      </c>
      <c r="B201">
        <v>97904</v>
      </c>
      <c r="C201" t="s">
        <v>257</v>
      </c>
      <c r="D201" t="s">
        <v>48</v>
      </c>
      <c r="E201" t="s">
        <v>27</v>
      </c>
      <c r="F201" s="1">
        <v>45648</v>
      </c>
      <c r="G201" s="1">
        <v>45649</v>
      </c>
      <c r="H201">
        <v>12</v>
      </c>
      <c r="I201" t="s">
        <v>42</v>
      </c>
      <c r="J201" t="s">
        <v>53</v>
      </c>
      <c r="K201">
        <v>1</v>
      </c>
      <c r="L201">
        <v>4</v>
      </c>
      <c r="M201">
        <v>3</v>
      </c>
      <c r="N201">
        <v>1</v>
      </c>
      <c r="O201">
        <v>4</v>
      </c>
      <c r="P201">
        <v>4</v>
      </c>
      <c r="Q201">
        <v>4</v>
      </c>
      <c r="R201">
        <v>3</v>
      </c>
      <c r="S201">
        <v>5</v>
      </c>
      <c r="T201">
        <v>5</v>
      </c>
      <c r="U201" t="s">
        <v>37</v>
      </c>
      <c r="V201" t="s">
        <v>31</v>
      </c>
      <c r="W201" t="s">
        <v>32</v>
      </c>
      <c r="X201" t="s">
        <v>40</v>
      </c>
      <c r="Y201">
        <v>38</v>
      </c>
      <c r="Z201" s="1">
        <v>45649</v>
      </c>
      <c r="AA201" t="str" cm="1">
        <f t="array" ref="AA201">_xlfn.IFS(AND(Table2[[#This Row],[Guest_Age]]&gt;=18,Table2[[#This Row],[Guest_Age]]&lt;=25),"Young Adults",AND(Table2[[#This Row],[Guest_Age]]&gt;=26,Table2[[#This Row],[Guest_Age]]&lt;=35),"Adults",AND(Table2[[#This Row],[Guest_Age]]&gt;=36,Table2[[#This Row],[Guest_Age]]&lt;=50),"Middle Aged Adults",Table2[[#This Row],[Guest_Age]]&gt;50,"Senior")</f>
        <v>Middle Aged Adults</v>
      </c>
      <c r="AB2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01" t="str" cm="1">
        <f t="array" ref="AC201">_xlfn.IFS(Table2[[#This Row],[Satification_points]]&gt;=4.5,"GREAT",AND(Table2[[#This Row],[Satification_points]]&gt;=4,Table2[[#This Row],[Satification_points]]&lt;4.5),"GOOD",AND(Table2[[#This Row],[Satification_points]]&gt;=3,Table2[[#This Row],[Satification_points]]&lt;4),"AVERAGE",Table2[[#This Row],[Satification_points]]&lt;3,"POOR")</f>
        <v>AVERAGE</v>
      </c>
    </row>
    <row r="202" spans="1:29" x14ac:dyDescent="0.3">
      <c r="A202">
        <v>201</v>
      </c>
      <c r="B202">
        <v>66867</v>
      </c>
      <c r="C202" t="s">
        <v>258</v>
      </c>
      <c r="D202" t="s">
        <v>34</v>
      </c>
      <c r="E202" t="s">
        <v>35</v>
      </c>
      <c r="F202" s="1">
        <v>45459</v>
      </c>
      <c r="G202" s="1">
        <v>45460</v>
      </c>
      <c r="H202">
        <v>3</v>
      </c>
      <c r="I202" t="s">
        <v>49</v>
      </c>
      <c r="J202" t="s">
        <v>29</v>
      </c>
      <c r="K202">
        <v>5</v>
      </c>
      <c r="L202">
        <v>4</v>
      </c>
      <c r="M202">
        <v>3</v>
      </c>
      <c r="N202">
        <v>2</v>
      </c>
      <c r="O202">
        <v>4</v>
      </c>
      <c r="P202">
        <v>1</v>
      </c>
      <c r="Q202">
        <v>3</v>
      </c>
      <c r="R202">
        <v>4</v>
      </c>
      <c r="S202">
        <v>4</v>
      </c>
      <c r="T202">
        <v>1</v>
      </c>
      <c r="U202" t="s">
        <v>37</v>
      </c>
      <c r="V202" t="s">
        <v>54</v>
      </c>
      <c r="W202" t="s">
        <v>56</v>
      </c>
      <c r="X202" t="s">
        <v>33</v>
      </c>
      <c r="Y202">
        <v>19</v>
      </c>
      <c r="Z202" s="1">
        <v>45460</v>
      </c>
      <c r="AA202" t="str" cm="1">
        <f t="array" ref="AA202">_xlfn.IFS(AND(Table2[[#This Row],[Guest_Age]]&gt;=18,Table2[[#This Row],[Guest_Age]]&lt;=25),"Young Adults",AND(Table2[[#This Row],[Guest_Age]]&gt;=26,Table2[[#This Row],[Guest_Age]]&lt;=35),"Adults",AND(Table2[[#This Row],[Guest_Age]]&gt;=36,Table2[[#This Row],[Guest_Age]]&lt;=50),"Middle Aged Adults",Table2[[#This Row],[Guest_Age]]&gt;50,"Senior")</f>
        <v>Young Adults</v>
      </c>
      <c r="AB2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02" t="str" cm="1">
        <f t="array" ref="AC202">_xlfn.IFS(Table2[[#This Row],[Satification_points]]&gt;=4.5,"GREAT",AND(Table2[[#This Row],[Satification_points]]&gt;=4,Table2[[#This Row],[Satification_points]]&lt;4.5),"GOOD",AND(Table2[[#This Row],[Satification_points]]&gt;=3,Table2[[#This Row],[Satification_points]]&lt;4),"AVERAGE",Table2[[#This Row],[Satification_points]]&lt;3,"POOR")</f>
        <v>AVERAGE</v>
      </c>
    </row>
    <row r="203" spans="1:29" x14ac:dyDescent="0.3">
      <c r="A203">
        <v>202</v>
      </c>
      <c r="B203">
        <v>66899</v>
      </c>
      <c r="C203" t="s">
        <v>259</v>
      </c>
      <c r="D203" t="s">
        <v>51</v>
      </c>
      <c r="E203" t="s">
        <v>35</v>
      </c>
      <c r="F203" s="1">
        <v>45277</v>
      </c>
      <c r="G203" s="1">
        <v>45367</v>
      </c>
      <c r="H203">
        <v>14</v>
      </c>
      <c r="I203" t="s">
        <v>50</v>
      </c>
      <c r="J203" t="s">
        <v>43</v>
      </c>
      <c r="K203">
        <v>5</v>
      </c>
      <c r="L203">
        <v>4</v>
      </c>
      <c r="M203">
        <v>3</v>
      </c>
      <c r="N203">
        <v>5</v>
      </c>
      <c r="O203">
        <v>5</v>
      </c>
      <c r="P203">
        <v>2</v>
      </c>
      <c r="Q203">
        <v>4</v>
      </c>
      <c r="R203">
        <v>1</v>
      </c>
      <c r="S203">
        <v>1</v>
      </c>
      <c r="T203">
        <v>1</v>
      </c>
      <c r="U203" t="s">
        <v>30</v>
      </c>
      <c r="V203" t="s">
        <v>38</v>
      </c>
      <c r="W203" t="s">
        <v>55</v>
      </c>
      <c r="X203" t="s">
        <v>40</v>
      </c>
      <c r="Y203">
        <v>27</v>
      </c>
      <c r="Z203" s="1">
        <v>45367</v>
      </c>
      <c r="AA203" t="str" cm="1">
        <f t="array" ref="AA203">_xlfn.IFS(AND(Table2[[#This Row],[Guest_Age]]&gt;=18,Table2[[#This Row],[Guest_Age]]&lt;=25),"Young Adults",AND(Table2[[#This Row],[Guest_Age]]&gt;=26,Table2[[#This Row],[Guest_Age]]&lt;=35),"Adults",AND(Table2[[#This Row],[Guest_Age]]&gt;=36,Table2[[#This Row],[Guest_Age]]&lt;=50),"Middle Aged Adults",Table2[[#This Row],[Guest_Age]]&gt;50,"Senior")</f>
        <v>Adults</v>
      </c>
      <c r="AB2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03" t="str" cm="1">
        <f t="array" ref="AC203">_xlfn.IFS(Table2[[#This Row],[Satification_points]]&gt;=4.5,"GREAT",AND(Table2[[#This Row],[Satification_points]]&gt;=4,Table2[[#This Row],[Satification_points]]&lt;4.5),"GOOD",AND(Table2[[#This Row],[Satification_points]]&gt;=3,Table2[[#This Row],[Satification_points]]&lt;4),"AVERAGE",Table2[[#This Row],[Satification_points]]&lt;3,"POOR")</f>
        <v>AVERAGE</v>
      </c>
    </row>
    <row r="204" spans="1:29" x14ac:dyDescent="0.3">
      <c r="A204">
        <v>203</v>
      </c>
      <c r="B204">
        <v>12155</v>
      </c>
      <c r="C204" t="s">
        <v>260</v>
      </c>
      <c r="D204" t="s">
        <v>51</v>
      </c>
      <c r="E204" t="s">
        <v>45</v>
      </c>
      <c r="F204" s="1">
        <v>45245</v>
      </c>
      <c r="G204" s="1">
        <v>45246</v>
      </c>
      <c r="H204">
        <v>5</v>
      </c>
      <c r="I204" t="s">
        <v>42</v>
      </c>
      <c r="J204" t="s">
        <v>36</v>
      </c>
      <c r="K204">
        <v>5</v>
      </c>
      <c r="L204">
        <v>5</v>
      </c>
      <c r="M204">
        <v>4</v>
      </c>
      <c r="N204">
        <v>5</v>
      </c>
      <c r="O204">
        <v>1</v>
      </c>
      <c r="P204">
        <v>1</v>
      </c>
      <c r="Q204">
        <v>2</v>
      </c>
      <c r="R204">
        <v>4</v>
      </c>
      <c r="S204">
        <v>1</v>
      </c>
      <c r="T204">
        <v>2</v>
      </c>
      <c r="U204" t="s">
        <v>37</v>
      </c>
      <c r="V204" t="s">
        <v>54</v>
      </c>
      <c r="W204" t="s">
        <v>47</v>
      </c>
      <c r="X204" t="s">
        <v>33</v>
      </c>
      <c r="Y204">
        <v>48</v>
      </c>
      <c r="Z204" s="1">
        <v>45246</v>
      </c>
      <c r="AA204" t="str" cm="1">
        <f t="array" ref="AA204">_xlfn.IFS(AND(Table2[[#This Row],[Guest_Age]]&gt;=18,Table2[[#This Row],[Guest_Age]]&lt;=25),"Young Adults",AND(Table2[[#This Row],[Guest_Age]]&gt;=26,Table2[[#This Row],[Guest_Age]]&lt;=35),"Adults",AND(Table2[[#This Row],[Guest_Age]]&gt;=36,Table2[[#This Row],[Guest_Age]]&lt;=50),"Middle Aged Adults",Table2[[#This Row],[Guest_Age]]&gt;50,"Senior")</f>
        <v>Middle Aged Adults</v>
      </c>
      <c r="AB2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04" t="str" cm="1">
        <f t="array" ref="AC204">_xlfn.IFS(Table2[[#This Row],[Satification_points]]&gt;=4.5,"GREAT",AND(Table2[[#This Row],[Satification_points]]&gt;=4,Table2[[#This Row],[Satification_points]]&lt;4.5),"GOOD",AND(Table2[[#This Row],[Satification_points]]&gt;=3,Table2[[#This Row],[Satification_points]]&lt;4),"AVERAGE",Table2[[#This Row],[Satification_points]]&lt;3,"POOR")</f>
        <v>AVERAGE</v>
      </c>
    </row>
    <row r="205" spans="1:29" x14ac:dyDescent="0.3">
      <c r="A205">
        <v>204</v>
      </c>
      <c r="B205">
        <v>39903</v>
      </c>
      <c r="C205" t="s">
        <v>261</v>
      </c>
      <c r="D205" t="s">
        <v>26</v>
      </c>
      <c r="E205" t="s">
        <v>57</v>
      </c>
      <c r="F205" s="1">
        <v>45157</v>
      </c>
      <c r="G205" s="1">
        <v>45158</v>
      </c>
      <c r="H205">
        <v>11</v>
      </c>
      <c r="I205" t="s">
        <v>50</v>
      </c>
      <c r="J205" t="s">
        <v>36</v>
      </c>
      <c r="K205">
        <v>4</v>
      </c>
      <c r="L205">
        <v>1</v>
      </c>
      <c r="M205">
        <v>4</v>
      </c>
      <c r="N205">
        <v>4</v>
      </c>
      <c r="O205">
        <v>3</v>
      </c>
      <c r="P205">
        <v>3</v>
      </c>
      <c r="Q205">
        <v>2</v>
      </c>
      <c r="R205">
        <v>5</v>
      </c>
      <c r="S205">
        <v>2</v>
      </c>
      <c r="T205">
        <v>5</v>
      </c>
      <c r="U205" t="s">
        <v>30</v>
      </c>
      <c r="V205" t="s">
        <v>46</v>
      </c>
      <c r="W205" t="s">
        <v>56</v>
      </c>
      <c r="X205" t="s">
        <v>44</v>
      </c>
      <c r="Y205">
        <v>35</v>
      </c>
      <c r="Z205" s="1">
        <v>45158</v>
      </c>
      <c r="AA205" t="str" cm="1">
        <f t="array" ref="AA205">_xlfn.IFS(AND(Table2[[#This Row],[Guest_Age]]&gt;=18,Table2[[#This Row],[Guest_Age]]&lt;=25),"Young Adults",AND(Table2[[#This Row],[Guest_Age]]&gt;=26,Table2[[#This Row],[Guest_Age]]&lt;=35),"Adults",AND(Table2[[#This Row],[Guest_Age]]&gt;=36,Table2[[#This Row],[Guest_Age]]&lt;=50),"Middle Aged Adults",Table2[[#This Row],[Guest_Age]]&gt;50,"Senior")</f>
        <v>Adults</v>
      </c>
      <c r="AB2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05" t="str" cm="1">
        <f t="array" ref="AC205">_xlfn.IFS(Table2[[#This Row],[Satification_points]]&gt;=4.5,"GREAT",AND(Table2[[#This Row],[Satification_points]]&gt;=4,Table2[[#This Row],[Satification_points]]&lt;4.5),"GOOD",AND(Table2[[#This Row],[Satification_points]]&gt;=3,Table2[[#This Row],[Satification_points]]&lt;4),"AVERAGE",Table2[[#This Row],[Satification_points]]&lt;3,"POOR")</f>
        <v>AVERAGE</v>
      </c>
    </row>
    <row r="206" spans="1:29" x14ac:dyDescent="0.3">
      <c r="A206">
        <v>205</v>
      </c>
      <c r="B206">
        <v>39393</v>
      </c>
      <c r="C206" t="s">
        <v>262</v>
      </c>
      <c r="D206" t="s">
        <v>48</v>
      </c>
      <c r="E206" t="s">
        <v>27</v>
      </c>
      <c r="F206" s="1">
        <v>45224</v>
      </c>
      <c r="G206" s="1">
        <v>45574</v>
      </c>
      <c r="H206">
        <v>6</v>
      </c>
      <c r="I206" t="s">
        <v>50</v>
      </c>
      <c r="J206" t="s">
        <v>29</v>
      </c>
      <c r="K206">
        <v>4</v>
      </c>
      <c r="L206">
        <v>3</v>
      </c>
      <c r="M206">
        <v>2</v>
      </c>
      <c r="N206">
        <v>3</v>
      </c>
      <c r="O206">
        <v>4</v>
      </c>
      <c r="P206">
        <v>4</v>
      </c>
      <c r="Q206">
        <v>5</v>
      </c>
      <c r="R206">
        <v>2</v>
      </c>
      <c r="S206">
        <v>4</v>
      </c>
      <c r="T206">
        <v>1</v>
      </c>
      <c r="U206" t="s">
        <v>37</v>
      </c>
      <c r="V206" t="s">
        <v>46</v>
      </c>
      <c r="W206" t="s">
        <v>56</v>
      </c>
      <c r="X206" t="s">
        <v>33</v>
      </c>
      <c r="Y206">
        <v>24</v>
      </c>
      <c r="Z206" s="1">
        <v>45574</v>
      </c>
      <c r="AA206" t="str" cm="1">
        <f t="array" ref="AA206">_xlfn.IFS(AND(Table2[[#This Row],[Guest_Age]]&gt;=18,Table2[[#This Row],[Guest_Age]]&lt;=25),"Young Adults",AND(Table2[[#This Row],[Guest_Age]]&gt;=26,Table2[[#This Row],[Guest_Age]]&lt;=35),"Adults",AND(Table2[[#This Row],[Guest_Age]]&gt;=36,Table2[[#This Row],[Guest_Age]]&lt;=50),"Middle Aged Adults",Table2[[#This Row],[Guest_Age]]&gt;50,"Senior")</f>
        <v>Young Adults</v>
      </c>
      <c r="AB2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06" t="str" cm="1">
        <f t="array" ref="AC206">_xlfn.IFS(Table2[[#This Row],[Satification_points]]&gt;=4.5,"GREAT",AND(Table2[[#This Row],[Satification_points]]&gt;=4,Table2[[#This Row],[Satification_points]]&lt;4.5),"GOOD",AND(Table2[[#This Row],[Satification_points]]&gt;=3,Table2[[#This Row],[Satification_points]]&lt;4),"AVERAGE",Table2[[#This Row],[Satification_points]]&lt;3,"POOR")</f>
        <v>AVERAGE</v>
      </c>
    </row>
    <row r="207" spans="1:29" x14ac:dyDescent="0.3">
      <c r="A207">
        <v>206</v>
      </c>
      <c r="B207">
        <v>56509</v>
      </c>
      <c r="C207" t="s">
        <v>263</v>
      </c>
      <c r="D207" t="s">
        <v>26</v>
      </c>
      <c r="E207" t="s">
        <v>27</v>
      </c>
      <c r="F207" s="1">
        <v>45371</v>
      </c>
      <c r="G207" s="1">
        <v>45484</v>
      </c>
      <c r="H207">
        <v>1</v>
      </c>
      <c r="I207" t="s">
        <v>28</v>
      </c>
      <c r="J207" t="s">
        <v>43</v>
      </c>
      <c r="K207">
        <v>5</v>
      </c>
      <c r="L207">
        <v>5</v>
      </c>
      <c r="M207">
        <v>1</v>
      </c>
      <c r="N207">
        <v>4</v>
      </c>
      <c r="O207">
        <v>5</v>
      </c>
      <c r="P207">
        <v>5</v>
      </c>
      <c r="Q207">
        <v>4</v>
      </c>
      <c r="R207">
        <v>5</v>
      </c>
      <c r="S207">
        <v>4</v>
      </c>
      <c r="T207">
        <v>1</v>
      </c>
      <c r="U207" t="s">
        <v>30</v>
      </c>
      <c r="V207" t="s">
        <v>46</v>
      </c>
      <c r="W207" t="s">
        <v>32</v>
      </c>
      <c r="X207" t="s">
        <v>44</v>
      </c>
      <c r="Y207">
        <v>22</v>
      </c>
      <c r="Z207" s="1">
        <v>45484</v>
      </c>
      <c r="AA207" t="str" cm="1">
        <f t="array" ref="AA207">_xlfn.IFS(AND(Table2[[#This Row],[Guest_Age]]&gt;=18,Table2[[#This Row],[Guest_Age]]&lt;=25),"Young Adults",AND(Table2[[#This Row],[Guest_Age]]&gt;=26,Table2[[#This Row],[Guest_Age]]&lt;=35),"Adults",AND(Table2[[#This Row],[Guest_Age]]&gt;=36,Table2[[#This Row],[Guest_Age]]&lt;=50),"Middle Aged Adults",Table2[[#This Row],[Guest_Age]]&gt;50,"Senior")</f>
        <v>Young Adults</v>
      </c>
      <c r="AB2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207" t="str" cm="1">
        <f t="array" ref="AC207">_xlfn.IFS(Table2[[#This Row],[Satification_points]]&gt;=4.5,"GREAT",AND(Table2[[#This Row],[Satification_points]]&gt;=4,Table2[[#This Row],[Satification_points]]&lt;4.5),"GOOD",AND(Table2[[#This Row],[Satification_points]]&gt;=3,Table2[[#This Row],[Satification_points]]&lt;4),"AVERAGE",Table2[[#This Row],[Satification_points]]&lt;3,"POOR")</f>
        <v>AVERAGE</v>
      </c>
    </row>
    <row r="208" spans="1:29" x14ac:dyDescent="0.3">
      <c r="A208">
        <v>207</v>
      </c>
      <c r="B208">
        <v>58234</v>
      </c>
      <c r="C208" t="s">
        <v>264</v>
      </c>
      <c r="D208" t="s">
        <v>51</v>
      </c>
      <c r="E208" t="s">
        <v>52</v>
      </c>
      <c r="F208" s="1">
        <v>45031</v>
      </c>
      <c r="G208" s="1">
        <v>45205</v>
      </c>
      <c r="H208">
        <v>2</v>
      </c>
      <c r="I208" t="s">
        <v>42</v>
      </c>
      <c r="J208" t="s">
        <v>36</v>
      </c>
      <c r="K208">
        <v>4</v>
      </c>
      <c r="L208">
        <v>1</v>
      </c>
      <c r="M208">
        <v>1</v>
      </c>
      <c r="N208">
        <v>4</v>
      </c>
      <c r="O208">
        <v>5</v>
      </c>
      <c r="P208">
        <v>1</v>
      </c>
      <c r="Q208">
        <v>4</v>
      </c>
      <c r="R208">
        <v>1</v>
      </c>
      <c r="S208">
        <v>3</v>
      </c>
      <c r="T208">
        <v>3</v>
      </c>
      <c r="U208" t="s">
        <v>30</v>
      </c>
      <c r="V208" t="s">
        <v>54</v>
      </c>
      <c r="W208" t="s">
        <v>55</v>
      </c>
      <c r="X208" t="s">
        <v>33</v>
      </c>
      <c r="Y208">
        <v>46</v>
      </c>
      <c r="Z208" s="1">
        <v>45270</v>
      </c>
      <c r="AA208" t="str" cm="1">
        <f t="array" ref="AA2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2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08" t="str" cm="1">
        <f t="array" ref="AC208">_xlfn.IFS(Table2[[#This Row],[Satification_points]]&gt;=4.5,"GREAT",AND(Table2[[#This Row],[Satification_points]]&gt;=4,Table2[[#This Row],[Satification_points]]&lt;4.5),"GOOD",AND(Table2[[#This Row],[Satification_points]]&gt;=3,Table2[[#This Row],[Satification_points]]&lt;4),"AVERAGE",Table2[[#This Row],[Satification_points]]&lt;3,"POOR")</f>
        <v>POOR</v>
      </c>
    </row>
    <row r="209" spans="1:29" x14ac:dyDescent="0.3">
      <c r="A209">
        <v>208</v>
      </c>
      <c r="B209">
        <v>93835</v>
      </c>
      <c r="C209" t="s">
        <v>265</v>
      </c>
      <c r="D209" t="s">
        <v>26</v>
      </c>
      <c r="E209" t="s">
        <v>35</v>
      </c>
      <c r="F209" s="1">
        <v>45564</v>
      </c>
      <c r="G209" s="1">
        <v>45565</v>
      </c>
      <c r="H209">
        <v>7</v>
      </c>
      <c r="I209" t="s">
        <v>49</v>
      </c>
      <c r="J209" t="s">
        <v>53</v>
      </c>
      <c r="K209">
        <v>3</v>
      </c>
      <c r="L209">
        <v>2</v>
      </c>
      <c r="M209">
        <v>1</v>
      </c>
      <c r="N209">
        <v>3</v>
      </c>
      <c r="O209">
        <v>3</v>
      </c>
      <c r="P209">
        <v>4</v>
      </c>
      <c r="Q209">
        <v>2</v>
      </c>
      <c r="R209">
        <v>2</v>
      </c>
      <c r="S209">
        <v>4</v>
      </c>
      <c r="T209">
        <v>5</v>
      </c>
      <c r="U209" t="s">
        <v>37</v>
      </c>
      <c r="V209" t="s">
        <v>54</v>
      </c>
      <c r="W209" t="s">
        <v>47</v>
      </c>
      <c r="X209" t="s">
        <v>33</v>
      </c>
      <c r="Y209">
        <v>21</v>
      </c>
      <c r="Z209" s="1">
        <v>45565</v>
      </c>
      <c r="AA209" t="str" cm="1">
        <f t="array" ref="AA209">_xlfn.IFS(AND(Table2[[#This Row],[Guest_Age]]&gt;=18,Table2[[#This Row],[Guest_Age]]&lt;=25),"Young Adults",AND(Table2[[#This Row],[Guest_Age]]&gt;=26,Table2[[#This Row],[Guest_Age]]&lt;=35),"Adults",AND(Table2[[#This Row],[Guest_Age]]&gt;=36,Table2[[#This Row],[Guest_Age]]&lt;=50),"Middle Aged Adults",Table2[[#This Row],[Guest_Age]]&gt;50,"Senior")</f>
        <v>Young Adults</v>
      </c>
      <c r="AB2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09" t="str" cm="1">
        <f t="array" ref="AC209">_xlfn.IFS(Table2[[#This Row],[Satification_points]]&gt;=4.5,"GREAT",AND(Table2[[#This Row],[Satification_points]]&gt;=4,Table2[[#This Row],[Satification_points]]&lt;4.5),"GOOD",AND(Table2[[#This Row],[Satification_points]]&gt;=3,Table2[[#This Row],[Satification_points]]&lt;4),"AVERAGE",Table2[[#This Row],[Satification_points]]&lt;3,"POOR")</f>
        <v>POOR</v>
      </c>
    </row>
    <row r="210" spans="1:29" x14ac:dyDescent="0.3">
      <c r="A210">
        <v>209</v>
      </c>
      <c r="B210">
        <v>40101</v>
      </c>
      <c r="C210" t="s">
        <v>266</v>
      </c>
      <c r="D210" t="s">
        <v>34</v>
      </c>
      <c r="E210" t="s">
        <v>35</v>
      </c>
      <c r="F210" s="1">
        <v>45225</v>
      </c>
      <c r="G210" s="1">
        <v>45305</v>
      </c>
      <c r="H210">
        <v>9</v>
      </c>
      <c r="I210" t="s">
        <v>50</v>
      </c>
      <c r="J210" t="s">
        <v>29</v>
      </c>
      <c r="K210">
        <v>4</v>
      </c>
      <c r="L210">
        <v>1</v>
      </c>
      <c r="M210">
        <v>3</v>
      </c>
      <c r="N210">
        <v>3</v>
      </c>
      <c r="O210">
        <v>1</v>
      </c>
      <c r="P210">
        <v>4</v>
      </c>
      <c r="Q210">
        <v>2</v>
      </c>
      <c r="R210">
        <v>3</v>
      </c>
      <c r="S210">
        <v>4</v>
      </c>
      <c r="T210">
        <v>3</v>
      </c>
      <c r="U210" t="s">
        <v>30</v>
      </c>
      <c r="V210" t="s">
        <v>38</v>
      </c>
      <c r="W210" t="s">
        <v>32</v>
      </c>
      <c r="X210" t="s">
        <v>40</v>
      </c>
      <c r="Y210">
        <v>63</v>
      </c>
      <c r="Z210" s="1">
        <v>45494</v>
      </c>
      <c r="AA210" t="str" cm="1">
        <f t="array" ref="AA210">_xlfn.IFS(AND(Table2[[#This Row],[Guest_Age]]&gt;=18,Table2[[#This Row],[Guest_Age]]&lt;=25),"Young Adults",AND(Table2[[#This Row],[Guest_Age]]&gt;=26,Table2[[#This Row],[Guest_Age]]&lt;=35),"Adults",AND(Table2[[#This Row],[Guest_Age]]&gt;=36,Table2[[#This Row],[Guest_Age]]&lt;=50),"Middle Aged Adults",Table2[[#This Row],[Guest_Age]]&gt;50,"Senior")</f>
        <v>Senior</v>
      </c>
      <c r="AB2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10" t="str" cm="1">
        <f t="array" ref="AC210">_xlfn.IFS(Table2[[#This Row],[Satification_points]]&gt;=4.5,"GREAT",AND(Table2[[#This Row],[Satification_points]]&gt;=4,Table2[[#This Row],[Satification_points]]&lt;4.5),"GOOD",AND(Table2[[#This Row],[Satification_points]]&gt;=3,Table2[[#This Row],[Satification_points]]&lt;4),"AVERAGE",Table2[[#This Row],[Satification_points]]&lt;3,"POOR")</f>
        <v>POOR</v>
      </c>
    </row>
    <row r="211" spans="1:29" x14ac:dyDescent="0.3">
      <c r="A211">
        <v>210</v>
      </c>
      <c r="B211">
        <v>24213</v>
      </c>
      <c r="C211" t="s">
        <v>267</v>
      </c>
      <c r="D211" t="s">
        <v>26</v>
      </c>
      <c r="E211" t="s">
        <v>35</v>
      </c>
      <c r="F211" s="1">
        <v>44994</v>
      </c>
      <c r="G211" s="1">
        <v>44995</v>
      </c>
      <c r="H211">
        <v>13</v>
      </c>
      <c r="I211" t="s">
        <v>42</v>
      </c>
      <c r="J211" t="s">
        <v>36</v>
      </c>
      <c r="K211">
        <v>5</v>
      </c>
      <c r="L211">
        <v>4</v>
      </c>
      <c r="M211">
        <v>2</v>
      </c>
      <c r="N211">
        <v>3</v>
      </c>
      <c r="O211">
        <v>2</v>
      </c>
      <c r="P211">
        <v>3</v>
      </c>
      <c r="Q211">
        <v>1</v>
      </c>
      <c r="R211">
        <v>4</v>
      </c>
      <c r="S211">
        <v>1</v>
      </c>
      <c r="T211">
        <v>2</v>
      </c>
      <c r="U211" t="s">
        <v>37</v>
      </c>
      <c r="V211" t="s">
        <v>38</v>
      </c>
      <c r="W211" t="s">
        <v>47</v>
      </c>
      <c r="X211" t="s">
        <v>33</v>
      </c>
      <c r="Y211">
        <v>20</v>
      </c>
      <c r="Z211" s="1">
        <v>45331</v>
      </c>
      <c r="AA211" t="str" cm="1">
        <f t="array" ref="AA211">_xlfn.IFS(AND(Table2[[#This Row],[Guest_Age]]&gt;=18,Table2[[#This Row],[Guest_Age]]&lt;=25),"Young Adults",AND(Table2[[#This Row],[Guest_Age]]&gt;=26,Table2[[#This Row],[Guest_Age]]&lt;=35),"Adults",AND(Table2[[#This Row],[Guest_Age]]&gt;=36,Table2[[#This Row],[Guest_Age]]&lt;=50),"Middle Aged Adults",Table2[[#This Row],[Guest_Age]]&gt;50,"Senior")</f>
        <v>Young Adults</v>
      </c>
      <c r="AB2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11" t="str" cm="1">
        <f t="array" ref="AC211">_xlfn.IFS(Table2[[#This Row],[Satification_points]]&gt;=4.5,"GREAT",AND(Table2[[#This Row],[Satification_points]]&gt;=4,Table2[[#This Row],[Satification_points]]&lt;4.5),"GOOD",AND(Table2[[#This Row],[Satification_points]]&gt;=3,Table2[[#This Row],[Satification_points]]&lt;4),"AVERAGE",Table2[[#This Row],[Satification_points]]&lt;3,"POOR")</f>
        <v>POOR</v>
      </c>
    </row>
    <row r="212" spans="1:29" x14ac:dyDescent="0.3">
      <c r="A212">
        <v>211</v>
      </c>
      <c r="B212">
        <v>14351</v>
      </c>
      <c r="C212" t="s">
        <v>268</v>
      </c>
      <c r="D212" t="s">
        <v>34</v>
      </c>
      <c r="E212" t="s">
        <v>27</v>
      </c>
      <c r="F212" s="1">
        <v>45464</v>
      </c>
      <c r="G212" s="1">
        <v>45507</v>
      </c>
      <c r="H212">
        <v>14</v>
      </c>
      <c r="I212" t="s">
        <v>42</v>
      </c>
      <c r="J212" t="s">
        <v>43</v>
      </c>
      <c r="K212">
        <v>2</v>
      </c>
      <c r="L212">
        <v>1</v>
      </c>
      <c r="M212">
        <v>3</v>
      </c>
      <c r="N212">
        <v>4</v>
      </c>
      <c r="O212">
        <v>5</v>
      </c>
      <c r="P212">
        <v>2</v>
      </c>
      <c r="Q212">
        <v>1</v>
      </c>
      <c r="R212">
        <v>5</v>
      </c>
      <c r="S212">
        <v>3</v>
      </c>
      <c r="T212">
        <v>2</v>
      </c>
      <c r="U212" t="s">
        <v>37</v>
      </c>
      <c r="V212" t="s">
        <v>31</v>
      </c>
      <c r="W212" t="s">
        <v>32</v>
      </c>
      <c r="X212" t="s">
        <v>44</v>
      </c>
      <c r="Y212">
        <v>30</v>
      </c>
      <c r="Z212" s="1">
        <v>45507</v>
      </c>
      <c r="AA212" t="str" cm="1">
        <f t="array" ref="AA212">_xlfn.IFS(AND(Table2[[#This Row],[Guest_Age]]&gt;=18,Table2[[#This Row],[Guest_Age]]&lt;=25),"Young Adults",AND(Table2[[#This Row],[Guest_Age]]&gt;=26,Table2[[#This Row],[Guest_Age]]&lt;=35),"Adults",AND(Table2[[#This Row],[Guest_Age]]&gt;=36,Table2[[#This Row],[Guest_Age]]&lt;=50),"Middle Aged Adults",Table2[[#This Row],[Guest_Age]]&gt;50,"Senior")</f>
        <v>Adults</v>
      </c>
      <c r="AB2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12" t="str" cm="1">
        <f t="array" ref="AC212">_xlfn.IFS(Table2[[#This Row],[Satification_points]]&gt;=4.5,"GREAT",AND(Table2[[#This Row],[Satification_points]]&gt;=4,Table2[[#This Row],[Satification_points]]&lt;4.5),"GOOD",AND(Table2[[#This Row],[Satification_points]]&gt;=3,Table2[[#This Row],[Satification_points]]&lt;4),"AVERAGE",Table2[[#This Row],[Satification_points]]&lt;3,"POOR")</f>
        <v>POOR</v>
      </c>
    </row>
    <row r="213" spans="1:29" x14ac:dyDescent="0.3">
      <c r="A213">
        <v>212</v>
      </c>
      <c r="B213">
        <v>50236</v>
      </c>
      <c r="C213" t="s">
        <v>269</v>
      </c>
      <c r="D213" t="s">
        <v>51</v>
      </c>
      <c r="E213" t="s">
        <v>45</v>
      </c>
      <c r="F213" s="1">
        <v>45599</v>
      </c>
      <c r="G213" s="1">
        <v>45637</v>
      </c>
      <c r="H213">
        <v>10</v>
      </c>
      <c r="I213" t="s">
        <v>50</v>
      </c>
      <c r="J213" t="s">
        <v>40</v>
      </c>
      <c r="K213">
        <v>5</v>
      </c>
      <c r="L213">
        <v>1</v>
      </c>
      <c r="M213">
        <v>2</v>
      </c>
      <c r="N213">
        <v>3</v>
      </c>
      <c r="O213">
        <v>3</v>
      </c>
      <c r="P213">
        <v>4</v>
      </c>
      <c r="Q213">
        <v>5</v>
      </c>
      <c r="R213">
        <v>4</v>
      </c>
      <c r="S213">
        <v>4</v>
      </c>
      <c r="T213">
        <v>1</v>
      </c>
      <c r="U213" t="s">
        <v>30</v>
      </c>
      <c r="V213" t="s">
        <v>31</v>
      </c>
      <c r="W213" t="s">
        <v>32</v>
      </c>
      <c r="X213" t="s">
        <v>33</v>
      </c>
      <c r="Y213">
        <v>20</v>
      </c>
      <c r="Z213" s="1">
        <v>45637</v>
      </c>
      <c r="AA213" t="str" cm="1">
        <f t="array" ref="AA213">_xlfn.IFS(AND(Table2[[#This Row],[Guest_Age]]&gt;=18,Table2[[#This Row],[Guest_Age]]&lt;=25),"Young Adults",AND(Table2[[#This Row],[Guest_Age]]&gt;=26,Table2[[#This Row],[Guest_Age]]&lt;=35),"Adults",AND(Table2[[#This Row],[Guest_Age]]&gt;=36,Table2[[#This Row],[Guest_Age]]&lt;=50),"Middle Aged Adults",Table2[[#This Row],[Guest_Age]]&gt;50,"Senior")</f>
        <v>Young Adults</v>
      </c>
      <c r="AB2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13" t="str" cm="1">
        <f t="array" ref="AC213">_xlfn.IFS(Table2[[#This Row],[Satification_points]]&gt;=4.5,"GREAT",AND(Table2[[#This Row],[Satification_points]]&gt;=4,Table2[[#This Row],[Satification_points]]&lt;4.5),"GOOD",AND(Table2[[#This Row],[Satification_points]]&gt;=3,Table2[[#This Row],[Satification_points]]&lt;4),"AVERAGE",Table2[[#This Row],[Satification_points]]&lt;3,"POOR")</f>
        <v>AVERAGE</v>
      </c>
    </row>
    <row r="214" spans="1:29" x14ac:dyDescent="0.3">
      <c r="A214">
        <v>213</v>
      </c>
      <c r="B214">
        <v>23241</v>
      </c>
      <c r="C214" t="s">
        <v>270</v>
      </c>
      <c r="D214" t="s">
        <v>41</v>
      </c>
      <c r="E214" t="s">
        <v>52</v>
      </c>
      <c r="F214" s="1">
        <v>45546</v>
      </c>
      <c r="G214" s="1">
        <v>45547</v>
      </c>
      <c r="H214">
        <v>4</v>
      </c>
      <c r="I214" t="s">
        <v>49</v>
      </c>
      <c r="J214" t="s">
        <v>36</v>
      </c>
      <c r="K214">
        <v>2</v>
      </c>
      <c r="L214">
        <v>2</v>
      </c>
      <c r="M214">
        <v>5</v>
      </c>
      <c r="N214">
        <v>3</v>
      </c>
      <c r="O214">
        <v>4</v>
      </c>
      <c r="P214">
        <v>4</v>
      </c>
      <c r="Q214">
        <v>2</v>
      </c>
      <c r="R214">
        <v>5</v>
      </c>
      <c r="S214">
        <v>2</v>
      </c>
      <c r="T214">
        <v>1</v>
      </c>
      <c r="U214" t="s">
        <v>37</v>
      </c>
      <c r="V214" t="s">
        <v>31</v>
      </c>
      <c r="W214" t="s">
        <v>47</v>
      </c>
      <c r="X214" t="s">
        <v>40</v>
      </c>
      <c r="Y214">
        <v>25</v>
      </c>
      <c r="Z214" s="1">
        <v>45547</v>
      </c>
      <c r="AA214" t="str" cm="1">
        <f t="array" ref="AA214">_xlfn.IFS(AND(Table2[[#This Row],[Guest_Age]]&gt;=18,Table2[[#This Row],[Guest_Age]]&lt;=25),"Young Adults",AND(Table2[[#This Row],[Guest_Age]]&gt;=26,Table2[[#This Row],[Guest_Age]]&lt;=35),"Adults",AND(Table2[[#This Row],[Guest_Age]]&gt;=36,Table2[[#This Row],[Guest_Age]]&lt;=50),"Middle Aged Adults",Table2[[#This Row],[Guest_Age]]&gt;50,"Senior")</f>
        <v>Young Adults</v>
      </c>
      <c r="AB2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14" t="str" cm="1">
        <f t="array" ref="AC214">_xlfn.IFS(Table2[[#This Row],[Satification_points]]&gt;=4.5,"GREAT",AND(Table2[[#This Row],[Satification_points]]&gt;=4,Table2[[#This Row],[Satification_points]]&lt;4.5),"GOOD",AND(Table2[[#This Row],[Satification_points]]&gt;=3,Table2[[#This Row],[Satification_points]]&lt;4),"AVERAGE",Table2[[#This Row],[Satification_points]]&lt;3,"POOR")</f>
        <v>AVERAGE</v>
      </c>
    </row>
    <row r="215" spans="1:29" x14ac:dyDescent="0.3">
      <c r="A215">
        <v>214</v>
      </c>
      <c r="B215">
        <v>98987</v>
      </c>
      <c r="C215" t="s">
        <v>271</v>
      </c>
      <c r="D215" t="s">
        <v>48</v>
      </c>
      <c r="E215" t="s">
        <v>35</v>
      </c>
      <c r="F215" s="1">
        <v>45522</v>
      </c>
      <c r="G215" s="1">
        <v>45523</v>
      </c>
      <c r="H215">
        <v>5</v>
      </c>
      <c r="I215" t="s">
        <v>42</v>
      </c>
      <c r="J215" t="s">
        <v>43</v>
      </c>
      <c r="K215">
        <v>4</v>
      </c>
      <c r="L215">
        <v>2</v>
      </c>
      <c r="M215">
        <v>4</v>
      </c>
      <c r="N215">
        <v>5</v>
      </c>
      <c r="O215">
        <v>2</v>
      </c>
      <c r="P215">
        <v>1</v>
      </c>
      <c r="Q215">
        <v>5</v>
      </c>
      <c r="R215">
        <v>4</v>
      </c>
      <c r="S215">
        <v>4</v>
      </c>
      <c r="T215">
        <v>1</v>
      </c>
      <c r="U215" t="s">
        <v>37</v>
      </c>
      <c r="V215" t="s">
        <v>58</v>
      </c>
      <c r="W215" t="s">
        <v>55</v>
      </c>
      <c r="X215" t="s">
        <v>40</v>
      </c>
      <c r="Y215">
        <v>67</v>
      </c>
      <c r="Z215" s="1">
        <v>45523</v>
      </c>
      <c r="AA215" t="str" cm="1">
        <f t="array" ref="AA215">_xlfn.IFS(AND(Table2[[#This Row],[Guest_Age]]&gt;=18,Table2[[#This Row],[Guest_Age]]&lt;=25),"Young Adults",AND(Table2[[#This Row],[Guest_Age]]&gt;=26,Table2[[#This Row],[Guest_Age]]&lt;=35),"Adults",AND(Table2[[#This Row],[Guest_Age]]&gt;=36,Table2[[#This Row],[Guest_Age]]&lt;=50),"Middle Aged Adults",Table2[[#This Row],[Guest_Age]]&gt;50,"Senior")</f>
        <v>Senior</v>
      </c>
      <c r="AB2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15" t="str" cm="1">
        <f t="array" ref="AC215">_xlfn.IFS(Table2[[#This Row],[Satification_points]]&gt;=4.5,"GREAT",AND(Table2[[#This Row],[Satification_points]]&gt;=4,Table2[[#This Row],[Satification_points]]&lt;4.5),"GOOD",AND(Table2[[#This Row],[Satification_points]]&gt;=3,Table2[[#This Row],[Satification_points]]&lt;4),"AVERAGE",Table2[[#This Row],[Satification_points]]&lt;3,"POOR")</f>
        <v>AVERAGE</v>
      </c>
    </row>
    <row r="216" spans="1:29" x14ac:dyDescent="0.3">
      <c r="A216">
        <v>215</v>
      </c>
      <c r="B216">
        <v>32179</v>
      </c>
      <c r="C216" t="s">
        <v>272</v>
      </c>
      <c r="D216" t="s">
        <v>26</v>
      </c>
      <c r="E216" t="s">
        <v>45</v>
      </c>
      <c r="F216" s="1">
        <v>44967</v>
      </c>
      <c r="G216" s="1">
        <v>45497</v>
      </c>
      <c r="H216">
        <v>12</v>
      </c>
      <c r="I216" t="s">
        <v>42</v>
      </c>
      <c r="J216" t="s">
        <v>29</v>
      </c>
      <c r="K216">
        <v>4</v>
      </c>
      <c r="L216">
        <v>1</v>
      </c>
      <c r="M216">
        <v>3</v>
      </c>
      <c r="N216">
        <v>4</v>
      </c>
      <c r="O216">
        <v>2</v>
      </c>
      <c r="P216">
        <v>5</v>
      </c>
      <c r="Q216">
        <v>4</v>
      </c>
      <c r="R216">
        <v>2</v>
      </c>
      <c r="S216">
        <v>3</v>
      </c>
      <c r="T216">
        <v>5</v>
      </c>
      <c r="U216" t="s">
        <v>37</v>
      </c>
      <c r="V216" t="s">
        <v>46</v>
      </c>
      <c r="W216" t="s">
        <v>39</v>
      </c>
      <c r="X216" t="s">
        <v>44</v>
      </c>
      <c r="Y216">
        <v>68</v>
      </c>
      <c r="Z216" s="1">
        <v>45497</v>
      </c>
      <c r="AA216" t="str" cm="1">
        <f t="array" ref="AA216">_xlfn.IFS(AND(Table2[[#This Row],[Guest_Age]]&gt;=18,Table2[[#This Row],[Guest_Age]]&lt;=25),"Young Adults",AND(Table2[[#This Row],[Guest_Age]]&gt;=26,Table2[[#This Row],[Guest_Age]]&lt;=35),"Adults",AND(Table2[[#This Row],[Guest_Age]]&gt;=36,Table2[[#This Row],[Guest_Age]]&lt;=50),"Middle Aged Adults",Table2[[#This Row],[Guest_Age]]&gt;50,"Senior")</f>
        <v>Senior</v>
      </c>
      <c r="AB2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16" t="str" cm="1">
        <f t="array" ref="AC216">_xlfn.IFS(Table2[[#This Row],[Satification_points]]&gt;=4.5,"GREAT",AND(Table2[[#This Row],[Satification_points]]&gt;=4,Table2[[#This Row],[Satification_points]]&lt;4.5),"GOOD",AND(Table2[[#This Row],[Satification_points]]&gt;=3,Table2[[#This Row],[Satification_points]]&lt;4),"AVERAGE",Table2[[#This Row],[Satification_points]]&lt;3,"POOR")</f>
        <v>AVERAGE</v>
      </c>
    </row>
    <row r="217" spans="1:29" x14ac:dyDescent="0.3">
      <c r="A217">
        <v>216</v>
      </c>
      <c r="B217">
        <v>57665</v>
      </c>
      <c r="C217" t="s">
        <v>273</v>
      </c>
      <c r="D217" t="s">
        <v>34</v>
      </c>
      <c r="E217" t="s">
        <v>57</v>
      </c>
      <c r="F217" s="1">
        <v>45126</v>
      </c>
      <c r="G217" s="1">
        <v>45378</v>
      </c>
      <c r="H217">
        <v>4</v>
      </c>
      <c r="I217" t="s">
        <v>49</v>
      </c>
      <c r="J217" t="s">
        <v>43</v>
      </c>
      <c r="K217">
        <v>2</v>
      </c>
      <c r="L217">
        <v>5</v>
      </c>
      <c r="M217">
        <v>5</v>
      </c>
      <c r="N217">
        <v>3</v>
      </c>
      <c r="O217">
        <v>1</v>
      </c>
      <c r="P217">
        <v>1</v>
      </c>
      <c r="Q217">
        <v>4</v>
      </c>
      <c r="R217">
        <v>4</v>
      </c>
      <c r="S217">
        <v>2</v>
      </c>
      <c r="T217">
        <v>5</v>
      </c>
      <c r="U217" t="s">
        <v>37</v>
      </c>
      <c r="V217" t="s">
        <v>54</v>
      </c>
      <c r="W217" t="s">
        <v>39</v>
      </c>
      <c r="X217" t="s">
        <v>40</v>
      </c>
      <c r="Y217">
        <v>21</v>
      </c>
      <c r="Z217" s="1">
        <v>45378</v>
      </c>
      <c r="AA217" t="str" cm="1">
        <f t="array" ref="AA217">_xlfn.IFS(AND(Table2[[#This Row],[Guest_Age]]&gt;=18,Table2[[#This Row],[Guest_Age]]&lt;=25),"Young Adults",AND(Table2[[#This Row],[Guest_Age]]&gt;=26,Table2[[#This Row],[Guest_Age]]&lt;=35),"Adults",AND(Table2[[#This Row],[Guest_Age]]&gt;=36,Table2[[#This Row],[Guest_Age]]&lt;=50),"Middle Aged Adults",Table2[[#This Row],[Guest_Age]]&gt;50,"Senior")</f>
        <v>Young Adults</v>
      </c>
      <c r="AB2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17" t="str" cm="1">
        <f t="array" ref="AC217">_xlfn.IFS(Table2[[#This Row],[Satification_points]]&gt;=4.5,"GREAT",AND(Table2[[#This Row],[Satification_points]]&gt;=4,Table2[[#This Row],[Satification_points]]&lt;4.5),"GOOD",AND(Table2[[#This Row],[Satification_points]]&gt;=3,Table2[[#This Row],[Satification_points]]&lt;4),"AVERAGE",Table2[[#This Row],[Satification_points]]&lt;3,"POOR")</f>
        <v>AVERAGE</v>
      </c>
    </row>
    <row r="218" spans="1:29" x14ac:dyDescent="0.3">
      <c r="A218">
        <v>217</v>
      </c>
      <c r="B218">
        <v>71242</v>
      </c>
      <c r="C218" t="s">
        <v>274</v>
      </c>
      <c r="D218" t="s">
        <v>51</v>
      </c>
      <c r="E218" t="s">
        <v>27</v>
      </c>
      <c r="F218" s="1">
        <v>45474</v>
      </c>
      <c r="G218" s="1">
        <v>45475</v>
      </c>
      <c r="H218">
        <v>11</v>
      </c>
      <c r="I218" t="s">
        <v>50</v>
      </c>
      <c r="J218" t="s">
        <v>43</v>
      </c>
      <c r="K218">
        <v>5</v>
      </c>
      <c r="L218">
        <v>2</v>
      </c>
      <c r="M218">
        <v>1</v>
      </c>
      <c r="N218">
        <v>4</v>
      </c>
      <c r="O218">
        <v>3</v>
      </c>
      <c r="P218">
        <v>3</v>
      </c>
      <c r="Q218">
        <v>2</v>
      </c>
      <c r="R218">
        <v>1</v>
      </c>
      <c r="S218">
        <v>2</v>
      </c>
      <c r="T218">
        <v>4</v>
      </c>
      <c r="U218" t="s">
        <v>37</v>
      </c>
      <c r="V218" t="s">
        <v>46</v>
      </c>
      <c r="W218" t="s">
        <v>56</v>
      </c>
      <c r="X218" t="s">
        <v>33</v>
      </c>
      <c r="Y218">
        <v>59</v>
      </c>
      <c r="Z218" s="1">
        <v>45475</v>
      </c>
      <c r="AA218" t="str" cm="1">
        <f t="array" ref="AA218">_xlfn.IFS(AND(Table2[[#This Row],[Guest_Age]]&gt;=18,Table2[[#This Row],[Guest_Age]]&lt;=25),"Young Adults",AND(Table2[[#This Row],[Guest_Age]]&gt;=26,Table2[[#This Row],[Guest_Age]]&lt;=35),"Adults",AND(Table2[[#This Row],[Guest_Age]]&gt;=36,Table2[[#This Row],[Guest_Age]]&lt;=50),"Middle Aged Adults",Table2[[#This Row],[Guest_Age]]&gt;50,"Senior")</f>
        <v>Senior</v>
      </c>
      <c r="AB2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18" t="str" cm="1">
        <f t="array" ref="AC218">_xlfn.IFS(Table2[[#This Row],[Satification_points]]&gt;=4.5,"GREAT",AND(Table2[[#This Row],[Satification_points]]&gt;=4,Table2[[#This Row],[Satification_points]]&lt;4.5),"GOOD",AND(Table2[[#This Row],[Satification_points]]&gt;=3,Table2[[#This Row],[Satification_points]]&lt;4),"AVERAGE",Table2[[#This Row],[Satification_points]]&lt;3,"POOR")</f>
        <v>POOR</v>
      </c>
    </row>
    <row r="219" spans="1:29" x14ac:dyDescent="0.3">
      <c r="A219">
        <v>218</v>
      </c>
      <c r="B219">
        <v>14455</v>
      </c>
      <c r="C219" t="s">
        <v>275</v>
      </c>
      <c r="D219" t="s">
        <v>51</v>
      </c>
      <c r="E219" t="s">
        <v>57</v>
      </c>
      <c r="F219" s="1">
        <v>45301</v>
      </c>
      <c r="G219" s="1">
        <v>45365</v>
      </c>
      <c r="H219">
        <v>3</v>
      </c>
      <c r="I219" t="s">
        <v>50</v>
      </c>
      <c r="J219" t="s">
        <v>29</v>
      </c>
      <c r="K219">
        <v>1</v>
      </c>
      <c r="L219">
        <v>4</v>
      </c>
      <c r="M219">
        <v>5</v>
      </c>
      <c r="N219">
        <v>2</v>
      </c>
      <c r="O219">
        <v>1</v>
      </c>
      <c r="P219">
        <v>4</v>
      </c>
      <c r="Q219">
        <v>3</v>
      </c>
      <c r="R219">
        <v>1</v>
      </c>
      <c r="S219">
        <v>2</v>
      </c>
      <c r="T219">
        <v>1</v>
      </c>
      <c r="U219" t="s">
        <v>30</v>
      </c>
      <c r="V219" t="s">
        <v>54</v>
      </c>
      <c r="W219" t="s">
        <v>56</v>
      </c>
      <c r="X219" t="s">
        <v>44</v>
      </c>
      <c r="Y219">
        <v>52</v>
      </c>
      <c r="Z219" s="1">
        <v>45365</v>
      </c>
      <c r="AA219" t="str" cm="1">
        <f t="array" ref="AA219">_xlfn.IFS(AND(Table2[[#This Row],[Guest_Age]]&gt;=18,Table2[[#This Row],[Guest_Age]]&lt;=25),"Young Adults",AND(Table2[[#This Row],[Guest_Age]]&gt;=26,Table2[[#This Row],[Guest_Age]]&lt;=35),"Adults",AND(Table2[[#This Row],[Guest_Age]]&gt;=36,Table2[[#This Row],[Guest_Age]]&lt;=50),"Middle Aged Adults",Table2[[#This Row],[Guest_Age]]&gt;50,"Senior")</f>
        <v>Senior</v>
      </c>
      <c r="AB2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19" t="str" cm="1">
        <f t="array" ref="AC219">_xlfn.IFS(Table2[[#This Row],[Satification_points]]&gt;=4.5,"GREAT",AND(Table2[[#This Row],[Satification_points]]&gt;=4,Table2[[#This Row],[Satification_points]]&lt;4.5),"GOOD",AND(Table2[[#This Row],[Satification_points]]&gt;=3,Table2[[#This Row],[Satification_points]]&lt;4),"AVERAGE",Table2[[#This Row],[Satification_points]]&lt;3,"POOR")</f>
        <v>POOR</v>
      </c>
    </row>
    <row r="220" spans="1:29" x14ac:dyDescent="0.3">
      <c r="A220">
        <v>219</v>
      </c>
      <c r="B220">
        <v>50459</v>
      </c>
      <c r="C220" t="s">
        <v>276</v>
      </c>
      <c r="D220" t="s">
        <v>41</v>
      </c>
      <c r="E220" t="s">
        <v>27</v>
      </c>
      <c r="F220" s="1">
        <v>45332</v>
      </c>
      <c r="G220" s="1">
        <v>45455</v>
      </c>
      <c r="H220">
        <v>10</v>
      </c>
      <c r="I220" t="s">
        <v>50</v>
      </c>
      <c r="J220" t="s">
        <v>40</v>
      </c>
      <c r="K220">
        <v>1</v>
      </c>
      <c r="L220">
        <v>5</v>
      </c>
      <c r="M220">
        <v>4</v>
      </c>
      <c r="N220">
        <v>1</v>
      </c>
      <c r="O220">
        <v>5</v>
      </c>
      <c r="P220">
        <v>2</v>
      </c>
      <c r="Q220">
        <v>5</v>
      </c>
      <c r="R220">
        <v>4</v>
      </c>
      <c r="S220">
        <v>1</v>
      </c>
      <c r="T220">
        <v>3</v>
      </c>
      <c r="U220" t="s">
        <v>37</v>
      </c>
      <c r="V220" t="s">
        <v>58</v>
      </c>
      <c r="W220" t="s">
        <v>55</v>
      </c>
      <c r="X220" t="s">
        <v>40</v>
      </c>
      <c r="Y220">
        <v>29</v>
      </c>
      <c r="Z220" s="1">
        <v>45544</v>
      </c>
      <c r="AA220" t="str" cm="1">
        <f t="array" ref="AA220">_xlfn.IFS(AND(Table2[[#This Row],[Guest_Age]]&gt;=18,Table2[[#This Row],[Guest_Age]]&lt;=25),"Young Adults",AND(Table2[[#This Row],[Guest_Age]]&gt;=26,Table2[[#This Row],[Guest_Age]]&lt;=35),"Adults",AND(Table2[[#This Row],[Guest_Age]]&gt;=36,Table2[[#This Row],[Guest_Age]]&lt;=50),"Middle Aged Adults",Table2[[#This Row],[Guest_Age]]&gt;50,"Senior")</f>
        <v>Adults</v>
      </c>
      <c r="AB2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20" t="str" cm="1">
        <f t="array" ref="AC220">_xlfn.IFS(Table2[[#This Row],[Satification_points]]&gt;=4.5,"GREAT",AND(Table2[[#This Row],[Satification_points]]&gt;=4,Table2[[#This Row],[Satification_points]]&lt;4.5),"GOOD",AND(Table2[[#This Row],[Satification_points]]&gt;=3,Table2[[#This Row],[Satification_points]]&lt;4),"AVERAGE",Table2[[#This Row],[Satification_points]]&lt;3,"POOR")</f>
        <v>AVERAGE</v>
      </c>
    </row>
    <row r="221" spans="1:29" x14ac:dyDescent="0.3">
      <c r="A221">
        <v>220</v>
      </c>
      <c r="B221">
        <v>70899</v>
      </c>
      <c r="C221" t="s">
        <v>277</v>
      </c>
      <c r="D221" t="s">
        <v>51</v>
      </c>
      <c r="E221" t="s">
        <v>52</v>
      </c>
      <c r="F221" s="1">
        <v>45160</v>
      </c>
      <c r="G221" s="1">
        <v>45161</v>
      </c>
      <c r="H221">
        <v>2</v>
      </c>
      <c r="I221" t="s">
        <v>50</v>
      </c>
      <c r="J221" t="s">
        <v>53</v>
      </c>
      <c r="K221">
        <v>5</v>
      </c>
      <c r="L221">
        <v>1</v>
      </c>
      <c r="M221">
        <v>4</v>
      </c>
      <c r="N221">
        <v>5</v>
      </c>
      <c r="O221">
        <v>5</v>
      </c>
      <c r="P221">
        <v>4</v>
      </c>
      <c r="Q221">
        <v>3</v>
      </c>
      <c r="R221">
        <v>3</v>
      </c>
      <c r="S221">
        <v>1</v>
      </c>
      <c r="T221">
        <v>4</v>
      </c>
      <c r="U221" t="s">
        <v>30</v>
      </c>
      <c r="V221" t="s">
        <v>54</v>
      </c>
      <c r="W221" t="s">
        <v>39</v>
      </c>
      <c r="X221" t="s">
        <v>33</v>
      </c>
      <c r="Y221">
        <v>41</v>
      </c>
      <c r="Z221" s="1">
        <v>45161</v>
      </c>
      <c r="AA221" t="str" cm="1">
        <f t="array" ref="AA221">_xlfn.IFS(AND(Table2[[#This Row],[Guest_Age]]&gt;=18,Table2[[#This Row],[Guest_Age]]&lt;=25),"Young Adults",AND(Table2[[#This Row],[Guest_Age]]&gt;=26,Table2[[#This Row],[Guest_Age]]&lt;=35),"Adults",AND(Table2[[#This Row],[Guest_Age]]&gt;=36,Table2[[#This Row],[Guest_Age]]&lt;=50),"Middle Aged Adults",Table2[[#This Row],[Guest_Age]]&gt;50,"Senior")</f>
        <v>Middle Aged Adults</v>
      </c>
      <c r="AB2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21" t="str" cm="1">
        <f t="array" ref="AC221">_xlfn.IFS(Table2[[#This Row],[Satification_points]]&gt;=4.5,"GREAT",AND(Table2[[#This Row],[Satification_points]]&gt;=4,Table2[[#This Row],[Satification_points]]&lt;4.5),"GOOD",AND(Table2[[#This Row],[Satification_points]]&gt;=3,Table2[[#This Row],[Satification_points]]&lt;4),"AVERAGE",Table2[[#This Row],[Satification_points]]&lt;3,"POOR")</f>
        <v>AVERAGE</v>
      </c>
    </row>
    <row r="222" spans="1:29" x14ac:dyDescent="0.3">
      <c r="A222">
        <v>221</v>
      </c>
      <c r="B222">
        <v>27597</v>
      </c>
      <c r="C222" t="s">
        <v>278</v>
      </c>
      <c r="D222" t="s">
        <v>51</v>
      </c>
      <c r="E222" t="s">
        <v>57</v>
      </c>
      <c r="F222" s="1">
        <v>45434</v>
      </c>
      <c r="G222" s="1">
        <v>45435</v>
      </c>
      <c r="H222">
        <v>14</v>
      </c>
      <c r="I222" t="s">
        <v>49</v>
      </c>
      <c r="J222" t="s">
        <v>40</v>
      </c>
      <c r="K222">
        <v>4</v>
      </c>
      <c r="L222">
        <v>4</v>
      </c>
      <c r="M222">
        <v>4</v>
      </c>
      <c r="N222">
        <v>5</v>
      </c>
      <c r="O222">
        <v>3</v>
      </c>
      <c r="P222">
        <v>2</v>
      </c>
      <c r="Q222">
        <v>4</v>
      </c>
      <c r="R222">
        <v>1</v>
      </c>
      <c r="S222">
        <v>2</v>
      </c>
      <c r="T222">
        <v>5</v>
      </c>
      <c r="U222" t="s">
        <v>37</v>
      </c>
      <c r="V222" t="s">
        <v>31</v>
      </c>
      <c r="W222" t="s">
        <v>56</v>
      </c>
      <c r="X222" t="s">
        <v>40</v>
      </c>
      <c r="Y222">
        <v>55</v>
      </c>
      <c r="Z222" s="1">
        <v>45435</v>
      </c>
      <c r="AA222" t="str" cm="1">
        <f t="array" ref="AA222">_xlfn.IFS(AND(Table2[[#This Row],[Guest_Age]]&gt;=18,Table2[[#This Row],[Guest_Age]]&lt;=25),"Young Adults",AND(Table2[[#This Row],[Guest_Age]]&gt;=26,Table2[[#This Row],[Guest_Age]]&lt;=35),"Adults",AND(Table2[[#This Row],[Guest_Age]]&gt;=36,Table2[[#This Row],[Guest_Age]]&lt;=50),"Middle Aged Adults",Table2[[#This Row],[Guest_Age]]&gt;50,"Senior")</f>
        <v>Senior</v>
      </c>
      <c r="AB2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22" t="str" cm="1">
        <f t="array" ref="AC222">_xlfn.IFS(Table2[[#This Row],[Satification_points]]&gt;=4.5,"GREAT",AND(Table2[[#This Row],[Satification_points]]&gt;=4,Table2[[#This Row],[Satification_points]]&lt;4.5),"GOOD",AND(Table2[[#This Row],[Satification_points]]&gt;=3,Table2[[#This Row],[Satification_points]]&lt;4),"AVERAGE",Table2[[#This Row],[Satification_points]]&lt;3,"POOR")</f>
        <v>AVERAGE</v>
      </c>
    </row>
    <row r="223" spans="1:29" x14ac:dyDescent="0.3">
      <c r="A223">
        <v>222</v>
      </c>
      <c r="B223">
        <v>65591</v>
      </c>
      <c r="C223" t="s">
        <v>279</v>
      </c>
      <c r="D223" t="s">
        <v>41</v>
      </c>
      <c r="E223" t="s">
        <v>52</v>
      </c>
      <c r="F223" s="1">
        <v>45168</v>
      </c>
      <c r="G223" s="1">
        <v>45661</v>
      </c>
      <c r="H223">
        <v>3</v>
      </c>
      <c r="I223" t="s">
        <v>28</v>
      </c>
      <c r="J223" t="s">
        <v>53</v>
      </c>
      <c r="K223">
        <v>2</v>
      </c>
      <c r="L223">
        <v>4</v>
      </c>
      <c r="M223">
        <v>5</v>
      </c>
      <c r="N223">
        <v>4</v>
      </c>
      <c r="O223">
        <v>4</v>
      </c>
      <c r="P223">
        <v>2</v>
      </c>
      <c r="Q223">
        <v>5</v>
      </c>
      <c r="R223">
        <v>5</v>
      </c>
      <c r="S223">
        <v>1</v>
      </c>
      <c r="T223">
        <v>5</v>
      </c>
      <c r="U223" t="s">
        <v>37</v>
      </c>
      <c r="V223" t="s">
        <v>46</v>
      </c>
      <c r="W223" t="s">
        <v>39</v>
      </c>
      <c r="X223" t="s">
        <v>40</v>
      </c>
      <c r="Y223">
        <v>36</v>
      </c>
      <c r="Z223" s="1">
        <v>45661</v>
      </c>
      <c r="AA223" t="str" cm="1">
        <f t="array" ref="AA22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223" t="str" cm="1">
        <f t="array" ref="AC223">_xlfn.IFS(Table2[[#This Row],[Satification_points]]&gt;=4.5,"GREAT",AND(Table2[[#This Row],[Satification_points]]&gt;=4,Table2[[#This Row],[Satification_points]]&lt;4.5),"GOOD",AND(Table2[[#This Row],[Satification_points]]&gt;=3,Table2[[#This Row],[Satification_points]]&lt;4),"AVERAGE",Table2[[#This Row],[Satification_points]]&lt;3,"POOR")</f>
        <v>AVERAGE</v>
      </c>
    </row>
    <row r="224" spans="1:29" x14ac:dyDescent="0.3">
      <c r="A224">
        <v>223</v>
      </c>
      <c r="B224">
        <v>56209</v>
      </c>
      <c r="C224" t="s">
        <v>280</v>
      </c>
      <c r="D224" t="s">
        <v>51</v>
      </c>
      <c r="E224" t="s">
        <v>52</v>
      </c>
      <c r="F224" s="1">
        <v>45265</v>
      </c>
      <c r="G224" s="1">
        <v>45266</v>
      </c>
      <c r="H224">
        <v>2</v>
      </c>
      <c r="I224" t="s">
        <v>49</v>
      </c>
      <c r="J224" t="s">
        <v>53</v>
      </c>
      <c r="K224">
        <v>2</v>
      </c>
      <c r="L224">
        <v>5</v>
      </c>
      <c r="M224">
        <v>1</v>
      </c>
      <c r="N224">
        <v>3</v>
      </c>
      <c r="O224">
        <v>5</v>
      </c>
      <c r="P224">
        <v>2</v>
      </c>
      <c r="Q224">
        <v>4</v>
      </c>
      <c r="R224">
        <v>4</v>
      </c>
      <c r="S224">
        <v>2</v>
      </c>
      <c r="T224">
        <v>1</v>
      </c>
      <c r="U224" t="s">
        <v>30</v>
      </c>
      <c r="V224" t="s">
        <v>46</v>
      </c>
      <c r="W224" t="s">
        <v>39</v>
      </c>
      <c r="X224" t="s">
        <v>44</v>
      </c>
      <c r="Y224">
        <v>53</v>
      </c>
      <c r="Z224" s="1">
        <v>45468</v>
      </c>
      <c r="AA224" t="str" cm="1">
        <f t="array" ref="AA224">_xlfn.IFS(AND(Table2[[#This Row],[Guest_Age]]&gt;=18,Table2[[#This Row],[Guest_Age]]&lt;=25),"Young Adults",AND(Table2[[#This Row],[Guest_Age]]&gt;=26,Table2[[#This Row],[Guest_Age]]&lt;=35),"Adults",AND(Table2[[#This Row],[Guest_Age]]&gt;=36,Table2[[#This Row],[Guest_Age]]&lt;=50),"Middle Aged Adults",Table2[[#This Row],[Guest_Age]]&gt;50,"Senior")</f>
        <v>Senior</v>
      </c>
      <c r="AB2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24" t="str" cm="1">
        <f t="array" ref="AC224">_xlfn.IFS(Table2[[#This Row],[Satification_points]]&gt;=4.5,"GREAT",AND(Table2[[#This Row],[Satification_points]]&gt;=4,Table2[[#This Row],[Satification_points]]&lt;4.5),"GOOD",AND(Table2[[#This Row],[Satification_points]]&gt;=3,Table2[[#This Row],[Satification_points]]&lt;4),"AVERAGE",Table2[[#This Row],[Satification_points]]&lt;3,"POOR")</f>
        <v>POOR</v>
      </c>
    </row>
    <row r="225" spans="1:29" x14ac:dyDescent="0.3">
      <c r="A225">
        <v>224</v>
      </c>
      <c r="B225">
        <v>19052</v>
      </c>
      <c r="C225" t="s">
        <v>281</v>
      </c>
      <c r="D225" t="s">
        <v>34</v>
      </c>
      <c r="E225" t="s">
        <v>52</v>
      </c>
      <c r="F225" s="1">
        <v>44946</v>
      </c>
      <c r="G225" s="1">
        <v>45314</v>
      </c>
      <c r="H225">
        <v>14</v>
      </c>
      <c r="I225" t="s">
        <v>49</v>
      </c>
      <c r="J225" t="s">
        <v>53</v>
      </c>
      <c r="K225">
        <v>5</v>
      </c>
      <c r="L225">
        <v>1</v>
      </c>
      <c r="M225">
        <v>3</v>
      </c>
      <c r="N225">
        <v>4</v>
      </c>
      <c r="O225">
        <v>5</v>
      </c>
      <c r="P225">
        <v>5</v>
      </c>
      <c r="Q225">
        <v>1</v>
      </c>
      <c r="R225">
        <v>4</v>
      </c>
      <c r="S225">
        <v>2</v>
      </c>
      <c r="T225">
        <v>3</v>
      </c>
      <c r="U225" t="s">
        <v>37</v>
      </c>
      <c r="V225" t="s">
        <v>46</v>
      </c>
      <c r="W225" t="s">
        <v>39</v>
      </c>
      <c r="X225" t="s">
        <v>44</v>
      </c>
      <c r="Y225">
        <v>52</v>
      </c>
      <c r="Z225" s="1">
        <v>45314</v>
      </c>
      <c r="AA225" t="str" cm="1">
        <f t="array" ref="AA225">_xlfn.IFS(AND(Table2[[#This Row],[Guest_Age]]&gt;=18,Table2[[#This Row],[Guest_Age]]&lt;=25),"Young Adults",AND(Table2[[#This Row],[Guest_Age]]&gt;=26,Table2[[#This Row],[Guest_Age]]&lt;=35),"Adults",AND(Table2[[#This Row],[Guest_Age]]&gt;=36,Table2[[#This Row],[Guest_Age]]&lt;=50),"Middle Aged Adults",Table2[[#This Row],[Guest_Age]]&gt;50,"Senior")</f>
        <v>Senior</v>
      </c>
      <c r="AB2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25" t="str" cm="1">
        <f t="array" ref="AC225">_xlfn.IFS(Table2[[#This Row],[Satification_points]]&gt;=4.5,"GREAT",AND(Table2[[#This Row],[Satification_points]]&gt;=4,Table2[[#This Row],[Satification_points]]&lt;4.5),"GOOD",AND(Table2[[#This Row],[Satification_points]]&gt;=3,Table2[[#This Row],[Satification_points]]&lt;4),"AVERAGE",Table2[[#This Row],[Satification_points]]&lt;3,"POOR")</f>
        <v>AVERAGE</v>
      </c>
    </row>
    <row r="226" spans="1:29" x14ac:dyDescent="0.3">
      <c r="A226">
        <v>225</v>
      </c>
      <c r="B226">
        <v>45691</v>
      </c>
      <c r="C226" t="s">
        <v>282</v>
      </c>
      <c r="D226" t="s">
        <v>26</v>
      </c>
      <c r="E226" t="s">
        <v>57</v>
      </c>
      <c r="F226" s="1">
        <v>45590</v>
      </c>
      <c r="G226" s="1">
        <v>45591</v>
      </c>
      <c r="H226">
        <v>8</v>
      </c>
      <c r="I226" t="s">
        <v>50</v>
      </c>
      <c r="J226" t="s">
        <v>36</v>
      </c>
      <c r="K226">
        <v>5</v>
      </c>
      <c r="L226">
        <v>4</v>
      </c>
      <c r="M226">
        <v>1</v>
      </c>
      <c r="N226">
        <v>1</v>
      </c>
      <c r="O226">
        <v>4</v>
      </c>
      <c r="P226">
        <v>1</v>
      </c>
      <c r="Q226">
        <v>2</v>
      </c>
      <c r="R226">
        <v>1</v>
      </c>
      <c r="S226">
        <v>5</v>
      </c>
      <c r="T226">
        <v>3</v>
      </c>
      <c r="U226" t="s">
        <v>37</v>
      </c>
      <c r="V226" t="s">
        <v>58</v>
      </c>
      <c r="W226" t="s">
        <v>56</v>
      </c>
      <c r="X226" t="s">
        <v>44</v>
      </c>
      <c r="Y226">
        <v>35</v>
      </c>
      <c r="Z226" s="1">
        <v>45591</v>
      </c>
      <c r="AA226" t="str" cm="1">
        <f t="array" ref="AA226">_xlfn.IFS(AND(Table2[[#This Row],[Guest_Age]]&gt;=18,Table2[[#This Row],[Guest_Age]]&lt;=25),"Young Adults",AND(Table2[[#This Row],[Guest_Age]]&gt;=26,Table2[[#This Row],[Guest_Age]]&lt;=35),"Adults",AND(Table2[[#This Row],[Guest_Age]]&gt;=36,Table2[[#This Row],[Guest_Age]]&lt;=50),"Middle Aged Adults",Table2[[#This Row],[Guest_Age]]&gt;50,"Senior")</f>
        <v>Adults</v>
      </c>
      <c r="AB2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26" t="str" cm="1">
        <f t="array" ref="AC226">_xlfn.IFS(Table2[[#This Row],[Satification_points]]&gt;=4.5,"GREAT",AND(Table2[[#This Row],[Satification_points]]&gt;=4,Table2[[#This Row],[Satification_points]]&lt;4.5),"GOOD",AND(Table2[[#This Row],[Satification_points]]&gt;=3,Table2[[#This Row],[Satification_points]]&lt;4),"AVERAGE",Table2[[#This Row],[Satification_points]]&lt;3,"POOR")</f>
        <v>POOR</v>
      </c>
    </row>
    <row r="227" spans="1:29" x14ac:dyDescent="0.3">
      <c r="A227">
        <v>226</v>
      </c>
      <c r="B227">
        <v>27816</v>
      </c>
      <c r="C227" t="s">
        <v>283</v>
      </c>
      <c r="D227" t="s">
        <v>26</v>
      </c>
      <c r="E227" t="s">
        <v>57</v>
      </c>
      <c r="F227" s="1">
        <v>45097</v>
      </c>
      <c r="G227" s="1">
        <v>45098</v>
      </c>
      <c r="H227">
        <v>1</v>
      </c>
      <c r="I227" t="s">
        <v>42</v>
      </c>
      <c r="J227" t="s">
        <v>40</v>
      </c>
      <c r="K227">
        <v>3</v>
      </c>
      <c r="L227">
        <v>2</v>
      </c>
      <c r="M227">
        <v>2</v>
      </c>
      <c r="N227">
        <v>5</v>
      </c>
      <c r="O227">
        <v>2</v>
      </c>
      <c r="P227">
        <v>3</v>
      </c>
      <c r="Q227">
        <v>1</v>
      </c>
      <c r="R227">
        <v>3</v>
      </c>
      <c r="S227">
        <v>1</v>
      </c>
      <c r="T227">
        <v>2</v>
      </c>
      <c r="U227" t="s">
        <v>30</v>
      </c>
      <c r="V227" t="s">
        <v>46</v>
      </c>
      <c r="W227" t="s">
        <v>56</v>
      </c>
      <c r="X227" t="s">
        <v>33</v>
      </c>
      <c r="Y227">
        <v>57</v>
      </c>
      <c r="Z227" s="1">
        <v>45098</v>
      </c>
      <c r="AA227" t="str" cm="1">
        <f t="array" ref="AA227">_xlfn.IFS(AND(Table2[[#This Row],[Guest_Age]]&gt;=18,Table2[[#This Row],[Guest_Age]]&lt;=25),"Young Adults",AND(Table2[[#This Row],[Guest_Age]]&gt;=26,Table2[[#This Row],[Guest_Age]]&lt;=35),"Adults",AND(Table2[[#This Row],[Guest_Age]]&gt;=36,Table2[[#This Row],[Guest_Age]]&lt;=50),"Middle Aged Adults",Table2[[#This Row],[Guest_Age]]&gt;50,"Senior")</f>
        <v>Senior</v>
      </c>
      <c r="AB2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27" t="str" cm="1">
        <f t="array" ref="AC227">_xlfn.IFS(Table2[[#This Row],[Satification_points]]&gt;=4.5,"GREAT",AND(Table2[[#This Row],[Satification_points]]&gt;=4,Table2[[#This Row],[Satification_points]]&lt;4.5),"GOOD",AND(Table2[[#This Row],[Satification_points]]&gt;=3,Table2[[#This Row],[Satification_points]]&lt;4),"AVERAGE",Table2[[#This Row],[Satification_points]]&lt;3,"POOR")</f>
        <v>POOR</v>
      </c>
    </row>
    <row r="228" spans="1:29" x14ac:dyDescent="0.3">
      <c r="A228">
        <v>227</v>
      </c>
      <c r="B228">
        <v>75876</v>
      </c>
      <c r="C228" t="s">
        <v>284</v>
      </c>
      <c r="D228" t="s">
        <v>34</v>
      </c>
      <c r="E228" t="s">
        <v>57</v>
      </c>
      <c r="F228" s="1">
        <v>45142</v>
      </c>
      <c r="G228" s="1">
        <v>45143</v>
      </c>
      <c r="H228">
        <v>5</v>
      </c>
      <c r="I228" t="s">
        <v>49</v>
      </c>
      <c r="J228" t="s">
        <v>43</v>
      </c>
      <c r="K228">
        <v>2</v>
      </c>
      <c r="L228">
        <v>2</v>
      </c>
      <c r="M228">
        <v>2</v>
      </c>
      <c r="N228">
        <v>5</v>
      </c>
      <c r="O228">
        <v>3</v>
      </c>
      <c r="P228">
        <v>5</v>
      </c>
      <c r="Q228">
        <v>5</v>
      </c>
      <c r="R228">
        <v>5</v>
      </c>
      <c r="S228">
        <v>5</v>
      </c>
      <c r="T228">
        <v>1</v>
      </c>
      <c r="U228" t="s">
        <v>30</v>
      </c>
      <c r="V228" t="s">
        <v>38</v>
      </c>
      <c r="W228" t="s">
        <v>55</v>
      </c>
      <c r="X228" t="s">
        <v>40</v>
      </c>
      <c r="Y228">
        <v>51</v>
      </c>
      <c r="Z228" s="1">
        <v>45252</v>
      </c>
      <c r="AA228" t="str" cm="1">
        <f t="array" ref="AA228">_xlfn.IFS(AND(Table2[[#This Row],[Guest_Age]]&gt;=18,Table2[[#This Row],[Guest_Age]]&lt;=25),"Young Adults",AND(Table2[[#This Row],[Guest_Age]]&gt;=26,Table2[[#This Row],[Guest_Age]]&lt;=35),"Adults",AND(Table2[[#This Row],[Guest_Age]]&gt;=36,Table2[[#This Row],[Guest_Age]]&lt;=50),"Middle Aged Adults",Table2[[#This Row],[Guest_Age]]&gt;50,"Senior")</f>
        <v>Senior</v>
      </c>
      <c r="AB2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28" t="str" cm="1">
        <f t="array" ref="AC228">_xlfn.IFS(Table2[[#This Row],[Satification_points]]&gt;=4.5,"GREAT",AND(Table2[[#This Row],[Satification_points]]&gt;=4,Table2[[#This Row],[Satification_points]]&lt;4.5),"GOOD",AND(Table2[[#This Row],[Satification_points]]&gt;=3,Table2[[#This Row],[Satification_points]]&lt;4),"AVERAGE",Table2[[#This Row],[Satification_points]]&lt;3,"POOR")</f>
        <v>AVERAGE</v>
      </c>
    </row>
    <row r="229" spans="1:29" x14ac:dyDescent="0.3">
      <c r="A229">
        <v>228</v>
      </c>
      <c r="B229">
        <v>66533</v>
      </c>
      <c r="C229" t="s">
        <v>285</v>
      </c>
      <c r="D229" t="s">
        <v>26</v>
      </c>
      <c r="E229" t="s">
        <v>35</v>
      </c>
      <c r="F229" s="1">
        <v>44942</v>
      </c>
      <c r="G229" s="1">
        <v>45432</v>
      </c>
      <c r="H229">
        <v>1</v>
      </c>
      <c r="I229" t="s">
        <v>50</v>
      </c>
      <c r="J229" t="s">
        <v>36</v>
      </c>
      <c r="K229">
        <v>3</v>
      </c>
      <c r="L229">
        <v>5</v>
      </c>
      <c r="M229">
        <v>3</v>
      </c>
      <c r="N229">
        <v>1</v>
      </c>
      <c r="O229">
        <v>2</v>
      </c>
      <c r="P229">
        <v>5</v>
      </c>
      <c r="Q229">
        <v>1</v>
      </c>
      <c r="R229">
        <v>1</v>
      </c>
      <c r="S229">
        <v>2</v>
      </c>
      <c r="T229">
        <v>5</v>
      </c>
      <c r="U229" t="s">
        <v>30</v>
      </c>
      <c r="V229" t="s">
        <v>31</v>
      </c>
      <c r="W229" t="s">
        <v>32</v>
      </c>
      <c r="X229" t="s">
        <v>44</v>
      </c>
      <c r="Y229">
        <v>42</v>
      </c>
      <c r="Z229" s="1">
        <v>45454</v>
      </c>
      <c r="AA229" t="str" cm="1">
        <f t="array" ref="AA229">_xlfn.IFS(AND(Table2[[#This Row],[Guest_Age]]&gt;=18,Table2[[#This Row],[Guest_Age]]&lt;=25),"Young Adults",AND(Table2[[#This Row],[Guest_Age]]&gt;=26,Table2[[#This Row],[Guest_Age]]&lt;=35),"Adults",AND(Table2[[#This Row],[Guest_Age]]&gt;=36,Table2[[#This Row],[Guest_Age]]&lt;=50),"Middle Aged Adults",Table2[[#This Row],[Guest_Age]]&gt;50,"Senior")</f>
        <v>Middle Aged Adults</v>
      </c>
      <c r="AB2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29" t="str" cm="1">
        <f t="array" ref="AC229">_xlfn.IFS(Table2[[#This Row],[Satification_points]]&gt;=4.5,"GREAT",AND(Table2[[#This Row],[Satification_points]]&gt;=4,Table2[[#This Row],[Satification_points]]&lt;4.5),"GOOD",AND(Table2[[#This Row],[Satification_points]]&gt;=3,Table2[[#This Row],[Satification_points]]&lt;4),"AVERAGE",Table2[[#This Row],[Satification_points]]&lt;3,"POOR")</f>
        <v>POOR</v>
      </c>
    </row>
    <row r="230" spans="1:29" x14ac:dyDescent="0.3">
      <c r="A230">
        <v>229</v>
      </c>
      <c r="B230">
        <v>24206</v>
      </c>
      <c r="C230" t="s">
        <v>286</v>
      </c>
      <c r="D230" t="s">
        <v>51</v>
      </c>
      <c r="E230" t="s">
        <v>52</v>
      </c>
      <c r="F230" s="1">
        <v>45209</v>
      </c>
      <c r="G230" s="1">
        <v>45380</v>
      </c>
      <c r="H230">
        <v>5</v>
      </c>
      <c r="I230" t="s">
        <v>42</v>
      </c>
      <c r="J230" t="s">
        <v>29</v>
      </c>
      <c r="K230">
        <v>4</v>
      </c>
      <c r="L230">
        <v>2</v>
      </c>
      <c r="M230">
        <v>4</v>
      </c>
      <c r="N230">
        <v>4</v>
      </c>
      <c r="O230">
        <v>1</v>
      </c>
      <c r="P230">
        <v>2</v>
      </c>
      <c r="Q230">
        <v>5</v>
      </c>
      <c r="R230">
        <v>1</v>
      </c>
      <c r="S230">
        <v>2</v>
      </c>
      <c r="T230">
        <v>1</v>
      </c>
      <c r="U230" t="s">
        <v>37</v>
      </c>
      <c r="V230" t="s">
        <v>31</v>
      </c>
      <c r="W230" t="s">
        <v>56</v>
      </c>
      <c r="X230" t="s">
        <v>33</v>
      </c>
      <c r="Y230">
        <v>24</v>
      </c>
      <c r="Z230" s="1">
        <v>45380</v>
      </c>
      <c r="AA230" t="str" cm="1">
        <f t="array" ref="AA230">_xlfn.IFS(AND(Table2[[#This Row],[Guest_Age]]&gt;=18,Table2[[#This Row],[Guest_Age]]&lt;=25),"Young Adults",AND(Table2[[#This Row],[Guest_Age]]&gt;=26,Table2[[#This Row],[Guest_Age]]&lt;=35),"Adults",AND(Table2[[#This Row],[Guest_Age]]&gt;=36,Table2[[#This Row],[Guest_Age]]&lt;=50),"Middle Aged Adults",Table2[[#This Row],[Guest_Age]]&gt;50,"Senior")</f>
        <v>Young Adults</v>
      </c>
      <c r="AB2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230" t="str" cm="1">
        <f t="array" ref="AC230">_xlfn.IFS(Table2[[#This Row],[Satification_points]]&gt;=4.5,"GREAT",AND(Table2[[#This Row],[Satification_points]]&gt;=4,Table2[[#This Row],[Satification_points]]&lt;4.5),"GOOD",AND(Table2[[#This Row],[Satification_points]]&gt;=3,Table2[[#This Row],[Satification_points]]&lt;4),"AVERAGE",Table2[[#This Row],[Satification_points]]&lt;3,"POOR")</f>
        <v>POOR</v>
      </c>
    </row>
    <row r="231" spans="1:29" x14ac:dyDescent="0.3">
      <c r="A231">
        <v>230</v>
      </c>
      <c r="B231">
        <v>41518</v>
      </c>
      <c r="C231" t="s">
        <v>287</v>
      </c>
      <c r="D231" t="s">
        <v>26</v>
      </c>
      <c r="E231" t="s">
        <v>35</v>
      </c>
      <c r="F231" s="1">
        <v>45227</v>
      </c>
      <c r="G231" s="1">
        <v>45614</v>
      </c>
      <c r="H231">
        <v>14</v>
      </c>
      <c r="I231" t="s">
        <v>49</v>
      </c>
      <c r="J231" t="s">
        <v>29</v>
      </c>
      <c r="K231">
        <v>2</v>
      </c>
      <c r="L231">
        <v>3</v>
      </c>
      <c r="M231">
        <v>3</v>
      </c>
      <c r="N231">
        <v>5</v>
      </c>
      <c r="O231">
        <v>4</v>
      </c>
      <c r="P231">
        <v>5</v>
      </c>
      <c r="Q231">
        <v>3</v>
      </c>
      <c r="R231">
        <v>2</v>
      </c>
      <c r="S231">
        <v>5</v>
      </c>
      <c r="T231">
        <v>1</v>
      </c>
      <c r="U231" t="s">
        <v>30</v>
      </c>
      <c r="V231" t="s">
        <v>54</v>
      </c>
      <c r="W231" t="s">
        <v>47</v>
      </c>
      <c r="X231" t="s">
        <v>33</v>
      </c>
      <c r="Y231">
        <v>28</v>
      </c>
      <c r="Z231" s="1">
        <v>45614</v>
      </c>
      <c r="AA231" t="str" cm="1">
        <f t="array" ref="AA231">_xlfn.IFS(AND(Table2[[#This Row],[Guest_Age]]&gt;=18,Table2[[#This Row],[Guest_Age]]&lt;=25),"Young Adults",AND(Table2[[#This Row],[Guest_Age]]&gt;=26,Table2[[#This Row],[Guest_Age]]&lt;=35),"Adults",AND(Table2[[#This Row],[Guest_Age]]&gt;=36,Table2[[#This Row],[Guest_Age]]&lt;=50),"Middle Aged Adults",Table2[[#This Row],[Guest_Age]]&gt;50,"Senior")</f>
        <v>Adults</v>
      </c>
      <c r="AB2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31" t="str" cm="1">
        <f t="array" ref="AC231">_xlfn.IFS(Table2[[#This Row],[Satification_points]]&gt;=4.5,"GREAT",AND(Table2[[#This Row],[Satification_points]]&gt;=4,Table2[[#This Row],[Satification_points]]&lt;4.5),"GOOD",AND(Table2[[#This Row],[Satification_points]]&gt;=3,Table2[[#This Row],[Satification_points]]&lt;4),"AVERAGE",Table2[[#This Row],[Satification_points]]&lt;3,"POOR")</f>
        <v>AVERAGE</v>
      </c>
    </row>
    <row r="232" spans="1:29" x14ac:dyDescent="0.3">
      <c r="A232">
        <v>231</v>
      </c>
      <c r="B232">
        <v>11198</v>
      </c>
      <c r="C232" t="s">
        <v>288</v>
      </c>
      <c r="D232" t="s">
        <v>26</v>
      </c>
      <c r="E232" t="s">
        <v>27</v>
      </c>
      <c r="F232" s="1">
        <v>45091</v>
      </c>
      <c r="G232" s="1">
        <v>45652</v>
      </c>
      <c r="H232">
        <v>3</v>
      </c>
      <c r="I232" t="s">
        <v>28</v>
      </c>
      <c r="J232" t="s">
        <v>53</v>
      </c>
      <c r="K232">
        <v>5</v>
      </c>
      <c r="L232">
        <v>1</v>
      </c>
      <c r="M232">
        <v>5</v>
      </c>
      <c r="N232">
        <v>3</v>
      </c>
      <c r="O232">
        <v>3</v>
      </c>
      <c r="P232">
        <v>3</v>
      </c>
      <c r="Q232">
        <v>2</v>
      </c>
      <c r="R232">
        <v>1</v>
      </c>
      <c r="S232">
        <v>3</v>
      </c>
      <c r="T232">
        <v>2</v>
      </c>
      <c r="U232" t="s">
        <v>37</v>
      </c>
      <c r="V232" t="s">
        <v>58</v>
      </c>
      <c r="W232" t="s">
        <v>32</v>
      </c>
      <c r="X232" t="s">
        <v>33</v>
      </c>
      <c r="Y232">
        <v>55</v>
      </c>
      <c r="Z232" s="1">
        <v>45652</v>
      </c>
      <c r="AA232" t="str" cm="1">
        <f t="array" ref="AA232">_xlfn.IFS(AND(Table2[[#This Row],[Guest_Age]]&gt;=18,Table2[[#This Row],[Guest_Age]]&lt;=25),"Young Adults",AND(Table2[[#This Row],[Guest_Age]]&gt;=26,Table2[[#This Row],[Guest_Age]]&lt;=35),"Adults",AND(Table2[[#This Row],[Guest_Age]]&gt;=36,Table2[[#This Row],[Guest_Age]]&lt;=50),"Middle Aged Adults",Table2[[#This Row],[Guest_Age]]&gt;50,"Senior")</f>
        <v>Senior</v>
      </c>
      <c r="AB2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32" t="str" cm="1">
        <f t="array" ref="AC232">_xlfn.IFS(Table2[[#This Row],[Satification_points]]&gt;=4.5,"GREAT",AND(Table2[[#This Row],[Satification_points]]&gt;=4,Table2[[#This Row],[Satification_points]]&lt;4.5),"GOOD",AND(Table2[[#This Row],[Satification_points]]&gt;=3,Table2[[#This Row],[Satification_points]]&lt;4),"AVERAGE",Table2[[#This Row],[Satification_points]]&lt;3,"POOR")</f>
        <v>POOR</v>
      </c>
    </row>
    <row r="233" spans="1:29" x14ac:dyDescent="0.3">
      <c r="A233">
        <v>232</v>
      </c>
      <c r="B233">
        <v>47064</v>
      </c>
      <c r="C233" t="s">
        <v>289</v>
      </c>
      <c r="D233" t="s">
        <v>51</v>
      </c>
      <c r="E233" t="s">
        <v>57</v>
      </c>
      <c r="F233" s="1">
        <v>45617</v>
      </c>
      <c r="G233" s="1">
        <v>45618</v>
      </c>
      <c r="H233">
        <v>9</v>
      </c>
      <c r="I233" t="s">
        <v>28</v>
      </c>
      <c r="J233" t="s">
        <v>36</v>
      </c>
      <c r="K233">
        <v>5</v>
      </c>
      <c r="L233">
        <v>4</v>
      </c>
      <c r="M233">
        <v>4</v>
      </c>
      <c r="N233">
        <v>4</v>
      </c>
      <c r="O233">
        <v>4</v>
      </c>
      <c r="P233">
        <v>3</v>
      </c>
      <c r="Q233">
        <v>3</v>
      </c>
      <c r="R233">
        <v>5</v>
      </c>
      <c r="S233">
        <v>2</v>
      </c>
      <c r="T233">
        <v>2</v>
      </c>
      <c r="U233" t="s">
        <v>30</v>
      </c>
      <c r="V233" t="s">
        <v>54</v>
      </c>
      <c r="W233" t="s">
        <v>39</v>
      </c>
      <c r="X233" t="s">
        <v>40</v>
      </c>
      <c r="Y233">
        <v>36</v>
      </c>
      <c r="Z233" s="1">
        <v>45618</v>
      </c>
      <c r="AA233" t="str" cm="1">
        <f t="array" ref="AA2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233" t="str" cm="1">
        <f t="array" ref="AC233">_xlfn.IFS(Table2[[#This Row],[Satification_points]]&gt;=4.5,"GREAT",AND(Table2[[#This Row],[Satification_points]]&gt;=4,Table2[[#This Row],[Satification_points]]&lt;4.5),"GOOD",AND(Table2[[#This Row],[Satification_points]]&gt;=3,Table2[[#This Row],[Satification_points]]&lt;4),"AVERAGE",Table2[[#This Row],[Satification_points]]&lt;3,"POOR")</f>
        <v>AVERAGE</v>
      </c>
    </row>
    <row r="234" spans="1:29" x14ac:dyDescent="0.3">
      <c r="A234">
        <v>233</v>
      </c>
      <c r="B234">
        <v>58744</v>
      </c>
      <c r="C234" t="s">
        <v>290</v>
      </c>
      <c r="D234" t="s">
        <v>26</v>
      </c>
      <c r="E234" t="s">
        <v>45</v>
      </c>
      <c r="F234" s="1">
        <v>45184</v>
      </c>
      <c r="G234" s="1">
        <v>45185</v>
      </c>
      <c r="H234">
        <v>12</v>
      </c>
      <c r="I234" t="s">
        <v>50</v>
      </c>
      <c r="J234" t="s">
        <v>36</v>
      </c>
      <c r="K234">
        <v>4</v>
      </c>
      <c r="L234">
        <v>4</v>
      </c>
      <c r="M234">
        <v>3</v>
      </c>
      <c r="N234">
        <v>3</v>
      </c>
      <c r="O234">
        <v>4</v>
      </c>
      <c r="P234">
        <v>4</v>
      </c>
      <c r="Q234">
        <v>4</v>
      </c>
      <c r="R234">
        <v>2</v>
      </c>
      <c r="S234">
        <v>1</v>
      </c>
      <c r="T234">
        <v>4</v>
      </c>
      <c r="U234" t="s">
        <v>37</v>
      </c>
      <c r="V234" t="s">
        <v>54</v>
      </c>
      <c r="W234" t="s">
        <v>55</v>
      </c>
      <c r="X234" t="s">
        <v>44</v>
      </c>
      <c r="Y234">
        <v>52</v>
      </c>
      <c r="Z234" s="1">
        <v>45256</v>
      </c>
      <c r="AA234" t="str" cm="1">
        <f t="array" ref="AA234">_xlfn.IFS(AND(Table2[[#This Row],[Guest_Age]]&gt;=18,Table2[[#This Row],[Guest_Age]]&lt;=25),"Young Adults",AND(Table2[[#This Row],[Guest_Age]]&gt;=26,Table2[[#This Row],[Guest_Age]]&lt;=35),"Adults",AND(Table2[[#This Row],[Guest_Age]]&gt;=36,Table2[[#This Row],[Guest_Age]]&lt;=50),"Middle Aged Adults",Table2[[#This Row],[Guest_Age]]&gt;50,"Senior")</f>
        <v>Senior</v>
      </c>
      <c r="AB2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34" t="str" cm="1">
        <f t="array" ref="AC234">_xlfn.IFS(Table2[[#This Row],[Satification_points]]&gt;=4.5,"GREAT",AND(Table2[[#This Row],[Satification_points]]&gt;=4,Table2[[#This Row],[Satification_points]]&lt;4.5),"GOOD",AND(Table2[[#This Row],[Satification_points]]&gt;=3,Table2[[#This Row],[Satification_points]]&lt;4),"AVERAGE",Table2[[#This Row],[Satification_points]]&lt;3,"POOR")</f>
        <v>AVERAGE</v>
      </c>
    </row>
    <row r="235" spans="1:29" x14ac:dyDescent="0.3">
      <c r="A235">
        <v>234</v>
      </c>
      <c r="B235">
        <v>88566</v>
      </c>
      <c r="C235" t="s">
        <v>291</v>
      </c>
      <c r="D235" t="s">
        <v>51</v>
      </c>
      <c r="E235" t="s">
        <v>27</v>
      </c>
      <c r="F235" s="1">
        <v>45514</v>
      </c>
      <c r="G235" s="1">
        <v>45515</v>
      </c>
      <c r="H235">
        <v>1</v>
      </c>
      <c r="I235" t="s">
        <v>42</v>
      </c>
      <c r="J235" t="s">
        <v>29</v>
      </c>
      <c r="K235">
        <v>1</v>
      </c>
      <c r="L235">
        <v>5</v>
      </c>
      <c r="M235">
        <v>3</v>
      </c>
      <c r="N235">
        <v>2</v>
      </c>
      <c r="O235">
        <v>2</v>
      </c>
      <c r="P235">
        <v>5</v>
      </c>
      <c r="Q235">
        <v>2</v>
      </c>
      <c r="R235">
        <v>3</v>
      </c>
      <c r="S235">
        <v>4</v>
      </c>
      <c r="T235">
        <v>1</v>
      </c>
      <c r="U235" t="s">
        <v>30</v>
      </c>
      <c r="V235" t="s">
        <v>31</v>
      </c>
      <c r="W235" t="s">
        <v>47</v>
      </c>
      <c r="X235" t="s">
        <v>40</v>
      </c>
      <c r="Y235">
        <v>62</v>
      </c>
      <c r="Z235" s="1">
        <v>45515</v>
      </c>
      <c r="AA235" t="str" cm="1">
        <f t="array" ref="AA235">_xlfn.IFS(AND(Table2[[#This Row],[Guest_Age]]&gt;=18,Table2[[#This Row],[Guest_Age]]&lt;=25),"Young Adults",AND(Table2[[#This Row],[Guest_Age]]&gt;=26,Table2[[#This Row],[Guest_Age]]&lt;=35),"Adults",AND(Table2[[#This Row],[Guest_Age]]&gt;=36,Table2[[#This Row],[Guest_Age]]&lt;=50),"Middle Aged Adults",Table2[[#This Row],[Guest_Age]]&gt;50,"Senior")</f>
        <v>Senior</v>
      </c>
      <c r="AB2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35" t="str" cm="1">
        <f t="array" ref="AC235">_xlfn.IFS(Table2[[#This Row],[Satification_points]]&gt;=4.5,"GREAT",AND(Table2[[#This Row],[Satification_points]]&gt;=4,Table2[[#This Row],[Satification_points]]&lt;4.5),"GOOD",AND(Table2[[#This Row],[Satification_points]]&gt;=3,Table2[[#This Row],[Satification_points]]&lt;4),"AVERAGE",Table2[[#This Row],[Satification_points]]&lt;3,"POOR")</f>
        <v>POOR</v>
      </c>
    </row>
    <row r="236" spans="1:29" x14ac:dyDescent="0.3">
      <c r="A236">
        <v>235</v>
      </c>
      <c r="B236">
        <v>30577</v>
      </c>
      <c r="C236" t="s">
        <v>292</v>
      </c>
      <c r="D236" t="s">
        <v>41</v>
      </c>
      <c r="E236" t="s">
        <v>52</v>
      </c>
      <c r="F236" s="1">
        <v>45543</v>
      </c>
      <c r="G236" s="1">
        <v>45544</v>
      </c>
      <c r="H236">
        <v>10</v>
      </c>
      <c r="I236" t="s">
        <v>42</v>
      </c>
      <c r="J236" t="s">
        <v>43</v>
      </c>
      <c r="K236">
        <v>3</v>
      </c>
      <c r="L236">
        <v>5</v>
      </c>
      <c r="M236">
        <v>5</v>
      </c>
      <c r="N236">
        <v>1</v>
      </c>
      <c r="O236">
        <v>2</v>
      </c>
      <c r="P236">
        <v>4</v>
      </c>
      <c r="Q236">
        <v>1</v>
      </c>
      <c r="R236">
        <v>3</v>
      </c>
      <c r="S236">
        <v>4</v>
      </c>
      <c r="T236">
        <v>5</v>
      </c>
      <c r="U236" t="s">
        <v>30</v>
      </c>
      <c r="V236" t="s">
        <v>38</v>
      </c>
      <c r="W236" t="s">
        <v>47</v>
      </c>
      <c r="X236" t="s">
        <v>33</v>
      </c>
      <c r="Y236">
        <v>37</v>
      </c>
      <c r="Z236" s="1">
        <v>45544</v>
      </c>
      <c r="AA236" t="str" cm="1">
        <f t="array" ref="AA236">_xlfn.IFS(AND(Table2[[#This Row],[Guest_Age]]&gt;=18,Table2[[#This Row],[Guest_Age]]&lt;=25),"Young Adults",AND(Table2[[#This Row],[Guest_Age]]&gt;=26,Table2[[#This Row],[Guest_Age]]&lt;=35),"Adults",AND(Table2[[#This Row],[Guest_Age]]&gt;=36,Table2[[#This Row],[Guest_Age]]&lt;=50),"Middle Aged Adults",Table2[[#This Row],[Guest_Age]]&gt;50,"Senior")</f>
        <v>Middle Aged Adults</v>
      </c>
      <c r="AB2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236" t="str" cm="1">
        <f t="array" ref="AC236">_xlfn.IFS(Table2[[#This Row],[Satification_points]]&gt;=4.5,"GREAT",AND(Table2[[#This Row],[Satification_points]]&gt;=4,Table2[[#This Row],[Satification_points]]&lt;4.5),"GOOD",AND(Table2[[#This Row],[Satification_points]]&gt;=3,Table2[[#This Row],[Satification_points]]&lt;4),"AVERAGE",Table2[[#This Row],[Satification_points]]&lt;3,"POOR")</f>
        <v>AVERAGE</v>
      </c>
    </row>
    <row r="237" spans="1:29" x14ac:dyDescent="0.3">
      <c r="A237">
        <v>236</v>
      </c>
      <c r="B237">
        <v>58230</v>
      </c>
      <c r="C237" t="s">
        <v>293</v>
      </c>
      <c r="D237" t="s">
        <v>41</v>
      </c>
      <c r="E237" t="s">
        <v>52</v>
      </c>
      <c r="F237" s="1">
        <v>45279</v>
      </c>
      <c r="G237" s="1">
        <v>45584</v>
      </c>
      <c r="H237">
        <v>1</v>
      </c>
      <c r="I237" t="s">
        <v>50</v>
      </c>
      <c r="J237" t="s">
        <v>40</v>
      </c>
      <c r="K237">
        <v>5</v>
      </c>
      <c r="L237">
        <v>4</v>
      </c>
      <c r="M237">
        <v>5</v>
      </c>
      <c r="N237">
        <v>5</v>
      </c>
      <c r="O237">
        <v>1</v>
      </c>
      <c r="P237">
        <v>3</v>
      </c>
      <c r="Q237">
        <v>5</v>
      </c>
      <c r="R237">
        <v>1</v>
      </c>
      <c r="S237">
        <v>4</v>
      </c>
      <c r="T237">
        <v>2</v>
      </c>
      <c r="U237" t="s">
        <v>30</v>
      </c>
      <c r="V237" t="s">
        <v>58</v>
      </c>
      <c r="W237" t="s">
        <v>32</v>
      </c>
      <c r="X237" t="s">
        <v>40</v>
      </c>
      <c r="Y237">
        <v>44</v>
      </c>
      <c r="Z237" s="1">
        <v>45652</v>
      </c>
      <c r="AA237" t="str" cm="1">
        <f t="array" ref="AA237">_xlfn.IFS(AND(Table2[[#This Row],[Guest_Age]]&gt;=18,Table2[[#This Row],[Guest_Age]]&lt;=25),"Young Adults",AND(Table2[[#This Row],[Guest_Age]]&gt;=26,Table2[[#This Row],[Guest_Age]]&lt;=35),"Adults",AND(Table2[[#This Row],[Guest_Age]]&gt;=36,Table2[[#This Row],[Guest_Age]]&lt;=50),"Middle Aged Adults",Table2[[#This Row],[Guest_Age]]&gt;50,"Senior")</f>
        <v>Middle Aged Adults</v>
      </c>
      <c r="AB2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37" t="str" cm="1">
        <f t="array" ref="AC237">_xlfn.IFS(Table2[[#This Row],[Satification_points]]&gt;=4.5,"GREAT",AND(Table2[[#This Row],[Satification_points]]&gt;=4,Table2[[#This Row],[Satification_points]]&lt;4.5),"GOOD",AND(Table2[[#This Row],[Satification_points]]&gt;=3,Table2[[#This Row],[Satification_points]]&lt;4),"AVERAGE",Table2[[#This Row],[Satification_points]]&lt;3,"POOR")</f>
        <v>AVERAGE</v>
      </c>
    </row>
    <row r="238" spans="1:29" x14ac:dyDescent="0.3">
      <c r="A238">
        <v>237</v>
      </c>
      <c r="B238">
        <v>40248</v>
      </c>
      <c r="C238" t="s">
        <v>294</v>
      </c>
      <c r="D238" t="s">
        <v>26</v>
      </c>
      <c r="E238" t="s">
        <v>35</v>
      </c>
      <c r="F238" s="1">
        <v>45013</v>
      </c>
      <c r="G238" s="1">
        <v>45225</v>
      </c>
      <c r="H238">
        <v>8</v>
      </c>
      <c r="I238" t="s">
        <v>50</v>
      </c>
      <c r="J238" t="s">
        <v>40</v>
      </c>
      <c r="K238">
        <v>2</v>
      </c>
      <c r="L238">
        <v>2</v>
      </c>
      <c r="M238">
        <v>1</v>
      </c>
      <c r="N238">
        <v>1</v>
      </c>
      <c r="O238">
        <v>3</v>
      </c>
      <c r="P238">
        <v>5</v>
      </c>
      <c r="Q238">
        <v>2</v>
      </c>
      <c r="R238">
        <v>5</v>
      </c>
      <c r="S238">
        <v>5</v>
      </c>
      <c r="T238">
        <v>4</v>
      </c>
      <c r="U238" t="s">
        <v>30</v>
      </c>
      <c r="V238" t="s">
        <v>58</v>
      </c>
      <c r="W238" t="s">
        <v>55</v>
      </c>
      <c r="X238" t="s">
        <v>44</v>
      </c>
      <c r="Y238">
        <v>48</v>
      </c>
      <c r="Z238" s="1">
        <v>45598</v>
      </c>
      <c r="AA238" t="str" cm="1">
        <f t="array" ref="AA2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2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38" t="str" cm="1">
        <f t="array" ref="AC238">_xlfn.IFS(Table2[[#This Row],[Satification_points]]&gt;=4.5,"GREAT",AND(Table2[[#This Row],[Satification_points]]&gt;=4,Table2[[#This Row],[Satification_points]]&lt;4.5),"GOOD",AND(Table2[[#This Row],[Satification_points]]&gt;=3,Table2[[#This Row],[Satification_points]]&lt;4),"AVERAGE",Table2[[#This Row],[Satification_points]]&lt;3,"POOR")</f>
        <v>AVERAGE</v>
      </c>
    </row>
    <row r="239" spans="1:29" x14ac:dyDescent="0.3">
      <c r="A239">
        <v>238</v>
      </c>
      <c r="B239">
        <v>91046</v>
      </c>
      <c r="C239" t="s">
        <v>295</v>
      </c>
      <c r="D239" t="s">
        <v>41</v>
      </c>
      <c r="E239" t="s">
        <v>57</v>
      </c>
      <c r="F239" s="1">
        <v>45452</v>
      </c>
      <c r="G239" s="1">
        <v>45453</v>
      </c>
      <c r="H239">
        <v>3</v>
      </c>
      <c r="I239" t="s">
        <v>42</v>
      </c>
      <c r="J239" t="s">
        <v>53</v>
      </c>
      <c r="K239">
        <v>2</v>
      </c>
      <c r="L239">
        <v>5</v>
      </c>
      <c r="M239">
        <v>2</v>
      </c>
      <c r="N239">
        <v>1</v>
      </c>
      <c r="O239">
        <v>4</v>
      </c>
      <c r="P239">
        <v>2</v>
      </c>
      <c r="Q239">
        <v>4</v>
      </c>
      <c r="R239">
        <v>3</v>
      </c>
      <c r="S239">
        <v>2</v>
      </c>
      <c r="T239">
        <v>4</v>
      </c>
      <c r="U239" t="s">
        <v>30</v>
      </c>
      <c r="V239" t="s">
        <v>58</v>
      </c>
      <c r="W239" t="s">
        <v>32</v>
      </c>
      <c r="X239" t="s">
        <v>33</v>
      </c>
      <c r="Y239">
        <v>42</v>
      </c>
      <c r="Z239" s="1">
        <v>45583</v>
      </c>
      <c r="AA239" t="str" cm="1">
        <f t="array" ref="AA2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2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39" t="str" cm="1">
        <f t="array" ref="AC239">_xlfn.IFS(Table2[[#This Row],[Satification_points]]&gt;=4.5,"GREAT",AND(Table2[[#This Row],[Satification_points]]&gt;=4,Table2[[#This Row],[Satification_points]]&lt;4.5),"GOOD",AND(Table2[[#This Row],[Satification_points]]&gt;=3,Table2[[#This Row],[Satification_points]]&lt;4),"AVERAGE",Table2[[#This Row],[Satification_points]]&lt;3,"POOR")</f>
        <v>POOR</v>
      </c>
    </row>
    <row r="240" spans="1:29" x14ac:dyDescent="0.3">
      <c r="A240">
        <v>239</v>
      </c>
      <c r="B240">
        <v>14934</v>
      </c>
      <c r="C240" t="s">
        <v>296</v>
      </c>
      <c r="D240" t="s">
        <v>26</v>
      </c>
      <c r="E240" t="s">
        <v>57</v>
      </c>
      <c r="F240" s="1">
        <v>44935</v>
      </c>
      <c r="G240" s="1">
        <v>45280</v>
      </c>
      <c r="H240">
        <v>11</v>
      </c>
      <c r="I240" t="s">
        <v>28</v>
      </c>
      <c r="J240" t="s">
        <v>53</v>
      </c>
      <c r="K240">
        <v>2</v>
      </c>
      <c r="L240">
        <v>3</v>
      </c>
      <c r="M240">
        <v>3</v>
      </c>
      <c r="N240">
        <v>3</v>
      </c>
      <c r="O240">
        <v>1</v>
      </c>
      <c r="P240">
        <v>2</v>
      </c>
      <c r="Q240">
        <v>3</v>
      </c>
      <c r="R240">
        <v>5</v>
      </c>
      <c r="S240">
        <v>3</v>
      </c>
      <c r="T240">
        <v>4</v>
      </c>
      <c r="U240" t="s">
        <v>30</v>
      </c>
      <c r="V240" t="s">
        <v>38</v>
      </c>
      <c r="W240" t="s">
        <v>56</v>
      </c>
      <c r="X240" t="s">
        <v>40</v>
      </c>
      <c r="Y240">
        <v>19</v>
      </c>
      <c r="Z240" s="1">
        <v>45280</v>
      </c>
      <c r="AA240" t="str" cm="1">
        <f t="array" ref="AA240">_xlfn.IFS(AND(Table2[[#This Row],[Guest_Age]]&gt;=18,Table2[[#This Row],[Guest_Age]]&lt;=25),"Young Adults",AND(Table2[[#This Row],[Guest_Age]]&gt;=26,Table2[[#This Row],[Guest_Age]]&lt;=35),"Adults",AND(Table2[[#This Row],[Guest_Age]]&gt;=36,Table2[[#This Row],[Guest_Age]]&lt;=50),"Middle Aged Adults",Table2[[#This Row],[Guest_Age]]&gt;50,"Senior")</f>
        <v>Young Adults</v>
      </c>
      <c r="AB2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40" t="str" cm="1">
        <f t="array" ref="AC240">_xlfn.IFS(Table2[[#This Row],[Satification_points]]&gt;=4.5,"GREAT",AND(Table2[[#This Row],[Satification_points]]&gt;=4,Table2[[#This Row],[Satification_points]]&lt;4.5),"GOOD",AND(Table2[[#This Row],[Satification_points]]&gt;=3,Table2[[#This Row],[Satification_points]]&lt;4),"AVERAGE",Table2[[#This Row],[Satification_points]]&lt;3,"POOR")</f>
        <v>POOR</v>
      </c>
    </row>
    <row r="241" spans="1:29" x14ac:dyDescent="0.3">
      <c r="A241">
        <v>240</v>
      </c>
      <c r="B241">
        <v>34927</v>
      </c>
      <c r="C241" t="s">
        <v>297</v>
      </c>
      <c r="D241" t="s">
        <v>41</v>
      </c>
      <c r="E241" t="s">
        <v>27</v>
      </c>
      <c r="F241" s="1">
        <v>45389</v>
      </c>
      <c r="G241" s="1">
        <v>45390</v>
      </c>
      <c r="H241">
        <v>7</v>
      </c>
      <c r="I241" t="s">
        <v>28</v>
      </c>
      <c r="J241" t="s">
        <v>53</v>
      </c>
      <c r="K241">
        <v>4</v>
      </c>
      <c r="L241">
        <v>5</v>
      </c>
      <c r="M241">
        <v>1</v>
      </c>
      <c r="N241">
        <v>5</v>
      </c>
      <c r="O241">
        <v>4</v>
      </c>
      <c r="P241">
        <v>5</v>
      </c>
      <c r="Q241">
        <v>4</v>
      </c>
      <c r="R241">
        <v>5</v>
      </c>
      <c r="S241">
        <v>1</v>
      </c>
      <c r="T241">
        <v>5</v>
      </c>
      <c r="U241" t="s">
        <v>37</v>
      </c>
      <c r="V241" t="s">
        <v>58</v>
      </c>
      <c r="W241" t="s">
        <v>39</v>
      </c>
      <c r="X241" t="s">
        <v>44</v>
      </c>
      <c r="Y241">
        <v>46</v>
      </c>
      <c r="Z241" s="1">
        <v>45390</v>
      </c>
      <c r="AA241" t="str" cm="1">
        <f t="array" ref="AA241">_xlfn.IFS(AND(Table2[[#This Row],[Guest_Age]]&gt;=18,Table2[[#This Row],[Guest_Age]]&lt;=25),"Young Adults",AND(Table2[[#This Row],[Guest_Age]]&gt;=26,Table2[[#This Row],[Guest_Age]]&lt;=35),"Adults",AND(Table2[[#This Row],[Guest_Age]]&gt;=36,Table2[[#This Row],[Guest_Age]]&lt;=50),"Middle Aged Adults",Table2[[#This Row],[Guest_Age]]&gt;50,"Senior")</f>
        <v>Middle Aged Adults</v>
      </c>
      <c r="AB2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241" t="str" cm="1">
        <f t="array" ref="AC241">_xlfn.IFS(Table2[[#This Row],[Satification_points]]&gt;=4.5,"GREAT",AND(Table2[[#This Row],[Satification_points]]&gt;=4,Table2[[#This Row],[Satification_points]]&lt;4.5),"GOOD",AND(Table2[[#This Row],[Satification_points]]&gt;=3,Table2[[#This Row],[Satification_points]]&lt;4),"AVERAGE",Table2[[#This Row],[Satification_points]]&lt;3,"POOR")</f>
        <v>AVERAGE</v>
      </c>
    </row>
    <row r="242" spans="1:29" x14ac:dyDescent="0.3">
      <c r="A242">
        <v>241</v>
      </c>
      <c r="B242">
        <v>35877</v>
      </c>
      <c r="C242" t="s">
        <v>298</v>
      </c>
      <c r="D242" t="s">
        <v>26</v>
      </c>
      <c r="E242" t="s">
        <v>27</v>
      </c>
      <c r="F242" s="1">
        <v>45462</v>
      </c>
      <c r="G242" s="1">
        <v>45463</v>
      </c>
      <c r="H242">
        <v>10</v>
      </c>
      <c r="I242" t="s">
        <v>49</v>
      </c>
      <c r="J242" t="s">
        <v>29</v>
      </c>
      <c r="K242">
        <v>1</v>
      </c>
      <c r="L242">
        <v>2</v>
      </c>
      <c r="M242">
        <v>4</v>
      </c>
      <c r="N242">
        <v>2</v>
      </c>
      <c r="O242">
        <v>1</v>
      </c>
      <c r="P242">
        <v>4</v>
      </c>
      <c r="Q242">
        <v>1</v>
      </c>
      <c r="R242">
        <v>2</v>
      </c>
      <c r="S242">
        <v>4</v>
      </c>
      <c r="T242">
        <v>2</v>
      </c>
      <c r="U242" t="s">
        <v>37</v>
      </c>
      <c r="V242" t="s">
        <v>46</v>
      </c>
      <c r="W242" t="s">
        <v>55</v>
      </c>
      <c r="X242" t="s">
        <v>44</v>
      </c>
      <c r="Y242">
        <v>54</v>
      </c>
      <c r="Z242" s="1">
        <v>45463</v>
      </c>
      <c r="AA242" t="str" cm="1">
        <f t="array" ref="AA242">_xlfn.IFS(AND(Table2[[#This Row],[Guest_Age]]&gt;=18,Table2[[#This Row],[Guest_Age]]&lt;=25),"Young Adults",AND(Table2[[#This Row],[Guest_Age]]&gt;=26,Table2[[#This Row],[Guest_Age]]&lt;=35),"Adults",AND(Table2[[#This Row],[Guest_Age]]&gt;=36,Table2[[#This Row],[Guest_Age]]&lt;=50),"Middle Aged Adults",Table2[[#This Row],[Guest_Age]]&gt;50,"Senior")</f>
        <v>Senior</v>
      </c>
      <c r="AB2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242" t="str" cm="1">
        <f t="array" ref="AC242">_xlfn.IFS(Table2[[#This Row],[Satification_points]]&gt;=4.5,"GREAT",AND(Table2[[#This Row],[Satification_points]]&gt;=4,Table2[[#This Row],[Satification_points]]&lt;4.5),"GOOD",AND(Table2[[#This Row],[Satification_points]]&gt;=3,Table2[[#This Row],[Satification_points]]&lt;4),"AVERAGE",Table2[[#This Row],[Satification_points]]&lt;3,"POOR")</f>
        <v>POOR</v>
      </c>
    </row>
    <row r="243" spans="1:29" x14ac:dyDescent="0.3">
      <c r="A243">
        <v>242</v>
      </c>
      <c r="B243">
        <v>87367</v>
      </c>
      <c r="C243" t="s">
        <v>299</v>
      </c>
      <c r="D243" t="s">
        <v>48</v>
      </c>
      <c r="E243" t="s">
        <v>27</v>
      </c>
      <c r="F243" s="1">
        <v>45550</v>
      </c>
      <c r="G243" s="1">
        <v>45551</v>
      </c>
      <c r="H243">
        <v>5</v>
      </c>
      <c r="I243" t="s">
        <v>49</v>
      </c>
      <c r="J243" t="s">
        <v>29</v>
      </c>
      <c r="K243">
        <v>3</v>
      </c>
      <c r="L243">
        <v>1</v>
      </c>
      <c r="M243">
        <v>4</v>
      </c>
      <c r="N243">
        <v>1</v>
      </c>
      <c r="O243">
        <v>4</v>
      </c>
      <c r="P243">
        <v>4</v>
      </c>
      <c r="Q243">
        <v>5</v>
      </c>
      <c r="R243">
        <v>1</v>
      </c>
      <c r="S243">
        <v>4</v>
      </c>
      <c r="T243">
        <v>3</v>
      </c>
      <c r="U243" t="s">
        <v>30</v>
      </c>
      <c r="V243" t="s">
        <v>38</v>
      </c>
      <c r="W243" t="s">
        <v>56</v>
      </c>
      <c r="X243" t="s">
        <v>44</v>
      </c>
      <c r="Y243">
        <v>48</v>
      </c>
      <c r="Z243" s="1">
        <v>45551</v>
      </c>
      <c r="AA243" t="str" cm="1">
        <f t="array" ref="AA24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43" t="str" cm="1">
        <f t="array" ref="AC243">_xlfn.IFS(Table2[[#This Row],[Satification_points]]&gt;=4.5,"GREAT",AND(Table2[[#This Row],[Satification_points]]&gt;=4,Table2[[#This Row],[Satification_points]]&lt;4.5),"GOOD",AND(Table2[[#This Row],[Satification_points]]&gt;=3,Table2[[#This Row],[Satification_points]]&lt;4),"AVERAGE",Table2[[#This Row],[Satification_points]]&lt;3,"POOR")</f>
        <v>AVERAGE</v>
      </c>
    </row>
    <row r="244" spans="1:29" x14ac:dyDescent="0.3">
      <c r="A244">
        <v>243</v>
      </c>
      <c r="B244">
        <v>29471</v>
      </c>
      <c r="C244" t="s">
        <v>300</v>
      </c>
      <c r="D244" t="s">
        <v>34</v>
      </c>
      <c r="E244" t="s">
        <v>45</v>
      </c>
      <c r="F244" s="1">
        <v>45223</v>
      </c>
      <c r="G244" s="1">
        <v>45551</v>
      </c>
      <c r="H244">
        <v>2</v>
      </c>
      <c r="I244" t="s">
        <v>42</v>
      </c>
      <c r="J244" t="s">
        <v>40</v>
      </c>
      <c r="K244">
        <v>2</v>
      </c>
      <c r="L244">
        <v>3</v>
      </c>
      <c r="M244">
        <v>2</v>
      </c>
      <c r="N244">
        <v>3</v>
      </c>
      <c r="O244">
        <v>2</v>
      </c>
      <c r="P244">
        <v>2</v>
      </c>
      <c r="Q244">
        <v>5</v>
      </c>
      <c r="R244">
        <v>5</v>
      </c>
      <c r="S244">
        <v>1</v>
      </c>
      <c r="T244">
        <v>5</v>
      </c>
      <c r="U244" t="s">
        <v>37</v>
      </c>
      <c r="V244" t="s">
        <v>54</v>
      </c>
      <c r="W244" t="s">
        <v>39</v>
      </c>
      <c r="X244" t="s">
        <v>44</v>
      </c>
      <c r="Y244">
        <v>64</v>
      </c>
      <c r="Z244" s="1">
        <v>45551</v>
      </c>
      <c r="AA244" t="str" cm="1">
        <f t="array" ref="AA244">_xlfn.IFS(AND(Table2[[#This Row],[Guest_Age]]&gt;=18,Table2[[#This Row],[Guest_Age]]&lt;=25),"Young Adults",AND(Table2[[#This Row],[Guest_Age]]&gt;=26,Table2[[#This Row],[Guest_Age]]&lt;=35),"Adults",AND(Table2[[#This Row],[Guest_Age]]&gt;=36,Table2[[#This Row],[Guest_Age]]&lt;=50),"Middle Aged Adults",Table2[[#This Row],[Guest_Age]]&gt;50,"Senior")</f>
        <v>Senior</v>
      </c>
      <c r="AB2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44" t="str" cm="1">
        <f t="array" ref="AC244">_xlfn.IFS(Table2[[#This Row],[Satification_points]]&gt;=4.5,"GREAT",AND(Table2[[#This Row],[Satification_points]]&gt;=4,Table2[[#This Row],[Satification_points]]&lt;4.5),"GOOD",AND(Table2[[#This Row],[Satification_points]]&gt;=3,Table2[[#This Row],[Satification_points]]&lt;4),"AVERAGE",Table2[[#This Row],[Satification_points]]&lt;3,"POOR")</f>
        <v>AVERAGE</v>
      </c>
    </row>
    <row r="245" spans="1:29" x14ac:dyDescent="0.3">
      <c r="A245">
        <v>244</v>
      </c>
      <c r="B245">
        <v>48841</v>
      </c>
      <c r="C245" t="s">
        <v>301</v>
      </c>
      <c r="D245" t="s">
        <v>41</v>
      </c>
      <c r="E245" t="s">
        <v>45</v>
      </c>
      <c r="F245" s="1">
        <v>45143</v>
      </c>
      <c r="G245" s="1">
        <v>45303</v>
      </c>
      <c r="H245">
        <v>14</v>
      </c>
      <c r="I245" t="s">
        <v>28</v>
      </c>
      <c r="J245" t="s">
        <v>53</v>
      </c>
      <c r="K245">
        <v>2</v>
      </c>
      <c r="L245">
        <v>5</v>
      </c>
      <c r="M245">
        <v>4</v>
      </c>
      <c r="N245">
        <v>3</v>
      </c>
      <c r="O245">
        <v>5</v>
      </c>
      <c r="P245">
        <v>4</v>
      </c>
      <c r="Q245">
        <v>1</v>
      </c>
      <c r="R245">
        <v>5</v>
      </c>
      <c r="S245">
        <v>4</v>
      </c>
      <c r="T245">
        <v>1</v>
      </c>
      <c r="U245" t="s">
        <v>30</v>
      </c>
      <c r="V245" t="s">
        <v>46</v>
      </c>
      <c r="W245" t="s">
        <v>39</v>
      </c>
      <c r="X245" t="s">
        <v>33</v>
      </c>
      <c r="Y245">
        <v>59</v>
      </c>
      <c r="Z245" s="1">
        <v>45303</v>
      </c>
      <c r="AA245" t="str" cm="1">
        <f t="array" ref="AA245">_xlfn.IFS(AND(Table2[[#This Row],[Guest_Age]]&gt;=18,Table2[[#This Row],[Guest_Age]]&lt;=25),"Young Adults",AND(Table2[[#This Row],[Guest_Age]]&gt;=26,Table2[[#This Row],[Guest_Age]]&lt;=35),"Adults",AND(Table2[[#This Row],[Guest_Age]]&gt;=36,Table2[[#This Row],[Guest_Age]]&lt;=50),"Middle Aged Adults",Table2[[#This Row],[Guest_Age]]&gt;50,"Senior")</f>
        <v>Senior</v>
      </c>
      <c r="AB2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45" t="str" cm="1">
        <f t="array" ref="AC245">_xlfn.IFS(Table2[[#This Row],[Satification_points]]&gt;=4.5,"GREAT",AND(Table2[[#This Row],[Satification_points]]&gt;=4,Table2[[#This Row],[Satification_points]]&lt;4.5),"GOOD",AND(Table2[[#This Row],[Satification_points]]&gt;=3,Table2[[#This Row],[Satification_points]]&lt;4),"AVERAGE",Table2[[#This Row],[Satification_points]]&lt;3,"POOR")</f>
        <v>AVERAGE</v>
      </c>
    </row>
    <row r="246" spans="1:29" x14ac:dyDescent="0.3">
      <c r="A246">
        <v>245</v>
      </c>
      <c r="B246">
        <v>92375</v>
      </c>
      <c r="C246" t="s">
        <v>302</v>
      </c>
      <c r="D246" t="s">
        <v>51</v>
      </c>
      <c r="E246" t="s">
        <v>52</v>
      </c>
      <c r="F246" s="1">
        <v>45154</v>
      </c>
      <c r="G246" s="1">
        <v>45526</v>
      </c>
      <c r="H246">
        <v>13</v>
      </c>
      <c r="I246" t="s">
        <v>49</v>
      </c>
      <c r="J246" t="s">
        <v>36</v>
      </c>
      <c r="K246">
        <v>5</v>
      </c>
      <c r="L246">
        <v>1</v>
      </c>
      <c r="M246">
        <v>2</v>
      </c>
      <c r="N246">
        <v>5</v>
      </c>
      <c r="O246">
        <v>1</v>
      </c>
      <c r="P246">
        <v>2</v>
      </c>
      <c r="Q246">
        <v>5</v>
      </c>
      <c r="R246">
        <v>5</v>
      </c>
      <c r="S246">
        <v>5</v>
      </c>
      <c r="T246">
        <v>3</v>
      </c>
      <c r="U246" t="s">
        <v>30</v>
      </c>
      <c r="V246" t="s">
        <v>54</v>
      </c>
      <c r="W246" t="s">
        <v>56</v>
      </c>
      <c r="X246" t="s">
        <v>33</v>
      </c>
      <c r="Y246">
        <v>23</v>
      </c>
      <c r="Z246" s="1">
        <v>45526</v>
      </c>
      <c r="AA246" t="str" cm="1">
        <f t="array" ref="AA246">_xlfn.IFS(AND(Table2[[#This Row],[Guest_Age]]&gt;=18,Table2[[#This Row],[Guest_Age]]&lt;=25),"Young Adults",AND(Table2[[#This Row],[Guest_Age]]&gt;=26,Table2[[#This Row],[Guest_Age]]&lt;=35),"Adults",AND(Table2[[#This Row],[Guest_Age]]&gt;=36,Table2[[#This Row],[Guest_Age]]&lt;=50),"Middle Aged Adults",Table2[[#This Row],[Guest_Age]]&gt;50,"Senior")</f>
        <v>Young Adults</v>
      </c>
      <c r="AB2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46" t="str" cm="1">
        <f t="array" ref="AC246">_xlfn.IFS(Table2[[#This Row],[Satification_points]]&gt;=4.5,"GREAT",AND(Table2[[#This Row],[Satification_points]]&gt;=4,Table2[[#This Row],[Satification_points]]&lt;4.5),"GOOD",AND(Table2[[#This Row],[Satification_points]]&gt;=3,Table2[[#This Row],[Satification_points]]&lt;4),"AVERAGE",Table2[[#This Row],[Satification_points]]&lt;3,"POOR")</f>
        <v>AVERAGE</v>
      </c>
    </row>
    <row r="247" spans="1:29" x14ac:dyDescent="0.3">
      <c r="A247">
        <v>246</v>
      </c>
      <c r="B247">
        <v>15853</v>
      </c>
      <c r="C247" t="s">
        <v>303</v>
      </c>
      <c r="D247" t="s">
        <v>34</v>
      </c>
      <c r="E247" t="s">
        <v>52</v>
      </c>
      <c r="F247" s="1">
        <v>44958</v>
      </c>
      <c r="G247" s="1">
        <v>45332</v>
      </c>
      <c r="H247">
        <v>11</v>
      </c>
      <c r="I247" t="s">
        <v>28</v>
      </c>
      <c r="J247" t="s">
        <v>43</v>
      </c>
      <c r="K247">
        <v>1</v>
      </c>
      <c r="L247">
        <v>1</v>
      </c>
      <c r="M247">
        <v>4</v>
      </c>
      <c r="N247">
        <v>4</v>
      </c>
      <c r="O247">
        <v>1</v>
      </c>
      <c r="P247">
        <v>1</v>
      </c>
      <c r="Q247">
        <v>2</v>
      </c>
      <c r="R247">
        <v>1</v>
      </c>
      <c r="S247">
        <v>2</v>
      </c>
      <c r="T247">
        <v>5</v>
      </c>
      <c r="U247" t="s">
        <v>30</v>
      </c>
      <c r="V247" t="s">
        <v>58</v>
      </c>
      <c r="W247" t="s">
        <v>55</v>
      </c>
      <c r="X247" t="s">
        <v>40</v>
      </c>
      <c r="Y247">
        <v>63</v>
      </c>
      <c r="Z247" s="1">
        <v>45570</v>
      </c>
      <c r="AA247" t="str" cm="1">
        <f t="array" ref="AA247">_xlfn.IFS(AND(Table2[[#This Row],[Guest_Age]]&gt;=18,Table2[[#This Row],[Guest_Age]]&lt;=25),"Young Adults",AND(Table2[[#This Row],[Guest_Age]]&gt;=26,Table2[[#This Row],[Guest_Age]]&lt;=35),"Adults",AND(Table2[[#This Row],[Guest_Age]]&gt;=36,Table2[[#This Row],[Guest_Age]]&lt;=50),"Middle Aged Adults",Table2[[#This Row],[Guest_Age]]&gt;50,"Senior")</f>
        <v>Senior</v>
      </c>
      <c r="AB2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247" t="str" cm="1">
        <f t="array" ref="AC247">_xlfn.IFS(Table2[[#This Row],[Satification_points]]&gt;=4.5,"GREAT",AND(Table2[[#This Row],[Satification_points]]&gt;=4,Table2[[#This Row],[Satification_points]]&lt;4.5),"GOOD",AND(Table2[[#This Row],[Satification_points]]&gt;=3,Table2[[#This Row],[Satification_points]]&lt;4),"AVERAGE",Table2[[#This Row],[Satification_points]]&lt;3,"POOR")</f>
        <v>POOR</v>
      </c>
    </row>
    <row r="248" spans="1:29" x14ac:dyDescent="0.3">
      <c r="A248">
        <v>247</v>
      </c>
      <c r="B248">
        <v>46018</v>
      </c>
      <c r="C248" t="s">
        <v>304</v>
      </c>
      <c r="D248" t="s">
        <v>26</v>
      </c>
      <c r="E248" t="s">
        <v>52</v>
      </c>
      <c r="F248" s="1">
        <v>45357</v>
      </c>
      <c r="G248" s="1">
        <v>45358</v>
      </c>
      <c r="H248">
        <v>7</v>
      </c>
      <c r="I248" t="s">
        <v>28</v>
      </c>
      <c r="J248" t="s">
        <v>29</v>
      </c>
      <c r="K248">
        <v>5</v>
      </c>
      <c r="L248">
        <v>4</v>
      </c>
      <c r="M248">
        <v>4</v>
      </c>
      <c r="N248">
        <v>4</v>
      </c>
      <c r="O248">
        <v>5</v>
      </c>
      <c r="P248">
        <v>2</v>
      </c>
      <c r="Q248">
        <v>2</v>
      </c>
      <c r="R248">
        <v>2</v>
      </c>
      <c r="S248">
        <v>2</v>
      </c>
      <c r="T248">
        <v>2</v>
      </c>
      <c r="U248" t="s">
        <v>30</v>
      </c>
      <c r="V248" t="s">
        <v>38</v>
      </c>
      <c r="W248" t="s">
        <v>47</v>
      </c>
      <c r="X248" t="s">
        <v>44</v>
      </c>
      <c r="Y248">
        <v>38</v>
      </c>
      <c r="Z248" s="1">
        <v>45358</v>
      </c>
      <c r="AA248" t="str" cm="1">
        <f t="array" ref="AA2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2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48" t="str" cm="1">
        <f t="array" ref="AC248">_xlfn.IFS(Table2[[#This Row],[Satification_points]]&gt;=4.5,"GREAT",AND(Table2[[#This Row],[Satification_points]]&gt;=4,Table2[[#This Row],[Satification_points]]&lt;4.5),"GOOD",AND(Table2[[#This Row],[Satification_points]]&gt;=3,Table2[[#This Row],[Satification_points]]&lt;4),"AVERAGE",Table2[[#This Row],[Satification_points]]&lt;3,"POOR")</f>
        <v>AVERAGE</v>
      </c>
    </row>
    <row r="249" spans="1:29" x14ac:dyDescent="0.3">
      <c r="A249">
        <v>248</v>
      </c>
      <c r="B249">
        <v>68501</v>
      </c>
      <c r="C249" t="s">
        <v>305</v>
      </c>
      <c r="D249" t="s">
        <v>34</v>
      </c>
      <c r="E249" t="s">
        <v>57</v>
      </c>
      <c r="F249" s="1">
        <v>45096</v>
      </c>
      <c r="G249" s="1">
        <v>45378</v>
      </c>
      <c r="H249">
        <v>7</v>
      </c>
      <c r="I249" t="s">
        <v>42</v>
      </c>
      <c r="J249" t="s">
        <v>53</v>
      </c>
      <c r="K249">
        <v>4</v>
      </c>
      <c r="L249">
        <v>2</v>
      </c>
      <c r="M249">
        <v>3</v>
      </c>
      <c r="N249">
        <v>2</v>
      </c>
      <c r="O249">
        <v>2</v>
      </c>
      <c r="P249">
        <v>1</v>
      </c>
      <c r="Q249">
        <v>1</v>
      </c>
      <c r="R249">
        <v>5</v>
      </c>
      <c r="S249">
        <v>3</v>
      </c>
      <c r="T249">
        <v>4</v>
      </c>
      <c r="U249" t="s">
        <v>37</v>
      </c>
      <c r="V249" t="s">
        <v>46</v>
      </c>
      <c r="W249" t="s">
        <v>32</v>
      </c>
      <c r="X249" t="s">
        <v>44</v>
      </c>
      <c r="Y249">
        <v>50</v>
      </c>
      <c r="Z249" s="1">
        <v>45378</v>
      </c>
      <c r="AA249" t="str" cm="1">
        <f t="array" ref="AA249">_xlfn.IFS(AND(Table2[[#This Row],[Guest_Age]]&gt;=18,Table2[[#This Row],[Guest_Age]]&lt;=25),"Young Adults",AND(Table2[[#This Row],[Guest_Age]]&gt;=26,Table2[[#This Row],[Guest_Age]]&lt;=35),"Adults",AND(Table2[[#This Row],[Guest_Age]]&gt;=36,Table2[[#This Row],[Guest_Age]]&lt;=50),"Middle Aged Adults",Table2[[#This Row],[Guest_Age]]&gt;50,"Senior")</f>
        <v>Middle Aged Adults</v>
      </c>
      <c r="AB2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49" t="str" cm="1">
        <f t="array" ref="AC249">_xlfn.IFS(Table2[[#This Row],[Satification_points]]&gt;=4.5,"GREAT",AND(Table2[[#This Row],[Satification_points]]&gt;=4,Table2[[#This Row],[Satification_points]]&lt;4.5),"GOOD",AND(Table2[[#This Row],[Satification_points]]&gt;=3,Table2[[#This Row],[Satification_points]]&lt;4),"AVERAGE",Table2[[#This Row],[Satification_points]]&lt;3,"POOR")</f>
        <v>POOR</v>
      </c>
    </row>
    <row r="250" spans="1:29" x14ac:dyDescent="0.3">
      <c r="A250">
        <v>249</v>
      </c>
      <c r="B250">
        <v>10257</v>
      </c>
      <c r="C250" t="s">
        <v>306</v>
      </c>
      <c r="D250" t="s">
        <v>51</v>
      </c>
      <c r="E250" t="s">
        <v>52</v>
      </c>
      <c r="F250" s="1">
        <v>45157</v>
      </c>
      <c r="G250" s="1">
        <v>45317</v>
      </c>
      <c r="H250">
        <v>3</v>
      </c>
      <c r="I250" t="s">
        <v>28</v>
      </c>
      <c r="J250" t="s">
        <v>53</v>
      </c>
      <c r="K250">
        <v>4</v>
      </c>
      <c r="L250">
        <v>4</v>
      </c>
      <c r="M250">
        <v>5</v>
      </c>
      <c r="N250">
        <v>3</v>
      </c>
      <c r="O250">
        <v>1</v>
      </c>
      <c r="P250">
        <v>5</v>
      </c>
      <c r="Q250">
        <v>1</v>
      </c>
      <c r="R250">
        <v>4</v>
      </c>
      <c r="S250">
        <v>5</v>
      </c>
      <c r="T250">
        <v>5</v>
      </c>
      <c r="U250" t="s">
        <v>30</v>
      </c>
      <c r="V250" t="s">
        <v>38</v>
      </c>
      <c r="W250" t="s">
        <v>55</v>
      </c>
      <c r="X250" t="s">
        <v>33</v>
      </c>
      <c r="Y250">
        <v>26</v>
      </c>
      <c r="Z250" s="1">
        <v>45317</v>
      </c>
      <c r="AA250" t="str" cm="1">
        <f t="array" ref="AA250">_xlfn.IFS(AND(Table2[[#This Row],[Guest_Age]]&gt;=18,Table2[[#This Row],[Guest_Age]]&lt;=25),"Young Adults",AND(Table2[[#This Row],[Guest_Age]]&gt;=26,Table2[[#This Row],[Guest_Age]]&lt;=35),"Adults",AND(Table2[[#This Row],[Guest_Age]]&gt;=36,Table2[[#This Row],[Guest_Age]]&lt;=50),"Middle Aged Adults",Table2[[#This Row],[Guest_Age]]&gt;50,"Senior")</f>
        <v>Adults</v>
      </c>
      <c r="AB2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250" t="str" cm="1">
        <f t="array" ref="AC250">_xlfn.IFS(Table2[[#This Row],[Satification_points]]&gt;=4.5,"GREAT",AND(Table2[[#This Row],[Satification_points]]&gt;=4,Table2[[#This Row],[Satification_points]]&lt;4.5),"GOOD",AND(Table2[[#This Row],[Satification_points]]&gt;=3,Table2[[#This Row],[Satification_points]]&lt;4),"AVERAGE",Table2[[#This Row],[Satification_points]]&lt;3,"POOR")</f>
        <v>AVERAGE</v>
      </c>
    </row>
    <row r="251" spans="1:29" x14ac:dyDescent="0.3">
      <c r="A251">
        <v>250</v>
      </c>
      <c r="B251">
        <v>39671</v>
      </c>
      <c r="C251" t="s">
        <v>307</v>
      </c>
      <c r="D251" t="s">
        <v>51</v>
      </c>
      <c r="E251" t="s">
        <v>35</v>
      </c>
      <c r="F251" s="1">
        <v>44996</v>
      </c>
      <c r="G251" s="1">
        <v>45552</v>
      </c>
      <c r="H251">
        <v>6</v>
      </c>
      <c r="I251" t="s">
        <v>42</v>
      </c>
      <c r="J251" t="s">
        <v>29</v>
      </c>
      <c r="K251">
        <v>3</v>
      </c>
      <c r="L251">
        <v>2</v>
      </c>
      <c r="M251">
        <v>3</v>
      </c>
      <c r="N251">
        <v>4</v>
      </c>
      <c r="O251">
        <v>2</v>
      </c>
      <c r="P251">
        <v>1</v>
      </c>
      <c r="Q251">
        <v>4</v>
      </c>
      <c r="R251">
        <v>2</v>
      </c>
      <c r="S251">
        <v>3</v>
      </c>
      <c r="T251">
        <v>1</v>
      </c>
      <c r="U251" t="s">
        <v>30</v>
      </c>
      <c r="V251" t="s">
        <v>38</v>
      </c>
      <c r="W251" t="s">
        <v>47</v>
      </c>
      <c r="X251" t="s">
        <v>40</v>
      </c>
      <c r="Y251">
        <v>27</v>
      </c>
      <c r="Z251" s="1">
        <v>45552</v>
      </c>
      <c r="AA251" t="str" cm="1">
        <f t="array" ref="AA251">_xlfn.IFS(AND(Table2[[#This Row],[Guest_Age]]&gt;=18,Table2[[#This Row],[Guest_Age]]&lt;=25),"Young Adults",AND(Table2[[#This Row],[Guest_Age]]&gt;=26,Table2[[#This Row],[Guest_Age]]&lt;=35),"Adults",AND(Table2[[#This Row],[Guest_Age]]&gt;=36,Table2[[#This Row],[Guest_Age]]&lt;=50),"Middle Aged Adults",Table2[[#This Row],[Guest_Age]]&gt;50,"Senior")</f>
        <v>Adults</v>
      </c>
      <c r="AB2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251" t="str" cm="1">
        <f t="array" ref="AC251">_xlfn.IFS(Table2[[#This Row],[Satification_points]]&gt;=4.5,"GREAT",AND(Table2[[#This Row],[Satification_points]]&gt;=4,Table2[[#This Row],[Satification_points]]&lt;4.5),"GOOD",AND(Table2[[#This Row],[Satification_points]]&gt;=3,Table2[[#This Row],[Satification_points]]&lt;4),"AVERAGE",Table2[[#This Row],[Satification_points]]&lt;3,"POOR")</f>
        <v>POOR</v>
      </c>
    </row>
    <row r="252" spans="1:29" x14ac:dyDescent="0.3">
      <c r="A252">
        <v>251</v>
      </c>
      <c r="B252">
        <v>14730</v>
      </c>
      <c r="C252" t="s">
        <v>308</v>
      </c>
      <c r="D252" t="s">
        <v>26</v>
      </c>
      <c r="E252" t="s">
        <v>27</v>
      </c>
      <c r="F252" s="1">
        <v>45037</v>
      </c>
      <c r="G252" s="1">
        <v>45275</v>
      </c>
      <c r="H252">
        <v>5</v>
      </c>
      <c r="I252" t="s">
        <v>49</v>
      </c>
      <c r="J252" t="s">
        <v>40</v>
      </c>
      <c r="K252">
        <v>4</v>
      </c>
      <c r="L252">
        <v>1</v>
      </c>
      <c r="M252">
        <v>1</v>
      </c>
      <c r="N252">
        <v>1</v>
      </c>
      <c r="O252">
        <v>4</v>
      </c>
      <c r="P252">
        <v>3</v>
      </c>
      <c r="Q252">
        <v>5</v>
      </c>
      <c r="R252">
        <v>1</v>
      </c>
      <c r="S252">
        <v>4</v>
      </c>
      <c r="T252">
        <v>1</v>
      </c>
      <c r="U252" t="s">
        <v>30</v>
      </c>
      <c r="V252" t="s">
        <v>38</v>
      </c>
      <c r="W252" t="s">
        <v>47</v>
      </c>
      <c r="X252" t="s">
        <v>40</v>
      </c>
      <c r="Y252">
        <v>39</v>
      </c>
      <c r="Z252" s="1">
        <v>45275</v>
      </c>
      <c r="AA252" t="str" cm="1">
        <f t="array" ref="AA2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2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252" t="str" cm="1">
        <f t="array" ref="AC252">_xlfn.IFS(Table2[[#This Row],[Satification_points]]&gt;=4.5,"GREAT",AND(Table2[[#This Row],[Satification_points]]&gt;=4,Table2[[#This Row],[Satification_points]]&lt;4.5),"GOOD",AND(Table2[[#This Row],[Satification_points]]&gt;=3,Table2[[#This Row],[Satification_points]]&lt;4),"AVERAGE",Table2[[#This Row],[Satification_points]]&lt;3,"POOR")</f>
        <v>POOR</v>
      </c>
    </row>
    <row r="253" spans="1:29" x14ac:dyDescent="0.3">
      <c r="A253">
        <v>252</v>
      </c>
      <c r="B253">
        <v>21305</v>
      </c>
      <c r="C253" t="s">
        <v>309</v>
      </c>
      <c r="D253" t="s">
        <v>41</v>
      </c>
      <c r="E253" t="s">
        <v>57</v>
      </c>
      <c r="F253" s="1">
        <v>45015</v>
      </c>
      <c r="G253" s="1">
        <v>45429</v>
      </c>
      <c r="H253">
        <v>1</v>
      </c>
      <c r="I253" t="s">
        <v>50</v>
      </c>
      <c r="J253" t="s">
        <v>40</v>
      </c>
      <c r="K253">
        <v>3</v>
      </c>
      <c r="L253">
        <v>5</v>
      </c>
      <c r="M253">
        <v>5</v>
      </c>
      <c r="N253">
        <v>2</v>
      </c>
      <c r="O253">
        <v>4</v>
      </c>
      <c r="P253">
        <v>4</v>
      </c>
      <c r="Q253">
        <v>3</v>
      </c>
      <c r="R253">
        <v>3</v>
      </c>
      <c r="S253">
        <v>2</v>
      </c>
      <c r="T253">
        <v>1</v>
      </c>
      <c r="U253" t="s">
        <v>37</v>
      </c>
      <c r="V253" t="s">
        <v>54</v>
      </c>
      <c r="W253" t="s">
        <v>47</v>
      </c>
      <c r="X253" t="s">
        <v>33</v>
      </c>
      <c r="Y253">
        <v>48</v>
      </c>
      <c r="Z253" s="1">
        <v>45429</v>
      </c>
      <c r="AA253" t="str" cm="1">
        <f t="array" ref="AA2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53" t="str" cm="1">
        <f t="array" ref="AC253">_xlfn.IFS(Table2[[#This Row],[Satification_points]]&gt;=4.5,"GREAT",AND(Table2[[#This Row],[Satification_points]]&gt;=4,Table2[[#This Row],[Satification_points]]&lt;4.5),"GOOD",AND(Table2[[#This Row],[Satification_points]]&gt;=3,Table2[[#This Row],[Satification_points]]&lt;4),"AVERAGE",Table2[[#This Row],[Satification_points]]&lt;3,"POOR")</f>
        <v>AVERAGE</v>
      </c>
    </row>
    <row r="254" spans="1:29" x14ac:dyDescent="0.3">
      <c r="A254">
        <v>253</v>
      </c>
      <c r="B254">
        <v>60548</v>
      </c>
      <c r="C254" t="s">
        <v>310</v>
      </c>
      <c r="D254" t="s">
        <v>41</v>
      </c>
      <c r="E254" t="s">
        <v>45</v>
      </c>
      <c r="F254" s="1">
        <v>44928</v>
      </c>
      <c r="G254" s="1">
        <v>45249</v>
      </c>
      <c r="H254">
        <v>1</v>
      </c>
      <c r="I254" t="s">
        <v>28</v>
      </c>
      <c r="J254" t="s">
        <v>40</v>
      </c>
      <c r="K254">
        <v>5</v>
      </c>
      <c r="L254">
        <v>2</v>
      </c>
      <c r="M254">
        <v>3</v>
      </c>
      <c r="N254">
        <v>1</v>
      </c>
      <c r="O254">
        <v>5</v>
      </c>
      <c r="P254">
        <v>1</v>
      </c>
      <c r="Q254">
        <v>1</v>
      </c>
      <c r="R254">
        <v>5</v>
      </c>
      <c r="S254">
        <v>3</v>
      </c>
      <c r="T254">
        <v>3</v>
      </c>
      <c r="U254" t="s">
        <v>30</v>
      </c>
      <c r="V254" t="s">
        <v>38</v>
      </c>
      <c r="W254" t="s">
        <v>32</v>
      </c>
      <c r="X254" t="s">
        <v>33</v>
      </c>
      <c r="Y254">
        <v>28</v>
      </c>
      <c r="Z254" s="1">
        <v>45249</v>
      </c>
      <c r="AA254" t="str" cm="1">
        <f t="array" ref="AA254">_xlfn.IFS(AND(Table2[[#This Row],[Guest_Age]]&gt;=18,Table2[[#This Row],[Guest_Age]]&lt;=25),"Young Adults",AND(Table2[[#This Row],[Guest_Age]]&gt;=26,Table2[[#This Row],[Guest_Age]]&lt;=35),"Adults",AND(Table2[[#This Row],[Guest_Age]]&gt;=36,Table2[[#This Row],[Guest_Age]]&lt;=50),"Middle Aged Adults",Table2[[#This Row],[Guest_Age]]&gt;50,"Senior")</f>
        <v>Adults</v>
      </c>
      <c r="AB2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54" t="str" cm="1">
        <f t="array" ref="AC254">_xlfn.IFS(Table2[[#This Row],[Satification_points]]&gt;=4.5,"GREAT",AND(Table2[[#This Row],[Satification_points]]&gt;=4,Table2[[#This Row],[Satification_points]]&lt;4.5),"GOOD",AND(Table2[[#This Row],[Satification_points]]&gt;=3,Table2[[#This Row],[Satification_points]]&lt;4),"AVERAGE",Table2[[#This Row],[Satification_points]]&lt;3,"POOR")</f>
        <v>POOR</v>
      </c>
    </row>
    <row r="255" spans="1:29" x14ac:dyDescent="0.3">
      <c r="A255">
        <v>254</v>
      </c>
      <c r="B255">
        <v>42116</v>
      </c>
      <c r="C255" t="s">
        <v>311</v>
      </c>
      <c r="D255" t="s">
        <v>48</v>
      </c>
      <c r="E255" t="s">
        <v>27</v>
      </c>
      <c r="F255" s="1">
        <v>44982</v>
      </c>
      <c r="G255" s="1">
        <v>45471</v>
      </c>
      <c r="H255">
        <v>2</v>
      </c>
      <c r="I255" t="s">
        <v>50</v>
      </c>
      <c r="J255" t="s">
        <v>40</v>
      </c>
      <c r="K255">
        <v>2</v>
      </c>
      <c r="L255">
        <v>2</v>
      </c>
      <c r="M255">
        <v>5</v>
      </c>
      <c r="N255">
        <v>4</v>
      </c>
      <c r="O255">
        <v>3</v>
      </c>
      <c r="P255">
        <v>3</v>
      </c>
      <c r="Q255">
        <v>4</v>
      </c>
      <c r="R255">
        <v>4</v>
      </c>
      <c r="S255">
        <v>3</v>
      </c>
      <c r="T255">
        <v>4</v>
      </c>
      <c r="U255" t="s">
        <v>37</v>
      </c>
      <c r="V255" t="s">
        <v>58</v>
      </c>
      <c r="W255" t="s">
        <v>32</v>
      </c>
      <c r="X255" t="s">
        <v>33</v>
      </c>
      <c r="Y255">
        <v>36</v>
      </c>
      <c r="Z255" s="1">
        <v>45520</v>
      </c>
      <c r="AA255" t="str" cm="1">
        <f t="array" ref="AA255">_xlfn.IFS(AND(Table2[[#This Row],[Guest_Age]]&gt;=18,Table2[[#This Row],[Guest_Age]]&lt;=25),"Young Adults",AND(Table2[[#This Row],[Guest_Age]]&gt;=26,Table2[[#This Row],[Guest_Age]]&lt;=35),"Adults",AND(Table2[[#This Row],[Guest_Age]]&gt;=36,Table2[[#This Row],[Guest_Age]]&lt;=50),"Middle Aged Adults",Table2[[#This Row],[Guest_Age]]&gt;50,"Senior")</f>
        <v>Middle Aged Adults</v>
      </c>
      <c r="AB2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55" t="str" cm="1">
        <f t="array" ref="AC255">_xlfn.IFS(Table2[[#This Row],[Satification_points]]&gt;=4.5,"GREAT",AND(Table2[[#This Row],[Satification_points]]&gt;=4,Table2[[#This Row],[Satification_points]]&lt;4.5),"GOOD",AND(Table2[[#This Row],[Satification_points]]&gt;=3,Table2[[#This Row],[Satification_points]]&lt;4),"AVERAGE",Table2[[#This Row],[Satification_points]]&lt;3,"POOR")</f>
        <v>AVERAGE</v>
      </c>
    </row>
    <row r="256" spans="1:29" x14ac:dyDescent="0.3">
      <c r="A256">
        <v>255</v>
      </c>
      <c r="B256">
        <v>98979</v>
      </c>
      <c r="C256" t="s">
        <v>312</v>
      </c>
      <c r="D256" t="s">
        <v>51</v>
      </c>
      <c r="E256" t="s">
        <v>52</v>
      </c>
      <c r="F256" s="1">
        <v>45596</v>
      </c>
      <c r="G256" s="1">
        <v>45597</v>
      </c>
      <c r="H256">
        <v>7</v>
      </c>
      <c r="I256" t="s">
        <v>50</v>
      </c>
      <c r="J256" t="s">
        <v>36</v>
      </c>
      <c r="K256">
        <v>2</v>
      </c>
      <c r="L256">
        <v>1</v>
      </c>
      <c r="M256">
        <v>5</v>
      </c>
      <c r="N256">
        <v>3</v>
      </c>
      <c r="O256">
        <v>2</v>
      </c>
      <c r="P256">
        <v>3</v>
      </c>
      <c r="Q256">
        <v>1</v>
      </c>
      <c r="R256">
        <v>3</v>
      </c>
      <c r="S256">
        <v>5</v>
      </c>
      <c r="T256">
        <v>5</v>
      </c>
      <c r="U256" t="s">
        <v>37</v>
      </c>
      <c r="V256" t="s">
        <v>46</v>
      </c>
      <c r="W256" t="s">
        <v>32</v>
      </c>
      <c r="X256" t="s">
        <v>33</v>
      </c>
      <c r="Y256">
        <v>58</v>
      </c>
      <c r="Z256" s="1">
        <v>45597</v>
      </c>
      <c r="AA256" t="str" cm="1">
        <f t="array" ref="AA256">_xlfn.IFS(AND(Table2[[#This Row],[Guest_Age]]&gt;=18,Table2[[#This Row],[Guest_Age]]&lt;=25),"Young Adults",AND(Table2[[#This Row],[Guest_Age]]&gt;=26,Table2[[#This Row],[Guest_Age]]&lt;=35),"Adults",AND(Table2[[#This Row],[Guest_Age]]&gt;=36,Table2[[#This Row],[Guest_Age]]&lt;=50),"Middle Aged Adults",Table2[[#This Row],[Guest_Age]]&gt;50,"Senior")</f>
        <v>Senior</v>
      </c>
      <c r="AB2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56" t="str" cm="1">
        <f t="array" ref="AC256">_xlfn.IFS(Table2[[#This Row],[Satification_points]]&gt;=4.5,"GREAT",AND(Table2[[#This Row],[Satification_points]]&gt;=4,Table2[[#This Row],[Satification_points]]&lt;4.5),"GOOD",AND(Table2[[#This Row],[Satification_points]]&gt;=3,Table2[[#This Row],[Satification_points]]&lt;4),"AVERAGE",Table2[[#This Row],[Satification_points]]&lt;3,"POOR")</f>
        <v>AVERAGE</v>
      </c>
    </row>
    <row r="257" spans="1:29" x14ac:dyDescent="0.3">
      <c r="A257">
        <v>256</v>
      </c>
      <c r="B257">
        <v>32839</v>
      </c>
      <c r="C257" t="s">
        <v>313</v>
      </c>
      <c r="D257" t="s">
        <v>48</v>
      </c>
      <c r="E257" t="s">
        <v>45</v>
      </c>
      <c r="F257" s="1">
        <v>45197</v>
      </c>
      <c r="G257" s="1">
        <v>45198</v>
      </c>
      <c r="H257">
        <v>3</v>
      </c>
      <c r="I257" t="s">
        <v>42</v>
      </c>
      <c r="J257" t="s">
        <v>53</v>
      </c>
      <c r="K257">
        <v>1</v>
      </c>
      <c r="L257">
        <v>3</v>
      </c>
      <c r="M257">
        <v>5</v>
      </c>
      <c r="N257">
        <v>4</v>
      </c>
      <c r="O257">
        <v>3</v>
      </c>
      <c r="P257">
        <v>4</v>
      </c>
      <c r="Q257">
        <v>1</v>
      </c>
      <c r="R257">
        <v>3</v>
      </c>
      <c r="S257">
        <v>4</v>
      </c>
      <c r="T257">
        <v>3</v>
      </c>
      <c r="U257" t="s">
        <v>30</v>
      </c>
      <c r="V257" t="s">
        <v>31</v>
      </c>
      <c r="W257" t="s">
        <v>47</v>
      </c>
      <c r="X257" t="s">
        <v>33</v>
      </c>
      <c r="Y257">
        <v>29</v>
      </c>
      <c r="Z257" s="1">
        <v>45271</v>
      </c>
      <c r="AA257" t="str" cm="1">
        <f t="array" ref="AA257">_xlfn.IFS(AND(Table2[[#This Row],[Guest_Age]]&gt;=18,Table2[[#This Row],[Guest_Age]]&lt;=25),"Young Adults",AND(Table2[[#This Row],[Guest_Age]]&gt;=26,Table2[[#This Row],[Guest_Age]]&lt;=35),"Adults",AND(Table2[[#This Row],[Guest_Age]]&gt;=36,Table2[[#This Row],[Guest_Age]]&lt;=50),"Middle Aged Adults",Table2[[#This Row],[Guest_Age]]&gt;50,"Senior")</f>
        <v>Adults</v>
      </c>
      <c r="AB2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57" t="str" cm="1">
        <f t="array" ref="AC257">_xlfn.IFS(Table2[[#This Row],[Satification_points]]&gt;=4.5,"GREAT",AND(Table2[[#This Row],[Satification_points]]&gt;=4,Table2[[#This Row],[Satification_points]]&lt;4.5),"GOOD",AND(Table2[[#This Row],[Satification_points]]&gt;=3,Table2[[#This Row],[Satification_points]]&lt;4),"AVERAGE",Table2[[#This Row],[Satification_points]]&lt;3,"POOR")</f>
        <v>AVERAGE</v>
      </c>
    </row>
    <row r="258" spans="1:29" x14ac:dyDescent="0.3">
      <c r="A258">
        <v>257</v>
      </c>
      <c r="B258">
        <v>20818</v>
      </c>
      <c r="C258" t="s">
        <v>314</v>
      </c>
      <c r="D258" t="s">
        <v>51</v>
      </c>
      <c r="E258" t="s">
        <v>45</v>
      </c>
      <c r="F258" s="1">
        <v>45200</v>
      </c>
      <c r="G258" s="1">
        <v>45444</v>
      </c>
      <c r="H258">
        <v>9</v>
      </c>
      <c r="I258" t="s">
        <v>28</v>
      </c>
      <c r="J258" t="s">
        <v>40</v>
      </c>
      <c r="K258">
        <v>4</v>
      </c>
      <c r="L258">
        <v>1</v>
      </c>
      <c r="M258">
        <v>4</v>
      </c>
      <c r="N258">
        <v>2</v>
      </c>
      <c r="O258">
        <v>3</v>
      </c>
      <c r="P258">
        <v>2</v>
      </c>
      <c r="Q258">
        <v>2</v>
      </c>
      <c r="R258">
        <v>5</v>
      </c>
      <c r="S258">
        <v>1</v>
      </c>
      <c r="T258">
        <v>5</v>
      </c>
      <c r="U258" t="s">
        <v>37</v>
      </c>
      <c r="V258" t="s">
        <v>38</v>
      </c>
      <c r="W258" t="s">
        <v>56</v>
      </c>
      <c r="X258" t="s">
        <v>33</v>
      </c>
      <c r="Y258">
        <v>69</v>
      </c>
      <c r="Z258" s="1">
        <v>45444</v>
      </c>
      <c r="AA258" t="str" cm="1">
        <f t="array" ref="AA258">_xlfn.IFS(AND(Table2[[#This Row],[Guest_Age]]&gt;=18,Table2[[#This Row],[Guest_Age]]&lt;=25),"Young Adults",AND(Table2[[#This Row],[Guest_Age]]&gt;=26,Table2[[#This Row],[Guest_Age]]&lt;=35),"Adults",AND(Table2[[#This Row],[Guest_Age]]&gt;=36,Table2[[#This Row],[Guest_Age]]&lt;=50),"Middle Aged Adults",Table2[[#This Row],[Guest_Age]]&gt;50,"Senior")</f>
        <v>Senior</v>
      </c>
      <c r="AB2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58" t="str" cm="1">
        <f t="array" ref="AC258">_xlfn.IFS(Table2[[#This Row],[Satification_points]]&gt;=4.5,"GREAT",AND(Table2[[#This Row],[Satification_points]]&gt;=4,Table2[[#This Row],[Satification_points]]&lt;4.5),"GOOD",AND(Table2[[#This Row],[Satification_points]]&gt;=3,Table2[[#This Row],[Satification_points]]&lt;4),"AVERAGE",Table2[[#This Row],[Satification_points]]&lt;3,"POOR")</f>
        <v>POOR</v>
      </c>
    </row>
    <row r="259" spans="1:29" x14ac:dyDescent="0.3">
      <c r="A259">
        <v>258</v>
      </c>
      <c r="B259">
        <v>16202</v>
      </c>
      <c r="C259" t="s">
        <v>315</v>
      </c>
      <c r="D259" t="s">
        <v>48</v>
      </c>
      <c r="E259" t="s">
        <v>45</v>
      </c>
      <c r="F259" s="1">
        <v>45470</v>
      </c>
      <c r="G259" s="1">
        <v>45471</v>
      </c>
      <c r="H259">
        <v>3</v>
      </c>
      <c r="I259" t="s">
        <v>28</v>
      </c>
      <c r="J259" t="s">
        <v>40</v>
      </c>
      <c r="K259">
        <v>1</v>
      </c>
      <c r="L259">
        <v>1</v>
      </c>
      <c r="M259">
        <v>5</v>
      </c>
      <c r="N259">
        <v>2</v>
      </c>
      <c r="O259">
        <v>2</v>
      </c>
      <c r="P259">
        <v>3</v>
      </c>
      <c r="Q259">
        <v>5</v>
      </c>
      <c r="R259">
        <v>5</v>
      </c>
      <c r="S259">
        <v>5</v>
      </c>
      <c r="T259">
        <v>2</v>
      </c>
      <c r="U259" t="s">
        <v>30</v>
      </c>
      <c r="V259" t="s">
        <v>46</v>
      </c>
      <c r="W259" t="s">
        <v>32</v>
      </c>
      <c r="X259" t="s">
        <v>40</v>
      </c>
      <c r="Y259">
        <v>55</v>
      </c>
      <c r="Z259" s="1">
        <v>45471</v>
      </c>
      <c r="AA259" t="str" cm="1">
        <f t="array" ref="AA259">_xlfn.IFS(AND(Table2[[#This Row],[Guest_Age]]&gt;=18,Table2[[#This Row],[Guest_Age]]&lt;=25),"Young Adults",AND(Table2[[#This Row],[Guest_Age]]&gt;=26,Table2[[#This Row],[Guest_Age]]&lt;=35),"Adults",AND(Table2[[#This Row],[Guest_Age]]&gt;=36,Table2[[#This Row],[Guest_Age]]&lt;=50),"Middle Aged Adults",Table2[[#This Row],[Guest_Age]]&gt;50,"Senior")</f>
        <v>Senior</v>
      </c>
      <c r="AB2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59" t="str" cm="1">
        <f t="array" ref="AC259">_xlfn.IFS(Table2[[#This Row],[Satification_points]]&gt;=4.5,"GREAT",AND(Table2[[#This Row],[Satification_points]]&gt;=4,Table2[[#This Row],[Satification_points]]&lt;4.5),"GOOD",AND(Table2[[#This Row],[Satification_points]]&gt;=3,Table2[[#This Row],[Satification_points]]&lt;4),"AVERAGE",Table2[[#This Row],[Satification_points]]&lt;3,"POOR")</f>
        <v>AVERAGE</v>
      </c>
    </row>
    <row r="260" spans="1:29" x14ac:dyDescent="0.3">
      <c r="A260">
        <v>259</v>
      </c>
      <c r="B260">
        <v>48946</v>
      </c>
      <c r="C260" t="s">
        <v>316</v>
      </c>
      <c r="D260" t="s">
        <v>41</v>
      </c>
      <c r="E260" t="s">
        <v>27</v>
      </c>
      <c r="F260" s="1">
        <v>45196</v>
      </c>
      <c r="G260" s="1">
        <v>45257</v>
      </c>
      <c r="H260">
        <v>10</v>
      </c>
      <c r="I260" t="s">
        <v>49</v>
      </c>
      <c r="J260" t="s">
        <v>43</v>
      </c>
      <c r="K260">
        <v>1</v>
      </c>
      <c r="L260">
        <v>2</v>
      </c>
      <c r="M260">
        <v>4</v>
      </c>
      <c r="N260">
        <v>1</v>
      </c>
      <c r="O260">
        <v>3</v>
      </c>
      <c r="P260">
        <v>1</v>
      </c>
      <c r="Q260">
        <v>1</v>
      </c>
      <c r="R260">
        <v>3</v>
      </c>
      <c r="S260">
        <v>5</v>
      </c>
      <c r="T260">
        <v>2</v>
      </c>
      <c r="U260" t="s">
        <v>30</v>
      </c>
      <c r="V260" t="s">
        <v>54</v>
      </c>
      <c r="W260" t="s">
        <v>47</v>
      </c>
      <c r="X260" t="s">
        <v>33</v>
      </c>
      <c r="Y260">
        <v>33</v>
      </c>
      <c r="Z260" s="1">
        <v>45658</v>
      </c>
      <c r="AA260" t="str" cm="1">
        <f t="array" ref="AA260">_xlfn.IFS(AND(Table2[[#This Row],[Guest_Age]]&gt;=18,Table2[[#This Row],[Guest_Age]]&lt;=25),"Young Adults",AND(Table2[[#This Row],[Guest_Age]]&gt;=26,Table2[[#This Row],[Guest_Age]]&lt;=35),"Adults",AND(Table2[[#This Row],[Guest_Age]]&gt;=36,Table2[[#This Row],[Guest_Age]]&lt;=50),"Middle Aged Adults",Table2[[#This Row],[Guest_Age]]&gt;50,"Senior")</f>
        <v>Adults</v>
      </c>
      <c r="AB2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260" t="str" cm="1">
        <f t="array" ref="AC260">_xlfn.IFS(Table2[[#This Row],[Satification_points]]&gt;=4.5,"GREAT",AND(Table2[[#This Row],[Satification_points]]&gt;=4,Table2[[#This Row],[Satification_points]]&lt;4.5),"GOOD",AND(Table2[[#This Row],[Satification_points]]&gt;=3,Table2[[#This Row],[Satification_points]]&lt;4),"AVERAGE",Table2[[#This Row],[Satification_points]]&lt;3,"POOR")</f>
        <v>POOR</v>
      </c>
    </row>
    <row r="261" spans="1:29" x14ac:dyDescent="0.3">
      <c r="A261">
        <v>260</v>
      </c>
      <c r="B261">
        <v>27031</v>
      </c>
      <c r="C261" t="s">
        <v>317</v>
      </c>
      <c r="D261" t="s">
        <v>51</v>
      </c>
      <c r="E261" t="s">
        <v>57</v>
      </c>
      <c r="F261" s="1">
        <v>45116</v>
      </c>
      <c r="G261" s="1">
        <v>45390</v>
      </c>
      <c r="H261">
        <v>4</v>
      </c>
      <c r="I261" t="s">
        <v>50</v>
      </c>
      <c r="J261" t="s">
        <v>43</v>
      </c>
      <c r="K261">
        <v>2</v>
      </c>
      <c r="L261">
        <v>1</v>
      </c>
      <c r="M261">
        <v>5</v>
      </c>
      <c r="N261">
        <v>1</v>
      </c>
      <c r="O261">
        <v>1</v>
      </c>
      <c r="P261">
        <v>4</v>
      </c>
      <c r="Q261">
        <v>5</v>
      </c>
      <c r="R261">
        <v>4</v>
      </c>
      <c r="S261">
        <v>4</v>
      </c>
      <c r="T261">
        <v>5</v>
      </c>
      <c r="U261" t="s">
        <v>30</v>
      </c>
      <c r="V261" t="s">
        <v>54</v>
      </c>
      <c r="W261" t="s">
        <v>55</v>
      </c>
      <c r="X261" t="s">
        <v>33</v>
      </c>
      <c r="Y261">
        <v>30</v>
      </c>
      <c r="Z261" s="1">
        <v>45390</v>
      </c>
      <c r="AA261" t="str" cm="1">
        <f t="array" ref="AA261">_xlfn.IFS(AND(Table2[[#This Row],[Guest_Age]]&gt;=18,Table2[[#This Row],[Guest_Age]]&lt;=25),"Young Adults",AND(Table2[[#This Row],[Guest_Age]]&gt;=26,Table2[[#This Row],[Guest_Age]]&lt;=35),"Adults",AND(Table2[[#This Row],[Guest_Age]]&gt;=36,Table2[[#This Row],[Guest_Age]]&lt;=50),"Middle Aged Adults",Table2[[#This Row],[Guest_Age]]&gt;50,"Senior")</f>
        <v>Adults</v>
      </c>
      <c r="AB2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61" t="str" cm="1">
        <f t="array" ref="AC261">_xlfn.IFS(Table2[[#This Row],[Satification_points]]&gt;=4.5,"GREAT",AND(Table2[[#This Row],[Satification_points]]&gt;=4,Table2[[#This Row],[Satification_points]]&lt;4.5),"GOOD",AND(Table2[[#This Row],[Satification_points]]&gt;=3,Table2[[#This Row],[Satification_points]]&lt;4),"AVERAGE",Table2[[#This Row],[Satification_points]]&lt;3,"POOR")</f>
        <v>AVERAGE</v>
      </c>
    </row>
    <row r="262" spans="1:29" x14ac:dyDescent="0.3">
      <c r="A262">
        <v>261</v>
      </c>
      <c r="B262">
        <v>23298</v>
      </c>
      <c r="C262" t="s">
        <v>318</v>
      </c>
      <c r="D262" t="s">
        <v>41</v>
      </c>
      <c r="E262" t="s">
        <v>27</v>
      </c>
      <c r="F262" s="1">
        <v>45648</v>
      </c>
      <c r="G262" s="1">
        <v>45649</v>
      </c>
      <c r="H262">
        <v>11</v>
      </c>
      <c r="I262" t="s">
        <v>50</v>
      </c>
      <c r="J262" t="s">
        <v>53</v>
      </c>
      <c r="K262">
        <v>4</v>
      </c>
      <c r="L262">
        <v>4</v>
      </c>
      <c r="M262">
        <v>4</v>
      </c>
      <c r="N262">
        <v>2</v>
      </c>
      <c r="O262">
        <v>4</v>
      </c>
      <c r="P262">
        <v>1</v>
      </c>
      <c r="Q262">
        <v>4</v>
      </c>
      <c r="R262">
        <v>2</v>
      </c>
      <c r="S262">
        <v>1</v>
      </c>
      <c r="T262">
        <v>3</v>
      </c>
      <c r="U262" t="s">
        <v>30</v>
      </c>
      <c r="V262" t="s">
        <v>38</v>
      </c>
      <c r="W262" t="s">
        <v>47</v>
      </c>
      <c r="X262" t="s">
        <v>40</v>
      </c>
      <c r="Y262">
        <v>55</v>
      </c>
      <c r="Z262" s="1">
        <v>45649</v>
      </c>
      <c r="AA262" t="str" cm="1">
        <f t="array" ref="AA262">_xlfn.IFS(AND(Table2[[#This Row],[Guest_Age]]&gt;=18,Table2[[#This Row],[Guest_Age]]&lt;=25),"Young Adults",AND(Table2[[#This Row],[Guest_Age]]&gt;=26,Table2[[#This Row],[Guest_Age]]&lt;=35),"Adults",AND(Table2[[#This Row],[Guest_Age]]&gt;=36,Table2[[#This Row],[Guest_Age]]&lt;=50),"Middle Aged Adults",Table2[[#This Row],[Guest_Age]]&gt;50,"Senior")</f>
        <v>Senior</v>
      </c>
      <c r="AB2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62" t="str" cm="1">
        <f t="array" ref="AC262">_xlfn.IFS(Table2[[#This Row],[Satification_points]]&gt;=4.5,"GREAT",AND(Table2[[#This Row],[Satification_points]]&gt;=4,Table2[[#This Row],[Satification_points]]&lt;4.5),"GOOD",AND(Table2[[#This Row],[Satification_points]]&gt;=3,Table2[[#This Row],[Satification_points]]&lt;4),"AVERAGE",Table2[[#This Row],[Satification_points]]&lt;3,"POOR")</f>
        <v>POOR</v>
      </c>
    </row>
    <row r="263" spans="1:29" x14ac:dyDescent="0.3">
      <c r="A263">
        <v>262</v>
      </c>
      <c r="B263">
        <v>75311</v>
      </c>
      <c r="C263" t="s">
        <v>319</v>
      </c>
      <c r="D263" t="s">
        <v>34</v>
      </c>
      <c r="E263" t="s">
        <v>35</v>
      </c>
      <c r="F263" s="1">
        <v>45409</v>
      </c>
      <c r="G263" s="1">
        <v>45410</v>
      </c>
      <c r="H263">
        <v>8</v>
      </c>
      <c r="I263" t="s">
        <v>42</v>
      </c>
      <c r="J263" t="s">
        <v>29</v>
      </c>
      <c r="K263">
        <v>2</v>
      </c>
      <c r="L263">
        <v>1</v>
      </c>
      <c r="M263">
        <v>5</v>
      </c>
      <c r="N263">
        <v>1</v>
      </c>
      <c r="O263">
        <v>5</v>
      </c>
      <c r="P263">
        <v>2</v>
      </c>
      <c r="Q263">
        <v>1</v>
      </c>
      <c r="R263">
        <v>5</v>
      </c>
      <c r="S263">
        <v>5</v>
      </c>
      <c r="T263">
        <v>1</v>
      </c>
      <c r="U263" t="s">
        <v>37</v>
      </c>
      <c r="V263" t="s">
        <v>38</v>
      </c>
      <c r="W263" t="s">
        <v>32</v>
      </c>
      <c r="X263" t="s">
        <v>40</v>
      </c>
      <c r="Y263">
        <v>30</v>
      </c>
      <c r="Z263" s="1">
        <v>45410</v>
      </c>
      <c r="AA263" t="str" cm="1">
        <f t="array" ref="AA263">_xlfn.IFS(AND(Table2[[#This Row],[Guest_Age]]&gt;=18,Table2[[#This Row],[Guest_Age]]&lt;=25),"Young Adults",AND(Table2[[#This Row],[Guest_Age]]&gt;=26,Table2[[#This Row],[Guest_Age]]&lt;=35),"Adults",AND(Table2[[#This Row],[Guest_Age]]&gt;=36,Table2[[#This Row],[Guest_Age]]&lt;=50),"Middle Aged Adults",Table2[[#This Row],[Guest_Age]]&gt;50,"Senior")</f>
        <v>Adults</v>
      </c>
      <c r="AB2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63" t="str" cm="1">
        <f t="array" ref="AC263">_xlfn.IFS(Table2[[#This Row],[Satification_points]]&gt;=4.5,"GREAT",AND(Table2[[#This Row],[Satification_points]]&gt;=4,Table2[[#This Row],[Satification_points]]&lt;4.5),"GOOD",AND(Table2[[#This Row],[Satification_points]]&gt;=3,Table2[[#This Row],[Satification_points]]&lt;4),"AVERAGE",Table2[[#This Row],[Satification_points]]&lt;3,"POOR")</f>
        <v>POOR</v>
      </c>
    </row>
    <row r="264" spans="1:29" x14ac:dyDescent="0.3">
      <c r="A264">
        <v>263</v>
      </c>
      <c r="B264">
        <v>69612</v>
      </c>
      <c r="C264" t="s">
        <v>320</v>
      </c>
      <c r="D264" t="s">
        <v>41</v>
      </c>
      <c r="E264" t="s">
        <v>52</v>
      </c>
      <c r="F264" s="1">
        <v>45234</v>
      </c>
      <c r="G264" s="1">
        <v>45235</v>
      </c>
      <c r="H264">
        <v>4</v>
      </c>
      <c r="I264" t="s">
        <v>28</v>
      </c>
      <c r="J264" t="s">
        <v>40</v>
      </c>
      <c r="K264">
        <v>1</v>
      </c>
      <c r="L264">
        <v>5</v>
      </c>
      <c r="M264">
        <v>1</v>
      </c>
      <c r="N264">
        <v>5</v>
      </c>
      <c r="O264">
        <v>2</v>
      </c>
      <c r="P264">
        <v>4</v>
      </c>
      <c r="Q264">
        <v>3</v>
      </c>
      <c r="R264">
        <v>5</v>
      </c>
      <c r="S264">
        <v>3</v>
      </c>
      <c r="T264">
        <v>3</v>
      </c>
      <c r="U264" t="s">
        <v>37</v>
      </c>
      <c r="V264" t="s">
        <v>58</v>
      </c>
      <c r="W264" t="s">
        <v>32</v>
      </c>
      <c r="X264" t="s">
        <v>44</v>
      </c>
      <c r="Y264">
        <v>32</v>
      </c>
      <c r="Z264" s="1">
        <v>45349</v>
      </c>
      <c r="AA264" t="str" cm="1">
        <f t="array" ref="AA264">_xlfn.IFS(AND(Table2[[#This Row],[Guest_Age]]&gt;=18,Table2[[#This Row],[Guest_Age]]&lt;=25),"Young Adults",AND(Table2[[#This Row],[Guest_Age]]&gt;=26,Table2[[#This Row],[Guest_Age]]&lt;=35),"Adults",AND(Table2[[#This Row],[Guest_Age]]&gt;=36,Table2[[#This Row],[Guest_Age]]&lt;=50),"Middle Aged Adults",Table2[[#This Row],[Guest_Age]]&gt;50,"Senior")</f>
        <v>Adults</v>
      </c>
      <c r="AB2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64" t="str" cm="1">
        <f t="array" ref="AC264">_xlfn.IFS(Table2[[#This Row],[Satification_points]]&gt;=4.5,"GREAT",AND(Table2[[#This Row],[Satification_points]]&gt;=4,Table2[[#This Row],[Satification_points]]&lt;4.5),"GOOD",AND(Table2[[#This Row],[Satification_points]]&gt;=3,Table2[[#This Row],[Satification_points]]&lt;4),"AVERAGE",Table2[[#This Row],[Satification_points]]&lt;3,"POOR")</f>
        <v>AVERAGE</v>
      </c>
    </row>
    <row r="265" spans="1:29" x14ac:dyDescent="0.3">
      <c r="A265">
        <v>264</v>
      </c>
      <c r="B265">
        <v>40842</v>
      </c>
      <c r="C265" t="s">
        <v>321</v>
      </c>
      <c r="D265" t="s">
        <v>51</v>
      </c>
      <c r="E265" t="s">
        <v>57</v>
      </c>
      <c r="F265" s="1">
        <v>44948</v>
      </c>
      <c r="G265" s="1">
        <v>45117</v>
      </c>
      <c r="H265">
        <v>7</v>
      </c>
      <c r="I265" t="s">
        <v>28</v>
      </c>
      <c r="J265" t="s">
        <v>36</v>
      </c>
      <c r="K265">
        <v>4</v>
      </c>
      <c r="L265">
        <v>1</v>
      </c>
      <c r="M265">
        <v>3</v>
      </c>
      <c r="N265">
        <v>2</v>
      </c>
      <c r="O265">
        <v>5</v>
      </c>
      <c r="P265">
        <v>3</v>
      </c>
      <c r="Q265">
        <v>2</v>
      </c>
      <c r="R265">
        <v>1</v>
      </c>
      <c r="S265">
        <v>3</v>
      </c>
      <c r="T265">
        <v>3</v>
      </c>
      <c r="U265" t="s">
        <v>37</v>
      </c>
      <c r="V265" t="s">
        <v>31</v>
      </c>
      <c r="W265" t="s">
        <v>32</v>
      </c>
      <c r="X265" t="s">
        <v>44</v>
      </c>
      <c r="Y265">
        <v>35</v>
      </c>
      <c r="Z265" s="1">
        <v>45131</v>
      </c>
      <c r="AA265" t="str" cm="1">
        <f t="array" ref="AA265">_xlfn.IFS(AND(Table2[[#This Row],[Guest_Age]]&gt;=18,Table2[[#This Row],[Guest_Age]]&lt;=25),"Young Adults",AND(Table2[[#This Row],[Guest_Age]]&gt;=26,Table2[[#This Row],[Guest_Age]]&lt;=35),"Adults",AND(Table2[[#This Row],[Guest_Age]]&gt;=36,Table2[[#This Row],[Guest_Age]]&lt;=50),"Middle Aged Adults",Table2[[#This Row],[Guest_Age]]&gt;50,"Senior")</f>
        <v>Adults</v>
      </c>
      <c r="AB2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65" t="str" cm="1">
        <f t="array" ref="AC265">_xlfn.IFS(Table2[[#This Row],[Satification_points]]&gt;=4.5,"GREAT",AND(Table2[[#This Row],[Satification_points]]&gt;=4,Table2[[#This Row],[Satification_points]]&lt;4.5),"GOOD",AND(Table2[[#This Row],[Satification_points]]&gt;=3,Table2[[#This Row],[Satification_points]]&lt;4),"AVERAGE",Table2[[#This Row],[Satification_points]]&lt;3,"POOR")</f>
        <v>POOR</v>
      </c>
    </row>
    <row r="266" spans="1:29" x14ac:dyDescent="0.3">
      <c r="A266">
        <v>265</v>
      </c>
      <c r="B266">
        <v>70098</v>
      </c>
      <c r="C266" t="s">
        <v>322</v>
      </c>
      <c r="D266" t="s">
        <v>34</v>
      </c>
      <c r="E266" t="s">
        <v>57</v>
      </c>
      <c r="F266" s="1">
        <v>44940</v>
      </c>
      <c r="G266" s="1">
        <v>45499</v>
      </c>
      <c r="H266">
        <v>11</v>
      </c>
      <c r="I266" t="s">
        <v>50</v>
      </c>
      <c r="J266" t="s">
        <v>43</v>
      </c>
      <c r="K266">
        <v>2</v>
      </c>
      <c r="L266">
        <v>1</v>
      </c>
      <c r="M266">
        <v>5</v>
      </c>
      <c r="N266">
        <v>1</v>
      </c>
      <c r="O266">
        <v>4</v>
      </c>
      <c r="P266">
        <v>1</v>
      </c>
      <c r="Q266">
        <v>3</v>
      </c>
      <c r="R266">
        <v>5</v>
      </c>
      <c r="S266">
        <v>3</v>
      </c>
      <c r="T266">
        <v>5</v>
      </c>
      <c r="U266" t="s">
        <v>30</v>
      </c>
      <c r="V266" t="s">
        <v>38</v>
      </c>
      <c r="W266" t="s">
        <v>56</v>
      </c>
      <c r="X266" t="s">
        <v>40</v>
      </c>
      <c r="Y266">
        <v>33</v>
      </c>
      <c r="Z266" s="1">
        <v>45600</v>
      </c>
      <c r="AA266" t="str" cm="1">
        <f t="array" ref="AA266">_xlfn.IFS(AND(Table2[[#This Row],[Guest_Age]]&gt;=18,Table2[[#This Row],[Guest_Age]]&lt;=25),"Young Adults",AND(Table2[[#This Row],[Guest_Age]]&gt;=26,Table2[[#This Row],[Guest_Age]]&lt;=35),"Adults",AND(Table2[[#This Row],[Guest_Age]]&gt;=36,Table2[[#This Row],[Guest_Age]]&lt;=50),"Middle Aged Adults",Table2[[#This Row],[Guest_Age]]&gt;50,"Senior")</f>
        <v>Adults</v>
      </c>
      <c r="AB2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66" t="str" cm="1">
        <f t="array" ref="AC266">_xlfn.IFS(Table2[[#This Row],[Satification_points]]&gt;=4.5,"GREAT",AND(Table2[[#This Row],[Satification_points]]&gt;=4,Table2[[#This Row],[Satification_points]]&lt;4.5),"GOOD",AND(Table2[[#This Row],[Satification_points]]&gt;=3,Table2[[#This Row],[Satification_points]]&lt;4),"AVERAGE",Table2[[#This Row],[Satification_points]]&lt;3,"POOR")</f>
        <v>AVERAGE</v>
      </c>
    </row>
    <row r="267" spans="1:29" x14ac:dyDescent="0.3">
      <c r="A267">
        <v>266</v>
      </c>
      <c r="B267">
        <v>31366</v>
      </c>
      <c r="C267" t="s">
        <v>323</v>
      </c>
      <c r="D267" t="s">
        <v>48</v>
      </c>
      <c r="E267" t="s">
        <v>52</v>
      </c>
      <c r="F267" s="1">
        <v>45412</v>
      </c>
      <c r="G267" s="1">
        <v>45413</v>
      </c>
      <c r="H267">
        <v>5</v>
      </c>
      <c r="I267" t="s">
        <v>49</v>
      </c>
      <c r="J267" t="s">
        <v>40</v>
      </c>
      <c r="K267">
        <v>3</v>
      </c>
      <c r="L267">
        <v>5</v>
      </c>
      <c r="M267">
        <v>1</v>
      </c>
      <c r="N267">
        <v>4</v>
      </c>
      <c r="O267">
        <v>5</v>
      </c>
      <c r="P267">
        <v>1</v>
      </c>
      <c r="Q267">
        <v>2</v>
      </c>
      <c r="R267">
        <v>1</v>
      </c>
      <c r="S267">
        <v>3</v>
      </c>
      <c r="T267">
        <v>3</v>
      </c>
      <c r="U267" t="s">
        <v>30</v>
      </c>
      <c r="V267" t="s">
        <v>38</v>
      </c>
      <c r="W267" t="s">
        <v>39</v>
      </c>
      <c r="X267" t="s">
        <v>33</v>
      </c>
      <c r="Y267">
        <v>58</v>
      </c>
      <c r="Z267" s="1">
        <v>45454</v>
      </c>
      <c r="AA267" t="str" cm="1">
        <f t="array" ref="AA267">_xlfn.IFS(AND(Table2[[#This Row],[Guest_Age]]&gt;=18,Table2[[#This Row],[Guest_Age]]&lt;=25),"Young Adults",AND(Table2[[#This Row],[Guest_Age]]&gt;=26,Table2[[#This Row],[Guest_Age]]&lt;=35),"Adults",AND(Table2[[#This Row],[Guest_Age]]&gt;=36,Table2[[#This Row],[Guest_Age]]&lt;=50),"Middle Aged Adults",Table2[[#This Row],[Guest_Age]]&gt;50,"Senior")</f>
        <v>Senior</v>
      </c>
      <c r="AB2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67" t="str" cm="1">
        <f t="array" ref="AC267">_xlfn.IFS(Table2[[#This Row],[Satification_points]]&gt;=4.5,"GREAT",AND(Table2[[#This Row],[Satification_points]]&gt;=4,Table2[[#This Row],[Satification_points]]&lt;4.5),"GOOD",AND(Table2[[#This Row],[Satification_points]]&gt;=3,Table2[[#This Row],[Satification_points]]&lt;4),"AVERAGE",Table2[[#This Row],[Satification_points]]&lt;3,"POOR")</f>
        <v>POOR</v>
      </c>
    </row>
    <row r="268" spans="1:29" x14ac:dyDescent="0.3">
      <c r="A268">
        <v>267</v>
      </c>
      <c r="B268">
        <v>34057</v>
      </c>
      <c r="C268" t="s">
        <v>324</v>
      </c>
      <c r="D268" t="s">
        <v>26</v>
      </c>
      <c r="E268" t="s">
        <v>35</v>
      </c>
      <c r="F268" s="1">
        <v>45644</v>
      </c>
      <c r="G268" s="1">
        <v>45645</v>
      </c>
      <c r="H268">
        <v>6</v>
      </c>
      <c r="I268" t="s">
        <v>50</v>
      </c>
      <c r="J268" t="s">
        <v>29</v>
      </c>
      <c r="K268">
        <v>3</v>
      </c>
      <c r="L268">
        <v>3</v>
      </c>
      <c r="M268">
        <v>3</v>
      </c>
      <c r="N268">
        <v>3</v>
      </c>
      <c r="O268">
        <v>2</v>
      </c>
      <c r="P268">
        <v>3</v>
      </c>
      <c r="Q268">
        <v>1</v>
      </c>
      <c r="R268">
        <v>3</v>
      </c>
      <c r="S268">
        <v>1</v>
      </c>
      <c r="T268">
        <v>2</v>
      </c>
      <c r="U268" t="s">
        <v>37</v>
      </c>
      <c r="V268" t="s">
        <v>58</v>
      </c>
      <c r="W268" t="s">
        <v>56</v>
      </c>
      <c r="X268" t="s">
        <v>40</v>
      </c>
      <c r="Y268">
        <v>67</v>
      </c>
      <c r="Z268" s="1">
        <v>45645</v>
      </c>
      <c r="AA268" t="str" cm="1">
        <f t="array" ref="AA268">_xlfn.IFS(AND(Table2[[#This Row],[Guest_Age]]&gt;=18,Table2[[#This Row],[Guest_Age]]&lt;=25),"Young Adults",AND(Table2[[#This Row],[Guest_Age]]&gt;=26,Table2[[#This Row],[Guest_Age]]&lt;=35),"Adults",AND(Table2[[#This Row],[Guest_Age]]&gt;=36,Table2[[#This Row],[Guest_Age]]&lt;=50),"Middle Aged Adults",Table2[[#This Row],[Guest_Age]]&gt;50,"Senior")</f>
        <v>Senior</v>
      </c>
      <c r="AB2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68" t="str" cm="1">
        <f t="array" ref="AC268">_xlfn.IFS(Table2[[#This Row],[Satification_points]]&gt;=4.5,"GREAT",AND(Table2[[#This Row],[Satification_points]]&gt;=4,Table2[[#This Row],[Satification_points]]&lt;4.5),"GOOD",AND(Table2[[#This Row],[Satification_points]]&gt;=3,Table2[[#This Row],[Satification_points]]&lt;4),"AVERAGE",Table2[[#This Row],[Satification_points]]&lt;3,"POOR")</f>
        <v>POOR</v>
      </c>
    </row>
    <row r="269" spans="1:29" x14ac:dyDescent="0.3">
      <c r="A269">
        <v>268</v>
      </c>
      <c r="B269">
        <v>16080</v>
      </c>
      <c r="C269" t="s">
        <v>325</v>
      </c>
      <c r="D269" t="s">
        <v>51</v>
      </c>
      <c r="E269" t="s">
        <v>45</v>
      </c>
      <c r="F269" s="1">
        <v>45472</v>
      </c>
      <c r="G269" s="1">
        <v>45473</v>
      </c>
      <c r="H269">
        <v>8</v>
      </c>
      <c r="I269" t="s">
        <v>28</v>
      </c>
      <c r="J269" t="s">
        <v>36</v>
      </c>
      <c r="K269">
        <v>5</v>
      </c>
      <c r="L269">
        <v>3</v>
      </c>
      <c r="M269">
        <v>2</v>
      </c>
      <c r="N269">
        <v>5</v>
      </c>
      <c r="O269">
        <v>5</v>
      </c>
      <c r="P269">
        <v>3</v>
      </c>
      <c r="Q269">
        <v>1</v>
      </c>
      <c r="R269">
        <v>4</v>
      </c>
      <c r="S269">
        <v>4</v>
      </c>
      <c r="T269">
        <v>5</v>
      </c>
      <c r="U269" t="s">
        <v>30</v>
      </c>
      <c r="V269" t="s">
        <v>54</v>
      </c>
      <c r="W269" t="s">
        <v>55</v>
      </c>
      <c r="X269" t="s">
        <v>33</v>
      </c>
      <c r="Y269">
        <v>59</v>
      </c>
      <c r="Z269" s="1">
        <v>45473</v>
      </c>
      <c r="AA269" t="str" cm="1">
        <f t="array" ref="AA269">_xlfn.IFS(AND(Table2[[#This Row],[Guest_Age]]&gt;=18,Table2[[#This Row],[Guest_Age]]&lt;=25),"Young Adults",AND(Table2[[#This Row],[Guest_Age]]&gt;=26,Table2[[#This Row],[Guest_Age]]&lt;=35),"Adults",AND(Table2[[#This Row],[Guest_Age]]&gt;=36,Table2[[#This Row],[Guest_Age]]&lt;=50),"Middle Aged Adults",Table2[[#This Row],[Guest_Age]]&gt;50,"Senior")</f>
        <v>Senior</v>
      </c>
      <c r="AB2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269" t="str" cm="1">
        <f t="array" ref="AC269">_xlfn.IFS(Table2[[#This Row],[Satification_points]]&gt;=4.5,"GREAT",AND(Table2[[#This Row],[Satification_points]]&gt;=4,Table2[[#This Row],[Satification_points]]&lt;4.5),"GOOD",AND(Table2[[#This Row],[Satification_points]]&gt;=3,Table2[[#This Row],[Satification_points]]&lt;4),"AVERAGE",Table2[[#This Row],[Satification_points]]&lt;3,"POOR")</f>
        <v>AVERAGE</v>
      </c>
    </row>
    <row r="270" spans="1:29" x14ac:dyDescent="0.3">
      <c r="A270">
        <v>269</v>
      </c>
      <c r="B270">
        <v>88317</v>
      </c>
      <c r="C270" t="s">
        <v>326</v>
      </c>
      <c r="D270" t="s">
        <v>26</v>
      </c>
      <c r="E270" t="s">
        <v>52</v>
      </c>
      <c r="F270" s="1">
        <v>45390</v>
      </c>
      <c r="G270" s="1">
        <v>45391</v>
      </c>
      <c r="H270">
        <v>4</v>
      </c>
      <c r="I270" t="s">
        <v>42</v>
      </c>
      <c r="J270" t="s">
        <v>43</v>
      </c>
      <c r="K270">
        <v>5</v>
      </c>
      <c r="L270">
        <v>3</v>
      </c>
      <c r="M270">
        <v>5</v>
      </c>
      <c r="N270">
        <v>5</v>
      </c>
      <c r="O270">
        <v>3</v>
      </c>
      <c r="P270">
        <v>2</v>
      </c>
      <c r="Q270">
        <v>5</v>
      </c>
      <c r="R270">
        <v>1</v>
      </c>
      <c r="S270">
        <v>4</v>
      </c>
      <c r="T270">
        <v>5</v>
      </c>
      <c r="U270" t="s">
        <v>37</v>
      </c>
      <c r="V270" t="s">
        <v>31</v>
      </c>
      <c r="W270" t="s">
        <v>32</v>
      </c>
      <c r="X270" t="s">
        <v>33</v>
      </c>
      <c r="Y270">
        <v>61</v>
      </c>
      <c r="Z270" s="1">
        <v>45391</v>
      </c>
      <c r="AA270" t="str" cm="1">
        <f t="array" ref="AA270">_xlfn.IFS(AND(Table2[[#This Row],[Guest_Age]]&gt;=18,Table2[[#This Row],[Guest_Age]]&lt;=25),"Young Adults",AND(Table2[[#This Row],[Guest_Age]]&gt;=26,Table2[[#This Row],[Guest_Age]]&lt;=35),"Adults",AND(Table2[[#This Row],[Guest_Age]]&gt;=36,Table2[[#This Row],[Guest_Age]]&lt;=50),"Middle Aged Adults",Table2[[#This Row],[Guest_Age]]&gt;50,"Senior")</f>
        <v>Senior</v>
      </c>
      <c r="AB2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270" t="str" cm="1">
        <f t="array" ref="AC270">_xlfn.IFS(Table2[[#This Row],[Satification_points]]&gt;=4.5,"GREAT",AND(Table2[[#This Row],[Satification_points]]&gt;=4,Table2[[#This Row],[Satification_points]]&lt;4.5),"GOOD",AND(Table2[[#This Row],[Satification_points]]&gt;=3,Table2[[#This Row],[Satification_points]]&lt;4),"AVERAGE",Table2[[#This Row],[Satification_points]]&lt;3,"POOR")</f>
        <v>AVERAGE</v>
      </c>
    </row>
    <row r="271" spans="1:29" x14ac:dyDescent="0.3">
      <c r="A271">
        <v>270</v>
      </c>
      <c r="B271">
        <v>41942</v>
      </c>
      <c r="C271" t="s">
        <v>327</v>
      </c>
      <c r="D271" t="s">
        <v>26</v>
      </c>
      <c r="E271" t="s">
        <v>45</v>
      </c>
      <c r="F271" s="1">
        <v>45494</v>
      </c>
      <c r="G271" s="1">
        <v>45495</v>
      </c>
      <c r="H271">
        <v>13</v>
      </c>
      <c r="I271" t="s">
        <v>42</v>
      </c>
      <c r="J271" t="s">
        <v>29</v>
      </c>
      <c r="K271">
        <v>4</v>
      </c>
      <c r="L271">
        <v>4</v>
      </c>
      <c r="M271">
        <v>2</v>
      </c>
      <c r="N271">
        <v>3</v>
      </c>
      <c r="O271">
        <v>3</v>
      </c>
      <c r="P271">
        <v>2</v>
      </c>
      <c r="Q271">
        <v>2</v>
      </c>
      <c r="R271">
        <v>1</v>
      </c>
      <c r="S271">
        <v>1</v>
      </c>
      <c r="T271">
        <v>5</v>
      </c>
      <c r="U271" t="s">
        <v>30</v>
      </c>
      <c r="V271" t="s">
        <v>54</v>
      </c>
      <c r="W271" t="s">
        <v>39</v>
      </c>
      <c r="X271" t="s">
        <v>33</v>
      </c>
      <c r="Y271">
        <v>22</v>
      </c>
      <c r="Z271" s="1">
        <v>45495</v>
      </c>
      <c r="AA271" t="str" cm="1">
        <f t="array" ref="AA271">_xlfn.IFS(AND(Table2[[#This Row],[Guest_Age]]&gt;=18,Table2[[#This Row],[Guest_Age]]&lt;=25),"Young Adults",AND(Table2[[#This Row],[Guest_Age]]&gt;=26,Table2[[#This Row],[Guest_Age]]&lt;=35),"Adults",AND(Table2[[#This Row],[Guest_Age]]&gt;=36,Table2[[#This Row],[Guest_Age]]&lt;=50),"Middle Aged Adults",Table2[[#This Row],[Guest_Age]]&gt;50,"Senior")</f>
        <v>Young Adults</v>
      </c>
      <c r="AB2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71" t="str" cm="1">
        <f t="array" ref="AC271">_xlfn.IFS(Table2[[#This Row],[Satification_points]]&gt;=4.5,"GREAT",AND(Table2[[#This Row],[Satification_points]]&gt;=4,Table2[[#This Row],[Satification_points]]&lt;4.5),"GOOD",AND(Table2[[#This Row],[Satification_points]]&gt;=3,Table2[[#This Row],[Satification_points]]&lt;4),"AVERAGE",Table2[[#This Row],[Satification_points]]&lt;3,"POOR")</f>
        <v>POOR</v>
      </c>
    </row>
    <row r="272" spans="1:29" x14ac:dyDescent="0.3">
      <c r="A272">
        <v>271</v>
      </c>
      <c r="B272">
        <v>27016</v>
      </c>
      <c r="C272" t="s">
        <v>328</v>
      </c>
      <c r="D272" t="s">
        <v>34</v>
      </c>
      <c r="E272" t="s">
        <v>52</v>
      </c>
      <c r="F272" s="1">
        <v>45359</v>
      </c>
      <c r="G272" s="1">
        <v>45360</v>
      </c>
      <c r="H272">
        <v>6</v>
      </c>
      <c r="I272" t="s">
        <v>42</v>
      </c>
      <c r="J272" t="s">
        <v>29</v>
      </c>
      <c r="K272">
        <v>5</v>
      </c>
      <c r="L272">
        <v>5</v>
      </c>
      <c r="M272">
        <v>3</v>
      </c>
      <c r="N272">
        <v>3</v>
      </c>
      <c r="O272">
        <v>4</v>
      </c>
      <c r="P272">
        <v>3</v>
      </c>
      <c r="Q272">
        <v>4</v>
      </c>
      <c r="R272">
        <v>2</v>
      </c>
      <c r="S272">
        <v>4</v>
      </c>
      <c r="T272">
        <v>3</v>
      </c>
      <c r="U272" t="s">
        <v>37</v>
      </c>
      <c r="V272" t="s">
        <v>38</v>
      </c>
      <c r="W272" t="s">
        <v>55</v>
      </c>
      <c r="X272" t="s">
        <v>40</v>
      </c>
      <c r="Y272">
        <v>44</v>
      </c>
      <c r="Z272" s="1">
        <v>45360</v>
      </c>
      <c r="AA272" t="str" cm="1">
        <f t="array" ref="AA2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2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272" t="str" cm="1">
        <f t="array" ref="AC272">_xlfn.IFS(Table2[[#This Row],[Satification_points]]&gt;=4.5,"GREAT",AND(Table2[[#This Row],[Satification_points]]&gt;=4,Table2[[#This Row],[Satification_points]]&lt;4.5),"GOOD",AND(Table2[[#This Row],[Satification_points]]&gt;=3,Table2[[#This Row],[Satification_points]]&lt;4),"AVERAGE",Table2[[#This Row],[Satification_points]]&lt;3,"POOR")</f>
        <v>AVERAGE</v>
      </c>
    </row>
    <row r="273" spans="1:29" x14ac:dyDescent="0.3">
      <c r="A273">
        <v>272</v>
      </c>
      <c r="B273">
        <v>34232</v>
      </c>
      <c r="C273" t="s">
        <v>329</v>
      </c>
      <c r="D273" t="s">
        <v>48</v>
      </c>
      <c r="E273" t="s">
        <v>27</v>
      </c>
      <c r="F273" s="1">
        <v>45501</v>
      </c>
      <c r="G273" s="1">
        <v>45635</v>
      </c>
      <c r="H273">
        <v>13</v>
      </c>
      <c r="I273" t="s">
        <v>28</v>
      </c>
      <c r="J273" t="s">
        <v>36</v>
      </c>
      <c r="K273">
        <v>4</v>
      </c>
      <c r="L273">
        <v>4</v>
      </c>
      <c r="M273">
        <v>3</v>
      </c>
      <c r="N273">
        <v>4</v>
      </c>
      <c r="O273">
        <v>3</v>
      </c>
      <c r="P273">
        <v>4</v>
      </c>
      <c r="Q273">
        <v>3</v>
      </c>
      <c r="R273">
        <v>3</v>
      </c>
      <c r="S273">
        <v>3</v>
      </c>
      <c r="T273">
        <v>4</v>
      </c>
      <c r="U273" t="s">
        <v>30</v>
      </c>
      <c r="V273" t="s">
        <v>31</v>
      </c>
      <c r="W273" t="s">
        <v>47</v>
      </c>
      <c r="X273" t="s">
        <v>33</v>
      </c>
      <c r="Y273">
        <v>19</v>
      </c>
      <c r="Z273" s="1">
        <v>45635</v>
      </c>
      <c r="AA273" t="str" cm="1">
        <f t="array" ref="AA273">_xlfn.IFS(AND(Table2[[#This Row],[Guest_Age]]&gt;=18,Table2[[#This Row],[Guest_Age]]&lt;=25),"Young Adults",AND(Table2[[#This Row],[Guest_Age]]&gt;=26,Table2[[#This Row],[Guest_Age]]&lt;=35),"Adults",AND(Table2[[#This Row],[Guest_Age]]&gt;=36,Table2[[#This Row],[Guest_Age]]&lt;=50),"Middle Aged Adults",Table2[[#This Row],[Guest_Age]]&gt;50,"Senior")</f>
        <v>Young Adults</v>
      </c>
      <c r="AB2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73" t="str" cm="1">
        <f t="array" ref="AC273">_xlfn.IFS(Table2[[#This Row],[Satification_points]]&gt;=4.5,"GREAT",AND(Table2[[#This Row],[Satification_points]]&gt;=4,Table2[[#This Row],[Satification_points]]&lt;4.5),"GOOD",AND(Table2[[#This Row],[Satification_points]]&gt;=3,Table2[[#This Row],[Satification_points]]&lt;4),"AVERAGE",Table2[[#This Row],[Satification_points]]&lt;3,"POOR")</f>
        <v>AVERAGE</v>
      </c>
    </row>
    <row r="274" spans="1:29" x14ac:dyDescent="0.3">
      <c r="A274">
        <v>273</v>
      </c>
      <c r="B274">
        <v>70928</v>
      </c>
      <c r="C274" t="s">
        <v>330</v>
      </c>
      <c r="D274" t="s">
        <v>41</v>
      </c>
      <c r="E274" t="s">
        <v>35</v>
      </c>
      <c r="F274" s="1">
        <v>45326</v>
      </c>
      <c r="G274" s="1">
        <v>45353</v>
      </c>
      <c r="H274">
        <v>10</v>
      </c>
      <c r="I274" t="s">
        <v>28</v>
      </c>
      <c r="J274" t="s">
        <v>36</v>
      </c>
      <c r="K274">
        <v>1</v>
      </c>
      <c r="L274">
        <v>4</v>
      </c>
      <c r="M274">
        <v>5</v>
      </c>
      <c r="N274">
        <v>3</v>
      </c>
      <c r="O274">
        <v>5</v>
      </c>
      <c r="P274">
        <v>3</v>
      </c>
      <c r="Q274">
        <v>4</v>
      </c>
      <c r="R274">
        <v>1</v>
      </c>
      <c r="S274">
        <v>1</v>
      </c>
      <c r="T274">
        <v>1</v>
      </c>
      <c r="U274" t="s">
        <v>37</v>
      </c>
      <c r="V274" t="s">
        <v>38</v>
      </c>
      <c r="W274" t="s">
        <v>39</v>
      </c>
      <c r="X274" t="s">
        <v>40</v>
      </c>
      <c r="Y274">
        <v>58</v>
      </c>
      <c r="Z274" s="1">
        <v>45353</v>
      </c>
      <c r="AA274" t="str" cm="1">
        <f t="array" ref="AA274">_xlfn.IFS(AND(Table2[[#This Row],[Guest_Age]]&gt;=18,Table2[[#This Row],[Guest_Age]]&lt;=25),"Young Adults",AND(Table2[[#This Row],[Guest_Age]]&gt;=26,Table2[[#This Row],[Guest_Age]]&lt;=35),"Adults",AND(Table2[[#This Row],[Guest_Age]]&gt;=36,Table2[[#This Row],[Guest_Age]]&lt;=50),"Middle Aged Adults",Table2[[#This Row],[Guest_Age]]&gt;50,"Senior")</f>
        <v>Senior</v>
      </c>
      <c r="AB2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74" t="str" cm="1">
        <f t="array" ref="AC274">_xlfn.IFS(Table2[[#This Row],[Satification_points]]&gt;=4.5,"GREAT",AND(Table2[[#This Row],[Satification_points]]&gt;=4,Table2[[#This Row],[Satification_points]]&lt;4.5),"GOOD",AND(Table2[[#This Row],[Satification_points]]&gt;=3,Table2[[#This Row],[Satification_points]]&lt;4),"AVERAGE",Table2[[#This Row],[Satification_points]]&lt;3,"POOR")</f>
        <v>POOR</v>
      </c>
    </row>
    <row r="275" spans="1:29" x14ac:dyDescent="0.3">
      <c r="A275">
        <v>274</v>
      </c>
      <c r="B275">
        <v>10329</v>
      </c>
      <c r="C275" t="s">
        <v>331</v>
      </c>
      <c r="D275" t="s">
        <v>34</v>
      </c>
      <c r="E275" t="s">
        <v>35</v>
      </c>
      <c r="F275" s="1">
        <v>45518</v>
      </c>
      <c r="G275" s="1">
        <v>45519</v>
      </c>
      <c r="H275">
        <v>2</v>
      </c>
      <c r="I275" t="s">
        <v>42</v>
      </c>
      <c r="J275" t="s">
        <v>43</v>
      </c>
      <c r="K275">
        <v>3</v>
      </c>
      <c r="L275">
        <v>4</v>
      </c>
      <c r="M275">
        <v>1</v>
      </c>
      <c r="N275">
        <v>5</v>
      </c>
      <c r="O275">
        <v>1</v>
      </c>
      <c r="P275">
        <v>3</v>
      </c>
      <c r="Q275">
        <v>2</v>
      </c>
      <c r="R275">
        <v>1</v>
      </c>
      <c r="S275">
        <v>3</v>
      </c>
      <c r="T275">
        <v>1</v>
      </c>
      <c r="U275" t="s">
        <v>30</v>
      </c>
      <c r="V275" t="s">
        <v>58</v>
      </c>
      <c r="W275" t="s">
        <v>56</v>
      </c>
      <c r="X275" t="s">
        <v>33</v>
      </c>
      <c r="Y275">
        <v>67</v>
      </c>
      <c r="Z275" s="1">
        <v>45519</v>
      </c>
      <c r="AA275" t="str" cm="1">
        <f t="array" ref="AA275">_xlfn.IFS(AND(Table2[[#This Row],[Guest_Age]]&gt;=18,Table2[[#This Row],[Guest_Age]]&lt;=25),"Young Adults",AND(Table2[[#This Row],[Guest_Age]]&gt;=26,Table2[[#This Row],[Guest_Age]]&lt;=35),"Adults",AND(Table2[[#This Row],[Guest_Age]]&gt;=36,Table2[[#This Row],[Guest_Age]]&lt;=50),"Middle Aged Adults",Table2[[#This Row],[Guest_Age]]&gt;50,"Senior")</f>
        <v>Senior</v>
      </c>
      <c r="AB2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75" t="str" cm="1">
        <f t="array" ref="AC275">_xlfn.IFS(Table2[[#This Row],[Satification_points]]&gt;=4.5,"GREAT",AND(Table2[[#This Row],[Satification_points]]&gt;=4,Table2[[#This Row],[Satification_points]]&lt;4.5),"GOOD",AND(Table2[[#This Row],[Satification_points]]&gt;=3,Table2[[#This Row],[Satification_points]]&lt;4),"AVERAGE",Table2[[#This Row],[Satification_points]]&lt;3,"POOR")</f>
        <v>POOR</v>
      </c>
    </row>
    <row r="276" spans="1:29" x14ac:dyDescent="0.3">
      <c r="A276">
        <v>275</v>
      </c>
      <c r="B276">
        <v>70363</v>
      </c>
      <c r="C276" t="s">
        <v>332</v>
      </c>
      <c r="D276" t="s">
        <v>48</v>
      </c>
      <c r="E276" t="s">
        <v>52</v>
      </c>
      <c r="F276" s="1">
        <v>45478</v>
      </c>
      <c r="G276" s="1">
        <v>45622</v>
      </c>
      <c r="H276">
        <v>9</v>
      </c>
      <c r="I276" t="s">
        <v>28</v>
      </c>
      <c r="J276" t="s">
        <v>36</v>
      </c>
      <c r="K276">
        <v>4</v>
      </c>
      <c r="L276">
        <v>5</v>
      </c>
      <c r="M276">
        <v>5</v>
      </c>
      <c r="N276">
        <v>4</v>
      </c>
      <c r="O276">
        <v>5</v>
      </c>
      <c r="P276">
        <v>5</v>
      </c>
      <c r="Q276">
        <v>4</v>
      </c>
      <c r="R276">
        <v>3</v>
      </c>
      <c r="S276">
        <v>4</v>
      </c>
      <c r="T276">
        <v>2</v>
      </c>
      <c r="U276" t="s">
        <v>37</v>
      </c>
      <c r="V276" t="s">
        <v>58</v>
      </c>
      <c r="W276" t="s">
        <v>32</v>
      </c>
      <c r="X276" t="s">
        <v>33</v>
      </c>
      <c r="Y276">
        <v>44</v>
      </c>
      <c r="Z276" s="1">
        <v>45622</v>
      </c>
      <c r="AA276" t="str" cm="1">
        <f t="array" ref="AA2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2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276" t="str" cm="1">
        <f t="array" ref="AC276">_xlfn.IFS(Table2[[#This Row],[Satification_points]]&gt;=4.5,"GREAT",AND(Table2[[#This Row],[Satification_points]]&gt;=4,Table2[[#This Row],[Satification_points]]&lt;4.5),"GOOD",AND(Table2[[#This Row],[Satification_points]]&gt;=3,Table2[[#This Row],[Satification_points]]&lt;4),"AVERAGE",Table2[[#This Row],[Satification_points]]&lt;3,"POOR")</f>
        <v>GOOD</v>
      </c>
    </row>
    <row r="277" spans="1:29" x14ac:dyDescent="0.3">
      <c r="A277">
        <v>276</v>
      </c>
      <c r="B277">
        <v>40595</v>
      </c>
      <c r="C277" t="s">
        <v>333</v>
      </c>
      <c r="D277" t="s">
        <v>41</v>
      </c>
      <c r="E277" t="s">
        <v>35</v>
      </c>
      <c r="F277" s="1">
        <v>45205</v>
      </c>
      <c r="G277" s="1">
        <v>45349</v>
      </c>
      <c r="H277">
        <v>12</v>
      </c>
      <c r="I277" t="s">
        <v>49</v>
      </c>
      <c r="J277" t="s">
        <v>40</v>
      </c>
      <c r="K277">
        <v>1</v>
      </c>
      <c r="L277">
        <v>2</v>
      </c>
      <c r="M277">
        <v>1</v>
      </c>
      <c r="N277">
        <v>3</v>
      </c>
      <c r="O277">
        <v>1</v>
      </c>
      <c r="P277">
        <v>4</v>
      </c>
      <c r="Q277">
        <v>2</v>
      </c>
      <c r="R277">
        <v>5</v>
      </c>
      <c r="S277">
        <v>5</v>
      </c>
      <c r="T277">
        <v>5</v>
      </c>
      <c r="U277" t="s">
        <v>30</v>
      </c>
      <c r="V277" t="s">
        <v>54</v>
      </c>
      <c r="W277" t="s">
        <v>39</v>
      </c>
      <c r="X277" t="s">
        <v>40</v>
      </c>
      <c r="Y277">
        <v>18</v>
      </c>
      <c r="Z277" s="1">
        <v>45450</v>
      </c>
      <c r="AA277" t="str" cm="1">
        <f t="array" ref="AA277">_xlfn.IFS(AND(Table2[[#This Row],[Guest_Age]]&gt;=18,Table2[[#This Row],[Guest_Age]]&lt;=25),"Young Adults",AND(Table2[[#This Row],[Guest_Age]]&gt;=26,Table2[[#This Row],[Guest_Age]]&lt;=35),"Adults",AND(Table2[[#This Row],[Guest_Age]]&gt;=36,Table2[[#This Row],[Guest_Age]]&lt;=50),"Middle Aged Adults",Table2[[#This Row],[Guest_Age]]&gt;50,"Senior")</f>
        <v>Young Adults</v>
      </c>
      <c r="AB2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77" t="str" cm="1">
        <f t="array" ref="AC277">_xlfn.IFS(Table2[[#This Row],[Satification_points]]&gt;=4.5,"GREAT",AND(Table2[[#This Row],[Satification_points]]&gt;=4,Table2[[#This Row],[Satification_points]]&lt;4.5),"GOOD",AND(Table2[[#This Row],[Satification_points]]&gt;=3,Table2[[#This Row],[Satification_points]]&lt;4),"AVERAGE",Table2[[#This Row],[Satification_points]]&lt;3,"POOR")</f>
        <v>POOR</v>
      </c>
    </row>
    <row r="278" spans="1:29" x14ac:dyDescent="0.3">
      <c r="A278">
        <v>277</v>
      </c>
      <c r="B278">
        <v>15446</v>
      </c>
      <c r="C278" t="s">
        <v>334</v>
      </c>
      <c r="D278" t="s">
        <v>41</v>
      </c>
      <c r="E278" t="s">
        <v>45</v>
      </c>
      <c r="F278" s="1">
        <v>45036</v>
      </c>
      <c r="G278" s="1">
        <v>45663</v>
      </c>
      <c r="H278">
        <v>9</v>
      </c>
      <c r="I278" t="s">
        <v>42</v>
      </c>
      <c r="J278" t="s">
        <v>36</v>
      </c>
      <c r="K278">
        <v>3</v>
      </c>
      <c r="L278">
        <v>2</v>
      </c>
      <c r="M278">
        <v>5</v>
      </c>
      <c r="N278">
        <v>4</v>
      </c>
      <c r="O278">
        <v>5</v>
      </c>
      <c r="P278">
        <v>4</v>
      </c>
      <c r="Q278">
        <v>5</v>
      </c>
      <c r="R278">
        <v>4</v>
      </c>
      <c r="S278">
        <v>1</v>
      </c>
      <c r="T278">
        <v>1</v>
      </c>
      <c r="U278" t="s">
        <v>30</v>
      </c>
      <c r="V278" t="s">
        <v>46</v>
      </c>
      <c r="W278" t="s">
        <v>55</v>
      </c>
      <c r="X278" t="s">
        <v>40</v>
      </c>
      <c r="Y278">
        <v>31</v>
      </c>
      <c r="Z278" s="1">
        <v>45663</v>
      </c>
      <c r="AA278" t="str" cm="1">
        <f t="array" ref="AA278">_xlfn.IFS(AND(Table2[[#This Row],[Guest_Age]]&gt;=18,Table2[[#This Row],[Guest_Age]]&lt;=25),"Young Adults",AND(Table2[[#This Row],[Guest_Age]]&gt;=26,Table2[[#This Row],[Guest_Age]]&lt;=35),"Adults",AND(Table2[[#This Row],[Guest_Age]]&gt;=36,Table2[[#This Row],[Guest_Age]]&lt;=50),"Middle Aged Adults",Table2[[#This Row],[Guest_Age]]&gt;50,"Senior")</f>
        <v>Adults</v>
      </c>
      <c r="AB2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278" t="str" cm="1">
        <f t="array" ref="AC278">_xlfn.IFS(Table2[[#This Row],[Satification_points]]&gt;=4.5,"GREAT",AND(Table2[[#This Row],[Satification_points]]&gt;=4,Table2[[#This Row],[Satification_points]]&lt;4.5),"GOOD",AND(Table2[[#This Row],[Satification_points]]&gt;=3,Table2[[#This Row],[Satification_points]]&lt;4),"AVERAGE",Table2[[#This Row],[Satification_points]]&lt;3,"POOR")</f>
        <v>AVERAGE</v>
      </c>
    </row>
    <row r="279" spans="1:29" x14ac:dyDescent="0.3">
      <c r="A279">
        <v>278</v>
      </c>
      <c r="B279">
        <v>87781</v>
      </c>
      <c r="C279" t="s">
        <v>335</v>
      </c>
      <c r="D279" t="s">
        <v>48</v>
      </c>
      <c r="E279" t="s">
        <v>35</v>
      </c>
      <c r="F279" s="1">
        <v>44974</v>
      </c>
      <c r="G279" s="1">
        <v>45098</v>
      </c>
      <c r="H279">
        <v>12</v>
      </c>
      <c r="I279" t="s">
        <v>49</v>
      </c>
      <c r="J279" t="s">
        <v>29</v>
      </c>
      <c r="K279">
        <v>2</v>
      </c>
      <c r="L279">
        <v>3</v>
      </c>
      <c r="M279">
        <v>1</v>
      </c>
      <c r="N279">
        <v>4</v>
      </c>
      <c r="O279">
        <v>1</v>
      </c>
      <c r="P279">
        <v>2</v>
      </c>
      <c r="Q279">
        <v>5</v>
      </c>
      <c r="R279">
        <v>3</v>
      </c>
      <c r="S279">
        <v>2</v>
      </c>
      <c r="T279">
        <v>3</v>
      </c>
      <c r="U279" t="s">
        <v>30</v>
      </c>
      <c r="V279" t="s">
        <v>54</v>
      </c>
      <c r="W279" t="s">
        <v>56</v>
      </c>
      <c r="X279" t="s">
        <v>33</v>
      </c>
      <c r="Y279">
        <v>52</v>
      </c>
      <c r="Z279" s="1">
        <v>45507</v>
      </c>
      <c r="AA279" t="str" cm="1">
        <f t="array" ref="AA279">_xlfn.IFS(AND(Table2[[#This Row],[Guest_Age]]&gt;=18,Table2[[#This Row],[Guest_Age]]&lt;=25),"Young Adults",AND(Table2[[#This Row],[Guest_Age]]&gt;=26,Table2[[#This Row],[Guest_Age]]&lt;=35),"Adults",AND(Table2[[#This Row],[Guest_Age]]&gt;=36,Table2[[#This Row],[Guest_Age]]&lt;=50),"Middle Aged Adults",Table2[[#This Row],[Guest_Age]]&gt;50,"Senior")</f>
        <v>Senior</v>
      </c>
      <c r="AB2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279" t="str" cm="1">
        <f t="array" ref="AC279">_xlfn.IFS(Table2[[#This Row],[Satification_points]]&gt;=4.5,"GREAT",AND(Table2[[#This Row],[Satification_points]]&gt;=4,Table2[[#This Row],[Satification_points]]&lt;4.5),"GOOD",AND(Table2[[#This Row],[Satification_points]]&gt;=3,Table2[[#This Row],[Satification_points]]&lt;4),"AVERAGE",Table2[[#This Row],[Satification_points]]&lt;3,"POOR")</f>
        <v>POOR</v>
      </c>
    </row>
    <row r="280" spans="1:29" x14ac:dyDescent="0.3">
      <c r="A280">
        <v>279</v>
      </c>
      <c r="B280">
        <v>76204</v>
      </c>
      <c r="C280" t="s">
        <v>336</v>
      </c>
      <c r="D280" t="s">
        <v>41</v>
      </c>
      <c r="E280" t="s">
        <v>35</v>
      </c>
      <c r="F280" s="1">
        <v>45008</v>
      </c>
      <c r="G280" s="1">
        <v>45637</v>
      </c>
      <c r="H280">
        <v>10</v>
      </c>
      <c r="I280" t="s">
        <v>49</v>
      </c>
      <c r="J280" t="s">
        <v>36</v>
      </c>
      <c r="K280">
        <v>1</v>
      </c>
      <c r="L280">
        <v>4</v>
      </c>
      <c r="M280">
        <v>4</v>
      </c>
      <c r="N280">
        <v>1</v>
      </c>
      <c r="O280">
        <v>1</v>
      </c>
      <c r="P280">
        <v>2</v>
      </c>
      <c r="Q280">
        <v>4</v>
      </c>
      <c r="R280">
        <v>2</v>
      </c>
      <c r="S280">
        <v>2</v>
      </c>
      <c r="T280">
        <v>3</v>
      </c>
      <c r="U280" t="s">
        <v>37</v>
      </c>
      <c r="V280" t="s">
        <v>31</v>
      </c>
      <c r="W280" t="s">
        <v>55</v>
      </c>
      <c r="X280" t="s">
        <v>33</v>
      </c>
      <c r="Y280">
        <v>40</v>
      </c>
      <c r="Z280" s="1">
        <v>45637</v>
      </c>
      <c r="AA280" t="str" cm="1">
        <f t="array" ref="AA2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80" t="str" cm="1">
        <f t="array" ref="AC280">_xlfn.IFS(Table2[[#This Row],[Satification_points]]&gt;=4.5,"GREAT",AND(Table2[[#This Row],[Satification_points]]&gt;=4,Table2[[#This Row],[Satification_points]]&lt;4.5),"GOOD",AND(Table2[[#This Row],[Satification_points]]&gt;=3,Table2[[#This Row],[Satification_points]]&lt;4),"AVERAGE",Table2[[#This Row],[Satification_points]]&lt;3,"POOR")</f>
        <v>POOR</v>
      </c>
    </row>
    <row r="281" spans="1:29" x14ac:dyDescent="0.3">
      <c r="A281">
        <v>280</v>
      </c>
      <c r="B281">
        <v>56094</v>
      </c>
      <c r="C281" t="s">
        <v>337</v>
      </c>
      <c r="D281" t="s">
        <v>51</v>
      </c>
      <c r="E281" t="s">
        <v>35</v>
      </c>
      <c r="F281" s="1">
        <v>45612</v>
      </c>
      <c r="G281" s="1">
        <v>45613</v>
      </c>
      <c r="H281">
        <v>10</v>
      </c>
      <c r="I281" t="s">
        <v>28</v>
      </c>
      <c r="J281" t="s">
        <v>43</v>
      </c>
      <c r="K281">
        <v>2</v>
      </c>
      <c r="L281">
        <v>3</v>
      </c>
      <c r="M281">
        <v>1</v>
      </c>
      <c r="N281">
        <v>3</v>
      </c>
      <c r="O281">
        <v>2</v>
      </c>
      <c r="P281">
        <v>2</v>
      </c>
      <c r="Q281">
        <v>4</v>
      </c>
      <c r="R281">
        <v>2</v>
      </c>
      <c r="S281">
        <v>3</v>
      </c>
      <c r="T281">
        <v>3</v>
      </c>
      <c r="U281" t="s">
        <v>30</v>
      </c>
      <c r="V281" t="s">
        <v>58</v>
      </c>
      <c r="W281" t="s">
        <v>55</v>
      </c>
      <c r="X281" t="s">
        <v>44</v>
      </c>
      <c r="Y281">
        <v>60</v>
      </c>
      <c r="Z281" s="1">
        <v>45613</v>
      </c>
      <c r="AA281" t="str" cm="1">
        <f t="array" ref="AA281">_xlfn.IFS(AND(Table2[[#This Row],[Guest_Age]]&gt;=18,Table2[[#This Row],[Guest_Age]]&lt;=25),"Young Adults",AND(Table2[[#This Row],[Guest_Age]]&gt;=26,Table2[[#This Row],[Guest_Age]]&lt;=35),"Adults",AND(Table2[[#This Row],[Guest_Age]]&gt;=36,Table2[[#This Row],[Guest_Age]]&lt;=50),"Middle Aged Adults",Table2[[#This Row],[Guest_Age]]&gt;50,"Senior")</f>
        <v>Senior</v>
      </c>
      <c r="AB2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281" t="str" cm="1">
        <f t="array" ref="AC281">_xlfn.IFS(Table2[[#This Row],[Satification_points]]&gt;=4.5,"GREAT",AND(Table2[[#This Row],[Satification_points]]&gt;=4,Table2[[#This Row],[Satification_points]]&lt;4.5),"GOOD",AND(Table2[[#This Row],[Satification_points]]&gt;=3,Table2[[#This Row],[Satification_points]]&lt;4),"AVERAGE",Table2[[#This Row],[Satification_points]]&lt;3,"POOR")</f>
        <v>POOR</v>
      </c>
    </row>
    <row r="282" spans="1:29" x14ac:dyDescent="0.3">
      <c r="A282">
        <v>281</v>
      </c>
      <c r="B282">
        <v>24822</v>
      </c>
      <c r="C282" t="s">
        <v>338</v>
      </c>
      <c r="D282" t="s">
        <v>51</v>
      </c>
      <c r="E282" t="s">
        <v>57</v>
      </c>
      <c r="F282" s="1">
        <v>45551</v>
      </c>
      <c r="G282" s="1">
        <v>45552</v>
      </c>
      <c r="H282">
        <v>6</v>
      </c>
      <c r="I282" t="s">
        <v>28</v>
      </c>
      <c r="J282" t="s">
        <v>40</v>
      </c>
      <c r="K282">
        <v>5</v>
      </c>
      <c r="L282">
        <v>4</v>
      </c>
      <c r="M282">
        <v>1</v>
      </c>
      <c r="N282">
        <v>1</v>
      </c>
      <c r="O282">
        <v>2</v>
      </c>
      <c r="P282">
        <v>1</v>
      </c>
      <c r="Q282">
        <v>2</v>
      </c>
      <c r="R282">
        <v>4</v>
      </c>
      <c r="S282">
        <v>4</v>
      </c>
      <c r="T282">
        <v>2</v>
      </c>
      <c r="U282" t="s">
        <v>30</v>
      </c>
      <c r="V282" t="s">
        <v>54</v>
      </c>
      <c r="W282" t="s">
        <v>32</v>
      </c>
      <c r="X282" t="s">
        <v>40</v>
      </c>
      <c r="Y282">
        <v>39</v>
      </c>
      <c r="Z282" s="1">
        <v>45552</v>
      </c>
      <c r="AA282" t="str" cm="1">
        <f t="array" ref="AA282">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282" t="str" cm="1">
        <f t="array" ref="AC282">_xlfn.IFS(Table2[[#This Row],[Satification_points]]&gt;=4.5,"GREAT",AND(Table2[[#This Row],[Satification_points]]&gt;=4,Table2[[#This Row],[Satification_points]]&lt;4.5),"GOOD",AND(Table2[[#This Row],[Satification_points]]&gt;=3,Table2[[#This Row],[Satification_points]]&lt;4),"AVERAGE",Table2[[#This Row],[Satification_points]]&lt;3,"POOR")</f>
        <v>POOR</v>
      </c>
    </row>
    <row r="283" spans="1:29" x14ac:dyDescent="0.3">
      <c r="A283">
        <v>282</v>
      </c>
      <c r="B283">
        <v>26822</v>
      </c>
      <c r="C283" t="s">
        <v>339</v>
      </c>
      <c r="D283" t="s">
        <v>34</v>
      </c>
      <c r="E283" t="s">
        <v>52</v>
      </c>
      <c r="F283" s="1">
        <v>45204</v>
      </c>
      <c r="G283" s="1">
        <v>45402</v>
      </c>
      <c r="H283">
        <v>6</v>
      </c>
      <c r="I283" t="s">
        <v>42</v>
      </c>
      <c r="J283" t="s">
        <v>36</v>
      </c>
      <c r="K283">
        <v>4</v>
      </c>
      <c r="L283">
        <v>3</v>
      </c>
      <c r="M283">
        <v>3</v>
      </c>
      <c r="N283">
        <v>5</v>
      </c>
      <c r="O283">
        <v>5</v>
      </c>
      <c r="P283">
        <v>4</v>
      </c>
      <c r="Q283">
        <v>5</v>
      </c>
      <c r="R283">
        <v>2</v>
      </c>
      <c r="S283">
        <v>3</v>
      </c>
      <c r="T283">
        <v>5</v>
      </c>
      <c r="U283" t="s">
        <v>37</v>
      </c>
      <c r="V283" t="s">
        <v>58</v>
      </c>
      <c r="W283" t="s">
        <v>39</v>
      </c>
      <c r="X283" t="s">
        <v>44</v>
      </c>
      <c r="Y283">
        <v>44</v>
      </c>
      <c r="Z283" s="1">
        <v>45402</v>
      </c>
      <c r="AA283" t="str" cm="1">
        <f t="array" ref="AA28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283" t="str" cm="1">
        <f t="array" ref="AC283">_xlfn.IFS(Table2[[#This Row],[Satification_points]]&gt;=4.5,"GREAT",AND(Table2[[#This Row],[Satification_points]]&gt;=4,Table2[[#This Row],[Satification_points]]&lt;4.5),"GOOD",AND(Table2[[#This Row],[Satification_points]]&gt;=3,Table2[[#This Row],[Satification_points]]&lt;4),"AVERAGE",Table2[[#This Row],[Satification_points]]&lt;3,"POOR")</f>
        <v>AVERAGE</v>
      </c>
    </row>
    <row r="284" spans="1:29" x14ac:dyDescent="0.3">
      <c r="A284">
        <v>283</v>
      </c>
      <c r="B284">
        <v>62077</v>
      </c>
      <c r="C284" t="s">
        <v>340</v>
      </c>
      <c r="D284" t="s">
        <v>41</v>
      </c>
      <c r="E284" t="s">
        <v>27</v>
      </c>
      <c r="F284" s="1">
        <v>45307</v>
      </c>
      <c r="G284" s="1">
        <v>45410</v>
      </c>
      <c r="H284">
        <v>10</v>
      </c>
      <c r="I284" t="s">
        <v>28</v>
      </c>
      <c r="J284" t="s">
        <v>40</v>
      </c>
      <c r="K284">
        <v>3</v>
      </c>
      <c r="L284">
        <v>1</v>
      </c>
      <c r="M284">
        <v>2</v>
      </c>
      <c r="N284">
        <v>4</v>
      </c>
      <c r="O284">
        <v>3</v>
      </c>
      <c r="P284">
        <v>5</v>
      </c>
      <c r="Q284">
        <v>4</v>
      </c>
      <c r="R284">
        <v>3</v>
      </c>
      <c r="S284">
        <v>2</v>
      </c>
      <c r="T284">
        <v>1</v>
      </c>
      <c r="U284" t="s">
        <v>37</v>
      </c>
      <c r="V284" t="s">
        <v>46</v>
      </c>
      <c r="W284" t="s">
        <v>55</v>
      </c>
      <c r="X284" t="s">
        <v>44</v>
      </c>
      <c r="Y284">
        <v>67</v>
      </c>
      <c r="Z284" s="1">
        <v>45410</v>
      </c>
      <c r="AA284" t="str" cm="1">
        <f t="array" ref="AA284">_xlfn.IFS(AND(Table2[[#This Row],[Guest_Age]]&gt;=18,Table2[[#This Row],[Guest_Age]]&lt;=25),"Young Adults",AND(Table2[[#This Row],[Guest_Age]]&gt;=26,Table2[[#This Row],[Guest_Age]]&lt;=35),"Adults",AND(Table2[[#This Row],[Guest_Age]]&gt;=36,Table2[[#This Row],[Guest_Age]]&lt;=50),"Middle Aged Adults",Table2[[#This Row],[Guest_Age]]&gt;50,"Senior")</f>
        <v>Senior</v>
      </c>
      <c r="AB2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284" t="str" cm="1">
        <f t="array" ref="AC284">_xlfn.IFS(Table2[[#This Row],[Satification_points]]&gt;=4.5,"GREAT",AND(Table2[[#This Row],[Satification_points]]&gt;=4,Table2[[#This Row],[Satification_points]]&lt;4.5),"GOOD",AND(Table2[[#This Row],[Satification_points]]&gt;=3,Table2[[#This Row],[Satification_points]]&lt;4),"AVERAGE",Table2[[#This Row],[Satification_points]]&lt;3,"POOR")</f>
        <v>POOR</v>
      </c>
    </row>
    <row r="285" spans="1:29" x14ac:dyDescent="0.3">
      <c r="A285">
        <v>284</v>
      </c>
      <c r="B285">
        <v>14020</v>
      </c>
      <c r="C285" t="s">
        <v>341</v>
      </c>
      <c r="D285" t="s">
        <v>41</v>
      </c>
      <c r="E285" t="s">
        <v>27</v>
      </c>
      <c r="F285" s="1">
        <v>45236</v>
      </c>
      <c r="G285" s="1">
        <v>45311</v>
      </c>
      <c r="H285">
        <v>7</v>
      </c>
      <c r="I285" t="s">
        <v>49</v>
      </c>
      <c r="J285" t="s">
        <v>36</v>
      </c>
      <c r="K285">
        <v>5</v>
      </c>
      <c r="L285">
        <v>5</v>
      </c>
      <c r="M285">
        <v>5</v>
      </c>
      <c r="N285">
        <v>5</v>
      </c>
      <c r="O285">
        <v>2</v>
      </c>
      <c r="P285">
        <v>2</v>
      </c>
      <c r="Q285">
        <v>2</v>
      </c>
      <c r="R285">
        <v>5</v>
      </c>
      <c r="S285">
        <v>1</v>
      </c>
      <c r="T285">
        <v>5</v>
      </c>
      <c r="U285" t="s">
        <v>30</v>
      </c>
      <c r="V285" t="s">
        <v>54</v>
      </c>
      <c r="W285" t="s">
        <v>56</v>
      </c>
      <c r="X285" t="s">
        <v>44</v>
      </c>
      <c r="Y285">
        <v>42</v>
      </c>
      <c r="Z285" s="1">
        <v>45311</v>
      </c>
      <c r="AA285" t="str" cm="1">
        <f t="array" ref="AA285">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285" t="str" cm="1">
        <f t="array" ref="AC285">_xlfn.IFS(Table2[[#This Row],[Satification_points]]&gt;=4.5,"GREAT",AND(Table2[[#This Row],[Satification_points]]&gt;=4,Table2[[#This Row],[Satification_points]]&lt;4.5),"GOOD",AND(Table2[[#This Row],[Satification_points]]&gt;=3,Table2[[#This Row],[Satification_points]]&lt;4),"AVERAGE",Table2[[#This Row],[Satification_points]]&lt;3,"POOR")</f>
        <v>AVERAGE</v>
      </c>
    </row>
    <row r="286" spans="1:29" x14ac:dyDescent="0.3">
      <c r="A286">
        <v>285</v>
      </c>
      <c r="B286">
        <v>32061</v>
      </c>
      <c r="C286" t="s">
        <v>342</v>
      </c>
      <c r="D286" t="s">
        <v>48</v>
      </c>
      <c r="E286" t="s">
        <v>57</v>
      </c>
      <c r="F286" s="1">
        <v>45478</v>
      </c>
      <c r="G286" s="1">
        <v>45479</v>
      </c>
      <c r="H286">
        <v>4</v>
      </c>
      <c r="I286" t="s">
        <v>28</v>
      </c>
      <c r="J286" t="s">
        <v>40</v>
      </c>
      <c r="K286">
        <v>1</v>
      </c>
      <c r="L286">
        <v>4</v>
      </c>
      <c r="M286">
        <v>3</v>
      </c>
      <c r="N286">
        <v>4</v>
      </c>
      <c r="O286">
        <v>1</v>
      </c>
      <c r="P286">
        <v>2</v>
      </c>
      <c r="Q286">
        <v>2</v>
      </c>
      <c r="R286">
        <v>2</v>
      </c>
      <c r="S286">
        <v>3</v>
      </c>
      <c r="T286">
        <v>5</v>
      </c>
      <c r="U286" t="s">
        <v>37</v>
      </c>
      <c r="V286" t="s">
        <v>58</v>
      </c>
      <c r="W286" t="s">
        <v>55</v>
      </c>
      <c r="X286" t="s">
        <v>40</v>
      </c>
      <c r="Y286">
        <v>51</v>
      </c>
      <c r="Z286" s="1">
        <v>45479</v>
      </c>
      <c r="AA286" t="str" cm="1">
        <f t="array" ref="AA286">_xlfn.IFS(AND(Table2[[#This Row],[Guest_Age]]&gt;=18,Table2[[#This Row],[Guest_Age]]&lt;=25),"Young Adults",AND(Table2[[#This Row],[Guest_Age]]&gt;=26,Table2[[#This Row],[Guest_Age]]&lt;=35),"Adults",AND(Table2[[#This Row],[Guest_Age]]&gt;=36,Table2[[#This Row],[Guest_Age]]&lt;=50),"Middle Aged Adults",Table2[[#This Row],[Guest_Age]]&gt;50,"Senior")</f>
        <v>Senior</v>
      </c>
      <c r="AB2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86" t="str" cm="1">
        <f t="array" ref="AC286">_xlfn.IFS(Table2[[#This Row],[Satification_points]]&gt;=4.5,"GREAT",AND(Table2[[#This Row],[Satification_points]]&gt;=4,Table2[[#This Row],[Satification_points]]&lt;4.5),"GOOD",AND(Table2[[#This Row],[Satification_points]]&gt;=3,Table2[[#This Row],[Satification_points]]&lt;4),"AVERAGE",Table2[[#This Row],[Satification_points]]&lt;3,"POOR")</f>
        <v>POOR</v>
      </c>
    </row>
    <row r="287" spans="1:29" x14ac:dyDescent="0.3">
      <c r="A287">
        <v>286</v>
      </c>
      <c r="B287">
        <v>34849</v>
      </c>
      <c r="C287" t="s">
        <v>343</v>
      </c>
      <c r="D287" t="s">
        <v>51</v>
      </c>
      <c r="E287" t="s">
        <v>57</v>
      </c>
      <c r="F287" s="1">
        <v>45468</v>
      </c>
      <c r="G287" s="1">
        <v>45469</v>
      </c>
      <c r="H287">
        <v>7</v>
      </c>
      <c r="I287" t="s">
        <v>42</v>
      </c>
      <c r="J287" t="s">
        <v>36</v>
      </c>
      <c r="K287">
        <v>5</v>
      </c>
      <c r="L287">
        <v>4</v>
      </c>
      <c r="M287">
        <v>2</v>
      </c>
      <c r="N287">
        <v>3</v>
      </c>
      <c r="O287">
        <v>5</v>
      </c>
      <c r="P287">
        <v>2</v>
      </c>
      <c r="Q287">
        <v>4</v>
      </c>
      <c r="R287">
        <v>3</v>
      </c>
      <c r="S287">
        <v>4</v>
      </c>
      <c r="T287">
        <v>3</v>
      </c>
      <c r="U287" t="s">
        <v>37</v>
      </c>
      <c r="V287" t="s">
        <v>38</v>
      </c>
      <c r="W287" t="s">
        <v>55</v>
      </c>
      <c r="X287" t="s">
        <v>33</v>
      </c>
      <c r="Y287">
        <v>66</v>
      </c>
      <c r="Z287" s="1">
        <v>45469</v>
      </c>
      <c r="AA287" t="str" cm="1">
        <f t="array" ref="AA287">_xlfn.IFS(AND(Table2[[#This Row],[Guest_Age]]&gt;=18,Table2[[#This Row],[Guest_Age]]&lt;=25),"Young Adults",AND(Table2[[#This Row],[Guest_Age]]&gt;=26,Table2[[#This Row],[Guest_Age]]&lt;=35),"Adults",AND(Table2[[#This Row],[Guest_Age]]&gt;=36,Table2[[#This Row],[Guest_Age]]&lt;=50),"Middle Aged Adults",Table2[[#This Row],[Guest_Age]]&gt;50,"Senior")</f>
        <v>Senior</v>
      </c>
      <c r="AB2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87" t="str" cm="1">
        <f t="array" ref="AC287">_xlfn.IFS(Table2[[#This Row],[Satification_points]]&gt;=4.5,"GREAT",AND(Table2[[#This Row],[Satification_points]]&gt;=4,Table2[[#This Row],[Satification_points]]&lt;4.5),"GOOD",AND(Table2[[#This Row],[Satification_points]]&gt;=3,Table2[[#This Row],[Satification_points]]&lt;4),"AVERAGE",Table2[[#This Row],[Satification_points]]&lt;3,"POOR")</f>
        <v>AVERAGE</v>
      </c>
    </row>
    <row r="288" spans="1:29" x14ac:dyDescent="0.3">
      <c r="A288">
        <v>287</v>
      </c>
      <c r="B288">
        <v>63865</v>
      </c>
      <c r="C288" t="s">
        <v>344</v>
      </c>
      <c r="D288" t="s">
        <v>26</v>
      </c>
      <c r="E288" t="s">
        <v>27</v>
      </c>
      <c r="F288" s="1">
        <v>45166</v>
      </c>
      <c r="G288" s="1">
        <v>45175</v>
      </c>
      <c r="H288">
        <v>10</v>
      </c>
      <c r="I288" t="s">
        <v>50</v>
      </c>
      <c r="J288" t="s">
        <v>36</v>
      </c>
      <c r="K288">
        <v>2</v>
      </c>
      <c r="L288">
        <v>4</v>
      </c>
      <c r="M288">
        <v>3</v>
      </c>
      <c r="N288">
        <v>2</v>
      </c>
      <c r="O288">
        <v>3</v>
      </c>
      <c r="P288">
        <v>2</v>
      </c>
      <c r="Q288">
        <v>3</v>
      </c>
      <c r="R288">
        <v>2</v>
      </c>
      <c r="S288">
        <v>2</v>
      </c>
      <c r="T288">
        <v>1</v>
      </c>
      <c r="U288" t="s">
        <v>30</v>
      </c>
      <c r="V288" t="s">
        <v>46</v>
      </c>
      <c r="W288" t="s">
        <v>56</v>
      </c>
      <c r="X288" t="s">
        <v>33</v>
      </c>
      <c r="Y288">
        <v>44</v>
      </c>
      <c r="Z288" s="1">
        <v>45374</v>
      </c>
      <c r="AA288" t="str" cm="1">
        <f t="array" ref="AA2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2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288" t="str" cm="1">
        <f t="array" ref="AC288">_xlfn.IFS(Table2[[#This Row],[Satification_points]]&gt;=4.5,"GREAT",AND(Table2[[#This Row],[Satification_points]]&gt;=4,Table2[[#This Row],[Satification_points]]&lt;4.5),"GOOD",AND(Table2[[#This Row],[Satification_points]]&gt;=3,Table2[[#This Row],[Satification_points]]&lt;4),"AVERAGE",Table2[[#This Row],[Satification_points]]&lt;3,"POOR")</f>
        <v>POOR</v>
      </c>
    </row>
    <row r="289" spans="1:29" x14ac:dyDescent="0.3">
      <c r="A289">
        <v>288</v>
      </c>
      <c r="B289">
        <v>35602</v>
      </c>
      <c r="C289" t="s">
        <v>345</v>
      </c>
      <c r="D289" t="s">
        <v>34</v>
      </c>
      <c r="E289" t="s">
        <v>45</v>
      </c>
      <c r="F289" s="1">
        <v>45109</v>
      </c>
      <c r="G289" s="1">
        <v>45246</v>
      </c>
      <c r="H289">
        <v>1</v>
      </c>
      <c r="I289" t="s">
        <v>50</v>
      </c>
      <c r="J289" t="s">
        <v>53</v>
      </c>
      <c r="K289">
        <v>2</v>
      </c>
      <c r="L289">
        <v>5</v>
      </c>
      <c r="M289">
        <v>3</v>
      </c>
      <c r="N289">
        <v>3</v>
      </c>
      <c r="O289">
        <v>5</v>
      </c>
      <c r="P289">
        <v>2</v>
      </c>
      <c r="Q289">
        <v>1</v>
      </c>
      <c r="R289">
        <v>1</v>
      </c>
      <c r="S289">
        <v>1</v>
      </c>
      <c r="T289">
        <v>2</v>
      </c>
      <c r="U289" t="s">
        <v>30</v>
      </c>
      <c r="V289" t="s">
        <v>38</v>
      </c>
      <c r="W289" t="s">
        <v>47</v>
      </c>
      <c r="X289" t="s">
        <v>40</v>
      </c>
      <c r="Y289">
        <v>52</v>
      </c>
      <c r="Z289" s="1">
        <v>45246</v>
      </c>
      <c r="AA289" t="str" cm="1">
        <f t="array" ref="AA289">_xlfn.IFS(AND(Table2[[#This Row],[Guest_Age]]&gt;=18,Table2[[#This Row],[Guest_Age]]&lt;=25),"Young Adults",AND(Table2[[#This Row],[Guest_Age]]&gt;=26,Table2[[#This Row],[Guest_Age]]&lt;=35),"Adults",AND(Table2[[#This Row],[Guest_Age]]&gt;=36,Table2[[#This Row],[Guest_Age]]&lt;=50),"Middle Aged Adults",Table2[[#This Row],[Guest_Age]]&gt;50,"Senior")</f>
        <v>Senior</v>
      </c>
      <c r="AB2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289" t="str" cm="1">
        <f t="array" ref="AC289">_xlfn.IFS(Table2[[#This Row],[Satification_points]]&gt;=4.5,"GREAT",AND(Table2[[#This Row],[Satification_points]]&gt;=4,Table2[[#This Row],[Satification_points]]&lt;4.5),"GOOD",AND(Table2[[#This Row],[Satification_points]]&gt;=3,Table2[[#This Row],[Satification_points]]&lt;4),"AVERAGE",Table2[[#This Row],[Satification_points]]&lt;3,"POOR")</f>
        <v>POOR</v>
      </c>
    </row>
    <row r="290" spans="1:29" x14ac:dyDescent="0.3">
      <c r="A290">
        <v>289</v>
      </c>
      <c r="B290">
        <v>45894</v>
      </c>
      <c r="C290" t="s">
        <v>346</v>
      </c>
      <c r="D290" t="s">
        <v>51</v>
      </c>
      <c r="E290" t="s">
        <v>27</v>
      </c>
      <c r="F290" s="1">
        <v>45110</v>
      </c>
      <c r="G290" s="1">
        <v>45627</v>
      </c>
      <c r="H290">
        <v>13</v>
      </c>
      <c r="I290" t="s">
        <v>28</v>
      </c>
      <c r="J290" t="s">
        <v>29</v>
      </c>
      <c r="K290">
        <v>4</v>
      </c>
      <c r="L290">
        <v>1</v>
      </c>
      <c r="M290">
        <v>5</v>
      </c>
      <c r="N290">
        <v>4</v>
      </c>
      <c r="O290">
        <v>1</v>
      </c>
      <c r="P290">
        <v>1</v>
      </c>
      <c r="Q290">
        <v>2</v>
      </c>
      <c r="R290">
        <v>1</v>
      </c>
      <c r="S290">
        <v>3</v>
      </c>
      <c r="T290">
        <v>5</v>
      </c>
      <c r="U290" t="s">
        <v>30</v>
      </c>
      <c r="V290" t="s">
        <v>31</v>
      </c>
      <c r="W290" t="s">
        <v>55</v>
      </c>
      <c r="X290" t="s">
        <v>44</v>
      </c>
      <c r="Y290">
        <v>38</v>
      </c>
      <c r="Z290" s="1">
        <v>45627</v>
      </c>
      <c r="AA290" t="str" cm="1">
        <f t="array" ref="AA2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2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90" t="str" cm="1">
        <f t="array" ref="AC290">_xlfn.IFS(Table2[[#This Row],[Satification_points]]&gt;=4.5,"GREAT",AND(Table2[[#This Row],[Satification_points]]&gt;=4,Table2[[#This Row],[Satification_points]]&lt;4.5),"GOOD",AND(Table2[[#This Row],[Satification_points]]&gt;=3,Table2[[#This Row],[Satification_points]]&lt;4),"AVERAGE",Table2[[#This Row],[Satification_points]]&lt;3,"POOR")</f>
        <v>POOR</v>
      </c>
    </row>
    <row r="291" spans="1:29" x14ac:dyDescent="0.3">
      <c r="A291">
        <v>290</v>
      </c>
      <c r="B291">
        <v>45701</v>
      </c>
      <c r="C291" t="s">
        <v>347</v>
      </c>
      <c r="D291" t="s">
        <v>48</v>
      </c>
      <c r="E291" t="s">
        <v>27</v>
      </c>
      <c r="F291" s="1">
        <v>45480</v>
      </c>
      <c r="G291" s="1">
        <v>45481</v>
      </c>
      <c r="H291">
        <v>14</v>
      </c>
      <c r="I291" t="s">
        <v>50</v>
      </c>
      <c r="J291" t="s">
        <v>43</v>
      </c>
      <c r="K291">
        <v>5</v>
      </c>
      <c r="L291">
        <v>2</v>
      </c>
      <c r="M291">
        <v>4</v>
      </c>
      <c r="N291">
        <v>2</v>
      </c>
      <c r="O291">
        <v>2</v>
      </c>
      <c r="P291">
        <v>5</v>
      </c>
      <c r="Q291">
        <v>5</v>
      </c>
      <c r="R291">
        <v>5</v>
      </c>
      <c r="S291">
        <v>1</v>
      </c>
      <c r="T291">
        <v>4</v>
      </c>
      <c r="U291" t="s">
        <v>30</v>
      </c>
      <c r="V291" t="s">
        <v>46</v>
      </c>
      <c r="W291" t="s">
        <v>56</v>
      </c>
      <c r="X291" t="s">
        <v>40</v>
      </c>
      <c r="Y291">
        <v>56</v>
      </c>
      <c r="Z291" s="1">
        <v>45481</v>
      </c>
      <c r="AA291" t="str" cm="1">
        <f t="array" ref="AA291">_xlfn.IFS(AND(Table2[[#This Row],[Guest_Age]]&gt;=18,Table2[[#This Row],[Guest_Age]]&lt;=25),"Young Adults",AND(Table2[[#This Row],[Guest_Age]]&gt;=26,Table2[[#This Row],[Guest_Age]]&lt;=35),"Adults",AND(Table2[[#This Row],[Guest_Age]]&gt;=36,Table2[[#This Row],[Guest_Age]]&lt;=50),"Middle Aged Adults",Table2[[#This Row],[Guest_Age]]&gt;50,"Senior")</f>
        <v>Senior</v>
      </c>
      <c r="AB2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291" t="str" cm="1">
        <f t="array" ref="AC291">_xlfn.IFS(Table2[[#This Row],[Satification_points]]&gt;=4.5,"GREAT",AND(Table2[[#This Row],[Satification_points]]&gt;=4,Table2[[#This Row],[Satification_points]]&lt;4.5),"GOOD",AND(Table2[[#This Row],[Satification_points]]&gt;=3,Table2[[#This Row],[Satification_points]]&lt;4),"AVERAGE",Table2[[#This Row],[Satification_points]]&lt;3,"POOR")</f>
        <v>AVERAGE</v>
      </c>
    </row>
    <row r="292" spans="1:29" x14ac:dyDescent="0.3">
      <c r="A292">
        <v>291</v>
      </c>
      <c r="B292">
        <v>29752</v>
      </c>
      <c r="C292" t="s">
        <v>348</v>
      </c>
      <c r="D292" t="s">
        <v>34</v>
      </c>
      <c r="E292" t="s">
        <v>52</v>
      </c>
      <c r="F292" s="1">
        <v>45392</v>
      </c>
      <c r="G292" s="1">
        <v>45393</v>
      </c>
      <c r="H292">
        <v>7</v>
      </c>
      <c r="I292" t="s">
        <v>49</v>
      </c>
      <c r="J292" t="s">
        <v>43</v>
      </c>
      <c r="K292">
        <v>3</v>
      </c>
      <c r="L292">
        <v>5</v>
      </c>
      <c r="M292">
        <v>3</v>
      </c>
      <c r="N292">
        <v>2</v>
      </c>
      <c r="O292">
        <v>2</v>
      </c>
      <c r="P292">
        <v>4</v>
      </c>
      <c r="Q292">
        <v>1</v>
      </c>
      <c r="R292">
        <v>1</v>
      </c>
      <c r="S292">
        <v>5</v>
      </c>
      <c r="T292">
        <v>3</v>
      </c>
      <c r="U292" t="s">
        <v>37</v>
      </c>
      <c r="V292" t="s">
        <v>58</v>
      </c>
      <c r="W292" t="s">
        <v>32</v>
      </c>
      <c r="X292" t="s">
        <v>33</v>
      </c>
      <c r="Y292">
        <v>20</v>
      </c>
      <c r="Z292" s="1">
        <v>45393</v>
      </c>
      <c r="AA292" t="str" cm="1">
        <f t="array" ref="AA292">_xlfn.IFS(AND(Table2[[#This Row],[Guest_Age]]&gt;=18,Table2[[#This Row],[Guest_Age]]&lt;=25),"Young Adults",AND(Table2[[#This Row],[Guest_Age]]&gt;=26,Table2[[#This Row],[Guest_Age]]&lt;=35),"Adults",AND(Table2[[#This Row],[Guest_Age]]&gt;=36,Table2[[#This Row],[Guest_Age]]&lt;=50),"Middle Aged Adults",Table2[[#This Row],[Guest_Age]]&gt;50,"Senior")</f>
        <v>Young Adults</v>
      </c>
      <c r="AB2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92" t="str" cm="1">
        <f t="array" ref="AC292">_xlfn.IFS(Table2[[#This Row],[Satification_points]]&gt;=4.5,"GREAT",AND(Table2[[#This Row],[Satification_points]]&gt;=4,Table2[[#This Row],[Satification_points]]&lt;4.5),"GOOD",AND(Table2[[#This Row],[Satification_points]]&gt;=3,Table2[[#This Row],[Satification_points]]&lt;4),"AVERAGE",Table2[[#This Row],[Satification_points]]&lt;3,"POOR")</f>
        <v>POOR</v>
      </c>
    </row>
    <row r="293" spans="1:29" x14ac:dyDescent="0.3">
      <c r="A293">
        <v>292</v>
      </c>
      <c r="B293">
        <v>38269</v>
      </c>
      <c r="C293" t="s">
        <v>349</v>
      </c>
      <c r="D293" t="s">
        <v>26</v>
      </c>
      <c r="E293" t="s">
        <v>27</v>
      </c>
      <c r="F293" s="1">
        <v>45565</v>
      </c>
      <c r="G293" s="1">
        <v>45566</v>
      </c>
      <c r="H293">
        <v>12</v>
      </c>
      <c r="I293" t="s">
        <v>50</v>
      </c>
      <c r="J293" t="s">
        <v>53</v>
      </c>
      <c r="K293">
        <v>2</v>
      </c>
      <c r="L293">
        <v>1</v>
      </c>
      <c r="M293">
        <v>5</v>
      </c>
      <c r="N293">
        <v>3</v>
      </c>
      <c r="O293">
        <v>4</v>
      </c>
      <c r="P293">
        <v>5</v>
      </c>
      <c r="Q293">
        <v>2</v>
      </c>
      <c r="R293">
        <v>1</v>
      </c>
      <c r="S293">
        <v>2</v>
      </c>
      <c r="T293">
        <v>4</v>
      </c>
      <c r="U293" t="s">
        <v>30</v>
      </c>
      <c r="V293" t="s">
        <v>38</v>
      </c>
      <c r="W293" t="s">
        <v>39</v>
      </c>
      <c r="X293" t="s">
        <v>40</v>
      </c>
      <c r="Y293">
        <v>42</v>
      </c>
      <c r="Z293" s="1">
        <v>45566</v>
      </c>
      <c r="AA293" t="str" cm="1">
        <f t="array" ref="AA2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2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93" t="str" cm="1">
        <f t="array" ref="AC293">_xlfn.IFS(Table2[[#This Row],[Satification_points]]&gt;=4.5,"GREAT",AND(Table2[[#This Row],[Satification_points]]&gt;=4,Table2[[#This Row],[Satification_points]]&lt;4.5),"GOOD",AND(Table2[[#This Row],[Satification_points]]&gt;=3,Table2[[#This Row],[Satification_points]]&lt;4),"AVERAGE",Table2[[#This Row],[Satification_points]]&lt;3,"POOR")</f>
        <v>POOR</v>
      </c>
    </row>
    <row r="294" spans="1:29" x14ac:dyDescent="0.3">
      <c r="A294">
        <v>293</v>
      </c>
      <c r="B294">
        <v>98436</v>
      </c>
      <c r="C294" t="s">
        <v>350</v>
      </c>
      <c r="D294" t="s">
        <v>34</v>
      </c>
      <c r="E294" t="s">
        <v>27</v>
      </c>
      <c r="F294" s="1">
        <v>45363</v>
      </c>
      <c r="G294" s="1">
        <v>45364</v>
      </c>
      <c r="H294">
        <v>13</v>
      </c>
      <c r="I294" t="s">
        <v>50</v>
      </c>
      <c r="J294" t="s">
        <v>36</v>
      </c>
      <c r="K294">
        <v>1</v>
      </c>
      <c r="L294">
        <v>3</v>
      </c>
      <c r="M294">
        <v>1</v>
      </c>
      <c r="N294">
        <v>5</v>
      </c>
      <c r="O294">
        <v>4</v>
      </c>
      <c r="P294">
        <v>3</v>
      </c>
      <c r="Q294">
        <v>3</v>
      </c>
      <c r="R294">
        <v>2</v>
      </c>
      <c r="S294">
        <v>3</v>
      </c>
      <c r="T294">
        <v>2</v>
      </c>
      <c r="U294" t="s">
        <v>37</v>
      </c>
      <c r="V294" t="s">
        <v>31</v>
      </c>
      <c r="W294" t="s">
        <v>56</v>
      </c>
      <c r="X294" t="s">
        <v>44</v>
      </c>
      <c r="Y294">
        <v>64</v>
      </c>
      <c r="Z294" s="1">
        <v>45364</v>
      </c>
      <c r="AA294" t="str" cm="1">
        <f t="array" ref="AA294">_xlfn.IFS(AND(Table2[[#This Row],[Guest_Age]]&gt;=18,Table2[[#This Row],[Guest_Age]]&lt;=25),"Young Adults",AND(Table2[[#This Row],[Guest_Age]]&gt;=26,Table2[[#This Row],[Guest_Age]]&lt;=35),"Adults",AND(Table2[[#This Row],[Guest_Age]]&gt;=36,Table2[[#This Row],[Guest_Age]]&lt;=50),"Middle Aged Adults",Table2[[#This Row],[Guest_Age]]&gt;50,"Senior")</f>
        <v>Senior</v>
      </c>
      <c r="AB2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94" t="str" cm="1">
        <f t="array" ref="AC294">_xlfn.IFS(Table2[[#This Row],[Satification_points]]&gt;=4.5,"GREAT",AND(Table2[[#This Row],[Satification_points]]&gt;=4,Table2[[#This Row],[Satification_points]]&lt;4.5),"GOOD",AND(Table2[[#This Row],[Satification_points]]&gt;=3,Table2[[#This Row],[Satification_points]]&lt;4),"AVERAGE",Table2[[#This Row],[Satification_points]]&lt;3,"POOR")</f>
        <v>POOR</v>
      </c>
    </row>
    <row r="295" spans="1:29" x14ac:dyDescent="0.3">
      <c r="A295">
        <v>294</v>
      </c>
      <c r="B295">
        <v>39140</v>
      </c>
      <c r="C295" t="s">
        <v>351</v>
      </c>
      <c r="D295" t="s">
        <v>51</v>
      </c>
      <c r="E295" t="s">
        <v>35</v>
      </c>
      <c r="F295" s="1">
        <v>45520</v>
      </c>
      <c r="G295" s="1">
        <v>45521</v>
      </c>
      <c r="H295">
        <v>1</v>
      </c>
      <c r="I295" t="s">
        <v>49</v>
      </c>
      <c r="J295" t="s">
        <v>29</v>
      </c>
      <c r="K295">
        <v>5</v>
      </c>
      <c r="L295">
        <v>4</v>
      </c>
      <c r="M295">
        <v>2</v>
      </c>
      <c r="N295">
        <v>3</v>
      </c>
      <c r="O295">
        <v>5</v>
      </c>
      <c r="P295">
        <v>4</v>
      </c>
      <c r="Q295">
        <v>1</v>
      </c>
      <c r="R295">
        <v>2</v>
      </c>
      <c r="S295">
        <v>1</v>
      </c>
      <c r="T295">
        <v>2</v>
      </c>
      <c r="U295" t="s">
        <v>37</v>
      </c>
      <c r="V295" t="s">
        <v>38</v>
      </c>
      <c r="W295" t="s">
        <v>56</v>
      </c>
      <c r="X295" t="s">
        <v>40</v>
      </c>
      <c r="Y295">
        <v>21</v>
      </c>
      <c r="Z295" s="1">
        <v>45521</v>
      </c>
      <c r="AA295" t="str" cm="1">
        <f t="array" ref="AA295">_xlfn.IFS(AND(Table2[[#This Row],[Guest_Age]]&gt;=18,Table2[[#This Row],[Guest_Age]]&lt;=25),"Young Adults",AND(Table2[[#This Row],[Guest_Age]]&gt;=26,Table2[[#This Row],[Guest_Age]]&lt;=35),"Adults",AND(Table2[[#This Row],[Guest_Age]]&gt;=36,Table2[[#This Row],[Guest_Age]]&lt;=50),"Middle Aged Adults",Table2[[#This Row],[Guest_Age]]&gt;50,"Senior")</f>
        <v>Young Adults</v>
      </c>
      <c r="AB2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295" t="str" cm="1">
        <f t="array" ref="AC295">_xlfn.IFS(Table2[[#This Row],[Satification_points]]&gt;=4.5,"GREAT",AND(Table2[[#This Row],[Satification_points]]&gt;=4,Table2[[#This Row],[Satification_points]]&lt;4.5),"GOOD",AND(Table2[[#This Row],[Satification_points]]&gt;=3,Table2[[#This Row],[Satification_points]]&lt;4),"AVERAGE",Table2[[#This Row],[Satification_points]]&lt;3,"POOR")</f>
        <v>POOR</v>
      </c>
    </row>
    <row r="296" spans="1:29" x14ac:dyDescent="0.3">
      <c r="A296">
        <v>295</v>
      </c>
      <c r="B296">
        <v>31639</v>
      </c>
      <c r="C296" t="s">
        <v>352</v>
      </c>
      <c r="D296" t="s">
        <v>26</v>
      </c>
      <c r="E296" t="s">
        <v>57</v>
      </c>
      <c r="F296" s="1">
        <v>45159</v>
      </c>
      <c r="G296" s="1">
        <v>45246</v>
      </c>
      <c r="H296">
        <v>11</v>
      </c>
      <c r="I296" t="s">
        <v>42</v>
      </c>
      <c r="J296" t="s">
        <v>40</v>
      </c>
      <c r="K296">
        <v>3</v>
      </c>
      <c r="L296">
        <v>4</v>
      </c>
      <c r="M296">
        <v>5</v>
      </c>
      <c r="N296">
        <v>4</v>
      </c>
      <c r="O296">
        <v>5</v>
      </c>
      <c r="P296">
        <v>2</v>
      </c>
      <c r="Q296">
        <v>5</v>
      </c>
      <c r="R296">
        <v>4</v>
      </c>
      <c r="S296">
        <v>3</v>
      </c>
      <c r="T296">
        <v>2</v>
      </c>
      <c r="U296" t="s">
        <v>37</v>
      </c>
      <c r="V296" t="s">
        <v>46</v>
      </c>
      <c r="W296" t="s">
        <v>39</v>
      </c>
      <c r="X296" t="s">
        <v>33</v>
      </c>
      <c r="Y296">
        <v>32</v>
      </c>
      <c r="Z296" s="1">
        <v>45656</v>
      </c>
      <c r="AA296" t="str" cm="1">
        <f t="array" ref="AA296">_xlfn.IFS(AND(Table2[[#This Row],[Guest_Age]]&gt;=18,Table2[[#This Row],[Guest_Age]]&lt;=25),"Young Adults",AND(Table2[[#This Row],[Guest_Age]]&gt;=26,Table2[[#This Row],[Guest_Age]]&lt;=35),"Adults",AND(Table2[[#This Row],[Guest_Age]]&gt;=36,Table2[[#This Row],[Guest_Age]]&lt;=50),"Middle Aged Adults",Table2[[#This Row],[Guest_Age]]&gt;50,"Senior")</f>
        <v>Adults</v>
      </c>
      <c r="AB2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296" t="str" cm="1">
        <f t="array" ref="AC296">_xlfn.IFS(Table2[[#This Row],[Satification_points]]&gt;=4.5,"GREAT",AND(Table2[[#This Row],[Satification_points]]&gt;=4,Table2[[#This Row],[Satification_points]]&lt;4.5),"GOOD",AND(Table2[[#This Row],[Satification_points]]&gt;=3,Table2[[#This Row],[Satification_points]]&lt;4),"AVERAGE",Table2[[#This Row],[Satification_points]]&lt;3,"POOR")</f>
        <v>AVERAGE</v>
      </c>
    </row>
    <row r="297" spans="1:29" x14ac:dyDescent="0.3">
      <c r="A297">
        <v>296</v>
      </c>
      <c r="B297">
        <v>74320</v>
      </c>
      <c r="C297" t="s">
        <v>353</v>
      </c>
      <c r="D297" t="s">
        <v>48</v>
      </c>
      <c r="E297" t="s">
        <v>27</v>
      </c>
      <c r="F297" s="1">
        <v>45630</v>
      </c>
      <c r="G297" s="1">
        <v>45631</v>
      </c>
      <c r="H297">
        <v>14</v>
      </c>
      <c r="I297" t="s">
        <v>50</v>
      </c>
      <c r="J297" t="s">
        <v>53</v>
      </c>
      <c r="K297">
        <v>3</v>
      </c>
      <c r="L297">
        <v>2</v>
      </c>
      <c r="M297">
        <v>4</v>
      </c>
      <c r="N297">
        <v>5</v>
      </c>
      <c r="O297">
        <v>3</v>
      </c>
      <c r="P297">
        <v>3</v>
      </c>
      <c r="Q297">
        <v>1</v>
      </c>
      <c r="R297">
        <v>5</v>
      </c>
      <c r="S297">
        <v>4</v>
      </c>
      <c r="T297">
        <v>2</v>
      </c>
      <c r="U297" t="s">
        <v>30</v>
      </c>
      <c r="V297" t="s">
        <v>38</v>
      </c>
      <c r="W297" t="s">
        <v>56</v>
      </c>
      <c r="X297" t="s">
        <v>33</v>
      </c>
      <c r="Y297">
        <v>20</v>
      </c>
      <c r="Z297" s="1">
        <v>45631</v>
      </c>
      <c r="AA297" t="str" cm="1">
        <f t="array" ref="AA297">_xlfn.IFS(AND(Table2[[#This Row],[Guest_Age]]&gt;=18,Table2[[#This Row],[Guest_Age]]&lt;=25),"Young Adults",AND(Table2[[#This Row],[Guest_Age]]&gt;=26,Table2[[#This Row],[Guest_Age]]&lt;=35),"Adults",AND(Table2[[#This Row],[Guest_Age]]&gt;=36,Table2[[#This Row],[Guest_Age]]&lt;=50),"Middle Aged Adults",Table2[[#This Row],[Guest_Age]]&gt;50,"Senior")</f>
        <v>Young Adults</v>
      </c>
      <c r="AB2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97" t="str" cm="1">
        <f t="array" ref="AC297">_xlfn.IFS(Table2[[#This Row],[Satification_points]]&gt;=4.5,"GREAT",AND(Table2[[#This Row],[Satification_points]]&gt;=4,Table2[[#This Row],[Satification_points]]&lt;4.5),"GOOD",AND(Table2[[#This Row],[Satification_points]]&gt;=3,Table2[[#This Row],[Satification_points]]&lt;4),"AVERAGE",Table2[[#This Row],[Satification_points]]&lt;3,"POOR")</f>
        <v>AVERAGE</v>
      </c>
    </row>
    <row r="298" spans="1:29" x14ac:dyDescent="0.3">
      <c r="A298">
        <v>297</v>
      </c>
      <c r="B298">
        <v>18062</v>
      </c>
      <c r="C298" t="s">
        <v>354</v>
      </c>
      <c r="D298" t="s">
        <v>34</v>
      </c>
      <c r="E298" t="s">
        <v>27</v>
      </c>
      <c r="F298" s="1">
        <v>44927</v>
      </c>
      <c r="G298" s="1">
        <v>45405</v>
      </c>
      <c r="H298">
        <v>8</v>
      </c>
      <c r="I298" t="s">
        <v>50</v>
      </c>
      <c r="J298" t="s">
        <v>43</v>
      </c>
      <c r="K298">
        <v>3</v>
      </c>
      <c r="L298">
        <v>3</v>
      </c>
      <c r="M298">
        <v>5</v>
      </c>
      <c r="N298">
        <v>4</v>
      </c>
      <c r="O298">
        <v>2</v>
      </c>
      <c r="P298">
        <v>3</v>
      </c>
      <c r="Q298">
        <v>4</v>
      </c>
      <c r="R298">
        <v>1</v>
      </c>
      <c r="S298">
        <v>4</v>
      </c>
      <c r="T298">
        <v>1</v>
      </c>
      <c r="U298" t="s">
        <v>37</v>
      </c>
      <c r="V298" t="s">
        <v>38</v>
      </c>
      <c r="W298" t="s">
        <v>47</v>
      </c>
      <c r="X298" t="s">
        <v>33</v>
      </c>
      <c r="Y298">
        <v>28</v>
      </c>
      <c r="Z298" s="1">
        <v>45405</v>
      </c>
      <c r="AA298" t="str" cm="1">
        <f t="array" ref="AA298">_xlfn.IFS(AND(Table2[[#This Row],[Guest_Age]]&gt;=18,Table2[[#This Row],[Guest_Age]]&lt;=25),"Young Adults",AND(Table2[[#This Row],[Guest_Age]]&gt;=26,Table2[[#This Row],[Guest_Age]]&lt;=35),"Adults",AND(Table2[[#This Row],[Guest_Age]]&gt;=36,Table2[[#This Row],[Guest_Age]]&lt;=50),"Middle Aged Adults",Table2[[#This Row],[Guest_Age]]&gt;50,"Senior")</f>
        <v>Adults</v>
      </c>
      <c r="AB2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298" t="str" cm="1">
        <f t="array" ref="AC298">_xlfn.IFS(Table2[[#This Row],[Satification_points]]&gt;=4.5,"GREAT",AND(Table2[[#This Row],[Satification_points]]&gt;=4,Table2[[#This Row],[Satification_points]]&lt;4.5),"GOOD",AND(Table2[[#This Row],[Satification_points]]&gt;=3,Table2[[#This Row],[Satification_points]]&lt;4),"AVERAGE",Table2[[#This Row],[Satification_points]]&lt;3,"POOR")</f>
        <v>AVERAGE</v>
      </c>
    </row>
    <row r="299" spans="1:29" x14ac:dyDescent="0.3">
      <c r="A299">
        <v>298</v>
      </c>
      <c r="B299">
        <v>87045</v>
      </c>
      <c r="C299" t="s">
        <v>355</v>
      </c>
      <c r="D299" t="s">
        <v>51</v>
      </c>
      <c r="E299" t="s">
        <v>45</v>
      </c>
      <c r="F299" s="1">
        <v>45431</v>
      </c>
      <c r="G299" s="1">
        <v>45432</v>
      </c>
      <c r="H299">
        <v>10</v>
      </c>
      <c r="I299" t="s">
        <v>50</v>
      </c>
      <c r="J299" t="s">
        <v>43</v>
      </c>
      <c r="K299">
        <v>3</v>
      </c>
      <c r="L299">
        <v>1</v>
      </c>
      <c r="M299">
        <v>5</v>
      </c>
      <c r="N299">
        <v>5</v>
      </c>
      <c r="O299">
        <v>2</v>
      </c>
      <c r="P299">
        <v>3</v>
      </c>
      <c r="Q299">
        <v>2</v>
      </c>
      <c r="R299">
        <v>4</v>
      </c>
      <c r="S299">
        <v>3</v>
      </c>
      <c r="T299">
        <v>4</v>
      </c>
      <c r="U299" t="s">
        <v>30</v>
      </c>
      <c r="V299" t="s">
        <v>54</v>
      </c>
      <c r="W299" t="s">
        <v>32</v>
      </c>
      <c r="X299" t="s">
        <v>44</v>
      </c>
      <c r="Y299">
        <v>45</v>
      </c>
      <c r="Z299" s="1">
        <v>45432</v>
      </c>
      <c r="AA299" t="str" cm="1">
        <f t="array" ref="AA2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2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299" t="str" cm="1">
        <f t="array" ref="AC299">_xlfn.IFS(Table2[[#This Row],[Satification_points]]&gt;=4.5,"GREAT",AND(Table2[[#This Row],[Satification_points]]&gt;=4,Table2[[#This Row],[Satification_points]]&lt;4.5),"GOOD",AND(Table2[[#This Row],[Satification_points]]&gt;=3,Table2[[#This Row],[Satification_points]]&lt;4),"AVERAGE",Table2[[#This Row],[Satification_points]]&lt;3,"POOR")</f>
        <v>AVERAGE</v>
      </c>
    </row>
    <row r="300" spans="1:29" x14ac:dyDescent="0.3">
      <c r="A300">
        <v>299</v>
      </c>
      <c r="B300">
        <v>18261</v>
      </c>
      <c r="C300" t="s">
        <v>356</v>
      </c>
      <c r="D300" t="s">
        <v>48</v>
      </c>
      <c r="E300" t="s">
        <v>27</v>
      </c>
      <c r="F300" s="1">
        <v>45288</v>
      </c>
      <c r="G300" s="1">
        <v>45513</v>
      </c>
      <c r="H300">
        <v>6</v>
      </c>
      <c r="I300" t="s">
        <v>42</v>
      </c>
      <c r="J300" t="s">
        <v>43</v>
      </c>
      <c r="K300">
        <v>2</v>
      </c>
      <c r="L300">
        <v>3</v>
      </c>
      <c r="M300">
        <v>1</v>
      </c>
      <c r="N300">
        <v>1</v>
      </c>
      <c r="O300">
        <v>4</v>
      </c>
      <c r="P300">
        <v>3</v>
      </c>
      <c r="Q300">
        <v>4</v>
      </c>
      <c r="R300">
        <v>2</v>
      </c>
      <c r="S300">
        <v>2</v>
      </c>
      <c r="T300">
        <v>3</v>
      </c>
      <c r="U300" t="s">
        <v>30</v>
      </c>
      <c r="V300" t="s">
        <v>58</v>
      </c>
      <c r="W300" t="s">
        <v>47</v>
      </c>
      <c r="X300" t="s">
        <v>33</v>
      </c>
      <c r="Y300">
        <v>20</v>
      </c>
      <c r="Z300" s="1">
        <v>45513</v>
      </c>
      <c r="AA300" t="str" cm="1">
        <f t="array" ref="AA300">_xlfn.IFS(AND(Table2[[#This Row],[Guest_Age]]&gt;=18,Table2[[#This Row],[Guest_Age]]&lt;=25),"Young Adults",AND(Table2[[#This Row],[Guest_Age]]&gt;=26,Table2[[#This Row],[Guest_Age]]&lt;=35),"Adults",AND(Table2[[#This Row],[Guest_Age]]&gt;=36,Table2[[#This Row],[Guest_Age]]&lt;=50),"Middle Aged Adults",Table2[[#This Row],[Guest_Age]]&gt;50,"Senior")</f>
        <v>Young Adults</v>
      </c>
      <c r="AB3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00" t="str" cm="1">
        <f t="array" ref="AC300">_xlfn.IFS(Table2[[#This Row],[Satification_points]]&gt;=4.5,"GREAT",AND(Table2[[#This Row],[Satification_points]]&gt;=4,Table2[[#This Row],[Satification_points]]&lt;4.5),"GOOD",AND(Table2[[#This Row],[Satification_points]]&gt;=3,Table2[[#This Row],[Satification_points]]&lt;4),"AVERAGE",Table2[[#This Row],[Satification_points]]&lt;3,"POOR")</f>
        <v>POOR</v>
      </c>
    </row>
    <row r="301" spans="1:29" x14ac:dyDescent="0.3">
      <c r="A301">
        <v>300</v>
      </c>
      <c r="B301">
        <v>88304</v>
      </c>
      <c r="C301" t="s">
        <v>357</v>
      </c>
      <c r="D301" t="s">
        <v>26</v>
      </c>
      <c r="E301" t="s">
        <v>52</v>
      </c>
      <c r="F301" s="1">
        <v>45645</v>
      </c>
      <c r="G301" s="1">
        <v>45646</v>
      </c>
      <c r="H301">
        <v>14</v>
      </c>
      <c r="I301" t="s">
        <v>28</v>
      </c>
      <c r="J301" t="s">
        <v>36</v>
      </c>
      <c r="K301">
        <v>4</v>
      </c>
      <c r="L301">
        <v>3</v>
      </c>
      <c r="M301">
        <v>2</v>
      </c>
      <c r="N301">
        <v>5</v>
      </c>
      <c r="O301">
        <v>1</v>
      </c>
      <c r="P301">
        <v>2</v>
      </c>
      <c r="Q301">
        <v>3</v>
      </c>
      <c r="R301">
        <v>4</v>
      </c>
      <c r="S301">
        <v>3</v>
      </c>
      <c r="T301">
        <v>4</v>
      </c>
      <c r="U301" t="s">
        <v>37</v>
      </c>
      <c r="V301" t="s">
        <v>38</v>
      </c>
      <c r="W301" t="s">
        <v>55</v>
      </c>
      <c r="X301" t="s">
        <v>33</v>
      </c>
      <c r="Y301">
        <v>69</v>
      </c>
      <c r="Z301" s="1">
        <v>45646</v>
      </c>
      <c r="AA301" t="str" cm="1">
        <f t="array" ref="AA301">_xlfn.IFS(AND(Table2[[#This Row],[Guest_Age]]&gt;=18,Table2[[#This Row],[Guest_Age]]&lt;=25),"Young Adults",AND(Table2[[#This Row],[Guest_Age]]&gt;=26,Table2[[#This Row],[Guest_Age]]&lt;=35),"Adults",AND(Table2[[#This Row],[Guest_Age]]&gt;=36,Table2[[#This Row],[Guest_Age]]&lt;=50),"Middle Aged Adults",Table2[[#This Row],[Guest_Age]]&gt;50,"Senior")</f>
        <v>Senior</v>
      </c>
      <c r="AB3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01" t="str" cm="1">
        <f t="array" ref="AC301">_xlfn.IFS(Table2[[#This Row],[Satification_points]]&gt;=4.5,"GREAT",AND(Table2[[#This Row],[Satification_points]]&gt;=4,Table2[[#This Row],[Satification_points]]&lt;4.5),"GOOD",AND(Table2[[#This Row],[Satification_points]]&gt;=3,Table2[[#This Row],[Satification_points]]&lt;4),"AVERAGE",Table2[[#This Row],[Satification_points]]&lt;3,"POOR")</f>
        <v>AVERAGE</v>
      </c>
    </row>
    <row r="302" spans="1:29" x14ac:dyDescent="0.3">
      <c r="A302">
        <v>301</v>
      </c>
      <c r="B302">
        <v>14585</v>
      </c>
      <c r="C302" t="s">
        <v>358</v>
      </c>
      <c r="D302" t="s">
        <v>34</v>
      </c>
      <c r="E302" t="s">
        <v>45</v>
      </c>
      <c r="F302" s="1">
        <v>45635</v>
      </c>
      <c r="G302" s="1">
        <v>45636</v>
      </c>
      <c r="H302">
        <v>14</v>
      </c>
      <c r="I302" t="s">
        <v>28</v>
      </c>
      <c r="J302" t="s">
        <v>40</v>
      </c>
      <c r="K302">
        <v>5</v>
      </c>
      <c r="L302">
        <v>2</v>
      </c>
      <c r="M302">
        <v>2</v>
      </c>
      <c r="N302">
        <v>1</v>
      </c>
      <c r="O302">
        <v>1</v>
      </c>
      <c r="P302">
        <v>3</v>
      </c>
      <c r="Q302">
        <v>1</v>
      </c>
      <c r="R302">
        <v>1</v>
      </c>
      <c r="S302">
        <v>3</v>
      </c>
      <c r="T302">
        <v>1</v>
      </c>
      <c r="U302" t="s">
        <v>30</v>
      </c>
      <c r="V302" t="s">
        <v>54</v>
      </c>
      <c r="W302" t="s">
        <v>32</v>
      </c>
      <c r="X302" t="s">
        <v>40</v>
      </c>
      <c r="Y302">
        <v>35</v>
      </c>
      <c r="Z302" s="1">
        <v>45636</v>
      </c>
      <c r="AA302" t="str" cm="1">
        <f t="array" ref="AA302">_xlfn.IFS(AND(Table2[[#This Row],[Guest_Age]]&gt;=18,Table2[[#This Row],[Guest_Age]]&lt;=25),"Young Adults",AND(Table2[[#This Row],[Guest_Age]]&gt;=26,Table2[[#This Row],[Guest_Age]]&lt;=35),"Adults",AND(Table2[[#This Row],[Guest_Age]]&gt;=36,Table2[[#This Row],[Guest_Age]]&lt;=50),"Middle Aged Adults",Table2[[#This Row],[Guest_Age]]&gt;50,"Senior")</f>
        <v>Adults</v>
      </c>
      <c r="AB3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302" t="str" cm="1">
        <f t="array" ref="AC302">_xlfn.IFS(Table2[[#This Row],[Satification_points]]&gt;=4.5,"GREAT",AND(Table2[[#This Row],[Satification_points]]&gt;=4,Table2[[#This Row],[Satification_points]]&lt;4.5),"GOOD",AND(Table2[[#This Row],[Satification_points]]&gt;=3,Table2[[#This Row],[Satification_points]]&lt;4),"AVERAGE",Table2[[#This Row],[Satification_points]]&lt;3,"POOR")</f>
        <v>POOR</v>
      </c>
    </row>
    <row r="303" spans="1:29" x14ac:dyDescent="0.3">
      <c r="A303">
        <v>302</v>
      </c>
      <c r="B303">
        <v>63750</v>
      </c>
      <c r="C303" t="s">
        <v>359</v>
      </c>
      <c r="D303" t="s">
        <v>41</v>
      </c>
      <c r="E303" t="s">
        <v>27</v>
      </c>
      <c r="F303" s="1">
        <v>45209</v>
      </c>
      <c r="G303" s="1">
        <v>45384</v>
      </c>
      <c r="H303">
        <v>1</v>
      </c>
      <c r="I303" t="s">
        <v>42</v>
      </c>
      <c r="J303" t="s">
        <v>40</v>
      </c>
      <c r="K303">
        <v>2</v>
      </c>
      <c r="L303">
        <v>1</v>
      </c>
      <c r="M303">
        <v>4</v>
      </c>
      <c r="N303">
        <v>4</v>
      </c>
      <c r="O303">
        <v>4</v>
      </c>
      <c r="P303">
        <v>5</v>
      </c>
      <c r="Q303">
        <v>4</v>
      </c>
      <c r="R303">
        <v>4</v>
      </c>
      <c r="S303">
        <v>3</v>
      </c>
      <c r="T303">
        <v>5</v>
      </c>
      <c r="U303" t="s">
        <v>37</v>
      </c>
      <c r="V303" t="s">
        <v>58</v>
      </c>
      <c r="W303" t="s">
        <v>55</v>
      </c>
      <c r="X303" t="s">
        <v>40</v>
      </c>
      <c r="Y303">
        <v>63</v>
      </c>
      <c r="Z303" s="1">
        <v>45384</v>
      </c>
      <c r="AA303" t="str" cm="1">
        <f t="array" ref="AA303">_xlfn.IFS(AND(Table2[[#This Row],[Guest_Age]]&gt;=18,Table2[[#This Row],[Guest_Age]]&lt;=25),"Young Adults",AND(Table2[[#This Row],[Guest_Age]]&gt;=26,Table2[[#This Row],[Guest_Age]]&lt;=35),"Adults",AND(Table2[[#This Row],[Guest_Age]]&gt;=36,Table2[[#This Row],[Guest_Age]]&lt;=50),"Middle Aged Adults",Table2[[#This Row],[Guest_Age]]&gt;50,"Senior")</f>
        <v>Senior</v>
      </c>
      <c r="AB3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03" t="str" cm="1">
        <f t="array" ref="AC303">_xlfn.IFS(Table2[[#This Row],[Satification_points]]&gt;=4.5,"GREAT",AND(Table2[[#This Row],[Satification_points]]&gt;=4,Table2[[#This Row],[Satification_points]]&lt;4.5),"GOOD",AND(Table2[[#This Row],[Satification_points]]&gt;=3,Table2[[#This Row],[Satification_points]]&lt;4),"AVERAGE",Table2[[#This Row],[Satification_points]]&lt;3,"POOR")</f>
        <v>AVERAGE</v>
      </c>
    </row>
    <row r="304" spans="1:29" x14ac:dyDescent="0.3">
      <c r="A304">
        <v>303</v>
      </c>
      <c r="B304">
        <v>37632</v>
      </c>
      <c r="C304" t="s">
        <v>360</v>
      </c>
      <c r="D304" t="s">
        <v>51</v>
      </c>
      <c r="E304" t="s">
        <v>52</v>
      </c>
      <c r="F304" s="1">
        <v>45455</v>
      </c>
      <c r="G304" s="1">
        <v>45456</v>
      </c>
      <c r="H304">
        <v>11</v>
      </c>
      <c r="I304" t="s">
        <v>49</v>
      </c>
      <c r="J304" t="s">
        <v>40</v>
      </c>
      <c r="K304">
        <v>4</v>
      </c>
      <c r="L304">
        <v>2</v>
      </c>
      <c r="M304">
        <v>2</v>
      </c>
      <c r="N304">
        <v>3</v>
      </c>
      <c r="O304">
        <v>5</v>
      </c>
      <c r="P304">
        <v>2</v>
      </c>
      <c r="Q304">
        <v>3</v>
      </c>
      <c r="R304">
        <v>3</v>
      </c>
      <c r="S304">
        <v>3</v>
      </c>
      <c r="T304">
        <v>2</v>
      </c>
      <c r="U304" t="s">
        <v>30</v>
      </c>
      <c r="V304" t="s">
        <v>46</v>
      </c>
      <c r="W304" t="s">
        <v>39</v>
      </c>
      <c r="X304" t="s">
        <v>44</v>
      </c>
      <c r="Y304">
        <v>26</v>
      </c>
      <c r="Z304" s="1">
        <v>45456</v>
      </c>
      <c r="AA304" t="str" cm="1">
        <f t="array" ref="AA304">_xlfn.IFS(AND(Table2[[#This Row],[Guest_Age]]&gt;=18,Table2[[#This Row],[Guest_Age]]&lt;=25),"Young Adults",AND(Table2[[#This Row],[Guest_Age]]&gt;=26,Table2[[#This Row],[Guest_Age]]&lt;=35),"Adults",AND(Table2[[#This Row],[Guest_Age]]&gt;=36,Table2[[#This Row],[Guest_Age]]&lt;=50),"Middle Aged Adults",Table2[[#This Row],[Guest_Age]]&gt;50,"Senior")</f>
        <v>Adults</v>
      </c>
      <c r="AB3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04" t="str" cm="1">
        <f t="array" ref="AC304">_xlfn.IFS(Table2[[#This Row],[Satification_points]]&gt;=4.5,"GREAT",AND(Table2[[#This Row],[Satification_points]]&gt;=4,Table2[[#This Row],[Satification_points]]&lt;4.5),"GOOD",AND(Table2[[#This Row],[Satification_points]]&gt;=3,Table2[[#This Row],[Satification_points]]&lt;4),"AVERAGE",Table2[[#This Row],[Satification_points]]&lt;3,"POOR")</f>
        <v>POOR</v>
      </c>
    </row>
    <row r="305" spans="1:29" x14ac:dyDescent="0.3">
      <c r="A305">
        <v>304</v>
      </c>
      <c r="B305">
        <v>48585</v>
      </c>
      <c r="C305" t="s">
        <v>361</v>
      </c>
      <c r="D305" t="s">
        <v>51</v>
      </c>
      <c r="E305" t="s">
        <v>57</v>
      </c>
      <c r="F305" s="1">
        <v>45095</v>
      </c>
      <c r="G305" s="1">
        <v>45583</v>
      </c>
      <c r="H305">
        <v>12</v>
      </c>
      <c r="I305" t="s">
        <v>28</v>
      </c>
      <c r="J305" t="s">
        <v>36</v>
      </c>
      <c r="K305">
        <v>3</v>
      </c>
      <c r="L305">
        <v>1</v>
      </c>
      <c r="M305">
        <v>1</v>
      </c>
      <c r="N305">
        <v>4</v>
      </c>
      <c r="O305">
        <v>2</v>
      </c>
      <c r="P305">
        <v>3</v>
      </c>
      <c r="Q305">
        <v>4</v>
      </c>
      <c r="R305">
        <v>5</v>
      </c>
      <c r="S305">
        <v>2</v>
      </c>
      <c r="T305">
        <v>5</v>
      </c>
      <c r="U305" t="s">
        <v>30</v>
      </c>
      <c r="V305" t="s">
        <v>46</v>
      </c>
      <c r="W305" t="s">
        <v>56</v>
      </c>
      <c r="X305" t="s">
        <v>44</v>
      </c>
      <c r="Y305">
        <v>32</v>
      </c>
      <c r="Z305" s="1">
        <v>45583</v>
      </c>
      <c r="AA305" t="str" cm="1">
        <f t="array" ref="AA305">_xlfn.IFS(AND(Table2[[#This Row],[Guest_Age]]&gt;=18,Table2[[#This Row],[Guest_Age]]&lt;=25),"Young Adults",AND(Table2[[#This Row],[Guest_Age]]&gt;=26,Table2[[#This Row],[Guest_Age]]&lt;=35),"Adults",AND(Table2[[#This Row],[Guest_Age]]&gt;=36,Table2[[#This Row],[Guest_Age]]&lt;=50),"Middle Aged Adults",Table2[[#This Row],[Guest_Age]]&gt;50,"Senior")</f>
        <v>Adults</v>
      </c>
      <c r="AB3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05" t="str" cm="1">
        <f t="array" ref="AC305">_xlfn.IFS(Table2[[#This Row],[Satification_points]]&gt;=4.5,"GREAT",AND(Table2[[#This Row],[Satification_points]]&gt;=4,Table2[[#This Row],[Satification_points]]&lt;4.5),"GOOD",AND(Table2[[#This Row],[Satification_points]]&gt;=3,Table2[[#This Row],[Satification_points]]&lt;4),"AVERAGE",Table2[[#This Row],[Satification_points]]&lt;3,"POOR")</f>
        <v>AVERAGE</v>
      </c>
    </row>
    <row r="306" spans="1:29" x14ac:dyDescent="0.3">
      <c r="A306">
        <v>305</v>
      </c>
      <c r="B306">
        <v>10116</v>
      </c>
      <c r="C306" t="s">
        <v>362</v>
      </c>
      <c r="D306" t="s">
        <v>41</v>
      </c>
      <c r="E306" t="s">
        <v>27</v>
      </c>
      <c r="F306" s="1">
        <v>45112</v>
      </c>
      <c r="G306" s="1">
        <v>45113</v>
      </c>
      <c r="H306">
        <v>1</v>
      </c>
      <c r="I306" t="s">
        <v>42</v>
      </c>
      <c r="J306" t="s">
        <v>43</v>
      </c>
      <c r="K306">
        <v>1</v>
      </c>
      <c r="L306">
        <v>5</v>
      </c>
      <c r="M306">
        <v>4</v>
      </c>
      <c r="N306">
        <v>3</v>
      </c>
      <c r="O306">
        <v>2</v>
      </c>
      <c r="P306">
        <v>3</v>
      </c>
      <c r="Q306">
        <v>5</v>
      </c>
      <c r="R306">
        <v>1</v>
      </c>
      <c r="S306">
        <v>5</v>
      </c>
      <c r="T306">
        <v>2</v>
      </c>
      <c r="U306" t="s">
        <v>37</v>
      </c>
      <c r="V306" t="s">
        <v>54</v>
      </c>
      <c r="W306" t="s">
        <v>56</v>
      </c>
      <c r="X306" t="s">
        <v>40</v>
      </c>
      <c r="Y306">
        <v>57</v>
      </c>
      <c r="Z306" s="1">
        <v>45333</v>
      </c>
      <c r="AA306" t="str" cm="1">
        <f t="array" ref="AA306">_xlfn.IFS(AND(Table2[[#This Row],[Guest_Age]]&gt;=18,Table2[[#This Row],[Guest_Age]]&lt;=25),"Young Adults",AND(Table2[[#This Row],[Guest_Age]]&gt;=26,Table2[[#This Row],[Guest_Age]]&lt;=35),"Adults",AND(Table2[[#This Row],[Guest_Age]]&gt;=36,Table2[[#This Row],[Guest_Age]]&lt;=50),"Middle Aged Adults",Table2[[#This Row],[Guest_Age]]&gt;50,"Senior")</f>
        <v>Senior</v>
      </c>
      <c r="AB3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06" t="str" cm="1">
        <f t="array" ref="AC306">_xlfn.IFS(Table2[[#This Row],[Satification_points]]&gt;=4.5,"GREAT",AND(Table2[[#This Row],[Satification_points]]&gt;=4,Table2[[#This Row],[Satification_points]]&lt;4.5),"GOOD",AND(Table2[[#This Row],[Satification_points]]&gt;=3,Table2[[#This Row],[Satification_points]]&lt;4),"AVERAGE",Table2[[#This Row],[Satification_points]]&lt;3,"POOR")</f>
        <v>AVERAGE</v>
      </c>
    </row>
    <row r="307" spans="1:29" x14ac:dyDescent="0.3">
      <c r="A307">
        <v>306</v>
      </c>
      <c r="B307">
        <v>25616</v>
      </c>
      <c r="C307" t="s">
        <v>363</v>
      </c>
      <c r="D307" t="s">
        <v>48</v>
      </c>
      <c r="E307" t="s">
        <v>57</v>
      </c>
      <c r="F307" s="1">
        <v>45048</v>
      </c>
      <c r="G307" s="1">
        <v>45370</v>
      </c>
      <c r="H307">
        <v>12</v>
      </c>
      <c r="I307" t="s">
        <v>42</v>
      </c>
      <c r="J307" t="s">
        <v>43</v>
      </c>
      <c r="K307">
        <v>3</v>
      </c>
      <c r="L307">
        <v>5</v>
      </c>
      <c r="M307">
        <v>1</v>
      </c>
      <c r="N307">
        <v>1</v>
      </c>
      <c r="O307">
        <v>2</v>
      </c>
      <c r="P307">
        <v>5</v>
      </c>
      <c r="Q307">
        <v>4</v>
      </c>
      <c r="R307">
        <v>3</v>
      </c>
      <c r="S307">
        <v>5</v>
      </c>
      <c r="T307">
        <v>3</v>
      </c>
      <c r="U307" t="s">
        <v>37</v>
      </c>
      <c r="V307" t="s">
        <v>54</v>
      </c>
      <c r="W307" t="s">
        <v>32</v>
      </c>
      <c r="X307" t="s">
        <v>33</v>
      </c>
      <c r="Y307">
        <v>25</v>
      </c>
      <c r="Z307" s="1">
        <v>45649</v>
      </c>
      <c r="AA307" t="str" cm="1">
        <f t="array" ref="AA307">_xlfn.IFS(AND(Table2[[#This Row],[Guest_Age]]&gt;=18,Table2[[#This Row],[Guest_Age]]&lt;=25),"Young Adults",AND(Table2[[#This Row],[Guest_Age]]&gt;=26,Table2[[#This Row],[Guest_Age]]&lt;=35),"Adults",AND(Table2[[#This Row],[Guest_Age]]&gt;=36,Table2[[#This Row],[Guest_Age]]&lt;=50),"Middle Aged Adults",Table2[[#This Row],[Guest_Age]]&gt;50,"Senior")</f>
        <v>Young Adults</v>
      </c>
      <c r="AB3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07" t="str" cm="1">
        <f t="array" ref="AC307">_xlfn.IFS(Table2[[#This Row],[Satification_points]]&gt;=4.5,"GREAT",AND(Table2[[#This Row],[Satification_points]]&gt;=4,Table2[[#This Row],[Satification_points]]&lt;4.5),"GOOD",AND(Table2[[#This Row],[Satification_points]]&gt;=3,Table2[[#This Row],[Satification_points]]&lt;4),"AVERAGE",Table2[[#This Row],[Satification_points]]&lt;3,"POOR")</f>
        <v>AVERAGE</v>
      </c>
    </row>
    <row r="308" spans="1:29" x14ac:dyDescent="0.3">
      <c r="A308">
        <v>307</v>
      </c>
      <c r="B308">
        <v>93733</v>
      </c>
      <c r="C308" t="s">
        <v>364</v>
      </c>
      <c r="D308" t="s">
        <v>51</v>
      </c>
      <c r="E308" t="s">
        <v>27</v>
      </c>
      <c r="F308" s="1">
        <v>45367</v>
      </c>
      <c r="G308" s="1">
        <v>45368</v>
      </c>
      <c r="H308">
        <v>13</v>
      </c>
      <c r="I308" t="s">
        <v>49</v>
      </c>
      <c r="J308" t="s">
        <v>36</v>
      </c>
      <c r="K308">
        <v>4</v>
      </c>
      <c r="L308">
        <v>4</v>
      </c>
      <c r="M308">
        <v>1</v>
      </c>
      <c r="N308">
        <v>3</v>
      </c>
      <c r="O308">
        <v>1</v>
      </c>
      <c r="P308">
        <v>1</v>
      </c>
      <c r="Q308">
        <v>2</v>
      </c>
      <c r="R308">
        <v>4</v>
      </c>
      <c r="S308">
        <v>1</v>
      </c>
      <c r="T308">
        <v>2</v>
      </c>
      <c r="U308" t="s">
        <v>30</v>
      </c>
      <c r="V308" t="s">
        <v>46</v>
      </c>
      <c r="W308" t="s">
        <v>56</v>
      </c>
      <c r="X308" t="s">
        <v>40</v>
      </c>
      <c r="Y308">
        <v>57</v>
      </c>
      <c r="Z308" s="1">
        <v>45368</v>
      </c>
      <c r="AA308" t="str" cm="1">
        <f t="array" ref="AA308">_xlfn.IFS(AND(Table2[[#This Row],[Guest_Age]]&gt;=18,Table2[[#This Row],[Guest_Age]]&lt;=25),"Young Adults",AND(Table2[[#This Row],[Guest_Age]]&gt;=26,Table2[[#This Row],[Guest_Age]]&lt;=35),"Adults",AND(Table2[[#This Row],[Guest_Age]]&gt;=36,Table2[[#This Row],[Guest_Age]]&lt;=50),"Middle Aged Adults",Table2[[#This Row],[Guest_Age]]&gt;50,"Senior")</f>
        <v>Senior</v>
      </c>
      <c r="AB3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308" t="str" cm="1">
        <f t="array" ref="AC308">_xlfn.IFS(Table2[[#This Row],[Satification_points]]&gt;=4.5,"GREAT",AND(Table2[[#This Row],[Satification_points]]&gt;=4,Table2[[#This Row],[Satification_points]]&lt;4.5),"GOOD",AND(Table2[[#This Row],[Satification_points]]&gt;=3,Table2[[#This Row],[Satification_points]]&lt;4),"AVERAGE",Table2[[#This Row],[Satification_points]]&lt;3,"POOR")</f>
        <v>POOR</v>
      </c>
    </row>
    <row r="309" spans="1:29" x14ac:dyDescent="0.3">
      <c r="A309">
        <v>308</v>
      </c>
      <c r="B309">
        <v>39590</v>
      </c>
      <c r="C309" t="s">
        <v>365</v>
      </c>
      <c r="D309" t="s">
        <v>48</v>
      </c>
      <c r="E309" t="s">
        <v>45</v>
      </c>
      <c r="F309" s="1">
        <v>45565</v>
      </c>
      <c r="G309" s="1">
        <v>45566</v>
      </c>
      <c r="H309">
        <v>13</v>
      </c>
      <c r="I309" t="s">
        <v>42</v>
      </c>
      <c r="J309" t="s">
        <v>29</v>
      </c>
      <c r="K309">
        <v>4</v>
      </c>
      <c r="L309">
        <v>2</v>
      </c>
      <c r="M309">
        <v>5</v>
      </c>
      <c r="N309">
        <v>4</v>
      </c>
      <c r="O309">
        <v>5</v>
      </c>
      <c r="P309">
        <v>1</v>
      </c>
      <c r="Q309">
        <v>4</v>
      </c>
      <c r="R309">
        <v>1</v>
      </c>
      <c r="S309">
        <v>2</v>
      </c>
      <c r="T309">
        <v>2</v>
      </c>
      <c r="U309" t="s">
        <v>37</v>
      </c>
      <c r="V309" t="s">
        <v>31</v>
      </c>
      <c r="W309" t="s">
        <v>56</v>
      </c>
      <c r="X309" t="s">
        <v>40</v>
      </c>
      <c r="Y309">
        <v>31</v>
      </c>
      <c r="Z309" s="1">
        <v>45566</v>
      </c>
      <c r="AA309" t="str" cm="1">
        <f t="array" ref="AA309">_xlfn.IFS(AND(Table2[[#This Row],[Guest_Age]]&gt;=18,Table2[[#This Row],[Guest_Age]]&lt;=25),"Young Adults",AND(Table2[[#This Row],[Guest_Age]]&gt;=26,Table2[[#This Row],[Guest_Age]]&lt;=35),"Adults",AND(Table2[[#This Row],[Guest_Age]]&gt;=36,Table2[[#This Row],[Guest_Age]]&lt;=50),"Middle Aged Adults",Table2[[#This Row],[Guest_Age]]&gt;50,"Senior")</f>
        <v>Adults</v>
      </c>
      <c r="AB3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09" t="str" cm="1">
        <f t="array" ref="AC309">_xlfn.IFS(Table2[[#This Row],[Satification_points]]&gt;=4.5,"GREAT",AND(Table2[[#This Row],[Satification_points]]&gt;=4,Table2[[#This Row],[Satification_points]]&lt;4.5),"GOOD",AND(Table2[[#This Row],[Satification_points]]&gt;=3,Table2[[#This Row],[Satification_points]]&lt;4),"AVERAGE",Table2[[#This Row],[Satification_points]]&lt;3,"POOR")</f>
        <v>AVERAGE</v>
      </c>
    </row>
    <row r="310" spans="1:29" x14ac:dyDescent="0.3">
      <c r="A310">
        <v>309</v>
      </c>
      <c r="B310">
        <v>75436</v>
      </c>
      <c r="C310" t="s">
        <v>366</v>
      </c>
      <c r="D310" t="s">
        <v>26</v>
      </c>
      <c r="E310" t="s">
        <v>45</v>
      </c>
      <c r="F310" s="1">
        <v>45604</v>
      </c>
      <c r="G310" s="1">
        <v>45605</v>
      </c>
      <c r="H310">
        <v>4</v>
      </c>
      <c r="I310" t="s">
        <v>28</v>
      </c>
      <c r="J310" t="s">
        <v>36</v>
      </c>
      <c r="K310">
        <v>1</v>
      </c>
      <c r="L310">
        <v>5</v>
      </c>
      <c r="M310">
        <v>5</v>
      </c>
      <c r="N310">
        <v>4</v>
      </c>
      <c r="O310">
        <v>1</v>
      </c>
      <c r="P310">
        <v>5</v>
      </c>
      <c r="Q310">
        <v>4</v>
      </c>
      <c r="R310">
        <v>4</v>
      </c>
      <c r="S310">
        <v>2</v>
      </c>
      <c r="T310">
        <v>5</v>
      </c>
      <c r="U310" t="s">
        <v>37</v>
      </c>
      <c r="V310" t="s">
        <v>58</v>
      </c>
      <c r="W310" t="s">
        <v>55</v>
      </c>
      <c r="X310" t="s">
        <v>33</v>
      </c>
      <c r="Y310">
        <v>55</v>
      </c>
      <c r="Z310" s="1">
        <v>45605</v>
      </c>
      <c r="AA310" t="str" cm="1">
        <f t="array" ref="AA310">_xlfn.IFS(AND(Table2[[#This Row],[Guest_Age]]&gt;=18,Table2[[#This Row],[Guest_Age]]&lt;=25),"Young Adults",AND(Table2[[#This Row],[Guest_Age]]&gt;=26,Table2[[#This Row],[Guest_Age]]&lt;=35),"Adults",AND(Table2[[#This Row],[Guest_Age]]&gt;=36,Table2[[#This Row],[Guest_Age]]&lt;=50),"Middle Aged Adults",Table2[[#This Row],[Guest_Age]]&gt;50,"Senior")</f>
        <v>Senior</v>
      </c>
      <c r="AB3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10" t="str" cm="1">
        <f t="array" ref="AC310">_xlfn.IFS(Table2[[#This Row],[Satification_points]]&gt;=4.5,"GREAT",AND(Table2[[#This Row],[Satification_points]]&gt;=4,Table2[[#This Row],[Satification_points]]&lt;4.5),"GOOD",AND(Table2[[#This Row],[Satification_points]]&gt;=3,Table2[[#This Row],[Satification_points]]&lt;4),"AVERAGE",Table2[[#This Row],[Satification_points]]&lt;3,"POOR")</f>
        <v>AVERAGE</v>
      </c>
    </row>
    <row r="311" spans="1:29" x14ac:dyDescent="0.3">
      <c r="A311">
        <v>310</v>
      </c>
      <c r="B311">
        <v>18685</v>
      </c>
      <c r="C311" t="s">
        <v>367</v>
      </c>
      <c r="D311" t="s">
        <v>41</v>
      </c>
      <c r="E311" t="s">
        <v>52</v>
      </c>
      <c r="F311" s="1">
        <v>45400</v>
      </c>
      <c r="G311" s="1">
        <v>45481</v>
      </c>
      <c r="H311">
        <v>7</v>
      </c>
      <c r="I311" t="s">
        <v>28</v>
      </c>
      <c r="J311" t="s">
        <v>36</v>
      </c>
      <c r="K311">
        <v>2</v>
      </c>
      <c r="L311">
        <v>3</v>
      </c>
      <c r="M311">
        <v>5</v>
      </c>
      <c r="N311">
        <v>4</v>
      </c>
      <c r="O311">
        <v>5</v>
      </c>
      <c r="P311">
        <v>1</v>
      </c>
      <c r="Q311">
        <v>4</v>
      </c>
      <c r="R311">
        <v>5</v>
      </c>
      <c r="S311">
        <v>2</v>
      </c>
      <c r="T311">
        <v>5</v>
      </c>
      <c r="U311" t="s">
        <v>30</v>
      </c>
      <c r="V311" t="s">
        <v>58</v>
      </c>
      <c r="W311" t="s">
        <v>47</v>
      </c>
      <c r="X311" t="s">
        <v>40</v>
      </c>
      <c r="Y311">
        <v>30</v>
      </c>
      <c r="Z311" s="1">
        <v>45510</v>
      </c>
      <c r="AA311" t="str" cm="1">
        <f t="array" ref="AA311">_xlfn.IFS(AND(Table2[[#This Row],[Guest_Age]]&gt;=18,Table2[[#This Row],[Guest_Age]]&lt;=25),"Young Adults",AND(Table2[[#This Row],[Guest_Age]]&gt;=26,Table2[[#This Row],[Guest_Age]]&lt;=35),"Adults",AND(Table2[[#This Row],[Guest_Age]]&gt;=36,Table2[[#This Row],[Guest_Age]]&lt;=50),"Middle Aged Adults",Table2[[#This Row],[Guest_Age]]&gt;50,"Senior")</f>
        <v>Adults</v>
      </c>
      <c r="AB3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11" t="str" cm="1">
        <f t="array" ref="AC311">_xlfn.IFS(Table2[[#This Row],[Satification_points]]&gt;=4.5,"GREAT",AND(Table2[[#This Row],[Satification_points]]&gt;=4,Table2[[#This Row],[Satification_points]]&lt;4.5),"GOOD",AND(Table2[[#This Row],[Satification_points]]&gt;=3,Table2[[#This Row],[Satification_points]]&lt;4),"AVERAGE",Table2[[#This Row],[Satification_points]]&lt;3,"POOR")</f>
        <v>AVERAGE</v>
      </c>
    </row>
    <row r="312" spans="1:29" x14ac:dyDescent="0.3">
      <c r="A312">
        <v>311</v>
      </c>
      <c r="B312">
        <v>79394</v>
      </c>
      <c r="C312" t="s">
        <v>368</v>
      </c>
      <c r="D312" t="s">
        <v>48</v>
      </c>
      <c r="E312" t="s">
        <v>35</v>
      </c>
      <c r="F312" s="1">
        <v>45048</v>
      </c>
      <c r="G312" s="1">
        <v>45382</v>
      </c>
      <c r="H312">
        <v>5</v>
      </c>
      <c r="I312" t="s">
        <v>42</v>
      </c>
      <c r="J312" t="s">
        <v>43</v>
      </c>
      <c r="K312">
        <v>1</v>
      </c>
      <c r="L312">
        <v>3</v>
      </c>
      <c r="M312">
        <v>3</v>
      </c>
      <c r="N312">
        <v>5</v>
      </c>
      <c r="O312">
        <v>4</v>
      </c>
      <c r="P312">
        <v>4</v>
      </c>
      <c r="Q312">
        <v>4</v>
      </c>
      <c r="R312">
        <v>5</v>
      </c>
      <c r="S312">
        <v>4</v>
      </c>
      <c r="T312">
        <v>5</v>
      </c>
      <c r="U312" t="s">
        <v>30</v>
      </c>
      <c r="V312" t="s">
        <v>54</v>
      </c>
      <c r="W312" t="s">
        <v>56</v>
      </c>
      <c r="X312" t="s">
        <v>40</v>
      </c>
      <c r="Y312">
        <v>56</v>
      </c>
      <c r="Z312" s="1">
        <v>45511</v>
      </c>
      <c r="AA312" t="str" cm="1">
        <f t="array" ref="AA312">_xlfn.IFS(AND(Table2[[#This Row],[Guest_Age]]&gt;=18,Table2[[#This Row],[Guest_Age]]&lt;=25),"Young Adults",AND(Table2[[#This Row],[Guest_Age]]&gt;=26,Table2[[#This Row],[Guest_Age]]&lt;=35),"Adults",AND(Table2[[#This Row],[Guest_Age]]&gt;=36,Table2[[#This Row],[Guest_Age]]&lt;=50),"Middle Aged Adults",Table2[[#This Row],[Guest_Age]]&gt;50,"Senior")</f>
        <v>Senior</v>
      </c>
      <c r="AB3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312" t="str" cm="1">
        <f t="array" ref="AC312">_xlfn.IFS(Table2[[#This Row],[Satification_points]]&gt;=4.5,"GREAT",AND(Table2[[#This Row],[Satification_points]]&gt;=4,Table2[[#This Row],[Satification_points]]&lt;4.5),"GOOD",AND(Table2[[#This Row],[Satification_points]]&gt;=3,Table2[[#This Row],[Satification_points]]&lt;4),"AVERAGE",Table2[[#This Row],[Satification_points]]&lt;3,"POOR")</f>
        <v>AVERAGE</v>
      </c>
    </row>
    <row r="313" spans="1:29" x14ac:dyDescent="0.3">
      <c r="A313">
        <v>312</v>
      </c>
      <c r="B313">
        <v>24138</v>
      </c>
      <c r="C313" t="s">
        <v>369</v>
      </c>
      <c r="D313" t="s">
        <v>26</v>
      </c>
      <c r="E313" t="s">
        <v>52</v>
      </c>
      <c r="F313" s="1">
        <v>45658</v>
      </c>
      <c r="G313" s="1">
        <v>45659</v>
      </c>
      <c r="H313">
        <v>5</v>
      </c>
      <c r="I313" t="s">
        <v>42</v>
      </c>
      <c r="J313" t="s">
        <v>40</v>
      </c>
      <c r="K313">
        <v>3</v>
      </c>
      <c r="L313">
        <v>5</v>
      </c>
      <c r="M313">
        <v>1</v>
      </c>
      <c r="N313">
        <v>4</v>
      </c>
      <c r="O313">
        <v>5</v>
      </c>
      <c r="P313">
        <v>4</v>
      </c>
      <c r="Q313">
        <v>4</v>
      </c>
      <c r="R313">
        <v>2</v>
      </c>
      <c r="S313">
        <v>2</v>
      </c>
      <c r="T313">
        <v>1</v>
      </c>
      <c r="U313" t="s">
        <v>37</v>
      </c>
      <c r="V313" t="s">
        <v>58</v>
      </c>
      <c r="W313" t="s">
        <v>55</v>
      </c>
      <c r="X313" t="s">
        <v>33</v>
      </c>
      <c r="Y313">
        <v>64</v>
      </c>
      <c r="Z313" s="1">
        <v>45659</v>
      </c>
      <c r="AA313" t="str" cm="1">
        <f t="array" ref="AA313">_xlfn.IFS(AND(Table2[[#This Row],[Guest_Age]]&gt;=18,Table2[[#This Row],[Guest_Age]]&lt;=25),"Young Adults",AND(Table2[[#This Row],[Guest_Age]]&gt;=26,Table2[[#This Row],[Guest_Age]]&lt;=35),"Adults",AND(Table2[[#This Row],[Guest_Age]]&gt;=36,Table2[[#This Row],[Guest_Age]]&lt;=50),"Middle Aged Adults",Table2[[#This Row],[Guest_Age]]&gt;50,"Senior")</f>
        <v>Senior</v>
      </c>
      <c r="AB3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13" t="str" cm="1">
        <f t="array" ref="AC313">_xlfn.IFS(Table2[[#This Row],[Satification_points]]&gt;=4.5,"GREAT",AND(Table2[[#This Row],[Satification_points]]&gt;=4,Table2[[#This Row],[Satification_points]]&lt;4.5),"GOOD",AND(Table2[[#This Row],[Satification_points]]&gt;=3,Table2[[#This Row],[Satification_points]]&lt;4),"AVERAGE",Table2[[#This Row],[Satification_points]]&lt;3,"POOR")</f>
        <v>AVERAGE</v>
      </c>
    </row>
    <row r="314" spans="1:29" x14ac:dyDescent="0.3">
      <c r="A314">
        <v>313</v>
      </c>
      <c r="B314">
        <v>29067</v>
      </c>
      <c r="C314" t="s">
        <v>370</v>
      </c>
      <c r="D314" t="s">
        <v>34</v>
      </c>
      <c r="E314" t="s">
        <v>27</v>
      </c>
      <c r="F314" s="1">
        <v>45586</v>
      </c>
      <c r="G314" s="1">
        <v>45587</v>
      </c>
      <c r="H314">
        <v>8</v>
      </c>
      <c r="I314" t="s">
        <v>49</v>
      </c>
      <c r="J314" t="s">
        <v>43</v>
      </c>
      <c r="K314">
        <v>5</v>
      </c>
      <c r="L314">
        <v>2</v>
      </c>
      <c r="M314">
        <v>2</v>
      </c>
      <c r="N314">
        <v>5</v>
      </c>
      <c r="O314">
        <v>1</v>
      </c>
      <c r="P314">
        <v>4</v>
      </c>
      <c r="Q314">
        <v>1</v>
      </c>
      <c r="R314">
        <v>3</v>
      </c>
      <c r="S314">
        <v>4</v>
      </c>
      <c r="T314">
        <v>2</v>
      </c>
      <c r="U314" t="s">
        <v>30</v>
      </c>
      <c r="V314" t="s">
        <v>31</v>
      </c>
      <c r="W314" t="s">
        <v>47</v>
      </c>
      <c r="X314" t="s">
        <v>33</v>
      </c>
      <c r="Y314">
        <v>27</v>
      </c>
      <c r="Z314" s="1">
        <v>45587</v>
      </c>
      <c r="AA314" t="str" cm="1">
        <f t="array" ref="AA314">_xlfn.IFS(AND(Table2[[#This Row],[Guest_Age]]&gt;=18,Table2[[#This Row],[Guest_Age]]&lt;=25),"Young Adults",AND(Table2[[#This Row],[Guest_Age]]&gt;=26,Table2[[#This Row],[Guest_Age]]&lt;=35),"Adults",AND(Table2[[#This Row],[Guest_Age]]&gt;=36,Table2[[#This Row],[Guest_Age]]&lt;=50),"Middle Aged Adults",Table2[[#This Row],[Guest_Age]]&gt;50,"Senior")</f>
        <v>Adults</v>
      </c>
      <c r="AB3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14" t="str" cm="1">
        <f t="array" ref="AC314">_xlfn.IFS(Table2[[#This Row],[Satification_points]]&gt;=4.5,"GREAT",AND(Table2[[#This Row],[Satification_points]]&gt;=4,Table2[[#This Row],[Satification_points]]&lt;4.5),"GOOD",AND(Table2[[#This Row],[Satification_points]]&gt;=3,Table2[[#This Row],[Satification_points]]&lt;4),"AVERAGE",Table2[[#This Row],[Satification_points]]&lt;3,"POOR")</f>
        <v>POOR</v>
      </c>
    </row>
    <row r="315" spans="1:29" x14ac:dyDescent="0.3">
      <c r="A315">
        <v>314</v>
      </c>
      <c r="B315">
        <v>63327</v>
      </c>
      <c r="C315" t="s">
        <v>371</v>
      </c>
      <c r="D315" t="s">
        <v>51</v>
      </c>
      <c r="E315" t="s">
        <v>57</v>
      </c>
      <c r="F315" s="1">
        <v>45218</v>
      </c>
      <c r="G315" s="1">
        <v>45219</v>
      </c>
      <c r="H315">
        <v>2</v>
      </c>
      <c r="I315" t="s">
        <v>49</v>
      </c>
      <c r="J315" t="s">
        <v>29</v>
      </c>
      <c r="K315">
        <v>2</v>
      </c>
      <c r="L315">
        <v>4</v>
      </c>
      <c r="M315">
        <v>4</v>
      </c>
      <c r="N315">
        <v>2</v>
      </c>
      <c r="O315">
        <v>2</v>
      </c>
      <c r="P315">
        <v>1</v>
      </c>
      <c r="Q315">
        <v>1</v>
      </c>
      <c r="R315">
        <v>5</v>
      </c>
      <c r="S315">
        <v>5</v>
      </c>
      <c r="T315">
        <v>5</v>
      </c>
      <c r="U315" t="s">
        <v>30</v>
      </c>
      <c r="V315" t="s">
        <v>58</v>
      </c>
      <c r="W315" t="s">
        <v>56</v>
      </c>
      <c r="X315" t="s">
        <v>44</v>
      </c>
      <c r="Y315">
        <v>61</v>
      </c>
      <c r="Z315" s="1">
        <v>45344</v>
      </c>
      <c r="AA315" t="str" cm="1">
        <f t="array" ref="AA315">_xlfn.IFS(AND(Table2[[#This Row],[Guest_Age]]&gt;=18,Table2[[#This Row],[Guest_Age]]&lt;=25),"Young Adults",AND(Table2[[#This Row],[Guest_Age]]&gt;=26,Table2[[#This Row],[Guest_Age]]&lt;=35),"Adults",AND(Table2[[#This Row],[Guest_Age]]&gt;=36,Table2[[#This Row],[Guest_Age]]&lt;=50),"Middle Aged Adults",Table2[[#This Row],[Guest_Age]]&gt;50,"Senior")</f>
        <v>Senior</v>
      </c>
      <c r="AB3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15" t="str" cm="1">
        <f t="array" ref="AC315">_xlfn.IFS(Table2[[#This Row],[Satification_points]]&gt;=4.5,"GREAT",AND(Table2[[#This Row],[Satification_points]]&gt;=4,Table2[[#This Row],[Satification_points]]&lt;4.5),"GOOD",AND(Table2[[#This Row],[Satification_points]]&gt;=3,Table2[[#This Row],[Satification_points]]&lt;4),"AVERAGE",Table2[[#This Row],[Satification_points]]&lt;3,"POOR")</f>
        <v>AVERAGE</v>
      </c>
    </row>
    <row r="316" spans="1:29" x14ac:dyDescent="0.3">
      <c r="A316">
        <v>315</v>
      </c>
      <c r="B316">
        <v>49396</v>
      </c>
      <c r="C316" t="s">
        <v>372</v>
      </c>
      <c r="D316" t="s">
        <v>41</v>
      </c>
      <c r="E316" t="s">
        <v>57</v>
      </c>
      <c r="F316" s="1">
        <v>45173</v>
      </c>
      <c r="G316" s="1">
        <v>45527</v>
      </c>
      <c r="H316">
        <v>4</v>
      </c>
      <c r="I316" t="s">
        <v>50</v>
      </c>
      <c r="J316" t="s">
        <v>53</v>
      </c>
      <c r="K316">
        <v>5</v>
      </c>
      <c r="L316">
        <v>3</v>
      </c>
      <c r="M316">
        <v>3</v>
      </c>
      <c r="N316">
        <v>1</v>
      </c>
      <c r="O316">
        <v>1</v>
      </c>
      <c r="P316">
        <v>4</v>
      </c>
      <c r="Q316">
        <v>5</v>
      </c>
      <c r="R316">
        <v>3</v>
      </c>
      <c r="S316">
        <v>5</v>
      </c>
      <c r="T316">
        <v>1</v>
      </c>
      <c r="U316" t="s">
        <v>30</v>
      </c>
      <c r="V316" t="s">
        <v>54</v>
      </c>
      <c r="W316" t="s">
        <v>32</v>
      </c>
      <c r="X316" t="s">
        <v>44</v>
      </c>
      <c r="Y316">
        <v>47</v>
      </c>
      <c r="Z316" s="1">
        <v>45527</v>
      </c>
      <c r="AA316" t="str" cm="1">
        <f t="array" ref="AA3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3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16" t="str" cm="1">
        <f t="array" ref="AC316">_xlfn.IFS(Table2[[#This Row],[Satification_points]]&gt;=4.5,"GREAT",AND(Table2[[#This Row],[Satification_points]]&gt;=4,Table2[[#This Row],[Satification_points]]&lt;4.5),"GOOD",AND(Table2[[#This Row],[Satification_points]]&gt;=3,Table2[[#This Row],[Satification_points]]&lt;4),"AVERAGE",Table2[[#This Row],[Satification_points]]&lt;3,"POOR")</f>
        <v>AVERAGE</v>
      </c>
    </row>
    <row r="317" spans="1:29" x14ac:dyDescent="0.3">
      <c r="A317">
        <v>316</v>
      </c>
      <c r="B317">
        <v>48211</v>
      </c>
      <c r="C317" t="s">
        <v>373</v>
      </c>
      <c r="D317" t="s">
        <v>34</v>
      </c>
      <c r="E317" t="s">
        <v>27</v>
      </c>
      <c r="F317" s="1">
        <v>45114</v>
      </c>
      <c r="G317" s="1">
        <v>45154</v>
      </c>
      <c r="H317">
        <v>4</v>
      </c>
      <c r="I317" t="s">
        <v>42</v>
      </c>
      <c r="J317" t="s">
        <v>53</v>
      </c>
      <c r="K317">
        <v>5</v>
      </c>
      <c r="L317">
        <v>4</v>
      </c>
      <c r="M317">
        <v>5</v>
      </c>
      <c r="N317">
        <v>2</v>
      </c>
      <c r="O317">
        <v>4</v>
      </c>
      <c r="P317">
        <v>4</v>
      </c>
      <c r="Q317">
        <v>1</v>
      </c>
      <c r="R317">
        <v>4</v>
      </c>
      <c r="S317">
        <v>4</v>
      </c>
      <c r="T317">
        <v>3</v>
      </c>
      <c r="U317" t="s">
        <v>30</v>
      </c>
      <c r="V317" t="s">
        <v>38</v>
      </c>
      <c r="W317" t="s">
        <v>32</v>
      </c>
      <c r="X317" t="s">
        <v>40</v>
      </c>
      <c r="Y317">
        <v>22</v>
      </c>
      <c r="Z317" s="1">
        <v>45593</v>
      </c>
      <c r="AA317" t="str" cm="1">
        <f t="array" ref="AA317">_xlfn.IFS(AND(Table2[[#This Row],[Guest_Age]]&gt;=18,Table2[[#This Row],[Guest_Age]]&lt;=25),"Young Adults",AND(Table2[[#This Row],[Guest_Age]]&gt;=26,Table2[[#This Row],[Guest_Age]]&lt;=35),"Adults",AND(Table2[[#This Row],[Guest_Age]]&gt;=36,Table2[[#This Row],[Guest_Age]]&lt;=50),"Middle Aged Adults",Table2[[#This Row],[Guest_Age]]&gt;50,"Senior")</f>
        <v>Young Adults</v>
      </c>
      <c r="AB3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17" t="str" cm="1">
        <f t="array" ref="AC317">_xlfn.IFS(Table2[[#This Row],[Satification_points]]&gt;=4.5,"GREAT",AND(Table2[[#This Row],[Satification_points]]&gt;=4,Table2[[#This Row],[Satification_points]]&lt;4.5),"GOOD",AND(Table2[[#This Row],[Satification_points]]&gt;=3,Table2[[#This Row],[Satification_points]]&lt;4),"AVERAGE",Table2[[#This Row],[Satification_points]]&lt;3,"POOR")</f>
        <v>AVERAGE</v>
      </c>
    </row>
    <row r="318" spans="1:29" x14ac:dyDescent="0.3">
      <c r="A318">
        <v>317</v>
      </c>
      <c r="B318">
        <v>83624</v>
      </c>
      <c r="C318" t="s">
        <v>374</v>
      </c>
      <c r="D318" t="s">
        <v>34</v>
      </c>
      <c r="E318" t="s">
        <v>35</v>
      </c>
      <c r="F318" s="1">
        <v>45449</v>
      </c>
      <c r="G318" s="1">
        <v>45450</v>
      </c>
      <c r="H318">
        <v>11</v>
      </c>
      <c r="I318" t="s">
        <v>50</v>
      </c>
      <c r="J318" t="s">
        <v>36</v>
      </c>
      <c r="K318">
        <v>2</v>
      </c>
      <c r="L318">
        <v>3</v>
      </c>
      <c r="M318">
        <v>3</v>
      </c>
      <c r="N318">
        <v>2</v>
      </c>
      <c r="O318">
        <v>2</v>
      </c>
      <c r="P318">
        <v>1</v>
      </c>
      <c r="Q318">
        <v>3</v>
      </c>
      <c r="R318">
        <v>3</v>
      </c>
      <c r="S318">
        <v>3</v>
      </c>
      <c r="T318">
        <v>3</v>
      </c>
      <c r="U318" t="s">
        <v>37</v>
      </c>
      <c r="V318" t="s">
        <v>38</v>
      </c>
      <c r="W318" t="s">
        <v>32</v>
      </c>
      <c r="X318" t="s">
        <v>44</v>
      </c>
      <c r="Y318">
        <v>39</v>
      </c>
      <c r="Z318" s="1">
        <v>45450</v>
      </c>
      <c r="AA318" t="str" cm="1">
        <f t="array" ref="AA318">_xlfn.IFS(AND(Table2[[#This Row],[Guest_Age]]&gt;=18,Table2[[#This Row],[Guest_Age]]&lt;=25),"Young Adults",AND(Table2[[#This Row],[Guest_Age]]&gt;=26,Table2[[#This Row],[Guest_Age]]&lt;=35),"Adults",AND(Table2[[#This Row],[Guest_Age]]&gt;=36,Table2[[#This Row],[Guest_Age]]&lt;=50),"Middle Aged Adults",Table2[[#This Row],[Guest_Age]]&gt;50,"Senior")</f>
        <v>Middle Aged Adults</v>
      </c>
      <c r="AB3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18" t="str" cm="1">
        <f t="array" ref="AC318">_xlfn.IFS(Table2[[#This Row],[Satification_points]]&gt;=4.5,"GREAT",AND(Table2[[#This Row],[Satification_points]]&gt;=4,Table2[[#This Row],[Satification_points]]&lt;4.5),"GOOD",AND(Table2[[#This Row],[Satification_points]]&gt;=3,Table2[[#This Row],[Satification_points]]&lt;4),"AVERAGE",Table2[[#This Row],[Satification_points]]&lt;3,"POOR")</f>
        <v>POOR</v>
      </c>
    </row>
    <row r="319" spans="1:29" x14ac:dyDescent="0.3">
      <c r="A319">
        <v>318</v>
      </c>
      <c r="B319">
        <v>50727</v>
      </c>
      <c r="C319" t="s">
        <v>375</v>
      </c>
      <c r="D319" t="s">
        <v>34</v>
      </c>
      <c r="E319" t="s">
        <v>35</v>
      </c>
      <c r="F319" s="1">
        <v>45210</v>
      </c>
      <c r="G319" s="1">
        <v>45464</v>
      </c>
      <c r="H319">
        <v>8</v>
      </c>
      <c r="I319" t="s">
        <v>50</v>
      </c>
      <c r="J319" t="s">
        <v>53</v>
      </c>
      <c r="K319">
        <v>3</v>
      </c>
      <c r="L319">
        <v>1</v>
      </c>
      <c r="M319">
        <v>3</v>
      </c>
      <c r="N319">
        <v>5</v>
      </c>
      <c r="O319">
        <v>1</v>
      </c>
      <c r="P319">
        <v>5</v>
      </c>
      <c r="Q319">
        <v>2</v>
      </c>
      <c r="R319">
        <v>1</v>
      </c>
      <c r="S319">
        <v>5</v>
      </c>
      <c r="T319">
        <v>2</v>
      </c>
      <c r="U319" t="s">
        <v>37</v>
      </c>
      <c r="V319" t="s">
        <v>54</v>
      </c>
      <c r="W319" t="s">
        <v>39</v>
      </c>
      <c r="X319" t="s">
        <v>33</v>
      </c>
      <c r="Y319">
        <v>52</v>
      </c>
      <c r="Z319" s="1">
        <v>45593</v>
      </c>
      <c r="AA319" t="str" cm="1">
        <f t="array" ref="AA319">_xlfn.IFS(AND(Table2[[#This Row],[Guest_Age]]&gt;=18,Table2[[#This Row],[Guest_Age]]&lt;=25),"Young Adults",AND(Table2[[#This Row],[Guest_Age]]&gt;=26,Table2[[#This Row],[Guest_Age]]&lt;=35),"Adults",AND(Table2[[#This Row],[Guest_Age]]&gt;=36,Table2[[#This Row],[Guest_Age]]&lt;=50),"Middle Aged Adults",Table2[[#This Row],[Guest_Age]]&gt;50,"Senior")</f>
        <v>Senior</v>
      </c>
      <c r="AB3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19" t="str" cm="1">
        <f t="array" ref="AC319">_xlfn.IFS(Table2[[#This Row],[Satification_points]]&gt;=4.5,"GREAT",AND(Table2[[#This Row],[Satification_points]]&gt;=4,Table2[[#This Row],[Satification_points]]&lt;4.5),"GOOD",AND(Table2[[#This Row],[Satification_points]]&gt;=3,Table2[[#This Row],[Satification_points]]&lt;4),"AVERAGE",Table2[[#This Row],[Satification_points]]&lt;3,"POOR")</f>
        <v>POOR</v>
      </c>
    </row>
    <row r="320" spans="1:29" x14ac:dyDescent="0.3">
      <c r="A320">
        <v>319</v>
      </c>
      <c r="B320">
        <v>24464</v>
      </c>
      <c r="C320" t="s">
        <v>376</v>
      </c>
      <c r="D320" t="s">
        <v>48</v>
      </c>
      <c r="E320" t="s">
        <v>35</v>
      </c>
      <c r="F320" s="1">
        <v>45483</v>
      </c>
      <c r="G320" s="1">
        <v>45531</v>
      </c>
      <c r="H320">
        <v>6</v>
      </c>
      <c r="I320" t="s">
        <v>50</v>
      </c>
      <c r="J320" t="s">
        <v>40</v>
      </c>
      <c r="K320">
        <v>4</v>
      </c>
      <c r="L320">
        <v>5</v>
      </c>
      <c r="M320">
        <v>1</v>
      </c>
      <c r="N320">
        <v>5</v>
      </c>
      <c r="O320">
        <v>2</v>
      </c>
      <c r="P320">
        <v>2</v>
      </c>
      <c r="Q320">
        <v>4</v>
      </c>
      <c r="R320">
        <v>2</v>
      </c>
      <c r="S320">
        <v>3</v>
      </c>
      <c r="T320">
        <v>5</v>
      </c>
      <c r="U320" t="s">
        <v>37</v>
      </c>
      <c r="V320" t="s">
        <v>38</v>
      </c>
      <c r="W320" t="s">
        <v>32</v>
      </c>
      <c r="X320" t="s">
        <v>33</v>
      </c>
      <c r="Y320">
        <v>22</v>
      </c>
      <c r="Z320" s="1">
        <v>45531</v>
      </c>
      <c r="AA320" t="str" cm="1">
        <f t="array" ref="AA320">_xlfn.IFS(AND(Table2[[#This Row],[Guest_Age]]&gt;=18,Table2[[#This Row],[Guest_Age]]&lt;=25),"Young Adults",AND(Table2[[#This Row],[Guest_Age]]&gt;=26,Table2[[#This Row],[Guest_Age]]&lt;=35),"Adults",AND(Table2[[#This Row],[Guest_Age]]&gt;=36,Table2[[#This Row],[Guest_Age]]&lt;=50),"Middle Aged Adults",Table2[[#This Row],[Guest_Age]]&gt;50,"Senior")</f>
        <v>Young Adults</v>
      </c>
      <c r="AB3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20" t="str" cm="1">
        <f t="array" ref="AC320">_xlfn.IFS(Table2[[#This Row],[Satification_points]]&gt;=4.5,"GREAT",AND(Table2[[#This Row],[Satification_points]]&gt;=4,Table2[[#This Row],[Satification_points]]&lt;4.5),"GOOD",AND(Table2[[#This Row],[Satification_points]]&gt;=3,Table2[[#This Row],[Satification_points]]&lt;4),"AVERAGE",Table2[[#This Row],[Satification_points]]&lt;3,"POOR")</f>
        <v>AVERAGE</v>
      </c>
    </row>
    <row r="321" spans="1:29" x14ac:dyDescent="0.3">
      <c r="A321">
        <v>320</v>
      </c>
      <c r="B321">
        <v>59777</v>
      </c>
      <c r="C321" t="s">
        <v>377</v>
      </c>
      <c r="D321" t="s">
        <v>51</v>
      </c>
      <c r="E321" t="s">
        <v>27</v>
      </c>
      <c r="F321" s="1">
        <v>45050</v>
      </c>
      <c r="G321" s="1">
        <v>45051</v>
      </c>
      <c r="H321">
        <v>10</v>
      </c>
      <c r="I321" t="s">
        <v>50</v>
      </c>
      <c r="J321" t="s">
        <v>43</v>
      </c>
      <c r="K321">
        <v>3</v>
      </c>
      <c r="L321">
        <v>2</v>
      </c>
      <c r="M321">
        <v>1</v>
      </c>
      <c r="N321">
        <v>1</v>
      </c>
      <c r="O321">
        <v>4</v>
      </c>
      <c r="P321">
        <v>4</v>
      </c>
      <c r="Q321">
        <v>4</v>
      </c>
      <c r="R321">
        <v>3</v>
      </c>
      <c r="S321">
        <v>1</v>
      </c>
      <c r="T321">
        <v>2</v>
      </c>
      <c r="U321" t="s">
        <v>37</v>
      </c>
      <c r="V321" t="s">
        <v>58</v>
      </c>
      <c r="W321" t="s">
        <v>56</v>
      </c>
      <c r="X321" t="s">
        <v>44</v>
      </c>
      <c r="Y321">
        <v>29</v>
      </c>
      <c r="Z321" s="1">
        <v>45114</v>
      </c>
      <c r="AA321" t="str" cm="1">
        <f t="array" ref="AA321">_xlfn.IFS(AND(Table2[[#This Row],[Guest_Age]]&gt;=18,Table2[[#This Row],[Guest_Age]]&lt;=25),"Young Adults",AND(Table2[[#This Row],[Guest_Age]]&gt;=26,Table2[[#This Row],[Guest_Age]]&lt;=35),"Adults",AND(Table2[[#This Row],[Guest_Age]]&gt;=36,Table2[[#This Row],[Guest_Age]]&lt;=50),"Middle Aged Adults",Table2[[#This Row],[Guest_Age]]&gt;50,"Senior")</f>
        <v>Adults</v>
      </c>
      <c r="AB3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21" t="str" cm="1">
        <f t="array" ref="AC321">_xlfn.IFS(Table2[[#This Row],[Satification_points]]&gt;=4.5,"GREAT",AND(Table2[[#This Row],[Satification_points]]&gt;=4,Table2[[#This Row],[Satification_points]]&lt;4.5),"GOOD",AND(Table2[[#This Row],[Satification_points]]&gt;=3,Table2[[#This Row],[Satification_points]]&lt;4),"AVERAGE",Table2[[#This Row],[Satification_points]]&lt;3,"POOR")</f>
        <v>POOR</v>
      </c>
    </row>
    <row r="322" spans="1:29" x14ac:dyDescent="0.3">
      <c r="A322">
        <v>321</v>
      </c>
      <c r="B322">
        <v>25406</v>
      </c>
      <c r="C322" t="s">
        <v>378</v>
      </c>
      <c r="D322" t="s">
        <v>41</v>
      </c>
      <c r="E322" t="s">
        <v>45</v>
      </c>
      <c r="F322" s="1">
        <v>45173</v>
      </c>
      <c r="G322" s="1">
        <v>45520</v>
      </c>
      <c r="H322">
        <v>9</v>
      </c>
      <c r="I322" t="s">
        <v>28</v>
      </c>
      <c r="J322" t="s">
        <v>29</v>
      </c>
      <c r="K322">
        <v>4</v>
      </c>
      <c r="L322">
        <v>3</v>
      </c>
      <c r="M322">
        <v>2</v>
      </c>
      <c r="N322">
        <v>1</v>
      </c>
      <c r="O322">
        <v>5</v>
      </c>
      <c r="P322">
        <v>1</v>
      </c>
      <c r="Q322">
        <v>4</v>
      </c>
      <c r="R322">
        <v>3</v>
      </c>
      <c r="S322">
        <v>4</v>
      </c>
      <c r="T322">
        <v>2</v>
      </c>
      <c r="U322" t="s">
        <v>30</v>
      </c>
      <c r="V322" t="s">
        <v>54</v>
      </c>
      <c r="W322" t="s">
        <v>56</v>
      </c>
      <c r="X322" t="s">
        <v>33</v>
      </c>
      <c r="Y322">
        <v>52</v>
      </c>
      <c r="Z322" s="1">
        <v>45520</v>
      </c>
      <c r="AA322" t="str" cm="1">
        <f t="array" ref="AA322">_xlfn.IFS(AND(Table2[[#This Row],[Guest_Age]]&gt;=18,Table2[[#This Row],[Guest_Age]]&lt;=25),"Young Adults",AND(Table2[[#This Row],[Guest_Age]]&gt;=26,Table2[[#This Row],[Guest_Age]]&lt;=35),"Adults",AND(Table2[[#This Row],[Guest_Age]]&gt;=36,Table2[[#This Row],[Guest_Age]]&lt;=50),"Middle Aged Adults",Table2[[#This Row],[Guest_Age]]&gt;50,"Senior")</f>
        <v>Senior</v>
      </c>
      <c r="AB3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22" t="str" cm="1">
        <f t="array" ref="AC322">_xlfn.IFS(Table2[[#This Row],[Satification_points]]&gt;=4.5,"GREAT",AND(Table2[[#This Row],[Satification_points]]&gt;=4,Table2[[#This Row],[Satification_points]]&lt;4.5),"GOOD",AND(Table2[[#This Row],[Satification_points]]&gt;=3,Table2[[#This Row],[Satification_points]]&lt;4),"AVERAGE",Table2[[#This Row],[Satification_points]]&lt;3,"POOR")</f>
        <v>POOR</v>
      </c>
    </row>
    <row r="323" spans="1:29" x14ac:dyDescent="0.3">
      <c r="A323">
        <v>322</v>
      </c>
      <c r="B323">
        <v>89035</v>
      </c>
      <c r="C323" t="s">
        <v>379</v>
      </c>
      <c r="D323" t="s">
        <v>51</v>
      </c>
      <c r="E323" t="s">
        <v>45</v>
      </c>
      <c r="F323" s="1">
        <v>45332</v>
      </c>
      <c r="G323" s="1">
        <v>45333</v>
      </c>
      <c r="H323">
        <v>10</v>
      </c>
      <c r="I323" t="s">
        <v>49</v>
      </c>
      <c r="J323" t="s">
        <v>29</v>
      </c>
      <c r="K323">
        <v>4</v>
      </c>
      <c r="L323">
        <v>5</v>
      </c>
      <c r="M323">
        <v>4</v>
      </c>
      <c r="N323">
        <v>1</v>
      </c>
      <c r="O323">
        <v>5</v>
      </c>
      <c r="P323">
        <v>2</v>
      </c>
      <c r="Q323">
        <v>5</v>
      </c>
      <c r="R323">
        <v>5</v>
      </c>
      <c r="S323">
        <v>1</v>
      </c>
      <c r="T323">
        <v>2</v>
      </c>
      <c r="U323" t="s">
        <v>30</v>
      </c>
      <c r="V323" t="s">
        <v>54</v>
      </c>
      <c r="W323" t="s">
        <v>32</v>
      </c>
      <c r="X323" t="s">
        <v>33</v>
      </c>
      <c r="Y323">
        <v>38</v>
      </c>
      <c r="Z323" s="1">
        <v>45333</v>
      </c>
      <c r="AA323" t="str" cm="1">
        <f t="array" ref="AA323">_xlfn.IFS(AND(Table2[[#This Row],[Guest_Age]]&gt;=18,Table2[[#This Row],[Guest_Age]]&lt;=25),"Young Adults",AND(Table2[[#This Row],[Guest_Age]]&gt;=26,Table2[[#This Row],[Guest_Age]]&lt;=35),"Adults",AND(Table2[[#This Row],[Guest_Age]]&gt;=36,Table2[[#This Row],[Guest_Age]]&lt;=50),"Middle Aged Adults",Table2[[#This Row],[Guest_Age]]&gt;50,"Senior")</f>
        <v>Middle Aged Adults</v>
      </c>
      <c r="AB3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23" t="str" cm="1">
        <f t="array" ref="AC323">_xlfn.IFS(Table2[[#This Row],[Satification_points]]&gt;=4.5,"GREAT",AND(Table2[[#This Row],[Satification_points]]&gt;=4,Table2[[#This Row],[Satification_points]]&lt;4.5),"GOOD",AND(Table2[[#This Row],[Satification_points]]&gt;=3,Table2[[#This Row],[Satification_points]]&lt;4),"AVERAGE",Table2[[#This Row],[Satification_points]]&lt;3,"POOR")</f>
        <v>AVERAGE</v>
      </c>
    </row>
    <row r="324" spans="1:29" x14ac:dyDescent="0.3">
      <c r="A324">
        <v>323</v>
      </c>
      <c r="B324">
        <v>81698</v>
      </c>
      <c r="C324" t="s">
        <v>380</v>
      </c>
      <c r="D324" t="s">
        <v>51</v>
      </c>
      <c r="E324" t="s">
        <v>27</v>
      </c>
      <c r="F324" s="1">
        <v>45263</v>
      </c>
      <c r="G324" s="1">
        <v>45264</v>
      </c>
      <c r="H324">
        <v>9</v>
      </c>
      <c r="I324" t="s">
        <v>42</v>
      </c>
      <c r="J324" t="s">
        <v>29</v>
      </c>
      <c r="K324">
        <v>2</v>
      </c>
      <c r="L324">
        <v>4</v>
      </c>
      <c r="M324">
        <v>4</v>
      </c>
      <c r="N324">
        <v>4</v>
      </c>
      <c r="O324">
        <v>3</v>
      </c>
      <c r="P324">
        <v>2</v>
      </c>
      <c r="Q324">
        <v>5</v>
      </c>
      <c r="R324">
        <v>1</v>
      </c>
      <c r="S324">
        <v>4</v>
      </c>
      <c r="T324">
        <v>1</v>
      </c>
      <c r="U324" t="s">
        <v>30</v>
      </c>
      <c r="V324" t="s">
        <v>54</v>
      </c>
      <c r="W324" t="s">
        <v>32</v>
      </c>
      <c r="X324" t="s">
        <v>40</v>
      </c>
      <c r="Y324">
        <v>43</v>
      </c>
      <c r="Z324" s="1">
        <v>45264</v>
      </c>
      <c r="AA324" t="str" cm="1">
        <f t="array" ref="AA324">_xlfn.IFS(AND(Table2[[#This Row],[Guest_Age]]&gt;=18,Table2[[#This Row],[Guest_Age]]&lt;=25),"Young Adults",AND(Table2[[#This Row],[Guest_Age]]&gt;=26,Table2[[#This Row],[Guest_Age]]&lt;=35),"Adults",AND(Table2[[#This Row],[Guest_Age]]&gt;=36,Table2[[#This Row],[Guest_Age]]&lt;=50),"Middle Aged Adults",Table2[[#This Row],[Guest_Age]]&gt;50,"Senior")</f>
        <v>Middle Aged Adults</v>
      </c>
      <c r="AB3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24" t="str" cm="1">
        <f t="array" ref="AC324">_xlfn.IFS(Table2[[#This Row],[Satification_points]]&gt;=4.5,"GREAT",AND(Table2[[#This Row],[Satification_points]]&gt;=4,Table2[[#This Row],[Satification_points]]&lt;4.5),"GOOD",AND(Table2[[#This Row],[Satification_points]]&gt;=3,Table2[[#This Row],[Satification_points]]&lt;4),"AVERAGE",Table2[[#This Row],[Satification_points]]&lt;3,"POOR")</f>
        <v>AVERAGE</v>
      </c>
    </row>
    <row r="325" spans="1:29" x14ac:dyDescent="0.3">
      <c r="A325">
        <v>324</v>
      </c>
      <c r="B325">
        <v>74086</v>
      </c>
      <c r="C325" t="s">
        <v>381</v>
      </c>
      <c r="D325" t="s">
        <v>51</v>
      </c>
      <c r="E325" t="s">
        <v>45</v>
      </c>
      <c r="F325" s="1">
        <v>45085</v>
      </c>
      <c r="G325" s="1">
        <v>45348</v>
      </c>
      <c r="H325">
        <v>4</v>
      </c>
      <c r="I325" t="s">
        <v>49</v>
      </c>
      <c r="J325" t="s">
        <v>43</v>
      </c>
      <c r="K325">
        <v>2</v>
      </c>
      <c r="L325">
        <v>2</v>
      </c>
      <c r="M325">
        <v>5</v>
      </c>
      <c r="N325">
        <v>4</v>
      </c>
      <c r="O325">
        <v>2</v>
      </c>
      <c r="P325">
        <v>3</v>
      </c>
      <c r="Q325">
        <v>3</v>
      </c>
      <c r="R325">
        <v>5</v>
      </c>
      <c r="S325">
        <v>1</v>
      </c>
      <c r="T325">
        <v>2</v>
      </c>
      <c r="U325" t="s">
        <v>30</v>
      </c>
      <c r="V325" t="s">
        <v>38</v>
      </c>
      <c r="W325" t="s">
        <v>55</v>
      </c>
      <c r="X325" t="s">
        <v>33</v>
      </c>
      <c r="Y325">
        <v>18</v>
      </c>
      <c r="Z325" s="1">
        <v>45449</v>
      </c>
      <c r="AA325" t="str" cm="1">
        <f t="array" ref="AA325">_xlfn.IFS(AND(Table2[[#This Row],[Guest_Age]]&gt;=18,Table2[[#This Row],[Guest_Age]]&lt;=25),"Young Adults",AND(Table2[[#This Row],[Guest_Age]]&gt;=26,Table2[[#This Row],[Guest_Age]]&lt;=35),"Adults",AND(Table2[[#This Row],[Guest_Age]]&gt;=36,Table2[[#This Row],[Guest_Age]]&lt;=50),"Middle Aged Adults",Table2[[#This Row],[Guest_Age]]&gt;50,"Senior")</f>
        <v>Young Adults</v>
      </c>
      <c r="AB3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25" t="str" cm="1">
        <f t="array" ref="AC325">_xlfn.IFS(Table2[[#This Row],[Satification_points]]&gt;=4.5,"GREAT",AND(Table2[[#This Row],[Satification_points]]&gt;=4,Table2[[#This Row],[Satification_points]]&lt;4.5),"GOOD",AND(Table2[[#This Row],[Satification_points]]&gt;=3,Table2[[#This Row],[Satification_points]]&lt;4),"AVERAGE",Table2[[#This Row],[Satification_points]]&lt;3,"POOR")</f>
        <v>POOR</v>
      </c>
    </row>
    <row r="326" spans="1:29" x14ac:dyDescent="0.3">
      <c r="A326">
        <v>325</v>
      </c>
      <c r="B326">
        <v>16797</v>
      </c>
      <c r="C326" t="s">
        <v>382</v>
      </c>
      <c r="D326" t="s">
        <v>26</v>
      </c>
      <c r="E326" t="s">
        <v>35</v>
      </c>
      <c r="F326" s="1">
        <v>45193</v>
      </c>
      <c r="G326" s="1">
        <v>45194</v>
      </c>
      <c r="H326">
        <v>10</v>
      </c>
      <c r="I326" t="s">
        <v>49</v>
      </c>
      <c r="J326" t="s">
        <v>40</v>
      </c>
      <c r="K326">
        <v>1</v>
      </c>
      <c r="L326">
        <v>2</v>
      </c>
      <c r="M326">
        <v>2</v>
      </c>
      <c r="N326">
        <v>1</v>
      </c>
      <c r="O326">
        <v>4</v>
      </c>
      <c r="P326">
        <v>2</v>
      </c>
      <c r="Q326">
        <v>4</v>
      </c>
      <c r="R326">
        <v>3</v>
      </c>
      <c r="S326">
        <v>1</v>
      </c>
      <c r="T326">
        <v>3</v>
      </c>
      <c r="U326" t="s">
        <v>37</v>
      </c>
      <c r="V326" t="s">
        <v>46</v>
      </c>
      <c r="W326" t="s">
        <v>47</v>
      </c>
      <c r="X326" t="s">
        <v>40</v>
      </c>
      <c r="Y326">
        <v>66</v>
      </c>
      <c r="Z326" s="1">
        <v>45194</v>
      </c>
      <c r="AA326" t="str" cm="1">
        <f t="array" ref="AA326">_xlfn.IFS(AND(Table2[[#This Row],[Guest_Age]]&gt;=18,Table2[[#This Row],[Guest_Age]]&lt;=25),"Young Adults",AND(Table2[[#This Row],[Guest_Age]]&gt;=26,Table2[[#This Row],[Guest_Age]]&lt;=35),"Adults",AND(Table2[[#This Row],[Guest_Age]]&gt;=36,Table2[[#This Row],[Guest_Age]]&lt;=50),"Middle Aged Adults",Table2[[#This Row],[Guest_Age]]&gt;50,"Senior")</f>
        <v>Senior</v>
      </c>
      <c r="AB3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326" t="str" cm="1">
        <f t="array" ref="AC326">_xlfn.IFS(Table2[[#This Row],[Satification_points]]&gt;=4.5,"GREAT",AND(Table2[[#This Row],[Satification_points]]&gt;=4,Table2[[#This Row],[Satification_points]]&lt;4.5),"GOOD",AND(Table2[[#This Row],[Satification_points]]&gt;=3,Table2[[#This Row],[Satification_points]]&lt;4),"AVERAGE",Table2[[#This Row],[Satification_points]]&lt;3,"POOR")</f>
        <v>POOR</v>
      </c>
    </row>
    <row r="327" spans="1:29" x14ac:dyDescent="0.3">
      <c r="A327">
        <v>326</v>
      </c>
      <c r="B327">
        <v>14858</v>
      </c>
      <c r="C327" t="s">
        <v>383</v>
      </c>
      <c r="D327" t="s">
        <v>26</v>
      </c>
      <c r="E327" t="s">
        <v>45</v>
      </c>
      <c r="F327" s="1">
        <v>45218</v>
      </c>
      <c r="G327" s="1">
        <v>45448</v>
      </c>
      <c r="H327">
        <v>7</v>
      </c>
      <c r="I327" t="s">
        <v>49</v>
      </c>
      <c r="J327" t="s">
        <v>29</v>
      </c>
      <c r="K327">
        <v>5</v>
      </c>
      <c r="L327">
        <v>5</v>
      </c>
      <c r="M327">
        <v>4</v>
      </c>
      <c r="N327">
        <v>5</v>
      </c>
      <c r="O327">
        <v>1</v>
      </c>
      <c r="P327">
        <v>4</v>
      </c>
      <c r="Q327">
        <v>5</v>
      </c>
      <c r="R327">
        <v>4</v>
      </c>
      <c r="S327">
        <v>2</v>
      </c>
      <c r="T327">
        <v>5</v>
      </c>
      <c r="U327" t="s">
        <v>30</v>
      </c>
      <c r="V327" t="s">
        <v>38</v>
      </c>
      <c r="W327" t="s">
        <v>32</v>
      </c>
      <c r="X327" t="s">
        <v>33</v>
      </c>
      <c r="Y327">
        <v>27</v>
      </c>
      <c r="Z327" s="1">
        <v>45448</v>
      </c>
      <c r="AA327" t="str" cm="1">
        <f t="array" ref="AA327">_xlfn.IFS(AND(Table2[[#This Row],[Guest_Age]]&gt;=18,Table2[[#This Row],[Guest_Age]]&lt;=25),"Young Adults",AND(Table2[[#This Row],[Guest_Age]]&gt;=26,Table2[[#This Row],[Guest_Age]]&lt;=35),"Adults",AND(Table2[[#This Row],[Guest_Age]]&gt;=36,Table2[[#This Row],[Guest_Age]]&lt;=50),"Middle Aged Adults",Table2[[#This Row],[Guest_Age]]&gt;50,"Senior")</f>
        <v>Adults</v>
      </c>
      <c r="AB3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327" t="str" cm="1">
        <f t="array" ref="AC327">_xlfn.IFS(Table2[[#This Row],[Satification_points]]&gt;=4.5,"GREAT",AND(Table2[[#This Row],[Satification_points]]&gt;=4,Table2[[#This Row],[Satification_points]]&lt;4.5),"GOOD",AND(Table2[[#This Row],[Satification_points]]&gt;=3,Table2[[#This Row],[Satification_points]]&lt;4),"AVERAGE",Table2[[#This Row],[Satification_points]]&lt;3,"POOR")</f>
        <v>GOOD</v>
      </c>
    </row>
    <row r="328" spans="1:29" x14ac:dyDescent="0.3">
      <c r="A328">
        <v>327</v>
      </c>
      <c r="B328">
        <v>76373</v>
      </c>
      <c r="C328" t="s">
        <v>384</v>
      </c>
      <c r="D328" t="s">
        <v>26</v>
      </c>
      <c r="E328" t="s">
        <v>27</v>
      </c>
      <c r="F328" s="1">
        <v>45516</v>
      </c>
      <c r="G328" s="1">
        <v>45538</v>
      </c>
      <c r="H328">
        <v>3</v>
      </c>
      <c r="I328" t="s">
        <v>49</v>
      </c>
      <c r="J328" t="s">
        <v>53</v>
      </c>
      <c r="K328">
        <v>5</v>
      </c>
      <c r="L328">
        <v>5</v>
      </c>
      <c r="M328">
        <v>3</v>
      </c>
      <c r="N328">
        <v>2</v>
      </c>
      <c r="O328">
        <v>1</v>
      </c>
      <c r="P328">
        <v>5</v>
      </c>
      <c r="Q328">
        <v>4</v>
      </c>
      <c r="R328">
        <v>5</v>
      </c>
      <c r="S328">
        <v>5</v>
      </c>
      <c r="T328">
        <v>4</v>
      </c>
      <c r="U328" t="s">
        <v>37</v>
      </c>
      <c r="V328" t="s">
        <v>54</v>
      </c>
      <c r="W328" t="s">
        <v>55</v>
      </c>
      <c r="X328" t="s">
        <v>40</v>
      </c>
      <c r="Y328">
        <v>55</v>
      </c>
      <c r="Z328" s="1">
        <v>45538</v>
      </c>
      <c r="AA328" t="str" cm="1">
        <f t="array" ref="AA328">_xlfn.IFS(AND(Table2[[#This Row],[Guest_Age]]&gt;=18,Table2[[#This Row],[Guest_Age]]&lt;=25),"Young Adults",AND(Table2[[#This Row],[Guest_Age]]&gt;=26,Table2[[#This Row],[Guest_Age]]&lt;=35),"Adults",AND(Table2[[#This Row],[Guest_Age]]&gt;=36,Table2[[#This Row],[Guest_Age]]&lt;=50),"Middle Aged Adults",Table2[[#This Row],[Guest_Age]]&gt;50,"Senior")</f>
        <v>Senior</v>
      </c>
      <c r="AB3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328" t="str" cm="1">
        <f t="array" ref="AC328">_xlfn.IFS(Table2[[#This Row],[Satification_points]]&gt;=4.5,"GREAT",AND(Table2[[#This Row],[Satification_points]]&gt;=4,Table2[[#This Row],[Satification_points]]&lt;4.5),"GOOD",AND(Table2[[#This Row],[Satification_points]]&gt;=3,Table2[[#This Row],[Satification_points]]&lt;4),"AVERAGE",Table2[[#This Row],[Satification_points]]&lt;3,"POOR")</f>
        <v>AVERAGE</v>
      </c>
    </row>
    <row r="329" spans="1:29" x14ac:dyDescent="0.3">
      <c r="A329">
        <v>328</v>
      </c>
      <c r="B329">
        <v>77551</v>
      </c>
      <c r="C329" t="s">
        <v>385</v>
      </c>
      <c r="D329" t="s">
        <v>26</v>
      </c>
      <c r="E329" t="s">
        <v>45</v>
      </c>
      <c r="F329" s="1">
        <v>45077</v>
      </c>
      <c r="G329" s="1">
        <v>45475</v>
      </c>
      <c r="H329">
        <v>6</v>
      </c>
      <c r="I329" t="s">
        <v>49</v>
      </c>
      <c r="J329" t="s">
        <v>40</v>
      </c>
      <c r="K329">
        <v>5</v>
      </c>
      <c r="L329">
        <v>5</v>
      </c>
      <c r="M329">
        <v>3</v>
      </c>
      <c r="N329">
        <v>1</v>
      </c>
      <c r="O329">
        <v>3</v>
      </c>
      <c r="P329">
        <v>4</v>
      </c>
      <c r="Q329">
        <v>1</v>
      </c>
      <c r="R329">
        <v>5</v>
      </c>
      <c r="S329">
        <v>4</v>
      </c>
      <c r="T329">
        <v>4</v>
      </c>
      <c r="U329" t="s">
        <v>37</v>
      </c>
      <c r="V329" t="s">
        <v>58</v>
      </c>
      <c r="W329" t="s">
        <v>56</v>
      </c>
      <c r="X329" t="s">
        <v>44</v>
      </c>
      <c r="Y329">
        <v>41</v>
      </c>
      <c r="Z329" s="1">
        <v>45489</v>
      </c>
      <c r="AA329" t="str" cm="1">
        <f t="array" ref="AA32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29" t="str" cm="1">
        <f t="array" ref="AC329">_xlfn.IFS(Table2[[#This Row],[Satification_points]]&gt;=4.5,"GREAT",AND(Table2[[#This Row],[Satification_points]]&gt;=4,Table2[[#This Row],[Satification_points]]&lt;4.5),"GOOD",AND(Table2[[#This Row],[Satification_points]]&gt;=3,Table2[[#This Row],[Satification_points]]&lt;4),"AVERAGE",Table2[[#This Row],[Satification_points]]&lt;3,"POOR")</f>
        <v>AVERAGE</v>
      </c>
    </row>
    <row r="330" spans="1:29" x14ac:dyDescent="0.3">
      <c r="A330">
        <v>329</v>
      </c>
      <c r="B330">
        <v>70796</v>
      </c>
      <c r="C330" t="s">
        <v>386</v>
      </c>
      <c r="D330" t="s">
        <v>51</v>
      </c>
      <c r="E330" t="s">
        <v>45</v>
      </c>
      <c r="F330" s="1">
        <v>45211</v>
      </c>
      <c r="G330" s="1">
        <v>45212</v>
      </c>
      <c r="H330">
        <v>13</v>
      </c>
      <c r="I330" t="s">
        <v>49</v>
      </c>
      <c r="J330" t="s">
        <v>40</v>
      </c>
      <c r="K330">
        <v>5</v>
      </c>
      <c r="L330">
        <v>1</v>
      </c>
      <c r="M330">
        <v>4</v>
      </c>
      <c r="N330">
        <v>1</v>
      </c>
      <c r="O330">
        <v>1</v>
      </c>
      <c r="P330">
        <v>3</v>
      </c>
      <c r="Q330">
        <v>4</v>
      </c>
      <c r="R330">
        <v>1</v>
      </c>
      <c r="S330">
        <v>5</v>
      </c>
      <c r="T330">
        <v>4</v>
      </c>
      <c r="U330" t="s">
        <v>30</v>
      </c>
      <c r="V330" t="s">
        <v>46</v>
      </c>
      <c r="W330" t="s">
        <v>32</v>
      </c>
      <c r="X330" t="s">
        <v>40</v>
      </c>
      <c r="Y330">
        <v>69</v>
      </c>
      <c r="Z330" s="1">
        <v>45486</v>
      </c>
      <c r="AA330" t="str" cm="1">
        <f t="array" ref="AA330">_xlfn.IFS(AND(Table2[[#This Row],[Guest_Age]]&gt;=18,Table2[[#This Row],[Guest_Age]]&lt;=25),"Young Adults",AND(Table2[[#This Row],[Guest_Age]]&gt;=26,Table2[[#This Row],[Guest_Age]]&lt;=35),"Adults",AND(Table2[[#This Row],[Guest_Age]]&gt;=36,Table2[[#This Row],[Guest_Age]]&lt;=50),"Middle Aged Adults",Table2[[#This Row],[Guest_Age]]&gt;50,"Senior")</f>
        <v>Senior</v>
      </c>
      <c r="AB3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30" t="str" cm="1">
        <f t="array" ref="AC330">_xlfn.IFS(Table2[[#This Row],[Satification_points]]&gt;=4.5,"GREAT",AND(Table2[[#This Row],[Satification_points]]&gt;=4,Table2[[#This Row],[Satification_points]]&lt;4.5),"GOOD",AND(Table2[[#This Row],[Satification_points]]&gt;=3,Table2[[#This Row],[Satification_points]]&lt;4),"AVERAGE",Table2[[#This Row],[Satification_points]]&lt;3,"POOR")</f>
        <v>POOR</v>
      </c>
    </row>
    <row r="331" spans="1:29" x14ac:dyDescent="0.3">
      <c r="A331">
        <v>330</v>
      </c>
      <c r="B331">
        <v>75509</v>
      </c>
      <c r="C331" t="s">
        <v>387</v>
      </c>
      <c r="D331" t="s">
        <v>51</v>
      </c>
      <c r="E331" t="s">
        <v>45</v>
      </c>
      <c r="F331" s="1">
        <v>45077</v>
      </c>
      <c r="G331" s="1">
        <v>45078</v>
      </c>
      <c r="H331">
        <v>1</v>
      </c>
      <c r="I331" t="s">
        <v>28</v>
      </c>
      <c r="J331" t="s">
        <v>40</v>
      </c>
      <c r="K331">
        <v>1</v>
      </c>
      <c r="L331">
        <v>1</v>
      </c>
      <c r="M331">
        <v>3</v>
      </c>
      <c r="N331">
        <v>2</v>
      </c>
      <c r="O331">
        <v>4</v>
      </c>
      <c r="P331">
        <v>2</v>
      </c>
      <c r="Q331">
        <v>3</v>
      </c>
      <c r="R331">
        <v>5</v>
      </c>
      <c r="S331">
        <v>2</v>
      </c>
      <c r="T331">
        <v>5</v>
      </c>
      <c r="U331" t="s">
        <v>30</v>
      </c>
      <c r="V331" t="s">
        <v>54</v>
      </c>
      <c r="W331" t="s">
        <v>55</v>
      </c>
      <c r="X331" t="s">
        <v>33</v>
      </c>
      <c r="Y331">
        <v>48</v>
      </c>
      <c r="Z331" s="1">
        <v>45207</v>
      </c>
      <c r="AA331" t="str" cm="1">
        <f t="array" ref="AA3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31" t="str" cm="1">
        <f t="array" ref="AC331">_xlfn.IFS(Table2[[#This Row],[Satification_points]]&gt;=4.5,"GREAT",AND(Table2[[#This Row],[Satification_points]]&gt;=4,Table2[[#This Row],[Satification_points]]&lt;4.5),"GOOD",AND(Table2[[#This Row],[Satification_points]]&gt;=3,Table2[[#This Row],[Satification_points]]&lt;4),"AVERAGE",Table2[[#This Row],[Satification_points]]&lt;3,"POOR")</f>
        <v>POOR</v>
      </c>
    </row>
    <row r="332" spans="1:29" x14ac:dyDescent="0.3">
      <c r="A332">
        <v>331</v>
      </c>
      <c r="B332">
        <v>58393</v>
      </c>
      <c r="C332" t="s">
        <v>388</v>
      </c>
      <c r="D332" t="s">
        <v>41</v>
      </c>
      <c r="E332" t="s">
        <v>45</v>
      </c>
      <c r="F332" s="1">
        <v>45050</v>
      </c>
      <c r="G332" s="1">
        <v>45265</v>
      </c>
      <c r="H332">
        <v>5</v>
      </c>
      <c r="I332" t="s">
        <v>49</v>
      </c>
      <c r="J332" t="s">
        <v>29</v>
      </c>
      <c r="K332">
        <v>4</v>
      </c>
      <c r="L332">
        <v>2</v>
      </c>
      <c r="M332">
        <v>3</v>
      </c>
      <c r="N332">
        <v>3</v>
      </c>
      <c r="O332">
        <v>4</v>
      </c>
      <c r="P332">
        <v>3</v>
      </c>
      <c r="Q332">
        <v>3</v>
      </c>
      <c r="R332">
        <v>5</v>
      </c>
      <c r="S332">
        <v>5</v>
      </c>
      <c r="T332">
        <v>2</v>
      </c>
      <c r="U332" t="s">
        <v>30</v>
      </c>
      <c r="V332" t="s">
        <v>38</v>
      </c>
      <c r="W332" t="s">
        <v>55</v>
      </c>
      <c r="X332" t="s">
        <v>40</v>
      </c>
      <c r="Y332">
        <v>62</v>
      </c>
      <c r="Z332" s="1">
        <v>45265</v>
      </c>
      <c r="AA332" t="str" cm="1">
        <f t="array" ref="AA332">_xlfn.IFS(AND(Table2[[#This Row],[Guest_Age]]&gt;=18,Table2[[#This Row],[Guest_Age]]&lt;=25),"Young Adults",AND(Table2[[#This Row],[Guest_Age]]&gt;=26,Table2[[#This Row],[Guest_Age]]&lt;=35),"Adults",AND(Table2[[#This Row],[Guest_Age]]&gt;=36,Table2[[#This Row],[Guest_Age]]&lt;=50),"Middle Aged Adults",Table2[[#This Row],[Guest_Age]]&gt;50,"Senior")</f>
        <v>Senior</v>
      </c>
      <c r="AB3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32" t="str" cm="1">
        <f t="array" ref="AC332">_xlfn.IFS(Table2[[#This Row],[Satification_points]]&gt;=4.5,"GREAT",AND(Table2[[#This Row],[Satification_points]]&gt;=4,Table2[[#This Row],[Satification_points]]&lt;4.5),"GOOD",AND(Table2[[#This Row],[Satification_points]]&gt;=3,Table2[[#This Row],[Satification_points]]&lt;4),"AVERAGE",Table2[[#This Row],[Satification_points]]&lt;3,"POOR")</f>
        <v>AVERAGE</v>
      </c>
    </row>
    <row r="333" spans="1:29" x14ac:dyDescent="0.3">
      <c r="A333">
        <v>332</v>
      </c>
      <c r="B333">
        <v>17234</v>
      </c>
      <c r="C333" t="s">
        <v>389</v>
      </c>
      <c r="D333" t="s">
        <v>41</v>
      </c>
      <c r="E333" t="s">
        <v>27</v>
      </c>
      <c r="F333" s="1">
        <v>45198</v>
      </c>
      <c r="G333" s="1">
        <v>45652</v>
      </c>
      <c r="H333">
        <v>6</v>
      </c>
      <c r="I333" t="s">
        <v>42</v>
      </c>
      <c r="J333" t="s">
        <v>40</v>
      </c>
      <c r="K333">
        <v>1</v>
      </c>
      <c r="L333">
        <v>5</v>
      </c>
      <c r="M333">
        <v>5</v>
      </c>
      <c r="N333">
        <v>1</v>
      </c>
      <c r="O333">
        <v>5</v>
      </c>
      <c r="P333">
        <v>4</v>
      </c>
      <c r="Q333">
        <v>5</v>
      </c>
      <c r="R333">
        <v>2</v>
      </c>
      <c r="S333">
        <v>4</v>
      </c>
      <c r="T333">
        <v>5</v>
      </c>
      <c r="U333" t="s">
        <v>30</v>
      </c>
      <c r="V333" t="s">
        <v>31</v>
      </c>
      <c r="W333" t="s">
        <v>47</v>
      </c>
      <c r="X333" t="s">
        <v>40</v>
      </c>
      <c r="Y333">
        <v>64</v>
      </c>
      <c r="Z333" s="1">
        <v>45652</v>
      </c>
      <c r="AA333" t="str" cm="1">
        <f t="array" ref="AA333">_xlfn.IFS(AND(Table2[[#This Row],[Guest_Age]]&gt;=18,Table2[[#This Row],[Guest_Age]]&lt;=25),"Young Adults",AND(Table2[[#This Row],[Guest_Age]]&gt;=26,Table2[[#This Row],[Guest_Age]]&lt;=35),"Adults",AND(Table2[[#This Row],[Guest_Age]]&gt;=36,Table2[[#This Row],[Guest_Age]]&lt;=50),"Middle Aged Adults",Table2[[#This Row],[Guest_Age]]&gt;50,"Senior")</f>
        <v>Senior</v>
      </c>
      <c r="AB3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333" t="str" cm="1">
        <f t="array" ref="AC333">_xlfn.IFS(Table2[[#This Row],[Satification_points]]&gt;=4.5,"GREAT",AND(Table2[[#This Row],[Satification_points]]&gt;=4,Table2[[#This Row],[Satification_points]]&lt;4.5),"GOOD",AND(Table2[[#This Row],[Satification_points]]&gt;=3,Table2[[#This Row],[Satification_points]]&lt;4),"AVERAGE",Table2[[#This Row],[Satification_points]]&lt;3,"POOR")</f>
        <v>AVERAGE</v>
      </c>
    </row>
    <row r="334" spans="1:29" x14ac:dyDescent="0.3">
      <c r="A334">
        <v>333</v>
      </c>
      <c r="B334">
        <v>80284</v>
      </c>
      <c r="C334" t="s">
        <v>390</v>
      </c>
      <c r="D334" t="s">
        <v>41</v>
      </c>
      <c r="E334" t="s">
        <v>52</v>
      </c>
      <c r="F334" s="1">
        <v>45266</v>
      </c>
      <c r="G334" s="1">
        <v>45459</v>
      </c>
      <c r="H334">
        <v>12</v>
      </c>
      <c r="I334" t="s">
        <v>42</v>
      </c>
      <c r="J334" t="s">
        <v>29</v>
      </c>
      <c r="K334">
        <v>2</v>
      </c>
      <c r="L334">
        <v>1</v>
      </c>
      <c r="M334">
        <v>3</v>
      </c>
      <c r="N334">
        <v>1</v>
      </c>
      <c r="O334">
        <v>2</v>
      </c>
      <c r="P334">
        <v>4</v>
      </c>
      <c r="Q334">
        <v>4</v>
      </c>
      <c r="R334">
        <v>3</v>
      </c>
      <c r="S334">
        <v>2</v>
      </c>
      <c r="T334">
        <v>5</v>
      </c>
      <c r="U334" t="s">
        <v>30</v>
      </c>
      <c r="V334" t="s">
        <v>54</v>
      </c>
      <c r="W334" t="s">
        <v>56</v>
      </c>
      <c r="X334" t="s">
        <v>40</v>
      </c>
      <c r="Y334">
        <v>40</v>
      </c>
      <c r="Z334" s="1">
        <v>45459</v>
      </c>
      <c r="AA334" t="str" cm="1">
        <f t="array" ref="AA3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34" t="str" cm="1">
        <f t="array" ref="AC334">_xlfn.IFS(Table2[[#This Row],[Satification_points]]&gt;=4.5,"GREAT",AND(Table2[[#This Row],[Satification_points]]&gt;=4,Table2[[#This Row],[Satification_points]]&lt;4.5),"GOOD",AND(Table2[[#This Row],[Satification_points]]&gt;=3,Table2[[#This Row],[Satification_points]]&lt;4),"AVERAGE",Table2[[#This Row],[Satification_points]]&lt;3,"POOR")</f>
        <v>POOR</v>
      </c>
    </row>
    <row r="335" spans="1:29" x14ac:dyDescent="0.3">
      <c r="A335">
        <v>334</v>
      </c>
      <c r="B335">
        <v>38454</v>
      </c>
      <c r="C335" t="s">
        <v>391</v>
      </c>
      <c r="D335" t="s">
        <v>41</v>
      </c>
      <c r="E335" t="s">
        <v>45</v>
      </c>
      <c r="F335" s="1">
        <v>45655</v>
      </c>
      <c r="G335" s="1">
        <v>45656</v>
      </c>
      <c r="H335">
        <v>12</v>
      </c>
      <c r="I335" t="s">
        <v>50</v>
      </c>
      <c r="J335" t="s">
        <v>53</v>
      </c>
      <c r="K335">
        <v>3</v>
      </c>
      <c r="L335">
        <v>2</v>
      </c>
      <c r="M335">
        <v>4</v>
      </c>
      <c r="N335">
        <v>4</v>
      </c>
      <c r="O335">
        <v>2</v>
      </c>
      <c r="P335">
        <v>4</v>
      </c>
      <c r="Q335">
        <v>3</v>
      </c>
      <c r="R335">
        <v>1</v>
      </c>
      <c r="S335">
        <v>3</v>
      </c>
      <c r="T335">
        <v>1</v>
      </c>
      <c r="U335" t="s">
        <v>30</v>
      </c>
      <c r="V335" t="s">
        <v>58</v>
      </c>
      <c r="W335" t="s">
        <v>47</v>
      </c>
      <c r="X335" t="s">
        <v>44</v>
      </c>
      <c r="Y335">
        <v>38</v>
      </c>
      <c r="Z335" s="1">
        <v>45656</v>
      </c>
      <c r="AA335" t="str" cm="1">
        <f t="array" ref="AA335">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35" t="str" cm="1">
        <f t="array" ref="AC335">_xlfn.IFS(Table2[[#This Row],[Satification_points]]&gt;=4.5,"GREAT",AND(Table2[[#This Row],[Satification_points]]&gt;=4,Table2[[#This Row],[Satification_points]]&lt;4.5),"GOOD",AND(Table2[[#This Row],[Satification_points]]&gt;=3,Table2[[#This Row],[Satification_points]]&lt;4),"AVERAGE",Table2[[#This Row],[Satification_points]]&lt;3,"POOR")</f>
        <v>POOR</v>
      </c>
    </row>
    <row r="336" spans="1:29" x14ac:dyDescent="0.3">
      <c r="A336">
        <v>335</v>
      </c>
      <c r="B336">
        <v>75599</v>
      </c>
      <c r="C336" t="s">
        <v>392</v>
      </c>
      <c r="D336" t="s">
        <v>41</v>
      </c>
      <c r="E336" t="s">
        <v>52</v>
      </c>
      <c r="F336" s="1">
        <v>45585</v>
      </c>
      <c r="G336" s="1">
        <v>45586</v>
      </c>
      <c r="H336">
        <v>12</v>
      </c>
      <c r="I336" t="s">
        <v>50</v>
      </c>
      <c r="J336" t="s">
        <v>53</v>
      </c>
      <c r="K336">
        <v>4</v>
      </c>
      <c r="L336">
        <v>3</v>
      </c>
      <c r="M336">
        <v>1</v>
      </c>
      <c r="N336">
        <v>2</v>
      </c>
      <c r="O336">
        <v>1</v>
      </c>
      <c r="P336">
        <v>5</v>
      </c>
      <c r="Q336">
        <v>1</v>
      </c>
      <c r="R336">
        <v>5</v>
      </c>
      <c r="S336">
        <v>2</v>
      </c>
      <c r="T336">
        <v>5</v>
      </c>
      <c r="U336" t="s">
        <v>37</v>
      </c>
      <c r="V336" t="s">
        <v>31</v>
      </c>
      <c r="W336" t="s">
        <v>47</v>
      </c>
      <c r="X336" t="s">
        <v>33</v>
      </c>
      <c r="Y336">
        <v>19</v>
      </c>
      <c r="Z336" s="1">
        <v>45586</v>
      </c>
      <c r="AA336" t="str" cm="1">
        <f t="array" ref="AA336">_xlfn.IFS(AND(Table2[[#This Row],[Guest_Age]]&gt;=18,Table2[[#This Row],[Guest_Age]]&lt;=25),"Young Adults",AND(Table2[[#This Row],[Guest_Age]]&gt;=26,Table2[[#This Row],[Guest_Age]]&lt;=35),"Adults",AND(Table2[[#This Row],[Guest_Age]]&gt;=36,Table2[[#This Row],[Guest_Age]]&lt;=50),"Middle Aged Adults",Table2[[#This Row],[Guest_Age]]&gt;50,"Senior")</f>
        <v>Young Adults</v>
      </c>
      <c r="AB3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36" t="str" cm="1">
        <f t="array" ref="AC336">_xlfn.IFS(Table2[[#This Row],[Satification_points]]&gt;=4.5,"GREAT",AND(Table2[[#This Row],[Satification_points]]&gt;=4,Table2[[#This Row],[Satification_points]]&lt;4.5),"GOOD",AND(Table2[[#This Row],[Satification_points]]&gt;=3,Table2[[#This Row],[Satification_points]]&lt;4),"AVERAGE",Table2[[#This Row],[Satification_points]]&lt;3,"POOR")</f>
        <v>POOR</v>
      </c>
    </row>
    <row r="337" spans="1:29" x14ac:dyDescent="0.3">
      <c r="A337">
        <v>336</v>
      </c>
      <c r="B337">
        <v>50989</v>
      </c>
      <c r="C337" t="s">
        <v>393</v>
      </c>
      <c r="D337" t="s">
        <v>26</v>
      </c>
      <c r="E337" t="s">
        <v>27</v>
      </c>
      <c r="F337" s="1">
        <v>45656</v>
      </c>
      <c r="G337" s="1">
        <v>45657</v>
      </c>
      <c r="H337">
        <v>5</v>
      </c>
      <c r="I337" t="s">
        <v>49</v>
      </c>
      <c r="J337" t="s">
        <v>53</v>
      </c>
      <c r="K337">
        <v>4</v>
      </c>
      <c r="L337">
        <v>5</v>
      </c>
      <c r="M337">
        <v>3</v>
      </c>
      <c r="N337">
        <v>1</v>
      </c>
      <c r="O337">
        <v>2</v>
      </c>
      <c r="P337">
        <v>4</v>
      </c>
      <c r="Q337">
        <v>5</v>
      </c>
      <c r="R337">
        <v>3</v>
      </c>
      <c r="S337">
        <v>4</v>
      </c>
      <c r="T337">
        <v>1</v>
      </c>
      <c r="U337" t="s">
        <v>30</v>
      </c>
      <c r="V337" t="s">
        <v>31</v>
      </c>
      <c r="W337" t="s">
        <v>47</v>
      </c>
      <c r="X337" t="s">
        <v>40</v>
      </c>
      <c r="Y337">
        <v>48</v>
      </c>
      <c r="Z337" s="1">
        <v>45657</v>
      </c>
      <c r="AA337" t="str" cm="1">
        <f t="array" ref="AA337">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37" t="str" cm="1">
        <f t="array" ref="AC337">_xlfn.IFS(Table2[[#This Row],[Satification_points]]&gt;=4.5,"GREAT",AND(Table2[[#This Row],[Satification_points]]&gt;=4,Table2[[#This Row],[Satification_points]]&lt;4.5),"GOOD",AND(Table2[[#This Row],[Satification_points]]&gt;=3,Table2[[#This Row],[Satification_points]]&lt;4),"AVERAGE",Table2[[#This Row],[Satification_points]]&lt;3,"POOR")</f>
        <v>AVERAGE</v>
      </c>
    </row>
    <row r="338" spans="1:29" x14ac:dyDescent="0.3">
      <c r="A338">
        <v>337</v>
      </c>
      <c r="B338">
        <v>38547</v>
      </c>
      <c r="C338" t="s">
        <v>394</v>
      </c>
      <c r="D338" t="s">
        <v>51</v>
      </c>
      <c r="E338" t="s">
        <v>57</v>
      </c>
      <c r="F338" s="1">
        <v>45534</v>
      </c>
      <c r="G338" s="1">
        <v>45535</v>
      </c>
      <c r="H338">
        <v>14</v>
      </c>
      <c r="I338" t="s">
        <v>50</v>
      </c>
      <c r="J338" t="s">
        <v>53</v>
      </c>
      <c r="K338">
        <v>1</v>
      </c>
      <c r="L338">
        <v>1</v>
      </c>
      <c r="M338">
        <v>4</v>
      </c>
      <c r="N338">
        <v>1</v>
      </c>
      <c r="O338">
        <v>3</v>
      </c>
      <c r="P338">
        <v>4</v>
      </c>
      <c r="Q338">
        <v>1</v>
      </c>
      <c r="R338">
        <v>1</v>
      </c>
      <c r="S338">
        <v>1</v>
      </c>
      <c r="T338">
        <v>3</v>
      </c>
      <c r="U338" t="s">
        <v>37</v>
      </c>
      <c r="V338" t="s">
        <v>38</v>
      </c>
      <c r="W338" t="s">
        <v>56</v>
      </c>
      <c r="X338" t="s">
        <v>44</v>
      </c>
      <c r="Y338">
        <v>19</v>
      </c>
      <c r="Z338" s="1">
        <v>45618</v>
      </c>
      <c r="AA338" t="str" cm="1">
        <f t="array" ref="AA338">_xlfn.IFS(AND(Table2[[#This Row],[Guest_Age]]&gt;=18,Table2[[#This Row],[Guest_Age]]&lt;=25),"Young Adults",AND(Table2[[#This Row],[Guest_Age]]&gt;=26,Table2[[#This Row],[Guest_Age]]&lt;=35),"Adults",AND(Table2[[#This Row],[Guest_Age]]&gt;=36,Table2[[#This Row],[Guest_Age]]&lt;=50),"Middle Aged Adults",Table2[[#This Row],[Guest_Age]]&gt;50,"Senior")</f>
        <v>Young Adults</v>
      </c>
      <c r="AB3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338" t="str" cm="1">
        <f t="array" ref="AC338">_xlfn.IFS(Table2[[#This Row],[Satification_points]]&gt;=4.5,"GREAT",AND(Table2[[#This Row],[Satification_points]]&gt;=4,Table2[[#This Row],[Satification_points]]&lt;4.5),"GOOD",AND(Table2[[#This Row],[Satification_points]]&gt;=3,Table2[[#This Row],[Satification_points]]&lt;4),"AVERAGE",Table2[[#This Row],[Satification_points]]&lt;3,"POOR")</f>
        <v>POOR</v>
      </c>
    </row>
    <row r="339" spans="1:29" x14ac:dyDescent="0.3">
      <c r="A339">
        <v>338</v>
      </c>
      <c r="B339">
        <v>63804</v>
      </c>
      <c r="C339" t="s">
        <v>395</v>
      </c>
      <c r="D339" t="s">
        <v>41</v>
      </c>
      <c r="E339" t="s">
        <v>52</v>
      </c>
      <c r="F339" s="1">
        <v>45373</v>
      </c>
      <c r="G339" s="1">
        <v>45438</v>
      </c>
      <c r="H339">
        <v>7</v>
      </c>
      <c r="I339" t="s">
        <v>50</v>
      </c>
      <c r="J339" t="s">
        <v>40</v>
      </c>
      <c r="K339">
        <v>2</v>
      </c>
      <c r="L339">
        <v>2</v>
      </c>
      <c r="M339">
        <v>3</v>
      </c>
      <c r="N339">
        <v>3</v>
      </c>
      <c r="O339">
        <v>2</v>
      </c>
      <c r="P339">
        <v>2</v>
      </c>
      <c r="Q339">
        <v>3</v>
      </c>
      <c r="R339">
        <v>5</v>
      </c>
      <c r="S339">
        <v>5</v>
      </c>
      <c r="T339">
        <v>1</v>
      </c>
      <c r="U339" t="s">
        <v>37</v>
      </c>
      <c r="V339" t="s">
        <v>38</v>
      </c>
      <c r="W339" t="s">
        <v>32</v>
      </c>
      <c r="X339" t="s">
        <v>40</v>
      </c>
      <c r="Y339">
        <v>47</v>
      </c>
      <c r="Z339" s="1">
        <v>45438</v>
      </c>
      <c r="AA339" t="str" cm="1">
        <f t="array" ref="AA3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39" t="str" cm="1">
        <f t="array" ref="AC339">_xlfn.IFS(Table2[[#This Row],[Satification_points]]&gt;=4.5,"GREAT",AND(Table2[[#This Row],[Satification_points]]&gt;=4,Table2[[#This Row],[Satification_points]]&lt;4.5),"GOOD",AND(Table2[[#This Row],[Satification_points]]&gt;=3,Table2[[#This Row],[Satification_points]]&lt;4),"AVERAGE",Table2[[#This Row],[Satification_points]]&lt;3,"POOR")</f>
        <v>POOR</v>
      </c>
    </row>
    <row r="340" spans="1:29" x14ac:dyDescent="0.3">
      <c r="A340">
        <v>339</v>
      </c>
      <c r="B340">
        <v>65941</v>
      </c>
      <c r="C340" t="s">
        <v>396</v>
      </c>
      <c r="D340" t="s">
        <v>48</v>
      </c>
      <c r="E340" t="s">
        <v>27</v>
      </c>
      <c r="F340" s="1">
        <v>45488</v>
      </c>
      <c r="G340" s="1">
        <v>45489</v>
      </c>
      <c r="H340">
        <v>12</v>
      </c>
      <c r="I340" t="s">
        <v>49</v>
      </c>
      <c r="J340" t="s">
        <v>40</v>
      </c>
      <c r="K340">
        <v>2</v>
      </c>
      <c r="L340">
        <v>5</v>
      </c>
      <c r="M340">
        <v>2</v>
      </c>
      <c r="N340">
        <v>2</v>
      </c>
      <c r="O340">
        <v>1</v>
      </c>
      <c r="P340">
        <v>5</v>
      </c>
      <c r="Q340">
        <v>5</v>
      </c>
      <c r="R340">
        <v>4</v>
      </c>
      <c r="S340">
        <v>1</v>
      </c>
      <c r="T340">
        <v>4</v>
      </c>
      <c r="U340" t="s">
        <v>37</v>
      </c>
      <c r="V340" t="s">
        <v>46</v>
      </c>
      <c r="W340" t="s">
        <v>47</v>
      </c>
      <c r="X340" t="s">
        <v>40</v>
      </c>
      <c r="Y340">
        <v>42</v>
      </c>
      <c r="Z340" s="1">
        <v>45489</v>
      </c>
      <c r="AA340" t="str" cm="1">
        <f t="array" ref="AA3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3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40" t="str" cm="1">
        <f t="array" ref="AC340">_xlfn.IFS(Table2[[#This Row],[Satification_points]]&gt;=4.5,"GREAT",AND(Table2[[#This Row],[Satification_points]]&gt;=4,Table2[[#This Row],[Satification_points]]&lt;4.5),"GOOD",AND(Table2[[#This Row],[Satification_points]]&gt;=3,Table2[[#This Row],[Satification_points]]&lt;4),"AVERAGE",Table2[[#This Row],[Satification_points]]&lt;3,"POOR")</f>
        <v>AVERAGE</v>
      </c>
    </row>
    <row r="341" spans="1:29" x14ac:dyDescent="0.3">
      <c r="A341">
        <v>340</v>
      </c>
      <c r="B341">
        <v>33567</v>
      </c>
      <c r="C341" t="s">
        <v>397</v>
      </c>
      <c r="D341" t="s">
        <v>41</v>
      </c>
      <c r="E341" t="s">
        <v>57</v>
      </c>
      <c r="F341" s="1">
        <v>45383</v>
      </c>
      <c r="G341" s="1">
        <v>45384</v>
      </c>
      <c r="H341">
        <v>4</v>
      </c>
      <c r="I341" t="s">
        <v>50</v>
      </c>
      <c r="J341" t="s">
        <v>29</v>
      </c>
      <c r="K341">
        <v>4</v>
      </c>
      <c r="L341">
        <v>2</v>
      </c>
      <c r="M341">
        <v>5</v>
      </c>
      <c r="N341">
        <v>1</v>
      </c>
      <c r="O341">
        <v>2</v>
      </c>
      <c r="P341">
        <v>2</v>
      </c>
      <c r="Q341">
        <v>4</v>
      </c>
      <c r="R341">
        <v>2</v>
      </c>
      <c r="S341">
        <v>3</v>
      </c>
      <c r="T341">
        <v>1</v>
      </c>
      <c r="U341" t="s">
        <v>37</v>
      </c>
      <c r="V341" t="s">
        <v>54</v>
      </c>
      <c r="W341" t="s">
        <v>39</v>
      </c>
      <c r="X341" t="s">
        <v>33</v>
      </c>
      <c r="Y341">
        <v>66</v>
      </c>
      <c r="Z341" s="1">
        <v>45599</v>
      </c>
      <c r="AA341" t="str" cm="1">
        <f t="array" ref="AA341">_xlfn.IFS(AND(Table2[[#This Row],[Guest_Age]]&gt;=18,Table2[[#This Row],[Guest_Age]]&lt;=25),"Young Adults",AND(Table2[[#This Row],[Guest_Age]]&gt;=26,Table2[[#This Row],[Guest_Age]]&lt;=35),"Adults",AND(Table2[[#This Row],[Guest_Age]]&gt;=36,Table2[[#This Row],[Guest_Age]]&lt;=50),"Middle Aged Adults",Table2[[#This Row],[Guest_Age]]&gt;50,"Senior")</f>
        <v>Senior</v>
      </c>
      <c r="AB3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341" t="str" cm="1">
        <f t="array" ref="AC341">_xlfn.IFS(Table2[[#This Row],[Satification_points]]&gt;=4.5,"GREAT",AND(Table2[[#This Row],[Satification_points]]&gt;=4,Table2[[#This Row],[Satification_points]]&lt;4.5),"GOOD",AND(Table2[[#This Row],[Satification_points]]&gt;=3,Table2[[#This Row],[Satification_points]]&lt;4),"AVERAGE",Table2[[#This Row],[Satification_points]]&lt;3,"POOR")</f>
        <v>POOR</v>
      </c>
    </row>
    <row r="342" spans="1:29" x14ac:dyDescent="0.3">
      <c r="A342">
        <v>341</v>
      </c>
      <c r="B342">
        <v>12325</v>
      </c>
      <c r="C342" t="s">
        <v>398</v>
      </c>
      <c r="D342" t="s">
        <v>41</v>
      </c>
      <c r="E342" t="s">
        <v>45</v>
      </c>
      <c r="F342" s="1">
        <v>45481</v>
      </c>
      <c r="G342" s="1">
        <v>45482</v>
      </c>
      <c r="H342">
        <v>5</v>
      </c>
      <c r="I342" t="s">
        <v>42</v>
      </c>
      <c r="J342" t="s">
        <v>53</v>
      </c>
      <c r="K342">
        <v>1</v>
      </c>
      <c r="L342">
        <v>3</v>
      </c>
      <c r="M342">
        <v>1</v>
      </c>
      <c r="N342">
        <v>3</v>
      </c>
      <c r="O342">
        <v>4</v>
      </c>
      <c r="P342">
        <v>3</v>
      </c>
      <c r="Q342">
        <v>2</v>
      </c>
      <c r="R342">
        <v>1</v>
      </c>
      <c r="S342">
        <v>1</v>
      </c>
      <c r="T342">
        <v>3</v>
      </c>
      <c r="U342" t="s">
        <v>37</v>
      </c>
      <c r="V342" t="s">
        <v>46</v>
      </c>
      <c r="W342" t="s">
        <v>56</v>
      </c>
      <c r="X342" t="s">
        <v>44</v>
      </c>
      <c r="Y342">
        <v>36</v>
      </c>
      <c r="Z342" s="1">
        <v>45482</v>
      </c>
      <c r="AA342" t="str" cm="1">
        <f t="array" ref="AA3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3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342" t="str" cm="1">
        <f t="array" ref="AC342">_xlfn.IFS(Table2[[#This Row],[Satification_points]]&gt;=4.5,"GREAT",AND(Table2[[#This Row],[Satification_points]]&gt;=4,Table2[[#This Row],[Satification_points]]&lt;4.5),"GOOD",AND(Table2[[#This Row],[Satification_points]]&gt;=3,Table2[[#This Row],[Satification_points]]&lt;4),"AVERAGE",Table2[[#This Row],[Satification_points]]&lt;3,"POOR")</f>
        <v>POOR</v>
      </c>
    </row>
    <row r="343" spans="1:29" x14ac:dyDescent="0.3">
      <c r="A343">
        <v>342</v>
      </c>
      <c r="B343">
        <v>81386</v>
      </c>
      <c r="C343" t="s">
        <v>399</v>
      </c>
      <c r="D343" t="s">
        <v>51</v>
      </c>
      <c r="E343" t="s">
        <v>27</v>
      </c>
      <c r="F343" s="1">
        <v>45457</v>
      </c>
      <c r="G343" s="1">
        <v>45458</v>
      </c>
      <c r="H343">
        <v>4</v>
      </c>
      <c r="I343" t="s">
        <v>49</v>
      </c>
      <c r="J343" t="s">
        <v>36</v>
      </c>
      <c r="K343">
        <v>5</v>
      </c>
      <c r="L343">
        <v>2</v>
      </c>
      <c r="M343">
        <v>3</v>
      </c>
      <c r="N343">
        <v>1</v>
      </c>
      <c r="O343">
        <v>4</v>
      </c>
      <c r="P343">
        <v>1</v>
      </c>
      <c r="Q343">
        <v>4</v>
      </c>
      <c r="R343">
        <v>4</v>
      </c>
      <c r="S343">
        <v>5</v>
      </c>
      <c r="T343">
        <v>5</v>
      </c>
      <c r="U343" t="s">
        <v>30</v>
      </c>
      <c r="V343" t="s">
        <v>46</v>
      </c>
      <c r="W343" t="s">
        <v>55</v>
      </c>
      <c r="X343" t="s">
        <v>40</v>
      </c>
      <c r="Y343">
        <v>18</v>
      </c>
      <c r="Z343" s="1">
        <v>45458</v>
      </c>
      <c r="AA343" t="str" cm="1">
        <f t="array" ref="AA343">_xlfn.IFS(AND(Table2[[#This Row],[Guest_Age]]&gt;=18,Table2[[#This Row],[Guest_Age]]&lt;=25),"Young Adults",AND(Table2[[#This Row],[Guest_Age]]&gt;=26,Table2[[#This Row],[Guest_Age]]&lt;=35),"Adults",AND(Table2[[#This Row],[Guest_Age]]&gt;=36,Table2[[#This Row],[Guest_Age]]&lt;=50),"Middle Aged Adults",Table2[[#This Row],[Guest_Age]]&gt;50,"Senior")</f>
        <v>Young Adults</v>
      </c>
      <c r="AB3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43" t="str" cm="1">
        <f t="array" ref="AC343">_xlfn.IFS(Table2[[#This Row],[Satification_points]]&gt;=4.5,"GREAT",AND(Table2[[#This Row],[Satification_points]]&gt;=4,Table2[[#This Row],[Satification_points]]&lt;4.5),"GOOD",AND(Table2[[#This Row],[Satification_points]]&gt;=3,Table2[[#This Row],[Satification_points]]&lt;4),"AVERAGE",Table2[[#This Row],[Satification_points]]&lt;3,"POOR")</f>
        <v>AVERAGE</v>
      </c>
    </row>
    <row r="344" spans="1:29" x14ac:dyDescent="0.3">
      <c r="A344">
        <v>343</v>
      </c>
      <c r="B344">
        <v>79908</v>
      </c>
      <c r="C344" t="s">
        <v>400</v>
      </c>
      <c r="D344" t="s">
        <v>26</v>
      </c>
      <c r="E344" t="s">
        <v>35</v>
      </c>
      <c r="F344" s="1">
        <v>45039</v>
      </c>
      <c r="G344" s="1">
        <v>45488</v>
      </c>
      <c r="H344">
        <v>14</v>
      </c>
      <c r="I344" t="s">
        <v>42</v>
      </c>
      <c r="J344" t="s">
        <v>53</v>
      </c>
      <c r="K344">
        <v>4</v>
      </c>
      <c r="L344">
        <v>2</v>
      </c>
      <c r="M344">
        <v>4</v>
      </c>
      <c r="N344">
        <v>5</v>
      </c>
      <c r="O344">
        <v>5</v>
      </c>
      <c r="P344">
        <v>2</v>
      </c>
      <c r="Q344">
        <v>4</v>
      </c>
      <c r="R344">
        <v>1</v>
      </c>
      <c r="S344">
        <v>1</v>
      </c>
      <c r="T344">
        <v>4</v>
      </c>
      <c r="U344" t="s">
        <v>30</v>
      </c>
      <c r="V344" t="s">
        <v>31</v>
      </c>
      <c r="W344" t="s">
        <v>55</v>
      </c>
      <c r="X344" t="s">
        <v>33</v>
      </c>
      <c r="Y344">
        <v>54</v>
      </c>
      <c r="Z344" s="1">
        <v>45587</v>
      </c>
      <c r="AA344" t="str" cm="1">
        <f t="array" ref="AA344">_xlfn.IFS(AND(Table2[[#This Row],[Guest_Age]]&gt;=18,Table2[[#This Row],[Guest_Age]]&lt;=25),"Young Adults",AND(Table2[[#This Row],[Guest_Age]]&gt;=26,Table2[[#This Row],[Guest_Age]]&lt;=35),"Adults",AND(Table2[[#This Row],[Guest_Age]]&gt;=36,Table2[[#This Row],[Guest_Age]]&lt;=50),"Middle Aged Adults",Table2[[#This Row],[Guest_Age]]&gt;50,"Senior")</f>
        <v>Senior</v>
      </c>
      <c r="AB3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44" t="str" cm="1">
        <f t="array" ref="AC344">_xlfn.IFS(Table2[[#This Row],[Satification_points]]&gt;=4.5,"GREAT",AND(Table2[[#This Row],[Satification_points]]&gt;=4,Table2[[#This Row],[Satification_points]]&lt;4.5),"GOOD",AND(Table2[[#This Row],[Satification_points]]&gt;=3,Table2[[#This Row],[Satification_points]]&lt;4),"AVERAGE",Table2[[#This Row],[Satification_points]]&lt;3,"POOR")</f>
        <v>AVERAGE</v>
      </c>
    </row>
    <row r="345" spans="1:29" x14ac:dyDescent="0.3">
      <c r="A345">
        <v>344</v>
      </c>
      <c r="B345">
        <v>65516</v>
      </c>
      <c r="C345" t="s">
        <v>401</v>
      </c>
      <c r="D345" t="s">
        <v>34</v>
      </c>
      <c r="E345" t="s">
        <v>57</v>
      </c>
      <c r="F345" s="1">
        <v>45651</v>
      </c>
      <c r="G345" s="1">
        <v>45652</v>
      </c>
      <c r="H345">
        <v>9</v>
      </c>
      <c r="I345" t="s">
        <v>42</v>
      </c>
      <c r="J345" t="s">
        <v>43</v>
      </c>
      <c r="K345">
        <v>5</v>
      </c>
      <c r="L345">
        <v>3</v>
      </c>
      <c r="M345">
        <v>1</v>
      </c>
      <c r="N345">
        <v>3</v>
      </c>
      <c r="O345">
        <v>5</v>
      </c>
      <c r="P345">
        <v>5</v>
      </c>
      <c r="Q345">
        <v>1</v>
      </c>
      <c r="R345">
        <v>1</v>
      </c>
      <c r="S345">
        <v>2</v>
      </c>
      <c r="T345">
        <v>1</v>
      </c>
      <c r="U345" t="s">
        <v>30</v>
      </c>
      <c r="V345" t="s">
        <v>38</v>
      </c>
      <c r="W345" t="s">
        <v>56</v>
      </c>
      <c r="X345" t="s">
        <v>40</v>
      </c>
      <c r="Y345">
        <v>45</v>
      </c>
      <c r="Z345" s="1">
        <v>45652</v>
      </c>
      <c r="AA345" t="str" cm="1">
        <f t="array" ref="AA3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3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45" t="str" cm="1">
        <f t="array" ref="AC345">_xlfn.IFS(Table2[[#This Row],[Satification_points]]&gt;=4.5,"GREAT",AND(Table2[[#This Row],[Satification_points]]&gt;=4,Table2[[#This Row],[Satification_points]]&lt;4.5),"GOOD",AND(Table2[[#This Row],[Satification_points]]&gt;=3,Table2[[#This Row],[Satification_points]]&lt;4),"AVERAGE",Table2[[#This Row],[Satification_points]]&lt;3,"POOR")</f>
        <v>POOR</v>
      </c>
    </row>
    <row r="346" spans="1:29" x14ac:dyDescent="0.3">
      <c r="A346">
        <v>345</v>
      </c>
      <c r="B346">
        <v>31149</v>
      </c>
      <c r="C346" t="s">
        <v>402</v>
      </c>
      <c r="D346" t="s">
        <v>51</v>
      </c>
      <c r="E346" t="s">
        <v>35</v>
      </c>
      <c r="F346" s="1">
        <v>45456</v>
      </c>
      <c r="G346" s="1">
        <v>45457</v>
      </c>
      <c r="H346">
        <v>2</v>
      </c>
      <c r="I346" t="s">
        <v>28</v>
      </c>
      <c r="J346" t="s">
        <v>36</v>
      </c>
      <c r="K346">
        <v>3</v>
      </c>
      <c r="L346">
        <v>4</v>
      </c>
      <c r="M346">
        <v>3</v>
      </c>
      <c r="N346">
        <v>5</v>
      </c>
      <c r="O346">
        <v>5</v>
      </c>
      <c r="P346">
        <v>2</v>
      </c>
      <c r="Q346">
        <v>4</v>
      </c>
      <c r="R346">
        <v>2</v>
      </c>
      <c r="S346">
        <v>4</v>
      </c>
      <c r="T346">
        <v>2</v>
      </c>
      <c r="U346" t="s">
        <v>37</v>
      </c>
      <c r="V346" t="s">
        <v>31</v>
      </c>
      <c r="W346" t="s">
        <v>55</v>
      </c>
      <c r="X346" t="s">
        <v>33</v>
      </c>
      <c r="Y346">
        <v>37</v>
      </c>
      <c r="Z346" s="1">
        <v>45457</v>
      </c>
      <c r="AA346" t="str" cm="1">
        <f t="array" ref="AA3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3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46" t="str" cm="1">
        <f t="array" ref="AC346">_xlfn.IFS(Table2[[#This Row],[Satification_points]]&gt;=4.5,"GREAT",AND(Table2[[#This Row],[Satification_points]]&gt;=4,Table2[[#This Row],[Satification_points]]&lt;4.5),"GOOD",AND(Table2[[#This Row],[Satification_points]]&gt;=3,Table2[[#This Row],[Satification_points]]&lt;4),"AVERAGE",Table2[[#This Row],[Satification_points]]&lt;3,"POOR")</f>
        <v>AVERAGE</v>
      </c>
    </row>
    <row r="347" spans="1:29" x14ac:dyDescent="0.3">
      <c r="A347">
        <v>346</v>
      </c>
      <c r="B347">
        <v>99111</v>
      </c>
      <c r="C347" t="s">
        <v>403</v>
      </c>
      <c r="D347" t="s">
        <v>26</v>
      </c>
      <c r="E347" t="s">
        <v>45</v>
      </c>
      <c r="F347" s="1">
        <v>45572</v>
      </c>
      <c r="G347" s="1">
        <v>45573</v>
      </c>
      <c r="H347">
        <v>1</v>
      </c>
      <c r="I347" t="s">
        <v>28</v>
      </c>
      <c r="J347" t="s">
        <v>43</v>
      </c>
      <c r="K347">
        <v>2</v>
      </c>
      <c r="L347">
        <v>5</v>
      </c>
      <c r="M347">
        <v>2</v>
      </c>
      <c r="N347">
        <v>1</v>
      </c>
      <c r="O347">
        <v>5</v>
      </c>
      <c r="P347">
        <v>1</v>
      </c>
      <c r="Q347">
        <v>2</v>
      </c>
      <c r="R347">
        <v>4</v>
      </c>
      <c r="S347">
        <v>1</v>
      </c>
      <c r="T347">
        <v>5</v>
      </c>
      <c r="U347" t="s">
        <v>37</v>
      </c>
      <c r="V347" t="s">
        <v>54</v>
      </c>
      <c r="W347" t="s">
        <v>56</v>
      </c>
      <c r="X347" t="s">
        <v>44</v>
      </c>
      <c r="Y347">
        <v>65</v>
      </c>
      <c r="Z347" s="1">
        <v>45573</v>
      </c>
      <c r="AA347" t="str" cm="1">
        <f t="array" ref="AA347">_xlfn.IFS(AND(Table2[[#This Row],[Guest_Age]]&gt;=18,Table2[[#This Row],[Guest_Age]]&lt;=25),"Young Adults",AND(Table2[[#This Row],[Guest_Age]]&gt;=26,Table2[[#This Row],[Guest_Age]]&lt;=35),"Adults",AND(Table2[[#This Row],[Guest_Age]]&gt;=36,Table2[[#This Row],[Guest_Age]]&lt;=50),"Middle Aged Adults",Table2[[#This Row],[Guest_Age]]&gt;50,"Senior")</f>
        <v>Senior</v>
      </c>
      <c r="AB3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47" t="str" cm="1">
        <f t="array" ref="AC347">_xlfn.IFS(Table2[[#This Row],[Satification_points]]&gt;=4.5,"GREAT",AND(Table2[[#This Row],[Satification_points]]&gt;=4,Table2[[#This Row],[Satification_points]]&lt;4.5),"GOOD",AND(Table2[[#This Row],[Satification_points]]&gt;=3,Table2[[#This Row],[Satification_points]]&lt;4),"AVERAGE",Table2[[#This Row],[Satification_points]]&lt;3,"POOR")</f>
        <v>POOR</v>
      </c>
    </row>
    <row r="348" spans="1:29" x14ac:dyDescent="0.3">
      <c r="A348">
        <v>347</v>
      </c>
      <c r="B348">
        <v>12879</v>
      </c>
      <c r="C348" t="s">
        <v>404</v>
      </c>
      <c r="D348" t="s">
        <v>48</v>
      </c>
      <c r="E348" t="s">
        <v>45</v>
      </c>
      <c r="F348" s="1">
        <v>45452</v>
      </c>
      <c r="G348" s="1">
        <v>45453</v>
      </c>
      <c r="H348">
        <v>4</v>
      </c>
      <c r="I348" t="s">
        <v>50</v>
      </c>
      <c r="J348" t="s">
        <v>36</v>
      </c>
      <c r="K348">
        <v>4</v>
      </c>
      <c r="L348">
        <v>3</v>
      </c>
      <c r="M348">
        <v>4</v>
      </c>
      <c r="N348">
        <v>3</v>
      </c>
      <c r="O348">
        <v>2</v>
      </c>
      <c r="P348">
        <v>2</v>
      </c>
      <c r="Q348">
        <v>5</v>
      </c>
      <c r="R348">
        <v>5</v>
      </c>
      <c r="S348">
        <v>4</v>
      </c>
      <c r="T348">
        <v>4</v>
      </c>
      <c r="U348" t="s">
        <v>37</v>
      </c>
      <c r="V348" t="s">
        <v>46</v>
      </c>
      <c r="W348" t="s">
        <v>32</v>
      </c>
      <c r="X348" t="s">
        <v>44</v>
      </c>
      <c r="Y348">
        <v>22</v>
      </c>
      <c r="Z348" s="1">
        <v>45453</v>
      </c>
      <c r="AA348" t="str" cm="1">
        <f t="array" ref="AA348">_xlfn.IFS(AND(Table2[[#This Row],[Guest_Age]]&gt;=18,Table2[[#This Row],[Guest_Age]]&lt;=25),"Young Adults",AND(Table2[[#This Row],[Guest_Age]]&gt;=26,Table2[[#This Row],[Guest_Age]]&lt;=35),"Adults",AND(Table2[[#This Row],[Guest_Age]]&gt;=36,Table2[[#This Row],[Guest_Age]]&lt;=50),"Middle Aged Adults",Table2[[#This Row],[Guest_Age]]&gt;50,"Senior")</f>
        <v>Young Adults</v>
      </c>
      <c r="AB3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48" t="str" cm="1">
        <f t="array" ref="AC348">_xlfn.IFS(Table2[[#This Row],[Satification_points]]&gt;=4.5,"GREAT",AND(Table2[[#This Row],[Satification_points]]&gt;=4,Table2[[#This Row],[Satification_points]]&lt;4.5),"GOOD",AND(Table2[[#This Row],[Satification_points]]&gt;=3,Table2[[#This Row],[Satification_points]]&lt;4),"AVERAGE",Table2[[#This Row],[Satification_points]]&lt;3,"POOR")</f>
        <v>AVERAGE</v>
      </c>
    </row>
    <row r="349" spans="1:29" x14ac:dyDescent="0.3">
      <c r="A349">
        <v>348</v>
      </c>
      <c r="B349">
        <v>94701</v>
      </c>
      <c r="C349" t="s">
        <v>405</v>
      </c>
      <c r="D349" t="s">
        <v>34</v>
      </c>
      <c r="E349" t="s">
        <v>52</v>
      </c>
      <c r="F349" s="1">
        <v>44990</v>
      </c>
      <c r="G349" s="1">
        <v>45215</v>
      </c>
      <c r="H349">
        <v>14</v>
      </c>
      <c r="I349" t="s">
        <v>42</v>
      </c>
      <c r="J349" t="s">
        <v>29</v>
      </c>
      <c r="K349">
        <v>3</v>
      </c>
      <c r="L349">
        <v>3</v>
      </c>
      <c r="M349">
        <v>5</v>
      </c>
      <c r="N349">
        <v>2</v>
      </c>
      <c r="O349">
        <v>1</v>
      </c>
      <c r="P349">
        <v>1</v>
      </c>
      <c r="Q349">
        <v>5</v>
      </c>
      <c r="R349">
        <v>3</v>
      </c>
      <c r="S349">
        <v>4</v>
      </c>
      <c r="T349">
        <v>4</v>
      </c>
      <c r="U349" t="s">
        <v>30</v>
      </c>
      <c r="V349" t="s">
        <v>46</v>
      </c>
      <c r="W349" t="s">
        <v>56</v>
      </c>
      <c r="X349" t="s">
        <v>44</v>
      </c>
      <c r="Y349">
        <v>47</v>
      </c>
      <c r="Z349" s="1">
        <v>45418</v>
      </c>
      <c r="AA349" t="str" cm="1">
        <f t="array" ref="AA34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49" t="str" cm="1">
        <f t="array" ref="AC349">_xlfn.IFS(Table2[[#This Row],[Satification_points]]&gt;=4.5,"GREAT",AND(Table2[[#This Row],[Satification_points]]&gt;=4,Table2[[#This Row],[Satification_points]]&lt;4.5),"GOOD",AND(Table2[[#This Row],[Satification_points]]&gt;=3,Table2[[#This Row],[Satification_points]]&lt;4),"AVERAGE",Table2[[#This Row],[Satification_points]]&lt;3,"POOR")</f>
        <v>AVERAGE</v>
      </c>
    </row>
    <row r="350" spans="1:29" x14ac:dyDescent="0.3">
      <c r="A350">
        <v>349</v>
      </c>
      <c r="B350">
        <v>87849</v>
      </c>
      <c r="C350" t="s">
        <v>406</v>
      </c>
      <c r="D350" t="s">
        <v>26</v>
      </c>
      <c r="E350" t="s">
        <v>45</v>
      </c>
      <c r="F350" s="1">
        <v>45319</v>
      </c>
      <c r="G350" s="1">
        <v>45320</v>
      </c>
      <c r="H350">
        <v>14</v>
      </c>
      <c r="I350" t="s">
        <v>50</v>
      </c>
      <c r="J350" t="s">
        <v>40</v>
      </c>
      <c r="K350">
        <v>5</v>
      </c>
      <c r="L350">
        <v>5</v>
      </c>
      <c r="M350">
        <v>3</v>
      </c>
      <c r="N350">
        <v>4</v>
      </c>
      <c r="O350">
        <v>2</v>
      </c>
      <c r="P350">
        <v>5</v>
      </c>
      <c r="Q350">
        <v>2</v>
      </c>
      <c r="R350">
        <v>4</v>
      </c>
      <c r="S350">
        <v>4</v>
      </c>
      <c r="T350">
        <v>1</v>
      </c>
      <c r="U350" t="s">
        <v>30</v>
      </c>
      <c r="V350" t="s">
        <v>54</v>
      </c>
      <c r="W350" t="s">
        <v>32</v>
      </c>
      <c r="X350" t="s">
        <v>40</v>
      </c>
      <c r="Y350">
        <v>40</v>
      </c>
      <c r="Z350" s="1">
        <v>45572</v>
      </c>
      <c r="AA350" t="str" cm="1">
        <f t="array" ref="AA3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3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50" t="str" cm="1">
        <f t="array" ref="AC350">_xlfn.IFS(Table2[[#This Row],[Satification_points]]&gt;=4.5,"GREAT",AND(Table2[[#This Row],[Satification_points]]&gt;=4,Table2[[#This Row],[Satification_points]]&lt;4.5),"GOOD",AND(Table2[[#This Row],[Satification_points]]&gt;=3,Table2[[#This Row],[Satification_points]]&lt;4),"AVERAGE",Table2[[#This Row],[Satification_points]]&lt;3,"POOR")</f>
        <v>AVERAGE</v>
      </c>
    </row>
    <row r="351" spans="1:29" x14ac:dyDescent="0.3">
      <c r="A351">
        <v>350</v>
      </c>
      <c r="B351">
        <v>94065</v>
      </c>
      <c r="C351" t="s">
        <v>407</v>
      </c>
      <c r="D351" t="s">
        <v>26</v>
      </c>
      <c r="E351" t="s">
        <v>52</v>
      </c>
      <c r="F351" s="1">
        <v>45601</v>
      </c>
      <c r="G351" s="1">
        <v>45602</v>
      </c>
      <c r="H351">
        <v>12</v>
      </c>
      <c r="I351" t="s">
        <v>49</v>
      </c>
      <c r="J351" t="s">
        <v>29</v>
      </c>
      <c r="K351">
        <v>4</v>
      </c>
      <c r="L351">
        <v>2</v>
      </c>
      <c r="M351">
        <v>4</v>
      </c>
      <c r="N351">
        <v>1</v>
      </c>
      <c r="O351">
        <v>1</v>
      </c>
      <c r="P351">
        <v>2</v>
      </c>
      <c r="Q351">
        <v>1</v>
      </c>
      <c r="R351">
        <v>1</v>
      </c>
      <c r="S351">
        <v>2</v>
      </c>
      <c r="T351">
        <v>5</v>
      </c>
      <c r="U351" t="s">
        <v>30</v>
      </c>
      <c r="V351" t="s">
        <v>46</v>
      </c>
      <c r="W351" t="s">
        <v>56</v>
      </c>
      <c r="X351" t="s">
        <v>44</v>
      </c>
      <c r="Y351">
        <v>59</v>
      </c>
      <c r="Z351" s="1">
        <v>45602</v>
      </c>
      <c r="AA351" t="str" cm="1">
        <f t="array" ref="AA351">_xlfn.IFS(AND(Table2[[#This Row],[Guest_Age]]&gt;=18,Table2[[#This Row],[Guest_Age]]&lt;=25),"Young Adults",AND(Table2[[#This Row],[Guest_Age]]&gt;=26,Table2[[#This Row],[Guest_Age]]&lt;=35),"Adults",AND(Table2[[#This Row],[Guest_Age]]&gt;=36,Table2[[#This Row],[Guest_Age]]&lt;=50),"Middle Aged Adults",Table2[[#This Row],[Guest_Age]]&gt;50,"Senior")</f>
        <v>Senior</v>
      </c>
      <c r="AB3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351" t="str" cm="1">
        <f t="array" ref="AC351">_xlfn.IFS(Table2[[#This Row],[Satification_points]]&gt;=4.5,"GREAT",AND(Table2[[#This Row],[Satification_points]]&gt;=4,Table2[[#This Row],[Satification_points]]&lt;4.5),"GOOD",AND(Table2[[#This Row],[Satification_points]]&gt;=3,Table2[[#This Row],[Satification_points]]&lt;4),"AVERAGE",Table2[[#This Row],[Satification_points]]&lt;3,"POOR")</f>
        <v>POOR</v>
      </c>
    </row>
    <row r="352" spans="1:29" x14ac:dyDescent="0.3">
      <c r="A352">
        <v>351</v>
      </c>
      <c r="B352">
        <v>92195</v>
      </c>
      <c r="C352" t="s">
        <v>408</v>
      </c>
      <c r="D352" t="s">
        <v>51</v>
      </c>
      <c r="E352" t="s">
        <v>57</v>
      </c>
      <c r="F352" s="1">
        <v>45425</v>
      </c>
      <c r="G352" s="1">
        <v>45547</v>
      </c>
      <c r="H352">
        <v>12</v>
      </c>
      <c r="I352" t="s">
        <v>42</v>
      </c>
      <c r="J352" t="s">
        <v>36</v>
      </c>
      <c r="K352">
        <v>3</v>
      </c>
      <c r="L352">
        <v>1</v>
      </c>
      <c r="M352">
        <v>3</v>
      </c>
      <c r="N352">
        <v>3</v>
      </c>
      <c r="O352">
        <v>1</v>
      </c>
      <c r="P352">
        <v>5</v>
      </c>
      <c r="Q352">
        <v>2</v>
      </c>
      <c r="R352">
        <v>4</v>
      </c>
      <c r="S352">
        <v>4</v>
      </c>
      <c r="T352">
        <v>5</v>
      </c>
      <c r="U352" t="s">
        <v>30</v>
      </c>
      <c r="V352" t="s">
        <v>38</v>
      </c>
      <c r="W352" t="s">
        <v>47</v>
      </c>
      <c r="X352" t="s">
        <v>44</v>
      </c>
      <c r="Y352">
        <v>44</v>
      </c>
      <c r="Z352" s="1">
        <v>45547</v>
      </c>
      <c r="AA352" t="str" cm="1">
        <f t="array" ref="AA3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3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52" t="str" cm="1">
        <f t="array" ref="AC352">_xlfn.IFS(Table2[[#This Row],[Satification_points]]&gt;=4.5,"GREAT",AND(Table2[[#This Row],[Satification_points]]&gt;=4,Table2[[#This Row],[Satification_points]]&lt;4.5),"GOOD",AND(Table2[[#This Row],[Satification_points]]&gt;=3,Table2[[#This Row],[Satification_points]]&lt;4),"AVERAGE",Table2[[#This Row],[Satification_points]]&lt;3,"POOR")</f>
        <v>AVERAGE</v>
      </c>
    </row>
    <row r="353" spans="1:29" x14ac:dyDescent="0.3">
      <c r="A353">
        <v>352</v>
      </c>
      <c r="B353">
        <v>24908</v>
      </c>
      <c r="C353" t="s">
        <v>409</v>
      </c>
      <c r="D353" t="s">
        <v>26</v>
      </c>
      <c r="E353" t="s">
        <v>35</v>
      </c>
      <c r="F353" s="1">
        <v>45444</v>
      </c>
      <c r="G353" s="1">
        <v>45445</v>
      </c>
      <c r="H353">
        <v>12</v>
      </c>
      <c r="I353" t="s">
        <v>50</v>
      </c>
      <c r="J353" t="s">
        <v>53</v>
      </c>
      <c r="K353">
        <v>4</v>
      </c>
      <c r="L353">
        <v>5</v>
      </c>
      <c r="M353">
        <v>5</v>
      </c>
      <c r="N353">
        <v>5</v>
      </c>
      <c r="O353">
        <v>1</v>
      </c>
      <c r="P353">
        <v>5</v>
      </c>
      <c r="Q353">
        <v>5</v>
      </c>
      <c r="R353">
        <v>3</v>
      </c>
      <c r="S353">
        <v>1</v>
      </c>
      <c r="T353">
        <v>2</v>
      </c>
      <c r="U353" t="s">
        <v>30</v>
      </c>
      <c r="V353" t="s">
        <v>38</v>
      </c>
      <c r="W353" t="s">
        <v>39</v>
      </c>
      <c r="X353" t="s">
        <v>33</v>
      </c>
      <c r="Y353">
        <v>59</v>
      </c>
      <c r="Z353" s="1">
        <v>45628</v>
      </c>
      <c r="AA353" t="str" cm="1">
        <f t="array" ref="AA353">_xlfn.IFS(AND(Table2[[#This Row],[Guest_Age]]&gt;=18,Table2[[#This Row],[Guest_Age]]&lt;=25),"Young Adults",AND(Table2[[#This Row],[Guest_Age]]&gt;=26,Table2[[#This Row],[Guest_Age]]&lt;=35),"Adults",AND(Table2[[#This Row],[Guest_Age]]&gt;=36,Table2[[#This Row],[Guest_Age]]&lt;=50),"Middle Aged Adults",Table2[[#This Row],[Guest_Age]]&gt;50,"Senior")</f>
        <v>Senior</v>
      </c>
      <c r="AB3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53" t="str" cm="1">
        <f t="array" ref="AC353">_xlfn.IFS(Table2[[#This Row],[Satification_points]]&gt;=4.5,"GREAT",AND(Table2[[#This Row],[Satification_points]]&gt;=4,Table2[[#This Row],[Satification_points]]&lt;4.5),"GOOD",AND(Table2[[#This Row],[Satification_points]]&gt;=3,Table2[[#This Row],[Satification_points]]&lt;4),"AVERAGE",Table2[[#This Row],[Satification_points]]&lt;3,"POOR")</f>
        <v>AVERAGE</v>
      </c>
    </row>
    <row r="354" spans="1:29" x14ac:dyDescent="0.3">
      <c r="A354">
        <v>353</v>
      </c>
      <c r="B354">
        <v>27650</v>
      </c>
      <c r="C354" t="s">
        <v>410</v>
      </c>
      <c r="D354" t="s">
        <v>41</v>
      </c>
      <c r="E354" t="s">
        <v>57</v>
      </c>
      <c r="F354" s="1">
        <v>45281</v>
      </c>
      <c r="G354" s="1">
        <v>45504</v>
      </c>
      <c r="H354">
        <v>13</v>
      </c>
      <c r="I354" t="s">
        <v>42</v>
      </c>
      <c r="J354" t="s">
        <v>29</v>
      </c>
      <c r="K354">
        <v>3</v>
      </c>
      <c r="L354">
        <v>3</v>
      </c>
      <c r="M354">
        <v>2</v>
      </c>
      <c r="N354">
        <v>3</v>
      </c>
      <c r="O354">
        <v>1</v>
      </c>
      <c r="P354">
        <v>3</v>
      </c>
      <c r="Q354">
        <v>2</v>
      </c>
      <c r="R354">
        <v>4</v>
      </c>
      <c r="S354">
        <v>4</v>
      </c>
      <c r="T354">
        <v>2</v>
      </c>
      <c r="U354" t="s">
        <v>30</v>
      </c>
      <c r="V354" t="s">
        <v>46</v>
      </c>
      <c r="W354" t="s">
        <v>32</v>
      </c>
      <c r="X354" t="s">
        <v>44</v>
      </c>
      <c r="Y354">
        <v>18</v>
      </c>
      <c r="Z354" s="1">
        <v>45504</v>
      </c>
      <c r="AA354" t="str" cm="1">
        <f t="array" ref="AA354">_xlfn.IFS(AND(Table2[[#This Row],[Guest_Age]]&gt;=18,Table2[[#This Row],[Guest_Age]]&lt;=25),"Young Adults",AND(Table2[[#This Row],[Guest_Age]]&gt;=26,Table2[[#This Row],[Guest_Age]]&lt;=35),"Adults",AND(Table2[[#This Row],[Guest_Age]]&gt;=36,Table2[[#This Row],[Guest_Age]]&lt;=50),"Middle Aged Adults",Table2[[#This Row],[Guest_Age]]&gt;50,"Senior")</f>
        <v>Young Adults</v>
      </c>
      <c r="AB3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54" t="str" cm="1">
        <f t="array" ref="AC354">_xlfn.IFS(Table2[[#This Row],[Satification_points]]&gt;=4.5,"GREAT",AND(Table2[[#This Row],[Satification_points]]&gt;=4,Table2[[#This Row],[Satification_points]]&lt;4.5),"GOOD",AND(Table2[[#This Row],[Satification_points]]&gt;=3,Table2[[#This Row],[Satification_points]]&lt;4),"AVERAGE",Table2[[#This Row],[Satification_points]]&lt;3,"POOR")</f>
        <v>POOR</v>
      </c>
    </row>
    <row r="355" spans="1:29" x14ac:dyDescent="0.3">
      <c r="A355">
        <v>354</v>
      </c>
      <c r="B355">
        <v>82112</v>
      </c>
      <c r="C355" t="s">
        <v>304</v>
      </c>
      <c r="D355" t="s">
        <v>26</v>
      </c>
      <c r="E355" t="s">
        <v>35</v>
      </c>
      <c r="F355" s="1">
        <v>45559</v>
      </c>
      <c r="G355" s="1">
        <v>45560</v>
      </c>
      <c r="H355">
        <v>6</v>
      </c>
      <c r="I355" t="s">
        <v>50</v>
      </c>
      <c r="J355" t="s">
        <v>36</v>
      </c>
      <c r="K355">
        <v>3</v>
      </c>
      <c r="L355">
        <v>2</v>
      </c>
      <c r="M355">
        <v>5</v>
      </c>
      <c r="N355">
        <v>2</v>
      </c>
      <c r="O355">
        <v>4</v>
      </c>
      <c r="P355">
        <v>3</v>
      </c>
      <c r="Q355">
        <v>1</v>
      </c>
      <c r="R355">
        <v>3</v>
      </c>
      <c r="S355">
        <v>2</v>
      </c>
      <c r="T355">
        <v>4</v>
      </c>
      <c r="U355" t="s">
        <v>30</v>
      </c>
      <c r="V355" t="s">
        <v>54</v>
      </c>
      <c r="W355" t="s">
        <v>39</v>
      </c>
      <c r="X355" t="s">
        <v>33</v>
      </c>
      <c r="Y355">
        <v>26</v>
      </c>
      <c r="Z355" s="1">
        <v>45560</v>
      </c>
      <c r="AA355" t="str" cm="1">
        <f t="array" ref="AA355">_xlfn.IFS(AND(Table2[[#This Row],[Guest_Age]]&gt;=18,Table2[[#This Row],[Guest_Age]]&lt;=25),"Young Adults",AND(Table2[[#This Row],[Guest_Age]]&gt;=26,Table2[[#This Row],[Guest_Age]]&lt;=35),"Adults",AND(Table2[[#This Row],[Guest_Age]]&gt;=36,Table2[[#This Row],[Guest_Age]]&lt;=50),"Middle Aged Adults",Table2[[#This Row],[Guest_Age]]&gt;50,"Senior")</f>
        <v>Adults</v>
      </c>
      <c r="AB3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55" t="str" cm="1">
        <f t="array" ref="AC355">_xlfn.IFS(Table2[[#This Row],[Satification_points]]&gt;=4.5,"GREAT",AND(Table2[[#This Row],[Satification_points]]&gt;=4,Table2[[#This Row],[Satification_points]]&lt;4.5),"GOOD",AND(Table2[[#This Row],[Satification_points]]&gt;=3,Table2[[#This Row],[Satification_points]]&lt;4),"AVERAGE",Table2[[#This Row],[Satification_points]]&lt;3,"POOR")</f>
        <v>POOR</v>
      </c>
    </row>
    <row r="356" spans="1:29" x14ac:dyDescent="0.3">
      <c r="A356">
        <v>355</v>
      </c>
      <c r="B356">
        <v>46872</v>
      </c>
      <c r="C356" t="s">
        <v>411</v>
      </c>
      <c r="D356" t="s">
        <v>34</v>
      </c>
      <c r="E356" t="s">
        <v>27</v>
      </c>
      <c r="F356" s="1">
        <v>45079</v>
      </c>
      <c r="G356" s="1">
        <v>45247</v>
      </c>
      <c r="H356">
        <v>10</v>
      </c>
      <c r="I356" t="s">
        <v>49</v>
      </c>
      <c r="J356" t="s">
        <v>53</v>
      </c>
      <c r="K356">
        <v>5</v>
      </c>
      <c r="L356">
        <v>4</v>
      </c>
      <c r="M356">
        <v>5</v>
      </c>
      <c r="N356">
        <v>3</v>
      </c>
      <c r="O356">
        <v>1</v>
      </c>
      <c r="P356">
        <v>2</v>
      </c>
      <c r="Q356">
        <v>4</v>
      </c>
      <c r="R356">
        <v>2</v>
      </c>
      <c r="S356">
        <v>4</v>
      </c>
      <c r="T356">
        <v>4</v>
      </c>
      <c r="U356" t="s">
        <v>30</v>
      </c>
      <c r="V356" t="s">
        <v>31</v>
      </c>
      <c r="W356" t="s">
        <v>55</v>
      </c>
      <c r="X356" t="s">
        <v>44</v>
      </c>
      <c r="Y356">
        <v>67</v>
      </c>
      <c r="Z356" s="1">
        <v>45358</v>
      </c>
      <c r="AA356" t="str" cm="1">
        <f t="array" ref="AA356">_xlfn.IFS(AND(Table2[[#This Row],[Guest_Age]]&gt;=18,Table2[[#This Row],[Guest_Age]]&lt;=25),"Young Adults",AND(Table2[[#This Row],[Guest_Age]]&gt;=26,Table2[[#This Row],[Guest_Age]]&lt;=35),"Adults",AND(Table2[[#This Row],[Guest_Age]]&gt;=36,Table2[[#This Row],[Guest_Age]]&lt;=50),"Middle Aged Adults",Table2[[#This Row],[Guest_Age]]&gt;50,"Senior")</f>
        <v>Senior</v>
      </c>
      <c r="AB3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56" t="str" cm="1">
        <f t="array" ref="AC356">_xlfn.IFS(Table2[[#This Row],[Satification_points]]&gt;=4.5,"GREAT",AND(Table2[[#This Row],[Satification_points]]&gt;=4,Table2[[#This Row],[Satification_points]]&lt;4.5),"GOOD",AND(Table2[[#This Row],[Satification_points]]&gt;=3,Table2[[#This Row],[Satification_points]]&lt;4),"AVERAGE",Table2[[#This Row],[Satification_points]]&lt;3,"POOR")</f>
        <v>AVERAGE</v>
      </c>
    </row>
    <row r="357" spans="1:29" x14ac:dyDescent="0.3">
      <c r="A357">
        <v>356</v>
      </c>
      <c r="B357">
        <v>77855</v>
      </c>
      <c r="C357" t="s">
        <v>412</v>
      </c>
      <c r="D357" t="s">
        <v>26</v>
      </c>
      <c r="E357" t="s">
        <v>57</v>
      </c>
      <c r="F357" s="1">
        <v>45255</v>
      </c>
      <c r="G357" s="1">
        <v>45406</v>
      </c>
      <c r="H357">
        <v>13</v>
      </c>
      <c r="I357" t="s">
        <v>28</v>
      </c>
      <c r="J357" t="s">
        <v>40</v>
      </c>
      <c r="K357">
        <v>2</v>
      </c>
      <c r="L357">
        <v>2</v>
      </c>
      <c r="M357">
        <v>5</v>
      </c>
      <c r="N357">
        <v>5</v>
      </c>
      <c r="O357">
        <v>2</v>
      </c>
      <c r="P357">
        <v>2</v>
      </c>
      <c r="Q357">
        <v>4</v>
      </c>
      <c r="R357">
        <v>1</v>
      </c>
      <c r="S357">
        <v>1</v>
      </c>
      <c r="T357">
        <v>3</v>
      </c>
      <c r="U357" t="s">
        <v>30</v>
      </c>
      <c r="V357" t="s">
        <v>46</v>
      </c>
      <c r="W357" t="s">
        <v>32</v>
      </c>
      <c r="X357" t="s">
        <v>40</v>
      </c>
      <c r="Y357">
        <v>24</v>
      </c>
      <c r="Z357" s="1">
        <v>45406</v>
      </c>
      <c r="AA357" t="str" cm="1">
        <f t="array" ref="AA357">_xlfn.IFS(AND(Table2[[#This Row],[Guest_Age]]&gt;=18,Table2[[#This Row],[Guest_Age]]&lt;=25),"Young Adults",AND(Table2[[#This Row],[Guest_Age]]&gt;=26,Table2[[#This Row],[Guest_Age]]&lt;=35),"Adults",AND(Table2[[#This Row],[Guest_Age]]&gt;=36,Table2[[#This Row],[Guest_Age]]&lt;=50),"Middle Aged Adults",Table2[[#This Row],[Guest_Age]]&gt;50,"Senior")</f>
        <v>Young Adults</v>
      </c>
      <c r="AB3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57" t="str" cm="1">
        <f t="array" ref="AC357">_xlfn.IFS(Table2[[#This Row],[Satification_points]]&gt;=4.5,"GREAT",AND(Table2[[#This Row],[Satification_points]]&gt;=4,Table2[[#This Row],[Satification_points]]&lt;4.5),"GOOD",AND(Table2[[#This Row],[Satification_points]]&gt;=3,Table2[[#This Row],[Satification_points]]&lt;4),"AVERAGE",Table2[[#This Row],[Satification_points]]&lt;3,"POOR")</f>
        <v>POOR</v>
      </c>
    </row>
    <row r="358" spans="1:29" x14ac:dyDescent="0.3">
      <c r="A358">
        <v>357</v>
      </c>
      <c r="B358">
        <v>91951</v>
      </c>
      <c r="C358" t="s">
        <v>413</v>
      </c>
      <c r="D358" t="s">
        <v>48</v>
      </c>
      <c r="E358" t="s">
        <v>27</v>
      </c>
      <c r="F358" s="1">
        <v>45616</v>
      </c>
      <c r="G358" s="1">
        <v>45617</v>
      </c>
      <c r="H358">
        <v>13</v>
      </c>
      <c r="I358" t="s">
        <v>42</v>
      </c>
      <c r="J358" t="s">
        <v>36</v>
      </c>
      <c r="K358">
        <v>1</v>
      </c>
      <c r="L358">
        <v>1</v>
      </c>
      <c r="M358">
        <v>1</v>
      </c>
      <c r="N358">
        <v>1</v>
      </c>
      <c r="O358">
        <v>1</v>
      </c>
      <c r="P358">
        <v>5</v>
      </c>
      <c r="Q358">
        <v>5</v>
      </c>
      <c r="R358">
        <v>5</v>
      </c>
      <c r="S358">
        <v>2</v>
      </c>
      <c r="T358">
        <v>4</v>
      </c>
      <c r="U358" t="s">
        <v>30</v>
      </c>
      <c r="V358" t="s">
        <v>58</v>
      </c>
      <c r="W358" t="s">
        <v>55</v>
      </c>
      <c r="X358" t="s">
        <v>40</v>
      </c>
      <c r="Y358">
        <v>68</v>
      </c>
      <c r="Z358" s="1">
        <v>45617</v>
      </c>
      <c r="AA358" t="str" cm="1">
        <f t="array" ref="AA358">_xlfn.IFS(AND(Table2[[#This Row],[Guest_Age]]&gt;=18,Table2[[#This Row],[Guest_Age]]&lt;=25),"Young Adults",AND(Table2[[#This Row],[Guest_Age]]&gt;=26,Table2[[#This Row],[Guest_Age]]&lt;=35),"Adults",AND(Table2[[#This Row],[Guest_Age]]&gt;=36,Table2[[#This Row],[Guest_Age]]&lt;=50),"Middle Aged Adults",Table2[[#This Row],[Guest_Age]]&gt;50,"Senior")</f>
        <v>Senior</v>
      </c>
      <c r="AB3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358" t="str" cm="1">
        <f t="array" ref="AC358">_xlfn.IFS(Table2[[#This Row],[Satification_points]]&gt;=4.5,"GREAT",AND(Table2[[#This Row],[Satification_points]]&gt;=4,Table2[[#This Row],[Satification_points]]&lt;4.5),"GOOD",AND(Table2[[#This Row],[Satification_points]]&gt;=3,Table2[[#This Row],[Satification_points]]&lt;4),"AVERAGE",Table2[[#This Row],[Satification_points]]&lt;3,"POOR")</f>
        <v>POOR</v>
      </c>
    </row>
    <row r="359" spans="1:29" x14ac:dyDescent="0.3">
      <c r="A359">
        <v>358</v>
      </c>
      <c r="B359">
        <v>65022</v>
      </c>
      <c r="C359" t="s">
        <v>414</v>
      </c>
      <c r="D359" t="s">
        <v>41</v>
      </c>
      <c r="E359" t="s">
        <v>35</v>
      </c>
      <c r="F359" s="1">
        <v>45405</v>
      </c>
      <c r="G359" s="1">
        <v>45649</v>
      </c>
      <c r="H359">
        <v>14</v>
      </c>
      <c r="I359" t="s">
        <v>50</v>
      </c>
      <c r="J359" t="s">
        <v>43</v>
      </c>
      <c r="K359">
        <v>3</v>
      </c>
      <c r="L359">
        <v>2</v>
      </c>
      <c r="M359">
        <v>4</v>
      </c>
      <c r="N359">
        <v>5</v>
      </c>
      <c r="O359">
        <v>4</v>
      </c>
      <c r="P359">
        <v>3</v>
      </c>
      <c r="Q359">
        <v>1</v>
      </c>
      <c r="R359">
        <v>4</v>
      </c>
      <c r="S359">
        <v>3</v>
      </c>
      <c r="T359">
        <v>2</v>
      </c>
      <c r="U359" t="s">
        <v>37</v>
      </c>
      <c r="V359" t="s">
        <v>38</v>
      </c>
      <c r="W359" t="s">
        <v>47</v>
      </c>
      <c r="X359" t="s">
        <v>44</v>
      </c>
      <c r="Y359">
        <v>43</v>
      </c>
      <c r="Z359" s="1">
        <v>45649</v>
      </c>
      <c r="AA359" t="str" cm="1">
        <f t="array" ref="AA35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59" t="str" cm="1">
        <f t="array" ref="AC359">_xlfn.IFS(Table2[[#This Row],[Satification_points]]&gt;=4.5,"GREAT",AND(Table2[[#This Row],[Satification_points]]&gt;=4,Table2[[#This Row],[Satification_points]]&lt;4.5),"GOOD",AND(Table2[[#This Row],[Satification_points]]&gt;=3,Table2[[#This Row],[Satification_points]]&lt;4),"AVERAGE",Table2[[#This Row],[Satification_points]]&lt;3,"POOR")</f>
        <v>AVERAGE</v>
      </c>
    </row>
    <row r="360" spans="1:29" x14ac:dyDescent="0.3">
      <c r="A360">
        <v>359</v>
      </c>
      <c r="B360">
        <v>85792</v>
      </c>
      <c r="C360" t="s">
        <v>415</v>
      </c>
      <c r="D360" t="s">
        <v>34</v>
      </c>
      <c r="E360" t="s">
        <v>52</v>
      </c>
      <c r="F360" s="1">
        <v>45317</v>
      </c>
      <c r="G360" s="1">
        <v>45318</v>
      </c>
      <c r="H360">
        <v>8</v>
      </c>
      <c r="I360" t="s">
        <v>28</v>
      </c>
      <c r="J360" t="s">
        <v>43</v>
      </c>
      <c r="K360">
        <v>2</v>
      </c>
      <c r="L360">
        <v>1</v>
      </c>
      <c r="M360">
        <v>3</v>
      </c>
      <c r="N360">
        <v>5</v>
      </c>
      <c r="O360">
        <v>2</v>
      </c>
      <c r="P360">
        <v>2</v>
      </c>
      <c r="Q360">
        <v>4</v>
      </c>
      <c r="R360">
        <v>2</v>
      </c>
      <c r="S360">
        <v>3</v>
      </c>
      <c r="T360">
        <v>1</v>
      </c>
      <c r="U360" t="s">
        <v>37</v>
      </c>
      <c r="V360" t="s">
        <v>58</v>
      </c>
      <c r="W360" t="s">
        <v>47</v>
      </c>
      <c r="X360" t="s">
        <v>33</v>
      </c>
      <c r="Y360">
        <v>33</v>
      </c>
      <c r="Z360" s="1">
        <v>45318</v>
      </c>
      <c r="AA360" t="str" cm="1">
        <f t="array" ref="AA360">_xlfn.IFS(AND(Table2[[#This Row],[Guest_Age]]&gt;=18,Table2[[#This Row],[Guest_Age]]&lt;=25),"Young Adults",AND(Table2[[#This Row],[Guest_Age]]&gt;=26,Table2[[#This Row],[Guest_Age]]&lt;=35),"Adults",AND(Table2[[#This Row],[Guest_Age]]&gt;=36,Table2[[#This Row],[Guest_Age]]&lt;=50),"Middle Aged Adults",Table2[[#This Row],[Guest_Age]]&gt;50,"Senior")</f>
        <v>Adults</v>
      </c>
      <c r="AB3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60" t="str" cm="1">
        <f t="array" ref="AC360">_xlfn.IFS(Table2[[#This Row],[Satification_points]]&gt;=4.5,"GREAT",AND(Table2[[#This Row],[Satification_points]]&gt;=4,Table2[[#This Row],[Satification_points]]&lt;4.5),"GOOD",AND(Table2[[#This Row],[Satification_points]]&gt;=3,Table2[[#This Row],[Satification_points]]&lt;4),"AVERAGE",Table2[[#This Row],[Satification_points]]&lt;3,"POOR")</f>
        <v>POOR</v>
      </c>
    </row>
    <row r="361" spans="1:29" x14ac:dyDescent="0.3">
      <c r="A361">
        <v>360</v>
      </c>
      <c r="B361">
        <v>50488</v>
      </c>
      <c r="C361" t="s">
        <v>416</v>
      </c>
      <c r="D361" t="s">
        <v>34</v>
      </c>
      <c r="E361" t="s">
        <v>57</v>
      </c>
      <c r="F361" s="1">
        <v>45501</v>
      </c>
      <c r="G361" s="1">
        <v>45609</v>
      </c>
      <c r="H361">
        <v>4</v>
      </c>
      <c r="I361" t="s">
        <v>49</v>
      </c>
      <c r="J361" t="s">
        <v>43</v>
      </c>
      <c r="K361">
        <v>1</v>
      </c>
      <c r="L361">
        <v>4</v>
      </c>
      <c r="M361">
        <v>2</v>
      </c>
      <c r="N361">
        <v>5</v>
      </c>
      <c r="O361">
        <v>3</v>
      </c>
      <c r="P361">
        <v>2</v>
      </c>
      <c r="Q361">
        <v>4</v>
      </c>
      <c r="R361">
        <v>4</v>
      </c>
      <c r="S361">
        <v>1</v>
      </c>
      <c r="T361">
        <v>3</v>
      </c>
      <c r="U361" t="s">
        <v>37</v>
      </c>
      <c r="V361" t="s">
        <v>58</v>
      </c>
      <c r="W361" t="s">
        <v>32</v>
      </c>
      <c r="X361" t="s">
        <v>40</v>
      </c>
      <c r="Y361">
        <v>23</v>
      </c>
      <c r="Z361" s="1">
        <v>45609</v>
      </c>
      <c r="AA361" t="str" cm="1">
        <f t="array" ref="AA361">_xlfn.IFS(AND(Table2[[#This Row],[Guest_Age]]&gt;=18,Table2[[#This Row],[Guest_Age]]&lt;=25),"Young Adults",AND(Table2[[#This Row],[Guest_Age]]&gt;=26,Table2[[#This Row],[Guest_Age]]&lt;=35),"Adults",AND(Table2[[#This Row],[Guest_Age]]&gt;=36,Table2[[#This Row],[Guest_Age]]&lt;=50),"Middle Aged Adults",Table2[[#This Row],[Guest_Age]]&gt;50,"Senior")</f>
        <v>Young Adults</v>
      </c>
      <c r="AB3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61" t="str" cm="1">
        <f t="array" ref="AC361">_xlfn.IFS(Table2[[#This Row],[Satification_points]]&gt;=4.5,"GREAT",AND(Table2[[#This Row],[Satification_points]]&gt;=4,Table2[[#This Row],[Satification_points]]&lt;4.5),"GOOD",AND(Table2[[#This Row],[Satification_points]]&gt;=3,Table2[[#This Row],[Satification_points]]&lt;4),"AVERAGE",Table2[[#This Row],[Satification_points]]&lt;3,"POOR")</f>
        <v>POOR</v>
      </c>
    </row>
    <row r="362" spans="1:29" x14ac:dyDescent="0.3">
      <c r="A362">
        <v>361</v>
      </c>
      <c r="B362">
        <v>87272</v>
      </c>
      <c r="C362" t="s">
        <v>417</v>
      </c>
      <c r="D362" t="s">
        <v>51</v>
      </c>
      <c r="E362" t="s">
        <v>57</v>
      </c>
      <c r="F362" s="1">
        <v>45338</v>
      </c>
      <c r="G362" s="1">
        <v>45339</v>
      </c>
      <c r="H362">
        <v>1</v>
      </c>
      <c r="I362" t="s">
        <v>28</v>
      </c>
      <c r="J362" t="s">
        <v>53</v>
      </c>
      <c r="K362">
        <v>5</v>
      </c>
      <c r="L362">
        <v>4</v>
      </c>
      <c r="M362">
        <v>3</v>
      </c>
      <c r="N362">
        <v>4</v>
      </c>
      <c r="O362">
        <v>2</v>
      </c>
      <c r="P362">
        <v>2</v>
      </c>
      <c r="Q362">
        <v>4</v>
      </c>
      <c r="R362">
        <v>2</v>
      </c>
      <c r="S362">
        <v>5</v>
      </c>
      <c r="T362">
        <v>4</v>
      </c>
      <c r="U362" t="s">
        <v>30</v>
      </c>
      <c r="V362" t="s">
        <v>58</v>
      </c>
      <c r="W362" t="s">
        <v>32</v>
      </c>
      <c r="X362" t="s">
        <v>40</v>
      </c>
      <c r="Y362">
        <v>59</v>
      </c>
      <c r="Z362" s="1">
        <v>45339</v>
      </c>
      <c r="AA362" t="str" cm="1">
        <f t="array" ref="AA362">_xlfn.IFS(AND(Table2[[#This Row],[Guest_Age]]&gt;=18,Table2[[#This Row],[Guest_Age]]&lt;=25),"Young Adults",AND(Table2[[#This Row],[Guest_Age]]&gt;=26,Table2[[#This Row],[Guest_Age]]&lt;=35),"Adults",AND(Table2[[#This Row],[Guest_Age]]&gt;=36,Table2[[#This Row],[Guest_Age]]&lt;=50),"Middle Aged Adults",Table2[[#This Row],[Guest_Age]]&gt;50,"Senior")</f>
        <v>Senior</v>
      </c>
      <c r="AB3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62" t="str" cm="1">
        <f t="array" ref="AC362">_xlfn.IFS(Table2[[#This Row],[Satification_points]]&gt;=4.5,"GREAT",AND(Table2[[#This Row],[Satification_points]]&gt;=4,Table2[[#This Row],[Satification_points]]&lt;4.5),"GOOD",AND(Table2[[#This Row],[Satification_points]]&gt;=3,Table2[[#This Row],[Satification_points]]&lt;4),"AVERAGE",Table2[[#This Row],[Satification_points]]&lt;3,"POOR")</f>
        <v>AVERAGE</v>
      </c>
    </row>
    <row r="363" spans="1:29" x14ac:dyDescent="0.3">
      <c r="A363">
        <v>362</v>
      </c>
      <c r="B363">
        <v>54819</v>
      </c>
      <c r="C363" t="s">
        <v>418</v>
      </c>
      <c r="D363" t="s">
        <v>51</v>
      </c>
      <c r="E363" t="s">
        <v>52</v>
      </c>
      <c r="F363" s="1">
        <v>45184</v>
      </c>
      <c r="G363" s="1">
        <v>45185</v>
      </c>
      <c r="H363">
        <v>14</v>
      </c>
      <c r="I363" t="s">
        <v>49</v>
      </c>
      <c r="J363" t="s">
        <v>53</v>
      </c>
      <c r="K363">
        <v>4</v>
      </c>
      <c r="L363">
        <v>2</v>
      </c>
      <c r="M363">
        <v>1</v>
      </c>
      <c r="N363">
        <v>1</v>
      </c>
      <c r="O363">
        <v>4</v>
      </c>
      <c r="P363">
        <v>3</v>
      </c>
      <c r="Q363">
        <v>3</v>
      </c>
      <c r="R363">
        <v>3</v>
      </c>
      <c r="S363">
        <v>4</v>
      </c>
      <c r="T363">
        <v>2</v>
      </c>
      <c r="U363" t="s">
        <v>30</v>
      </c>
      <c r="V363" t="s">
        <v>46</v>
      </c>
      <c r="W363" t="s">
        <v>39</v>
      </c>
      <c r="X363" t="s">
        <v>40</v>
      </c>
      <c r="Y363">
        <v>54</v>
      </c>
      <c r="Z363" s="1">
        <v>45456</v>
      </c>
      <c r="AA363" t="str" cm="1">
        <f t="array" ref="AA363">_xlfn.IFS(AND(Table2[[#This Row],[Guest_Age]]&gt;=18,Table2[[#This Row],[Guest_Age]]&lt;=25),"Young Adults",AND(Table2[[#This Row],[Guest_Age]]&gt;=26,Table2[[#This Row],[Guest_Age]]&lt;=35),"Adults",AND(Table2[[#This Row],[Guest_Age]]&gt;=36,Table2[[#This Row],[Guest_Age]]&lt;=50),"Middle Aged Adults",Table2[[#This Row],[Guest_Age]]&gt;50,"Senior")</f>
        <v>Senior</v>
      </c>
      <c r="AB3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63" t="str" cm="1">
        <f t="array" ref="AC363">_xlfn.IFS(Table2[[#This Row],[Satification_points]]&gt;=4.5,"GREAT",AND(Table2[[#This Row],[Satification_points]]&gt;=4,Table2[[#This Row],[Satification_points]]&lt;4.5),"GOOD",AND(Table2[[#This Row],[Satification_points]]&gt;=3,Table2[[#This Row],[Satification_points]]&lt;4),"AVERAGE",Table2[[#This Row],[Satification_points]]&lt;3,"POOR")</f>
        <v>POOR</v>
      </c>
    </row>
    <row r="364" spans="1:29" x14ac:dyDescent="0.3">
      <c r="A364">
        <v>363</v>
      </c>
      <c r="B364">
        <v>71481</v>
      </c>
      <c r="C364" t="s">
        <v>419</v>
      </c>
      <c r="D364" t="s">
        <v>41</v>
      </c>
      <c r="E364" t="s">
        <v>52</v>
      </c>
      <c r="F364" s="1">
        <v>45503</v>
      </c>
      <c r="G364" s="1">
        <v>45504</v>
      </c>
      <c r="H364">
        <v>9</v>
      </c>
      <c r="I364" t="s">
        <v>50</v>
      </c>
      <c r="J364" t="s">
        <v>29</v>
      </c>
      <c r="K364">
        <v>2</v>
      </c>
      <c r="L364">
        <v>5</v>
      </c>
      <c r="M364">
        <v>2</v>
      </c>
      <c r="N364">
        <v>4</v>
      </c>
      <c r="O364">
        <v>4</v>
      </c>
      <c r="P364">
        <v>2</v>
      </c>
      <c r="Q364">
        <v>4</v>
      </c>
      <c r="R364">
        <v>2</v>
      </c>
      <c r="S364">
        <v>5</v>
      </c>
      <c r="T364">
        <v>3</v>
      </c>
      <c r="U364" t="s">
        <v>30</v>
      </c>
      <c r="V364" t="s">
        <v>46</v>
      </c>
      <c r="W364" t="s">
        <v>55</v>
      </c>
      <c r="X364" t="s">
        <v>33</v>
      </c>
      <c r="Y364">
        <v>62</v>
      </c>
      <c r="Z364" s="1">
        <v>45504</v>
      </c>
      <c r="AA364" t="str" cm="1">
        <f t="array" ref="AA364">_xlfn.IFS(AND(Table2[[#This Row],[Guest_Age]]&gt;=18,Table2[[#This Row],[Guest_Age]]&lt;=25),"Young Adults",AND(Table2[[#This Row],[Guest_Age]]&gt;=26,Table2[[#This Row],[Guest_Age]]&lt;=35),"Adults",AND(Table2[[#This Row],[Guest_Age]]&gt;=36,Table2[[#This Row],[Guest_Age]]&lt;=50),"Middle Aged Adults",Table2[[#This Row],[Guest_Age]]&gt;50,"Senior")</f>
        <v>Senior</v>
      </c>
      <c r="AB3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64" t="str" cm="1">
        <f t="array" ref="AC364">_xlfn.IFS(Table2[[#This Row],[Satification_points]]&gt;=4.5,"GREAT",AND(Table2[[#This Row],[Satification_points]]&gt;=4,Table2[[#This Row],[Satification_points]]&lt;4.5),"GOOD",AND(Table2[[#This Row],[Satification_points]]&gt;=3,Table2[[#This Row],[Satification_points]]&lt;4),"AVERAGE",Table2[[#This Row],[Satification_points]]&lt;3,"POOR")</f>
        <v>AVERAGE</v>
      </c>
    </row>
    <row r="365" spans="1:29" x14ac:dyDescent="0.3">
      <c r="A365">
        <v>364</v>
      </c>
      <c r="B365">
        <v>73241</v>
      </c>
      <c r="C365" t="s">
        <v>420</v>
      </c>
      <c r="D365" t="s">
        <v>34</v>
      </c>
      <c r="E365" t="s">
        <v>45</v>
      </c>
      <c r="F365" s="1">
        <v>45433</v>
      </c>
      <c r="G365" s="1">
        <v>45508</v>
      </c>
      <c r="H365">
        <v>3</v>
      </c>
      <c r="I365" t="s">
        <v>49</v>
      </c>
      <c r="J365" t="s">
        <v>53</v>
      </c>
      <c r="K365">
        <v>4</v>
      </c>
      <c r="L365">
        <v>5</v>
      </c>
      <c r="M365">
        <v>1</v>
      </c>
      <c r="N365">
        <v>3</v>
      </c>
      <c r="O365">
        <v>5</v>
      </c>
      <c r="P365">
        <v>5</v>
      </c>
      <c r="Q365">
        <v>3</v>
      </c>
      <c r="R365">
        <v>3</v>
      </c>
      <c r="S365">
        <v>2</v>
      </c>
      <c r="T365">
        <v>1</v>
      </c>
      <c r="U365" t="s">
        <v>30</v>
      </c>
      <c r="V365" t="s">
        <v>58</v>
      </c>
      <c r="W365" t="s">
        <v>39</v>
      </c>
      <c r="X365" t="s">
        <v>44</v>
      </c>
      <c r="Y365">
        <v>29</v>
      </c>
      <c r="Z365" s="1">
        <v>45508</v>
      </c>
      <c r="AA365" t="str" cm="1">
        <f t="array" ref="AA365">_xlfn.IFS(AND(Table2[[#This Row],[Guest_Age]]&gt;=18,Table2[[#This Row],[Guest_Age]]&lt;=25),"Young Adults",AND(Table2[[#This Row],[Guest_Age]]&gt;=26,Table2[[#This Row],[Guest_Age]]&lt;=35),"Adults",AND(Table2[[#This Row],[Guest_Age]]&gt;=36,Table2[[#This Row],[Guest_Age]]&lt;=50),"Middle Aged Adults",Table2[[#This Row],[Guest_Age]]&gt;50,"Senior")</f>
        <v>Adults</v>
      </c>
      <c r="AB3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65" t="str" cm="1">
        <f t="array" ref="AC365">_xlfn.IFS(Table2[[#This Row],[Satification_points]]&gt;=4.5,"GREAT",AND(Table2[[#This Row],[Satification_points]]&gt;=4,Table2[[#This Row],[Satification_points]]&lt;4.5),"GOOD",AND(Table2[[#This Row],[Satification_points]]&gt;=3,Table2[[#This Row],[Satification_points]]&lt;4),"AVERAGE",Table2[[#This Row],[Satification_points]]&lt;3,"POOR")</f>
        <v>AVERAGE</v>
      </c>
    </row>
    <row r="366" spans="1:29" x14ac:dyDescent="0.3">
      <c r="A366">
        <v>365</v>
      </c>
      <c r="B366">
        <v>65347</v>
      </c>
      <c r="C366" t="s">
        <v>421</v>
      </c>
      <c r="D366" t="s">
        <v>48</v>
      </c>
      <c r="E366" t="s">
        <v>45</v>
      </c>
      <c r="F366" s="1">
        <v>45625</v>
      </c>
      <c r="G366" s="1">
        <v>45626</v>
      </c>
      <c r="H366">
        <v>6</v>
      </c>
      <c r="I366" t="s">
        <v>28</v>
      </c>
      <c r="J366" t="s">
        <v>36</v>
      </c>
      <c r="K366">
        <v>4</v>
      </c>
      <c r="L366">
        <v>5</v>
      </c>
      <c r="M366">
        <v>3</v>
      </c>
      <c r="N366">
        <v>1</v>
      </c>
      <c r="O366">
        <v>3</v>
      </c>
      <c r="P366">
        <v>2</v>
      </c>
      <c r="Q366">
        <v>2</v>
      </c>
      <c r="R366">
        <v>2</v>
      </c>
      <c r="S366">
        <v>4</v>
      </c>
      <c r="T366">
        <v>1</v>
      </c>
      <c r="U366" t="s">
        <v>37</v>
      </c>
      <c r="V366" t="s">
        <v>46</v>
      </c>
      <c r="W366" t="s">
        <v>32</v>
      </c>
      <c r="X366" t="s">
        <v>40</v>
      </c>
      <c r="Y366">
        <v>41</v>
      </c>
      <c r="Z366" s="1">
        <v>45626</v>
      </c>
      <c r="AA366" t="str" cm="1">
        <f t="array" ref="AA3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3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366" t="str" cm="1">
        <f t="array" ref="AC366">_xlfn.IFS(Table2[[#This Row],[Satification_points]]&gt;=4.5,"GREAT",AND(Table2[[#This Row],[Satification_points]]&gt;=4,Table2[[#This Row],[Satification_points]]&lt;4.5),"GOOD",AND(Table2[[#This Row],[Satification_points]]&gt;=3,Table2[[#This Row],[Satification_points]]&lt;4),"AVERAGE",Table2[[#This Row],[Satification_points]]&lt;3,"POOR")</f>
        <v>POOR</v>
      </c>
    </row>
    <row r="367" spans="1:29" x14ac:dyDescent="0.3">
      <c r="A367">
        <v>366</v>
      </c>
      <c r="B367">
        <v>81599</v>
      </c>
      <c r="C367" t="s">
        <v>422</v>
      </c>
      <c r="D367" t="s">
        <v>26</v>
      </c>
      <c r="E367" t="s">
        <v>35</v>
      </c>
      <c r="F367" s="1">
        <v>45637</v>
      </c>
      <c r="G367" s="1">
        <v>45638</v>
      </c>
      <c r="H367">
        <v>10</v>
      </c>
      <c r="I367" t="s">
        <v>50</v>
      </c>
      <c r="J367" t="s">
        <v>43</v>
      </c>
      <c r="K367">
        <v>1</v>
      </c>
      <c r="L367">
        <v>4</v>
      </c>
      <c r="M367">
        <v>2</v>
      </c>
      <c r="N367">
        <v>1</v>
      </c>
      <c r="O367">
        <v>1</v>
      </c>
      <c r="P367">
        <v>4</v>
      </c>
      <c r="Q367">
        <v>5</v>
      </c>
      <c r="R367">
        <v>4</v>
      </c>
      <c r="S367">
        <v>5</v>
      </c>
      <c r="T367">
        <v>2</v>
      </c>
      <c r="U367" t="s">
        <v>30</v>
      </c>
      <c r="V367" t="s">
        <v>58</v>
      </c>
      <c r="W367" t="s">
        <v>39</v>
      </c>
      <c r="X367" t="s">
        <v>40</v>
      </c>
      <c r="Y367">
        <v>34</v>
      </c>
      <c r="Z367" s="1">
        <v>45638</v>
      </c>
      <c r="AA367" t="str" cm="1">
        <f t="array" ref="AA367">_xlfn.IFS(AND(Table2[[#This Row],[Guest_Age]]&gt;=18,Table2[[#This Row],[Guest_Age]]&lt;=25),"Young Adults",AND(Table2[[#This Row],[Guest_Age]]&gt;=26,Table2[[#This Row],[Guest_Age]]&lt;=35),"Adults",AND(Table2[[#This Row],[Guest_Age]]&gt;=36,Table2[[#This Row],[Guest_Age]]&lt;=50),"Middle Aged Adults",Table2[[#This Row],[Guest_Age]]&gt;50,"Senior")</f>
        <v>Adults</v>
      </c>
      <c r="AB3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367" t="str" cm="1">
        <f t="array" ref="AC367">_xlfn.IFS(Table2[[#This Row],[Satification_points]]&gt;=4.5,"GREAT",AND(Table2[[#This Row],[Satification_points]]&gt;=4,Table2[[#This Row],[Satification_points]]&lt;4.5),"GOOD",AND(Table2[[#This Row],[Satification_points]]&gt;=3,Table2[[#This Row],[Satification_points]]&lt;4),"AVERAGE",Table2[[#This Row],[Satification_points]]&lt;3,"POOR")</f>
        <v>POOR</v>
      </c>
    </row>
    <row r="368" spans="1:29" x14ac:dyDescent="0.3">
      <c r="A368">
        <v>367</v>
      </c>
      <c r="B368">
        <v>71216</v>
      </c>
      <c r="C368" t="s">
        <v>423</v>
      </c>
      <c r="D368" t="s">
        <v>26</v>
      </c>
      <c r="E368" t="s">
        <v>57</v>
      </c>
      <c r="F368" s="1">
        <v>45220</v>
      </c>
      <c r="G368" s="1">
        <v>45221</v>
      </c>
      <c r="H368">
        <v>14</v>
      </c>
      <c r="I368" t="s">
        <v>50</v>
      </c>
      <c r="J368" t="s">
        <v>40</v>
      </c>
      <c r="K368">
        <v>2</v>
      </c>
      <c r="L368">
        <v>1</v>
      </c>
      <c r="M368">
        <v>3</v>
      </c>
      <c r="N368">
        <v>3</v>
      </c>
      <c r="O368">
        <v>4</v>
      </c>
      <c r="P368">
        <v>1</v>
      </c>
      <c r="Q368">
        <v>5</v>
      </c>
      <c r="R368">
        <v>5</v>
      </c>
      <c r="S368">
        <v>1</v>
      </c>
      <c r="T368">
        <v>5</v>
      </c>
      <c r="U368" t="s">
        <v>30</v>
      </c>
      <c r="V368" t="s">
        <v>58</v>
      </c>
      <c r="W368" t="s">
        <v>32</v>
      </c>
      <c r="X368" t="s">
        <v>40</v>
      </c>
      <c r="Y368">
        <v>19</v>
      </c>
      <c r="Z368" s="1">
        <v>45221</v>
      </c>
      <c r="AA368" t="str" cm="1">
        <f t="array" ref="AA368">_xlfn.IFS(AND(Table2[[#This Row],[Guest_Age]]&gt;=18,Table2[[#This Row],[Guest_Age]]&lt;=25),"Young Adults",AND(Table2[[#This Row],[Guest_Age]]&gt;=26,Table2[[#This Row],[Guest_Age]]&lt;=35),"Adults",AND(Table2[[#This Row],[Guest_Age]]&gt;=36,Table2[[#This Row],[Guest_Age]]&lt;=50),"Middle Aged Adults",Table2[[#This Row],[Guest_Age]]&gt;50,"Senior")</f>
        <v>Young Adults</v>
      </c>
      <c r="AB3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68" t="str" cm="1">
        <f t="array" ref="AC368">_xlfn.IFS(Table2[[#This Row],[Satification_points]]&gt;=4.5,"GREAT",AND(Table2[[#This Row],[Satification_points]]&gt;=4,Table2[[#This Row],[Satification_points]]&lt;4.5),"GOOD",AND(Table2[[#This Row],[Satification_points]]&gt;=3,Table2[[#This Row],[Satification_points]]&lt;4),"AVERAGE",Table2[[#This Row],[Satification_points]]&lt;3,"POOR")</f>
        <v>AVERAGE</v>
      </c>
    </row>
    <row r="369" spans="1:29" x14ac:dyDescent="0.3">
      <c r="A369">
        <v>368</v>
      </c>
      <c r="B369">
        <v>79098</v>
      </c>
      <c r="C369" t="s">
        <v>424</v>
      </c>
      <c r="D369" t="s">
        <v>26</v>
      </c>
      <c r="E369" t="s">
        <v>52</v>
      </c>
      <c r="F369" s="1">
        <v>45403</v>
      </c>
      <c r="G369" s="1">
        <v>45645</v>
      </c>
      <c r="H369">
        <v>8</v>
      </c>
      <c r="I369" t="s">
        <v>42</v>
      </c>
      <c r="J369" t="s">
        <v>43</v>
      </c>
      <c r="K369">
        <v>3</v>
      </c>
      <c r="L369">
        <v>3</v>
      </c>
      <c r="M369">
        <v>4</v>
      </c>
      <c r="N369">
        <v>3</v>
      </c>
      <c r="O369">
        <v>5</v>
      </c>
      <c r="P369">
        <v>5</v>
      </c>
      <c r="Q369">
        <v>3</v>
      </c>
      <c r="R369">
        <v>1</v>
      </c>
      <c r="S369">
        <v>2</v>
      </c>
      <c r="T369">
        <v>2</v>
      </c>
      <c r="U369" t="s">
        <v>37</v>
      </c>
      <c r="V369" t="s">
        <v>31</v>
      </c>
      <c r="W369" t="s">
        <v>56</v>
      </c>
      <c r="X369" t="s">
        <v>40</v>
      </c>
      <c r="Y369">
        <v>48</v>
      </c>
      <c r="Z369" s="1">
        <v>45645</v>
      </c>
      <c r="AA369" t="str" cm="1">
        <f t="array" ref="AA3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69" t="str" cm="1">
        <f t="array" ref="AC369">_xlfn.IFS(Table2[[#This Row],[Satification_points]]&gt;=4.5,"GREAT",AND(Table2[[#This Row],[Satification_points]]&gt;=4,Table2[[#This Row],[Satification_points]]&lt;4.5),"GOOD",AND(Table2[[#This Row],[Satification_points]]&gt;=3,Table2[[#This Row],[Satification_points]]&lt;4),"AVERAGE",Table2[[#This Row],[Satification_points]]&lt;3,"POOR")</f>
        <v>AVERAGE</v>
      </c>
    </row>
    <row r="370" spans="1:29" x14ac:dyDescent="0.3">
      <c r="A370">
        <v>369</v>
      </c>
      <c r="B370">
        <v>62350</v>
      </c>
      <c r="C370" t="s">
        <v>425</v>
      </c>
      <c r="D370" t="s">
        <v>51</v>
      </c>
      <c r="E370" t="s">
        <v>52</v>
      </c>
      <c r="F370" s="1">
        <v>45631</v>
      </c>
      <c r="G370" s="1">
        <v>45632</v>
      </c>
      <c r="H370">
        <v>11</v>
      </c>
      <c r="I370" t="s">
        <v>50</v>
      </c>
      <c r="J370" t="s">
        <v>36</v>
      </c>
      <c r="K370">
        <v>1</v>
      </c>
      <c r="L370">
        <v>2</v>
      </c>
      <c r="M370">
        <v>1</v>
      </c>
      <c r="N370">
        <v>5</v>
      </c>
      <c r="O370">
        <v>5</v>
      </c>
      <c r="P370">
        <v>2</v>
      </c>
      <c r="Q370">
        <v>1</v>
      </c>
      <c r="R370">
        <v>5</v>
      </c>
      <c r="S370">
        <v>4</v>
      </c>
      <c r="T370">
        <v>2</v>
      </c>
      <c r="U370" t="s">
        <v>37</v>
      </c>
      <c r="V370" t="s">
        <v>31</v>
      </c>
      <c r="W370" t="s">
        <v>55</v>
      </c>
      <c r="X370" t="s">
        <v>40</v>
      </c>
      <c r="Y370">
        <v>54</v>
      </c>
      <c r="Z370" s="1">
        <v>45632</v>
      </c>
      <c r="AA370" t="str" cm="1">
        <f t="array" ref="AA370">_xlfn.IFS(AND(Table2[[#This Row],[Guest_Age]]&gt;=18,Table2[[#This Row],[Guest_Age]]&lt;=25),"Young Adults",AND(Table2[[#This Row],[Guest_Age]]&gt;=26,Table2[[#This Row],[Guest_Age]]&lt;=35),"Adults",AND(Table2[[#This Row],[Guest_Age]]&gt;=36,Table2[[#This Row],[Guest_Age]]&lt;=50),"Middle Aged Adults",Table2[[#This Row],[Guest_Age]]&gt;50,"Senior")</f>
        <v>Senior</v>
      </c>
      <c r="AB3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70" t="str" cm="1">
        <f t="array" ref="AC370">_xlfn.IFS(Table2[[#This Row],[Satification_points]]&gt;=4.5,"GREAT",AND(Table2[[#This Row],[Satification_points]]&gt;=4,Table2[[#This Row],[Satification_points]]&lt;4.5),"GOOD",AND(Table2[[#This Row],[Satification_points]]&gt;=3,Table2[[#This Row],[Satification_points]]&lt;4),"AVERAGE",Table2[[#This Row],[Satification_points]]&lt;3,"POOR")</f>
        <v>POOR</v>
      </c>
    </row>
    <row r="371" spans="1:29" x14ac:dyDescent="0.3">
      <c r="A371">
        <v>370</v>
      </c>
      <c r="B371">
        <v>75228</v>
      </c>
      <c r="C371" t="s">
        <v>426</v>
      </c>
      <c r="D371" t="s">
        <v>34</v>
      </c>
      <c r="E371" t="s">
        <v>27</v>
      </c>
      <c r="F371" s="1">
        <v>45434</v>
      </c>
      <c r="G371" s="1">
        <v>45435</v>
      </c>
      <c r="H371">
        <v>5</v>
      </c>
      <c r="I371" t="s">
        <v>50</v>
      </c>
      <c r="J371" t="s">
        <v>40</v>
      </c>
      <c r="K371">
        <v>2</v>
      </c>
      <c r="L371">
        <v>1</v>
      </c>
      <c r="M371">
        <v>4</v>
      </c>
      <c r="N371">
        <v>1</v>
      </c>
      <c r="O371">
        <v>1</v>
      </c>
      <c r="P371">
        <v>4</v>
      </c>
      <c r="Q371">
        <v>3</v>
      </c>
      <c r="R371">
        <v>2</v>
      </c>
      <c r="S371">
        <v>3</v>
      </c>
      <c r="T371">
        <v>2</v>
      </c>
      <c r="U371" t="s">
        <v>30</v>
      </c>
      <c r="V371" t="s">
        <v>31</v>
      </c>
      <c r="W371" t="s">
        <v>47</v>
      </c>
      <c r="X371" t="s">
        <v>40</v>
      </c>
      <c r="Y371">
        <v>59</v>
      </c>
      <c r="Z371" s="1">
        <v>45435</v>
      </c>
      <c r="AA371" t="str" cm="1">
        <f t="array" ref="AA371">_xlfn.IFS(AND(Table2[[#This Row],[Guest_Age]]&gt;=18,Table2[[#This Row],[Guest_Age]]&lt;=25),"Young Adults",AND(Table2[[#This Row],[Guest_Age]]&gt;=26,Table2[[#This Row],[Guest_Age]]&lt;=35),"Adults",AND(Table2[[#This Row],[Guest_Age]]&gt;=36,Table2[[#This Row],[Guest_Age]]&lt;=50),"Middle Aged Adults",Table2[[#This Row],[Guest_Age]]&gt;50,"Senior")</f>
        <v>Senior</v>
      </c>
      <c r="AB3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371" t="str" cm="1">
        <f t="array" ref="AC371">_xlfn.IFS(Table2[[#This Row],[Satification_points]]&gt;=4.5,"GREAT",AND(Table2[[#This Row],[Satification_points]]&gt;=4,Table2[[#This Row],[Satification_points]]&lt;4.5),"GOOD",AND(Table2[[#This Row],[Satification_points]]&gt;=3,Table2[[#This Row],[Satification_points]]&lt;4),"AVERAGE",Table2[[#This Row],[Satification_points]]&lt;3,"POOR")</f>
        <v>POOR</v>
      </c>
    </row>
    <row r="372" spans="1:29" x14ac:dyDescent="0.3">
      <c r="A372">
        <v>371</v>
      </c>
      <c r="B372">
        <v>80040</v>
      </c>
      <c r="C372" t="s">
        <v>427</v>
      </c>
      <c r="D372" t="s">
        <v>34</v>
      </c>
      <c r="E372" t="s">
        <v>45</v>
      </c>
      <c r="F372" s="1">
        <v>45045</v>
      </c>
      <c r="G372" s="1">
        <v>45524</v>
      </c>
      <c r="H372">
        <v>11</v>
      </c>
      <c r="I372" t="s">
        <v>50</v>
      </c>
      <c r="J372" t="s">
        <v>29</v>
      </c>
      <c r="K372">
        <v>3</v>
      </c>
      <c r="L372">
        <v>3</v>
      </c>
      <c r="M372">
        <v>4</v>
      </c>
      <c r="N372">
        <v>2</v>
      </c>
      <c r="O372">
        <v>2</v>
      </c>
      <c r="P372">
        <v>3</v>
      </c>
      <c r="Q372">
        <v>4</v>
      </c>
      <c r="R372">
        <v>3</v>
      </c>
      <c r="S372">
        <v>4</v>
      </c>
      <c r="T372">
        <v>5</v>
      </c>
      <c r="U372" t="s">
        <v>30</v>
      </c>
      <c r="V372" t="s">
        <v>54</v>
      </c>
      <c r="W372" t="s">
        <v>47</v>
      </c>
      <c r="X372" t="s">
        <v>44</v>
      </c>
      <c r="Y372">
        <v>46</v>
      </c>
      <c r="Z372" s="1">
        <v>45524</v>
      </c>
      <c r="AA372" t="str" cm="1">
        <f t="array" ref="AA3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3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72" t="str" cm="1">
        <f t="array" ref="AC372">_xlfn.IFS(Table2[[#This Row],[Satification_points]]&gt;=4.5,"GREAT",AND(Table2[[#This Row],[Satification_points]]&gt;=4,Table2[[#This Row],[Satification_points]]&lt;4.5),"GOOD",AND(Table2[[#This Row],[Satification_points]]&gt;=3,Table2[[#This Row],[Satification_points]]&lt;4),"AVERAGE",Table2[[#This Row],[Satification_points]]&lt;3,"POOR")</f>
        <v>AVERAGE</v>
      </c>
    </row>
    <row r="373" spans="1:29" x14ac:dyDescent="0.3">
      <c r="A373">
        <v>372</v>
      </c>
      <c r="B373">
        <v>22631</v>
      </c>
      <c r="C373" t="s">
        <v>428</v>
      </c>
      <c r="D373" t="s">
        <v>48</v>
      </c>
      <c r="E373" t="s">
        <v>27</v>
      </c>
      <c r="F373" s="1">
        <v>45617</v>
      </c>
      <c r="G373" s="1">
        <v>45618</v>
      </c>
      <c r="H373">
        <v>7</v>
      </c>
      <c r="I373" t="s">
        <v>42</v>
      </c>
      <c r="J373" t="s">
        <v>53</v>
      </c>
      <c r="K373">
        <v>4</v>
      </c>
      <c r="L373">
        <v>4</v>
      </c>
      <c r="M373">
        <v>3</v>
      </c>
      <c r="N373">
        <v>5</v>
      </c>
      <c r="O373">
        <v>3</v>
      </c>
      <c r="P373">
        <v>5</v>
      </c>
      <c r="Q373">
        <v>1</v>
      </c>
      <c r="R373">
        <v>4</v>
      </c>
      <c r="S373">
        <v>2</v>
      </c>
      <c r="T373">
        <v>4</v>
      </c>
      <c r="U373" t="s">
        <v>37</v>
      </c>
      <c r="V373" t="s">
        <v>38</v>
      </c>
      <c r="W373" t="s">
        <v>39</v>
      </c>
      <c r="X373" t="s">
        <v>40</v>
      </c>
      <c r="Y373">
        <v>18</v>
      </c>
      <c r="Z373" s="1">
        <v>45618</v>
      </c>
      <c r="AA373" t="str" cm="1">
        <f t="array" ref="AA373">_xlfn.IFS(AND(Table2[[#This Row],[Guest_Age]]&gt;=18,Table2[[#This Row],[Guest_Age]]&lt;=25),"Young Adults",AND(Table2[[#This Row],[Guest_Age]]&gt;=26,Table2[[#This Row],[Guest_Age]]&lt;=35),"Adults",AND(Table2[[#This Row],[Guest_Age]]&gt;=36,Table2[[#This Row],[Guest_Age]]&lt;=50),"Middle Aged Adults",Table2[[#This Row],[Guest_Age]]&gt;50,"Senior")</f>
        <v>Young Adults</v>
      </c>
      <c r="AB3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73" t="str" cm="1">
        <f t="array" ref="AC373">_xlfn.IFS(Table2[[#This Row],[Satification_points]]&gt;=4.5,"GREAT",AND(Table2[[#This Row],[Satification_points]]&gt;=4,Table2[[#This Row],[Satification_points]]&lt;4.5),"GOOD",AND(Table2[[#This Row],[Satification_points]]&gt;=3,Table2[[#This Row],[Satification_points]]&lt;4),"AVERAGE",Table2[[#This Row],[Satification_points]]&lt;3,"POOR")</f>
        <v>AVERAGE</v>
      </c>
    </row>
    <row r="374" spans="1:29" x14ac:dyDescent="0.3">
      <c r="A374">
        <v>373</v>
      </c>
      <c r="B374">
        <v>91861</v>
      </c>
      <c r="C374" t="s">
        <v>429</v>
      </c>
      <c r="D374" t="s">
        <v>51</v>
      </c>
      <c r="E374" t="s">
        <v>52</v>
      </c>
      <c r="F374" s="1">
        <v>45404</v>
      </c>
      <c r="G374" s="1">
        <v>45579</v>
      </c>
      <c r="H374">
        <v>11</v>
      </c>
      <c r="I374" t="s">
        <v>49</v>
      </c>
      <c r="J374" t="s">
        <v>36</v>
      </c>
      <c r="K374">
        <v>5</v>
      </c>
      <c r="L374">
        <v>3</v>
      </c>
      <c r="M374">
        <v>3</v>
      </c>
      <c r="N374">
        <v>1</v>
      </c>
      <c r="O374">
        <v>1</v>
      </c>
      <c r="P374">
        <v>5</v>
      </c>
      <c r="Q374">
        <v>5</v>
      </c>
      <c r="R374">
        <v>1</v>
      </c>
      <c r="S374">
        <v>3</v>
      </c>
      <c r="T374">
        <v>4</v>
      </c>
      <c r="U374" t="s">
        <v>37</v>
      </c>
      <c r="V374" t="s">
        <v>46</v>
      </c>
      <c r="W374" t="s">
        <v>47</v>
      </c>
      <c r="X374" t="s">
        <v>40</v>
      </c>
      <c r="Y374">
        <v>61</v>
      </c>
      <c r="Z374" s="1">
        <v>45603</v>
      </c>
      <c r="AA374" t="str" cm="1">
        <f t="array" ref="AA374">_xlfn.IFS(AND(Table2[[#This Row],[Guest_Age]]&gt;=18,Table2[[#This Row],[Guest_Age]]&lt;=25),"Young Adults",AND(Table2[[#This Row],[Guest_Age]]&gt;=26,Table2[[#This Row],[Guest_Age]]&lt;=35),"Adults",AND(Table2[[#This Row],[Guest_Age]]&gt;=36,Table2[[#This Row],[Guest_Age]]&lt;=50),"Middle Aged Adults",Table2[[#This Row],[Guest_Age]]&gt;50,"Senior")</f>
        <v>Senior</v>
      </c>
      <c r="AB3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74" t="str" cm="1">
        <f t="array" ref="AC374">_xlfn.IFS(Table2[[#This Row],[Satification_points]]&gt;=4.5,"GREAT",AND(Table2[[#This Row],[Satification_points]]&gt;=4,Table2[[#This Row],[Satification_points]]&lt;4.5),"GOOD",AND(Table2[[#This Row],[Satification_points]]&gt;=3,Table2[[#This Row],[Satification_points]]&lt;4),"AVERAGE",Table2[[#This Row],[Satification_points]]&lt;3,"POOR")</f>
        <v>AVERAGE</v>
      </c>
    </row>
    <row r="375" spans="1:29" x14ac:dyDescent="0.3">
      <c r="A375">
        <v>374</v>
      </c>
      <c r="B375">
        <v>33118</v>
      </c>
      <c r="C375" t="s">
        <v>430</v>
      </c>
      <c r="D375" t="s">
        <v>48</v>
      </c>
      <c r="E375" t="s">
        <v>57</v>
      </c>
      <c r="F375" s="1">
        <v>45490</v>
      </c>
      <c r="G375" s="1">
        <v>45491</v>
      </c>
      <c r="H375">
        <v>14</v>
      </c>
      <c r="I375" t="s">
        <v>28</v>
      </c>
      <c r="J375" t="s">
        <v>53</v>
      </c>
      <c r="K375">
        <v>5</v>
      </c>
      <c r="L375">
        <v>4</v>
      </c>
      <c r="M375">
        <v>5</v>
      </c>
      <c r="N375">
        <v>3</v>
      </c>
      <c r="O375">
        <v>1</v>
      </c>
      <c r="P375">
        <v>2</v>
      </c>
      <c r="Q375">
        <v>2</v>
      </c>
      <c r="R375">
        <v>1</v>
      </c>
      <c r="S375">
        <v>1</v>
      </c>
      <c r="T375">
        <v>1</v>
      </c>
      <c r="U375" t="s">
        <v>37</v>
      </c>
      <c r="V375" t="s">
        <v>31</v>
      </c>
      <c r="W375" t="s">
        <v>56</v>
      </c>
      <c r="X375" t="s">
        <v>40</v>
      </c>
      <c r="Y375">
        <v>31</v>
      </c>
      <c r="Z375" s="1">
        <v>45495</v>
      </c>
      <c r="AA375" t="str" cm="1">
        <f t="array" ref="AA375">_xlfn.IFS(AND(Table2[[#This Row],[Guest_Age]]&gt;=18,Table2[[#This Row],[Guest_Age]]&lt;=25),"Young Adults",AND(Table2[[#This Row],[Guest_Age]]&gt;=26,Table2[[#This Row],[Guest_Age]]&lt;=35),"Adults",AND(Table2[[#This Row],[Guest_Age]]&gt;=36,Table2[[#This Row],[Guest_Age]]&lt;=50),"Middle Aged Adults",Table2[[#This Row],[Guest_Age]]&gt;50,"Senior")</f>
        <v>Adults</v>
      </c>
      <c r="AB3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75" t="str" cm="1">
        <f t="array" ref="AC375">_xlfn.IFS(Table2[[#This Row],[Satification_points]]&gt;=4.5,"GREAT",AND(Table2[[#This Row],[Satification_points]]&gt;=4,Table2[[#This Row],[Satification_points]]&lt;4.5),"GOOD",AND(Table2[[#This Row],[Satification_points]]&gt;=3,Table2[[#This Row],[Satification_points]]&lt;4),"AVERAGE",Table2[[#This Row],[Satification_points]]&lt;3,"POOR")</f>
        <v>POOR</v>
      </c>
    </row>
    <row r="376" spans="1:29" x14ac:dyDescent="0.3">
      <c r="A376">
        <v>375</v>
      </c>
      <c r="B376">
        <v>56774</v>
      </c>
      <c r="C376" t="s">
        <v>431</v>
      </c>
      <c r="D376" t="s">
        <v>34</v>
      </c>
      <c r="E376" t="s">
        <v>57</v>
      </c>
      <c r="F376" s="1">
        <v>45548</v>
      </c>
      <c r="G376" s="1">
        <v>45549</v>
      </c>
      <c r="H376">
        <v>11</v>
      </c>
      <c r="I376" t="s">
        <v>50</v>
      </c>
      <c r="J376" t="s">
        <v>29</v>
      </c>
      <c r="K376">
        <v>1</v>
      </c>
      <c r="L376">
        <v>4</v>
      </c>
      <c r="M376">
        <v>5</v>
      </c>
      <c r="N376">
        <v>3</v>
      </c>
      <c r="O376">
        <v>2</v>
      </c>
      <c r="P376">
        <v>3</v>
      </c>
      <c r="Q376">
        <v>2</v>
      </c>
      <c r="R376">
        <v>4</v>
      </c>
      <c r="S376">
        <v>4</v>
      </c>
      <c r="T376">
        <v>4</v>
      </c>
      <c r="U376" t="s">
        <v>37</v>
      </c>
      <c r="V376" t="s">
        <v>38</v>
      </c>
      <c r="W376" t="s">
        <v>56</v>
      </c>
      <c r="X376" t="s">
        <v>44</v>
      </c>
      <c r="Y376">
        <v>57</v>
      </c>
      <c r="Z376" s="1">
        <v>45549</v>
      </c>
      <c r="AA376" t="str" cm="1">
        <f t="array" ref="AA376">_xlfn.IFS(AND(Table2[[#This Row],[Guest_Age]]&gt;=18,Table2[[#This Row],[Guest_Age]]&lt;=25),"Young Adults",AND(Table2[[#This Row],[Guest_Age]]&gt;=26,Table2[[#This Row],[Guest_Age]]&lt;=35),"Adults",AND(Table2[[#This Row],[Guest_Age]]&gt;=36,Table2[[#This Row],[Guest_Age]]&lt;=50),"Middle Aged Adults",Table2[[#This Row],[Guest_Age]]&gt;50,"Senior")</f>
        <v>Senior</v>
      </c>
      <c r="AB3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76" t="str" cm="1">
        <f t="array" ref="AC376">_xlfn.IFS(Table2[[#This Row],[Satification_points]]&gt;=4.5,"GREAT",AND(Table2[[#This Row],[Satification_points]]&gt;=4,Table2[[#This Row],[Satification_points]]&lt;4.5),"GOOD",AND(Table2[[#This Row],[Satification_points]]&gt;=3,Table2[[#This Row],[Satification_points]]&lt;4),"AVERAGE",Table2[[#This Row],[Satification_points]]&lt;3,"POOR")</f>
        <v>AVERAGE</v>
      </c>
    </row>
    <row r="377" spans="1:29" x14ac:dyDescent="0.3">
      <c r="A377">
        <v>376</v>
      </c>
      <c r="B377">
        <v>70513</v>
      </c>
      <c r="C377" t="s">
        <v>432</v>
      </c>
      <c r="D377" t="s">
        <v>26</v>
      </c>
      <c r="E377" t="s">
        <v>27</v>
      </c>
      <c r="F377" s="1">
        <v>45536</v>
      </c>
      <c r="G377" s="1">
        <v>45537</v>
      </c>
      <c r="H377">
        <v>10</v>
      </c>
      <c r="I377" t="s">
        <v>28</v>
      </c>
      <c r="J377" t="s">
        <v>40</v>
      </c>
      <c r="K377">
        <v>3</v>
      </c>
      <c r="L377">
        <v>1</v>
      </c>
      <c r="M377">
        <v>2</v>
      </c>
      <c r="N377">
        <v>2</v>
      </c>
      <c r="O377">
        <v>2</v>
      </c>
      <c r="P377">
        <v>2</v>
      </c>
      <c r="Q377">
        <v>3</v>
      </c>
      <c r="R377">
        <v>2</v>
      </c>
      <c r="S377">
        <v>5</v>
      </c>
      <c r="T377">
        <v>2</v>
      </c>
      <c r="U377" t="s">
        <v>30</v>
      </c>
      <c r="V377" t="s">
        <v>38</v>
      </c>
      <c r="W377" t="s">
        <v>39</v>
      </c>
      <c r="X377" t="s">
        <v>33</v>
      </c>
      <c r="Y377">
        <v>66</v>
      </c>
      <c r="Z377" s="1">
        <v>45597</v>
      </c>
      <c r="AA377" t="str" cm="1">
        <f t="array" ref="AA377">_xlfn.IFS(AND(Table2[[#This Row],[Guest_Age]]&gt;=18,Table2[[#This Row],[Guest_Age]]&lt;=25),"Young Adults",AND(Table2[[#This Row],[Guest_Age]]&gt;=26,Table2[[#This Row],[Guest_Age]]&lt;=35),"Adults",AND(Table2[[#This Row],[Guest_Age]]&gt;=36,Table2[[#This Row],[Guest_Age]]&lt;=50),"Middle Aged Adults",Table2[[#This Row],[Guest_Age]]&gt;50,"Senior")</f>
        <v>Senior</v>
      </c>
      <c r="AB3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377" t="str" cm="1">
        <f t="array" ref="AC377">_xlfn.IFS(Table2[[#This Row],[Satification_points]]&gt;=4.5,"GREAT",AND(Table2[[#This Row],[Satification_points]]&gt;=4,Table2[[#This Row],[Satification_points]]&lt;4.5),"GOOD",AND(Table2[[#This Row],[Satification_points]]&gt;=3,Table2[[#This Row],[Satification_points]]&lt;4),"AVERAGE",Table2[[#This Row],[Satification_points]]&lt;3,"POOR")</f>
        <v>POOR</v>
      </c>
    </row>
    <row r="378" spans="1:29" x14ac:dyDescent="0.3">
      <c r="A378">
        <v>377</v>
      </c>
      <c r="B378">
        <v>66141</v>
      </c>
      <c r="C378" t="s">
        <v>433</v>
      </c>
      <c r="D378" t="s">
        <v>51</v>
      </c>
      <c r="E378" t="s">
        <v>45</v>
      </c>
      <c r="F378" s="1">
        <v>45245</v>
      </c>
      <c r="G378" s="1">
        <v>45246</v>
      </c>
      <c r="H378">
        <v>14</v>
      </c>
      <c r="I378" t="s">
        <v>28</v>
      </c>
      <c r="J378" t="s">
        <v>36</v>
      </c>
      <c r="K378">
        <v>3</v>
      </c>
      <c r="L378">
        <v>5</v>
      </c>
      <c r="M378">
        <v>3</v>
      </c>
      <c r="N378">
        <v>1</v>
      </c>
      <c r="O378">
        <v>4</v>
      </c>
      <c r="P378">
        <v>4</v>
      </c>
      <c r="Q378">
        <v>3</v>
      </c>
      <c r="R378">
        <v>1</v>
      </c>
      <c r="S378">
        <v>5</v>
      </c>
      <c r="T378">
        <v>4</v>
      </c>
      <c r="U378" t="s">
        <v>30</v>
      </c>
      <c r="V378" t="s">
        <v>46</v>
      </c>
      <c r="W378" t="s">
        <v>47</v>
      </c>
      <c r="X378" t="s">
        <v>33</v>
      </c>
      <c r="Y378">
        <v>28</v>
      </c>
      <c r="Z378" s="1">
        <v>45461</v>
      </c>
      <c r="AA378" t="str" cm="1">
        <f t="array" ref="AA378">_xlfn.IFS(AND(Table2[[#This Row],[Guest_Age]]&gt;=18,Table2[[#This Row],[Guest_Age]]&lt;=25),"Young Adults",AND(Table2[[#This Row],[Guest_Age]]&gt;=26,Table2[[#This Row],[Guest_Age]]&lt;=35),"Adults",AND(Table2[[#This Row],[Guest_Age]]&gt;=36,Table2[[#This Row],[Guest_Age]]&lt;=50),"Middle Aged Adults",Table2[[#This Row],[Guest_Age]]&gt;50,"Senior")</f>
        <v>Adults</v>
      </c>
      <c r="AB3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378" t="str" cm="1">
        <f t="array" ref="AC378">_xlfn.IFS(Table2[[#This Row],[Satification_points]]&gt;=4.5,"GREAT",AND(Table2[[#This Row],[Satification_points]]&gt;=4,Table2[[#This Row],[Satification_points]]&lt;4.5),"GOOD",AND(Table2[[#This Row],[Satification_points]]&gt;=3,Table2[[#This Row],[Satification_points]]&lt;4),"AVERAGE",Table2[[#This Row],[Satification_points]]&lt;3,"POOR")</f>
        <v>AVERAGE</v>
      </c>
    </row>
    <row r="379" spans="1:29" x14ac:dyDescent="0.3">
      <c r="A379">
        <v>378</v>
      </c>
      <c r="B379">
        <v>79659</v>
      </c>
      <c r="C379" t="s">
        <v>434</v>
      </c>
      <c r="D379" t="s">
        <v>51</v>
      </c>
      <c r="E379" t="s">
        <v>35</v>
      </c>
      <c r="F379" s="1">
        <v>45321</v>
      </c>
      <c r="G379" s="1">
        <v>45322</v>
      </c>
      <c r="H379">
        <v>9</v>
      </c>
      <c r="I379" t="s">
        <v>50</v>
      </c>
      <c r="J379" t="s">
        <v>40</v>
      </c>
      <c r="K379">
        <v>5</v>
      </c>
      <c r="L379">
        <v>5</v>
      </c>
      <c r="M379">
        <v>1</v>
      </c>
      <c r="N379">
        <v>4</v>
      </c>
      <c r="O379">
        <v>2</v>
      </c>
      <c r="P379">
        <v>1</v>
      </c>
      <c r="Q379">
        <v>3</v>
      </c>
      <c r="R379">
        <v>4</v>
      </c>
      <c r="S379">
        <v>1</v>
      </c>
      <c r="T379">
        <v>5</v>
      </c>
      <c r="U379" t="s">
        <v>30</v>
      </c>
      <c r="V379" t="s">
        <v>54</v>
      </c>
      <c r="W379" t="s">
        <v>47</v>
      </c>
      <c r="X379" t="s">
        <v>40</v>
      </c>
      <c r="Y379">
        <v>49</v>
      </c>
      <c r="Z379" s="1">
        <v>45545</v>
      </c>
      <c r="AA379" t="str" cm="1">
        <f t="array" ref="AA37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79" t="str" cm="1">
        <f t="array" ref="AC379">_xlfn.IFS(Table2[[#This Row],[Satification_points]]&gt;=4.5,"GREAT",AND(Table2[[#This Row],[Satification_points]]&gt;=4,Table2[[#This Row],[Satification_points]]&lt;4.5),"GOOD",AND(Table2[[#This Row],[Satification_points]]&gt;=3,Table2[[#This Row],[Satification_points]]&lt;4),"AVERAGE",Table2[[#This Row],[Satification_points]]&lt;3,"POOR")</f>
        <v>AVERAGE</v>
      </c>
    </row>
    <row r="380" spans="1:29" x14ac:dyDescent="0.3">
      <c r="A380">
        <v>379</v>
      </c>
      <c r="B380">
        <v>21292</v>
      </c>
      <c r="C380" t="s">
        <v>435</v>
      </c>
      <c r="D380" t="s">
        <v>51</v>
      </c>
      <c r="E380" t="s">
        <v>57</v>
      </c>
      <c r="F380" s="1">
        <v>44974</v>
      </c>
      <c r="G380" s="1">
        <v>45106</v>
      </c>
      <c r="H380">
        <v>1</v>
      </c>
      <c r="I380" t="s">
        <v>28</v>
      </c>
      <c r="J380" t="s">
        <v>36</v>
      </c>
      <c r="K380">
        <v>3</v>
      </c>
      <c r="L380">
        <v>1</v>
      </c>
      <c r="M380">
        <v>3</v>
      </c>
      <c r="N380">
        <v>5</v>
      </c>
      <c r="O380">
        <v>2</v>
      </c>
      <c r="P380">
        <v>3</v>
      </c>
      <c r="Q380">
        <v>3</v>
      </c>
      <c r="R380">
        <v>2</v>
      </c>
      <c r="S380">
        <v>2</v>
      </c>
      <c r="T380">
        <v>4</v>
      </c>
      <c r="U380" t="s">
        <v>37</v>
      </c>
      <c r="V380" t="s">
        <v>58</v>
      </c>
      <c r="W380" t="s">
        <v>32</v>
      </c>
      <c r="X380" t="s">
        <v>44</v>
      </c>
      <c r="Y380">
        <v>37</v>
      </c>
      <c r="Z380" s="1">
        <v>45540</v>
      </c>
      <c r="AA380" t="str" cm="1">
        <f t="array" ref="AA3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3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80" t="str" cm="1">
        <f t="array" ref="AC380">_xlfn.IFS(Table2[[#This Row],[Satification_points]]&gt;=4.5,"GREAT",AND(Table2[[#This Row],[Satification_points]]&gt;=4,Table2[[#This Row],[Satification_points]]&lt;4.5),"GOOD",AND(Table2[[#This Row],[Satification_points]]&gt;=3,Table2[[#This Row],[Satification_points]]&lt;4),"AVERAGE",Table2[[#This Row],[Satification_points]]&lt;3,"POOR")</f>
        <v>POOR</v>
      </c>
    </row>
    <row r="381" spans="1:29" x14ac:dyDescent="0.3">
      <c r="A381">
        <v>380</v>
      </c>
      <c r="B381">
        <v>71265</v>
      </c>
      <c r="C381" t="s">
        <v>436</v>
      </c>
      <c r="D381" t="s">
        <v>26</v>
      </c>
      <c r="E381" t="s">
        <v>35</v>
      </c>
      <c r="F381" s="1">
        <v>45539</v>
      </c>
      <c r="G381" s="1">
        <v>45540</v>
      </c>
      <c r="H381">
        <v>11</v>
      </c>
      <c r="I381" t="s">
        <v>49</v>
      </c>
      <c r="J381" t="s">
        <v>29</v>
      </c>
      <c r="K381">
        <v>2</v>
      </c>
      <c r="L381">
        <v>2</v>
      </c>
      <c r="M381">
        <v>3</v>
      </c>
      <c r="N381">
        <v>1</v>
      </c>
      <c r="O381">
        <v>3</v>
      </c>
      <c r="P381">
        <v>1</v>
      </c>
      <c r="Q381">
        <v>5</v>
      </c>
      <c r="R381">
        <v>4</v>
      </c>
      <c r="S381">
        <v>1</v>
      </c>
      <c r="T381">
        <v>2</v>
      </c>
      <c r="U381" t="s">
        <v>30</v>
      </c>
      <c r="V381" t="s">
        <v>31</v>
      </c>
      <c r="W381" t="s">
        <v>39</v>
      </c>
      <c r="X381" t="s">
        <v>44</v>
      </c>
      <c r="Y381">
        <v>19</v>
      </c>
      <c r="Z381" s="1">
        <v>45540</v>
      </c>
      <c r="AA381" t="str" cm="1">
        <f t="array" ref="AA381">_xlfn.IFS(AND(Table2[[#This Row],[Guest_Age]]&gt;=18,Table2[[#This Row],[Guest_Age]]&lt;=25),"Young Adults",AND(Table2[[#This Row],[Guest_Age]]&gt;=26,Table2[[#This Row],[Guest_Age]]&lt;=35),"Adults",AND(Table2[[#This Row],[Guest_Age]]&gt;=36,Table2[[#This Row],[Guest_Age]]&lt;=50),"Middle Aged Adults",Table2[[#This Row],[Guest_Age]]&gt;50,"Senior")</f>
        <v>Young Adults</v>
      </c>
      <c r="AB3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381" t="str" cm="1">
        <f t="array" ref="AC381">_xlfn.IFS(Table2[[#This Row],[Satification_points]]&gt;=4.5,"GREAT",AND(Table2[[#This Row],[Satification_points]]&gt;=4,Table2[[#This Row],[Satification_points]]&lt;4.5),"GOOD",AND(Table2[[#This Row],[Satification_points]]&gt;=3,Table2[[#This Row],[Satification_points]]&lt;4),"AVERAGE",Table2[[#This Row],[Satification_points]]&lt;3,"POOR")</f>
        <v>POOR</v>
      </c>
    </row>
    <row r="382" spans="1:29" x14ac:dyDescent="0.3">
      <c r="A382">
        <v>381</v>
      </c>
      <c r="B382">
        <v>55689</v>
      </c>
      <c r="C382" t="s">
        <v>437</v>
      </c>
      <c r="D382" t="s">
        <v>51</v>
      </c>
      <c r="E382" t="s">
        <v>45</v>
      </c>
      <c r="F382" s="1">
        <v>45364</v>
      </c>
      <c r="G382" s="1">
        <v>45365</v>
      </c>
      <c r="H382">
        <v>14</v>
      </c>
      <c r="I382" t="s">
        <v>28</v>
      </c>
      <c r="J382" t="s">
        <v>29</v>
      </c>
      <c r="K382">
        <v>2</v>
      </c>
      <c r="L382">
        <v>4</v>
      </c>
      <c r="M382">
        <v>4</v>
      </c>
      <c r="N382">
        <v>4</v>
      </c>
      <c r="O382">
        <v>3</v>
      </c>
      <c r="P382">
        <v>4</v>
      </c>
      <c r="Q382">
        <v>4</v>
      </c>
      <c r="R382">
        <v>1</v>
      </c>
      <c r="S382">
        <v>2</v>
      </c>
      <c r="T382">
        <v>4</v>
      </c>
      <c r="U382" t="s">
        <v>30</v>
      </c>
      <c r="V382" t="s">
        <v>54</v>
      </c>
      <c r="W382" t="s">
        <v>32</v>
      </c>
      <c r="X382" t="s">
        <v>33</v>
      </c>
      <c r="Y382">
        <v>48</v>
      </c>
      <c r="Z382" s="1">
        <v>45365</v>
      </c>
      <c r="AA382" t="str" cm="1">
        <f t="array" ref="AA382">_xlfn.IFS(AND(Table2[[#This Row],[Guest_Age]]&gt;=18,Table2[[#This Row],[Guest_Age]]&lt;=25),"Young Adults",AND(Table2[[#This Row],[Guest_Age]]&gt;=26,Table2[[#This Row],[Guest_Age]]&lt;=35),"Adults",AND(Table2[[#This Row],[Guest_Age]]&gt;=36,Table2[[#This Row],[Guest_Age]]&lt;=50),"Middle Aged Adults",Table2[[#This Row],[Guest_Age]]&gt;50,"Senior")</f>
        <v>Middle Aged Adults</v>
      </c>
      <c r="AB3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82" t="str" cm="1">
        <f t="array" ref="AC382">_xlfn.IFS(Table2[[#This Row],[Satification_points]]&gt;=4.5,"GREAT",AND(Table2[[#This Row],[Satification_points]]&gt;=4,Table2[[#This Row],[Satification_points]]&lt;4.5),"GOOD",AND(Table2[[#This Row],[Satification_points]]&gt;=3,Table2[[#This Row],[Satification_points]]&lt;4),"AVERAGE",Table2[[#This Row],[Satification_points]]&lt;3,"POOR")</f>
        <v>AVERAGE</v>
      </c>
    </row>
    <row r="383" spans="1:29" x14ac:dyDescent="0.3">
      <c r="A383">
        <v>382</v>
      </c>
      <c r="B383">
        <v>38883</v>
      </c>
      <c r="C383" t="s">
        <v>438</v>
      </c>
      <c r="D383" t="s">
        <v>41</v>
      </c>
      <c r="E383" t="s">
        <v>27</v>
      </c>
      <c r="F383" s="1">
        <v>45401</v>
      </c>
      <c r="G383" s="1">
        <v>45402</v>
      </c>
      <c r="H383">
        <v>8</v>
      </c>
      <c r="I383" t="s">
        <v>28</v>
      </c>
      <c r="J383" t="s">
        <v>29</v>
      </c>
      <c r="K383">
        <v>5</v>
      </c>
      <c r="L383">
        <v>2</v>
      </c>
      <c r="M383">
        <v>4</v>
      </c>
      <c r="N383">
        <v>3</v>
      </c>
      <c r="O383">
        <v>3</v>
      </c>
      <c r="P383">
        <v>5</v>
      </c>
      <c r="Q383">
        <v>5</v>
      </c>
      <c r="R383">
        <v>5</v>
      </c>
      <c r="S383">
        <v>3</v>
      </c>
      <c r="T383">
        <v>1</v>
      </c>
      <c r="U383" t="s">
        <v>37</v>
      </c>
      <c r="V383" t="s">
        <v>46</v>
      </c>
      <c r="W383" t="s">
        <v>56</v>
      </c>
      <c r="X383" t="s">
        <v>33</v>
      </c>
      <c r="Y383">
        <v>22</v>
      </c>
      <c r="Z383" s="1">
        <v>45402</v>
      </c>
      <c r="AA383" t="str" cm="1">
        <f t="array" ref="AA383">_xlfn.IFS(AND(Table2[[#This Row],[Guest_Age]]&gt;=18,Table2[[#This Row],[Guest_Age]]&lt;=25),"Young Adults",AND(Table2[[#This Row],[Guest_Age]]&gt;=26,Table2[[#This Row],[Guest_Age]]&lt;=35),"Adults",AND(Table2[[#This Row],[Guest_Age]]&gt;=36,Table2[[#This Row],[Guest_Age]]&lt;=50),"Middle Aged Adults",Table2[[#This Row],[Guest_Age]]&gt;50,"Senior")</f>
        <v>Young Adults</v>
      </c>
      <c r="AB3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83" t="str" cm="1">
        <f t="array" ref="AC383">_xlfn.IFS(Table2[[#This Row],[Satification_points]]&gt;=4.5,"GREAT",AND(Table2[[#This Row],[Satification_points]]&gt;=4,Table2[[#This Row],[Satification_points]]&lt;4.5),"GOOD",AND(Table2[[#This Row],[Satification_points]]&gt;=3,Table2[[#This Row],[Satification_points]]&lt;4),"AVERAGE",Table2[[#This Row],[Satification_points]]&lt;3,"POOR")</f>
        <v>AVERAGE</v>
      </c>
    </row>
    <row r="384" spans="1:29" x14ac:dyDescent="0.3">
      <c r="A384">
        <v>383</v>
      </c>
      <c r="B384">
        <v>31167</v>
      </c>
      <c r="C384" t="s">
        <v>439</v>
      </c>
      <c r="D384" t="s">
        <v>51</v>
      </c>
      <c r="E384" t="s">
        <v>45</v>
      </c>
      <c r="F384" s="1">
        <v>45512</v>
      </c>
      <c r="G384" s="1">
        <v>45561</v>
      </c>
      <c r="H384">
        <v>2</v>
      </c>
      <c r="I384" t="s">
        <v>42</v>
      </c>
      <c r="J384" t="s">
        <v>53</v>
      </c>
      <c r="K384">
        <v>4</v>
      </c>
      <c r="L384">
        <v>4</v>
      </c>
      <c r="M384">
        <v>5</v>
      </c>
      <c r="N384">
        <v>3</v>
      </c>
      <c r="O384">
        <v>1</v>
      </c>
      <c r="P384">
        <v>4</v>
      </c>
      <c r="Q384">
        <v>2</v>
      </c>
      <c r="R384">
        <v>1</v>
      </c>
      <c r="S384">
        <v>2</v>
      </c>
      <c r="T384">
        <v>4</v>
      </c>
      <c r="U384" t="s">
        <v>30</v>
      </c>
      <c r="V384" t="s">
        <v>54</v>
      </c>
      <c r="W384" t="s">
        <v>39</v>
      </c>
      <c r="X384" t="s">
        <v>44</v>
      </c>
      <c r="Y384">
        <v>49</v>
      </c>
      <c r="Z384" s="1">
        <v>45561</v>
      </c>
      <c r="AA384" t="str" cm="1">
        <f t="array" ref="AA384">_xlfn.IFS(AND(Table2[[#This Row],[Guest_Age]]&gt;=18,Table2[[#This Row],[Guest_Age]]&lt;=25),"Young Adults",AND(Table2[[#This Row],[Guest_Age]]&gt;=26,Table2[[#This Row],[Guest_Age]]&lt;=35),"Adults",AND(Table2[[#This Row],[Guest_Age]]&gt;=36,Table2[[#This Row],[Guest_Age]]&lt;=50),"Middle Aged Adults",Table2[[#This Row],[Guest_Age]]&gt;50,"Senior")</f>
        <v>Middle Aged Adults</v>
      </c>
      <c r="AB3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84" t="str" cm="1">
        <f t="array" ref="AC384">_xlfn.IFS(Table2[[#This Row],[Satification_points]]&gt;=4.5,"GREAT",AND(Table2[[#This Row],[Satification_points]]&gt;=4,Table2[[#This Row],[Satification_points]]&lt;4.5),"GOOD",AND(Table2[[#This Row],[Satification_points]]&gt;=3,Table2[[#This Row],[Satification_points]]&lt;4),"AVERAGE",Table2[[#This Row],[Satification_points]]&lt;3,"POOR")</f>
        <v>AVERAGE</v>
      </c>
    </row>
    <row r="385" spans="1:29" x14ac:dyDescent="0.3">
      <c r="A385">
        <v>384</v>
      </c>
      <c r="B385">
        <v>87416</v>
      </c>
      <c r="C385" t="s">
        <v>440</v>
      </c>
      <c r="D385" t="s">
        <v>26</v>
      </c>
      <c r="E385" t="s">
        <v>52</v>
      </c>
      <c r="F385" s="1">
        <v>45476</v>
      </c>
      <c r="G385" s="1">
        <v>45483</v>
      </c>
      <c r="H385">
        <v>1</v>
      </c>
      <c r="I385" t="s">
        <v>49</v>
      </c>
      <c r="J385" t="s">
        <v>43</v>
      </c>
      <c r="K385">
        <v>4</v>
      </c>
      <c r="L385">
        <v>4</v>
      </c>
      <c r="M385">
        <v>2</v>
      </c>
      <c r="N385">
        <v>4</v>
      </c>
      <c r="O385">
        <v>3</v>
      </c>
      <c r="P385">
        <v>1</v>
      </c>
      <c r="Q385">
        <v>2</v>
      </c>
      <c r="R385">
        <v>1</v>
      </c>
      <c r="S385">
        <v>3</v>
      </c>
      <c r="T385">
        <v>1</v>
      </c>
      <c r="U385" t="s">
        <v>37</v>
      </c>
      <c r="V385" t="s">
        <v>38</v>
      </c>
      <c r="W385" t="s">
        <v>32</v>
      </c>
      <c r="X385" t="s">
        <v>40</v>
      </c>
      <c r="Y385">
        <v>67</v>
      </c>
      <c r="Z385" s="1">
        <v>45483</v>
      </c>
      <c r="AA385" t="str" cm="1">
        <f t="array" ref="AA385">_xlfn.IFS(AND(Table2[[#This Row],[Guest_Age]]&gt;=18,Table2[[#This Row],[Guest_Age]]&lt;=25),"Young Adults",AND(Table2[[#This Row],[Guest_Age]]&gt;=26,Table2[[#This Row],[Guest_Age]]&lt;=35),"Adults",AND(Table2[[#This Row],[Guest_Age]]&gt;=36,Table2[[#This Row],[Guest_Age]]&lt;=50),"Middle Aged Adults",Table2[[#This Row],[Guest_Age]]&gt;50,"Senior")</f>
        <v>Senior</v>
      </c>
      <c r="AB3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385" t="str" cm="1">
        <f t="array" ref="AC385">_xlfn.IFS(Table2[[#This Row],[Satification_points]]&gt;=4.5,"GREAT",AND(Table2[[#This Row],[Satification_points]]&gt;=4,Table2[[#This Row],[Satification_points]]&lt;4.5),"GOOD",AND(Table2[[#This Row],[Satification_points]]&gt;=3,Table2[[#This Row],[Satification_points]]&lt;4),"AVERAGE",Table2[[#This Row],[Satification_points]]&lt;3,"POOR")</f>
        <v>POOR</v>
      </c>
    </row>
    <row r="386" spans="1:29" x14ac:dyDescent="0.3">
      <c r="A386">
        <v>385</v>
      </c>
      <c r="B386">
        <v>10071</v>
      </c>
      <c r="C386" t="s">
        <v>441</v>
      </c>
      <c r="D386" t="s">
        <v>51</v>
      </c>
      <c r="E386" t="s">
        <v>45</v>
      </c>
      <c r="F386" s="1">
        <v>45654</v>
      </c>
      <c r="G386" s="1">
        <v>45655</v>
      </c>
      <c r="H386">
        <v>4</v>
      </c>
      <c r="I386" t="s">
        <v>28</v>
      </c>
      <c r="J386" t="s">
        <v>40</v>
      </c>
      <c r="K386">
        <v>4</v>
      </c>
      <c r="L386">
        <v>5</v>
      </c>
      <c r="M386">
        <v>2</v>
      </c>
      <c r="N386">
        <v>4</v>
      </c>
      <c r="O386">
        <v>3</v>
      </c>
      <c r="P386">
        <v>3</v>
      </c>
      <c r="Q386">
        <v>2</v>
      </c>
      <c r="R386">
        <v>5</v>
      </c>
      <c r="S386">
        <v>4</v>
      </c>
      <c r="T386">
        <v>3</v>
      </c>
      <c r="U386" t="s">
        <v>37</v>
      </c>
      <c r="V386" t="s">
        <v>54</v>
      </c>
      <c r="W386" t="s">
        <v>56</v>
      </c>
      <c r="X386" t="s">
        <v>44</v>
      </c>
      <c r="Y386">
        <v>26</v>
      </c>
      <c r="Z386" s="1">
        <v>45655</v>
      </c>
      <c r="AA386" t="str" cm="1">
        <f t="array" ref="AA386">_xlfn.IFS(AND(Table2[[#This Row],[Guest_Age]]&gt;=18,Table2[[#This Row],[Guest_Age]]&lt;=25),"Young Adults",AND(Table2[[#This Row],[Guest_Age]]&gt;=26,Table2[[#This Row],[Guest_Age]]&lt;=35),"Adults",AND(Table2[[#This Row],[Guest_Age]]&gt;=36,Table2[[#This Row],[Guest_Age]]&lt;=50),"Middle Aged Adults",Table2[[#This Row],[Guest_Age]]&gt;50,"Senior")</f>
        <v>Adults</v>
      </c>
      <c r="AB3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86" t="str" cm="1">
        <f t="array" ref="AC386">_xlfn.IFS(Table2[[#This Row],[Satification_points]]&gt;=4.5,"GREAT",AND(Table2[[#This Row],[Satification_points]]&gt;=4,Table2[[#This Row],[Satification_points]]&lt;4.5),"GOOD",AND(Table2[[#This Row],[Satification_points]]&gt;=3,Table2[[#This Row],[Satification_points]]&lt;4),"AVERAGE",Table2[[#This Row],[Satification_points]]&lt;3,"POOR")</f>
        <v>AVERAGE</v>
      </c>
    </row>
    <row r="387" spans="1:29" x14ac:dyDescent="0.3">
      <c r="A387">
        <v>386</v>
      </c>
      <c r="B387">
        <v>42234</v>
      </c>
      <c r="C387" t="s">
        <v>442</v>
      </c>
      <c r="D387" t="s">
        <v>41</v>
      </c>
      <c r="E387" t="s">
        <v>27</v>
      </c>
      <c r="F387" s="1">
        <v>45062</v>
      </c>
      <c r="G387" s="1">
        <v>45407</v>
      </c>
      <c r="H387">
        <v>6</v>
      </c>
      <c r="I387" t="s">
        <v>50</v>
      </c>
      <c r="J387" t="s">
        <v>36</v>
      </c>
      <c r="K387">
        <v>5</v>
      </c>
      <c r="L387">
        <v>5</v>
      </c>
      <c r="M387">
        <v>3</v>
      </c>
      <c r="N387">
        <v>2</v>
      </c>
      <c r="O387">
        <v>5</v>
      </c>
      <c r="P387">
        <v>2</v>
      </c>
      <c r="Q387">
        <v>4</v>
      </c>
      <c r="R387">
        <v>2</v>
      </c>
      <c r="S387">
        <v>4</v>
      </c>
      <c r="T387">
        <v>5</v>
      </c>
      <c r="U387" t="s">
        <v>30</v>
      </c>
      <c r="V387" t="s">
        <v>31</v>
      </c>
      <c r="W387" t="s">
        <v>47</v>
      </c>
      <c r="X387" t="s">
        <v>33</v>
      </c>
      <c r="Y387">
        <v>58</v>
      </c>
      <c r="Z387" s="1">
        <v>45407</v>
      </c>
      <c r="AA387" t="str" cm="1">
        <f t="array" ref="AA387">_xlfn.IFS(AND(Table2[[#This Row],[Guest_Age]]&gt;=18,Table2[[#This Row],[Guest_Age]]&lt;=25),"Young Adults",AND(Table2[[#This Row],[Guest_Age]]&gt;=26,Table2[[#This Row],[Guest_Age]]&lt;=35),"Adults",AND(Table2[[#This Row],[Guest_Age]]&gt;=36,Table2[[#This Row],[Guest_Age]]&lt;=50),"Middle Aged Adults",Table2[[#This Row],[Guest_Age]]&gt;50,"Senior")</f>
        <v>Senior</v>
      </c>
      <c r="AB3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387" t="str" cm="1">
        <f t="array" ref="AC387">_xlfn.IFS(Table2[[#This Row],[Satification_points]]&gt;=4.5,"GREAT",AND(Table2[[#This Row],[Satification_points]]&gt;=4,Table2[[#This Row],[Satification_points]]&lt;4.5),"GOOD",AND(Table2[[#This Row],[Satification_points]]&gt;=3,Table2[[#This Row],[Satification_points]]&lt;4),"AVERAGE",Table2[[#This Row],[Satification_points]]&lt;3,"POOR")</f>
        <v>AVERAGE</v>
      </c>
    </row>
    <row r="388" spans="1:29" x14ac:dyDescent="0.3">
      <c r="A388">
        <v>387</v>
      </c>
      <c r="B388">
        <v>15516</v>
      </c>
      <c r="C388" t="s">
        <v>443</v>
      </c>
      <c r="D388" t="s">
        <v>41</v>
      </c>
      <c r="E388" t="s">
        <v>27</v>
      </c>
      <c r="F388" s="1">
        <v>45444</v>
      </c>
      <c r="G388" s="1">
        <v>45445</v>
      </c>
      <c r="H388">
        <v>14</v>
      </c>
      <c r="I388" t="s">
        <v>28</v>
      </c>
      <c r="J388" t="s">
        <v>40</v>
      </c>
      <c r="K388">
        <v>1</v>
      </c>
      <c r="L388">
        <v>4</v>
      </c>
      <c r="M388">
        <v>1</v>
      </c>
      <c r="N388">
        <v>1</v>
      </c>
      <c r="O388">
        <v>3</v>
      </c>
      <c r="P388">
        <v>1</v>
      </c>
      <c r="Q388">
        <v>4</v>
      </c>
      <c r="R388">
        <v>4</v>
      </c>
      <c r="S388">
        <v>1</v>
      </c>
      <c r="T388">
        <v>1</v>
      </c>
      <c r="U388" t="s">
        <v>30</v>
      </c>
      <c r="V388" t="s">
        <v>54</v>
      </c>
      <c r="W388" t="s">
        <v>39</v>
      </c>
      <c r="X388" t="s">
        <v>44</v>
      </c>
      <c r="Y388">
        <v>27</v>
      </c>
      <c r="Z388" s="1">
        <v>45445</v>
      </c>
      <c r="AA388" t="str" cm="1">
        <f t="array" ref="AA388">_xlfn.IFS(AND(Table2[[#This Row],[Guest_Age]]&gt;=18,Table2[[#This Row],[Guest_Age]]&lt;=25),"Young Adults",AND(Table2[[#This Row],[Guest_Age]]&gt;=26,Table2[[#This Row],[Guest_Age]]&lt;=35),"Adults",AND(Table2[[#This Row],[Guest_Age]]&gt;=36,Table2[[#This Row],[Guest_Age]]&lt;=50),"Middle Aged Adults",Table2[[#This Row],[Guest_Age]]&gt;50,"Senior")</f>
        <v>Adults</v>
      </c>
      <c r="AB3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388" t="str" cm="1">
        <f t="array" ref="AC388">_xlfn.IFS(Table2[[#This Row],[Satification_points]]&gt;=4.5,"GREAT",AND(Table2[[#This Row],[Satification_points]]&gt;=4,Table2[[#This Row],[Satification_points]]&lt;4.5),"GOOD",AND(Table2[[#This Row],[Satification_points]]&gt;=3,Table2[[#This Row],[Satification_points]]&lt;4),"AVERAGE",Table2[[#This Row],[Satification_points]]&lt;3,"POOR")</f>
        <v>POOR</v>
      </c>
    </row>
    <row r="389" spans="1:29" x14ac:dyDescent="0.3">
      <c r="A389">
        <v>388</v>
      </c>
      <c r="B389">
        <v>88055</v>
      </c>
      <c r="C389" t="s">
        <v>444</v>
      </c>
      <c r="D389" t="s">
        <v>51</v>
      </c>
      <c r="E389" t="s">
        <v>45</v>
      </c>
      <c r="F389" s="1">
        <v>45250</v>
      </c>
      <c r="G389" s="1">
        <v>45251</v>
      </c>
      <c r="H389">
        <v>8</v>
      </c>
      <c r="I389" t="s">
        <v>50</v>
      </c>
      <c r="J389" t="s">
        <v>43</v>
      </c>
      <c r="K389">
        <v>3</v>
      </c>
      <c r="L389">
        <v>5</v>
      </c>
      <c r="M389">
        <v>4</v>
      </c>
      <c r="N389">
        <v>3</v>
      </c>
      <c r="O389">
        <v>1</v>
      </c>
      <c r="P389">
        <v>3</v>
      </c>
      <c r="Q389">
        <v>1</v>
      </c>
      <c r="R389">
        <v>2</v>
      </c>
      <c r="S389">
        <v>1</v>
      </c>
      <c r="T389">
        <v>3</v>
      </c>
      <c r="U389" t="s">
        <v>30</v>
      </c>
      <c r="V389" t="s">
        <v>54</v>
      </c>
      <c r="W389" t="s">
        <v>32</v>
      </c>
      <c r="X389" t="s">
        <v>40</v>
      </c>
      <c r="Y389">
        <v>53</v>
      </c>
      <c r="Z389" s="1">
        <v>45334</v>
      </c>
      <c r="AA389" t="str" cm="1">
        <f t="array" ref="AA389">_xlfn.IFS(AND(Table2[[#This Row],[Guest_Age]]&gt;=18,Table2[[#This Row],[Guest_Age]]&lt;=25),"Young Adults",AND(Table2[[#This Row],[Guest_Age]]&gt;=26,Table2[[#This Row],[Guest_Age]]&lt;=35),"Adults",AND(Table2[[#This Row],[Guest_Age]]&gt;=36,Table2[[#This Row],[Guest_Age]]&lt;=50),"Middle Aged Adults",Table2[[#This Row],[Guest_Age]]&gt;50,"Senior")</f>
        <v>Senior</v>
      </c>
      <c r="AB3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389" t="str" cm="1">
        <f t="array" ref="AC389">_xlfn.IFS(Table2[[#This Row],[Satification_points]]&gt;=4.5,"GREAT",AND(Table2[[#This Row],[Satification_points]]&gt;=4,Table2[[#This Row],[Satification_points]]&lt;4.5),"GOOD",AND(Table2[[#This Row],[Satification_points]]&gt;=3,Table2[[#This Row],[Satification_points]]&lt;4),"AVERAGE",Table2[[#This Row],[Satification_points]]&lt;3,"POOR")</f>
        <v>POOR</v>
      </c>
    </row>
    <row r="390" spans="1:29" x14ac:dyDescent="0.3">
      <c r="A390">
        <v>389</v>
      </c>
      <c r="B390">
        <v>55037</v>
      </c>
      <c r="C390" t="s">
        <v>445</v>
      </c>
      <c r="D390" t="s">
        <v>34</v>
      </c>
      <c r="E390" t="s">
        <v>27</v>
      </c>
      <c r="F390" s="1">
        <v>45123</v>
      </c>
      <c r="G390" s="1">
        <v>45124</v>
      </c>
      <c r="H390">
        <v>1</v>
      </c>
      <c r="I390" t="s">
        <v>49</v>
      </c>
      <c r="J390" t="s">
        <v>53</v>
      </c>
      <c r="K390">
        <v>2</v>
      </c>
      <c r="L390">
        <v>5</v>
      </c>
      <c r="M390">
        <v>1</v>
      </c>
      <c r="N390">
        <v>5</v>
      </c>
      <c r="O390">
        <v>5</v>
      </c>
      <c r="P390">
        <v>1</v>
      </c>
      <c r="Q390">
        <v>4</v>
      </c>
      <c r="R390">
        <v>2</v>
      </c>
      <c r="S390">
        <v>4</v>
      </c>
      <c r="T390">
        <v>3</v>
      </c>
      <c r="U390" t="s">
        <v>37</v>
      </c>
      <c r="V390" t="s">
        <v>38</v>
      </c>
      <c r="W390" t="s">
        <v>55</v>
      </c>
      <c r="X390" t="s">
        <v>40</v>
      </c>
      <c r="Y390">
        <v>66</v>
      </c>
      <c r="Z390" s="1">
        <v>45285</v>
      </c>
      <c r="AA390" t="str" cm="1">
        <f t="array" ref="AA390">_xlfn.IFS(AND(Table2[[#This Row],[Guest_Age]]&gt;=18,Table2[[#This Row],[Guest_Age]]&lt;=25),"Young Adults",AND(Table2[[#This Row],[Guest_Age]]&gt;=26,Table2[[#This Row],[Guest_Age]]&lt;=35),"Adults",AND(Table2[[#This Row],[Guest_Age]]&gt;=36,Table2[[#This Row],[Guest_Age]]&lt;=50),"Middle Aged Adults",Table2[[#This Row],[Guest_Age]]&gt;50,"Senior")</f>
        <v>Senior</v>
      </c>
      <c r="AB3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390" t="str" cm="1">
        <f t="array" ref="AC390">_xlfn.IFS(Table2[[#This Row],[Satification_points]]&gt;=4.5,"GREAT",AND(Table2[[#This Row],[Satification_points]]&gt;=4,Table2[[#This Row],[Satification_points]]&lt;4.5),"GOOD",AND(Table2[[#This Row],[Satification_points]]&gt;=3,Table2[[#This Row],[Satification_points]]&lt;4),"AVERAGE",Table2[[#This Row],[Satification_points]]&lt;3,"POOR")</f>
        <v>AVERAGE</v>
      </c>
    </row>
    <row r="391" spans="1:29" x14ac:dyDescent="0.3">
      <c r="A391">
        <v>390</v>
      </c>
      <c r="B391">
        <v>18234</v>
      </c>
      <c r="C391" t="s">
        <v>446</v>
      </c>
      <c r="D391" t="s">
        <v>34</v>
      </c>
      <c r="E391" t="s">
        <v>52</v>
      </c>
      <c r="F391" s="1">
        <v>45037</v>
      </c>
      <c r="G391" s="1">
        <v>45038</v>
      </c>
      <c r="H391">
        <v>1</v>
      </c>
      <c r="I391" t="s">
        <v>49</v>
      </c>
      <c r="J391" t="s">
        <v>53</v>
      </c>
      <c r="K391">
        <v>2</v>
      </c>
      <c r="L391">
        <v>3</v>
      </c>
      <c r="M391">
        <v>4</v>
      </c>
      <c r="N391">
        <v>3</v>
      </c>
      <c r="O391">
        <v>1</v>
      </c>
      <c r="P391">
        <v>5</v>
      </c>
      <c r="Q391">
        <v>2</v>
      </c>
      <c r="R391">
        <v>4</v>
      </c>
      <c r="S391">
        <v>5</v>
      </c>
      <c r="T391">
        <v>2</v>
      </c>
      <c r="U391" t="s">
        <v>37</v>
      </c>
      <c r="V391" t="s">
        <v>54</v>
      </c>
      <c r="W391" t="s">
        <v>47</v>
      </c>
      <c r="X391" t="s">
        <v>33</v>
      </c>
      <c r="Y391">
        <v>43</v>
      </c>
      <c r="Z391" s="1">
        <v>45548</v>
      </c>
      <c r="AA391" t="str" cm="1">
        <f t="array" ref="AA3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3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391" t="str" cm="1">
        <f t="array" ref="AC391">_xlfn.IFS(Table2[[#This Row],[Satification_points]]&gt;=4.5,"GREAT",AND(Table2[[#This Row],[Satification_points]]&gt;=4,Table2[[#This Row],[Satification_points]]&lt;4.5),"GOOD",AND(Table2[[#This Row],[Satification_points]]&gt;=3,Table2[[#This Row],[Satification_points]]&lt;4),"AVERAGE",Table2[[#This Row],[Satification_points]]&lt;3,"POOR")</f>
        <v>AVERAGE</v>
      </c>
    </row>
    <row r="392" spans="1:29" x14ac:dyDescent="0.3">
      <c r="A392">
        <v>391</v>
      </c>
      <c r="B392">
        <v>14360</v>
      </c>
      <c r="C392" t="s">
        <v>447</v>
      </c>
      <c r="D392" t="s">
        <v>48</v>
      </c>
      <c r="E392" t="s">
        <v>35</v>
      </c>
      <c r="F392" s="1">
        <v>45476</v>
      </c>
      <c r="G392" s="1">
        <v>45576</v>
      </c>
      <c r="H392">
        <v>10</v>
      </c>
      <c r="I392" t="s">
        <v>42</v>
      </c>
      <c r="J392" t="s">
        <v>43</v>
      </c>
      <c r="K392">
        <v>1</v>
      </c>
      <c r="L392">
        <v>3</v>
      </c>
      <c r="M392">
        <v>3</v>
      </c>
      <c r="N392">
        <v>1</v>
      </c>
      <c r="O392">
        <v>1</v>
      </c>
      <c r="P392">
        <v>5</v>
      </c>
      <c r="Q392">
        <v>4</v>
      </c>
      <c r="R392">
        <v>2</v>
      </c>
      <c r="S392">
        <v>3</v>
      </c>
      <c r="T392">
        <v>3</v>
      </c>
      <c r="U392" t="s">
        <v>37</v>
      </c>
      <c r="V392" t="s">
        <v>38</v>
      </c>
      <c r="W392" t="s">
        <v>32</v>
      </c>
      <c r="X392" t="s">
        <v>44</v>
      </c>
      <c r="Y392">
        <v>61</v>
      </c>
      <c r="Z392" s="1">
        <v>45576</v>
      </c>
      <c r="AA392" t="str" cm="1">
        <f t="array" ref="AA392">_xlfn.IFS(AND(Table2[[#This Row],[Guest_Age]]&gt;=18,Table2[[#This Row],[Guest_Age]]&lt;=25),"Young Adults",AND(Table2[[#This Row],[Guest_Age]]&gt;=26,Table2[[#This Row],[Guest_Age]]&lt;=35),"Adults",AND(Table2[[#This Row],[Guest_Age]]&gt;=36,Table2[[#This Row],[Guest_Age]]&lt;=50),"Middle Aged Adults",Table2[[#This Row],[Guest_Age]]&gt;50,"Senior")</f>
        <v>Senior</v>
      </c>
      <c r="AB3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392" t="str" cm="1">
        <f t="array" ref="AC392">_xlfn.IFS(Table2[[#This Row],[Satification_points]]&gt;=4.5,"GREAT",AND(Table2[[#This Row],[Satification_points]]&gt;=4,Table2[[#This Row],[Satification_points]]&lt;4.5),"GOOD",AND(Table2[[#This Row],[Satification_points]]&gt;=3,Table2[[#This Row],[Satification_points]]&lt;4),"AVERAGE",Table2[[#This Row],[Satification_points]]&lt;3,"POOR")</f>
        <v>POOR</v>
      </c>
    </row>
    <row r="393" spans="1:29" x14ac:dyDescent="0.3">
      <c r="A393">
        <v>392</v>
      </c>
      <c r="B393">
        <v>91965</v>
      </c>
      <c r="C393" t="s">
        <v>448</v>
      </c>
      <c r="D393" t="s">
        <v>41</v>
      </c>
      <c r="E393" t="s">
        <v>45</v>
      </c>
      <c r="F393" s="1">
        <v>45041</v>
      </c>
      <c r="G393" s="1">
        <v>45478</v>
      </c>
      <c r="H393">
        <v>2</v>
      </c>
      <c r="I393" t="s">
        <v>50</v>
      </c>
      <c r="J393" t="s">
        <v>36</v>
      </c>
      <c r="K393">
        <v>3</v>
      </c>
      <c r="L393">
        <v>4</v>
      </c>
      <c r="M393">
        <v>2</v>
      </c>
      <c r="N393">
        <v>4</v>
      </c>
      <c r="O393">
        <v>5</v>
      </c>
      <c r="P393">
        <v>2</v>
      </c>
      <c r="Q393">
        <v>4</v>
      </c>
      <c r="R393">
        <v>3</v>
      </c>
      <c r="S393">
        <v>4</v>
      </c>
      <c r="T393">
        <v>5</v>
      </c>
      <c r="U393" t="s">
        <v>30</v>
      </c>
      <c r="V393" t="s">
        <v>31</v>
      </c>
      <c r="W393" t="s">
        <v>32</v>
      </c>
      <c r="X393" t="s">
        <v>44</v>
      </c>
      <c r="Y393">
        <v>20</v>
      </c>
      <c r="Z393" s="1">
        <v>45560</v>
      </c>
      <c r="AA393" t="str" cm="1">
        <f t="array" ref="AA393">_xlfn.IFS(AND(Table2[[#This Row],[Guest_Age]]&gt;=18,Table2[[#This Row],[Guest_Age]]&lt;=25),"Young Adults",AND(Table2[[#This Row],[Guest_Age]]&gt;=26,Table2[[#This Row],[Guest_Age]]&lt;=35),"Adults",AND(Table2[[#This Row],[Guest_Age]]&gt;=36,Table2[[#This Row],[Guest_Age]]&lt;=50),"Middle Aged Adults",Table2[[#This Row],[Guest_Age]]&gt;50,"Senior")</f>
        <v>Young Adults</v>
      </c>
      <c r="AB3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393" t="str" cm="1">
        <f t="array" ref="AC393">_xlfn.IFS(Table2[[#This Row],[Satification_points]]&gt;=4.5,"GREAT",AND(Table2[[#This Row],[Satification_points]]&gt;=4,Table2[[#This Row],[Satification_points]]&lt;4.5),"GOOD",AND(Table2[[#This Row],[Satification_points]]&gt;=3,Table2[[#This Row],[Satification_points]]&lt;4),"AVERAGE",Table2[[#This Row],[Satification_points]]&lt;3,"POOR")</f>
        <v>AVERAGE</v>
      </c>
    </row>
    <row r="394" spans="1:29" x14ac:dyDescent="0.3">
      <c r="A394">
        <v>393</v>
      </c>
      <c r="B394">
        <v>50160</v>
      </c>
      <c r="C394" t="s">
        <v>449</v>
      </c>
      <c r="D394" t="s">
        <v>34</v>
      </c>
      <c r="E394" t="s">
        <v>27</v>
      </c>
      <c r="F394" s="1">
        <v>45623</v>
      </c>
      <c r="G394" s="1">
        <v>45624</v>
      </c>
      <c r="H394">
        <v>9</v>
      </c>
      <c r="I394" t="s">
        <v>50</v>
      </c>
      <c r="J394" t="s">
        <v>43</v>
      </c>
      <c r="K394">
        <v>4</v>
      </c>
      <c r="L394">
        <v>5</v>
      </c>
      <c r="M394">
        <v>3</v>
      </c>
      <c r="N394">
        <v>2</v>
      </c>
      <c r="O394">
        <v>5</v>
      </c>
      <c r="P394">
        <v>5</v>
      </c>
      <c r="Q394">
        <v>4</v>
      </c>
      <c r="R394">
        <v>1</v>
      </c>
      <c r="S394">
        <v>5</v>
      </c>
      <c r="T394">
        <v>5</v>
      </c>
      <c r="U394" t="s">
        <v>37</v>
      </c>
      <c r="V394" t="s">
        <v>31</v>
      </c>
      <c r="W394" t="s">
        <v>39</v>
      </c>
      <c r="X394" t="s">
        <v>40</v>
      </c>
      <c r="Y394">
        <v>53</v>
      </c>
      <c r="Z394" s="1">
        <v>45624</v>
      </c>
      <c r="AA394" t="str" cm="1">
        <f t="array" ref="AA394">_xlfn.IFS(AND(Table2[[#This Row],[Guest_Age]]&gt;=18,Table2[[#This Row],[Guest_Age]]&lt;=25),"Young Adults",AND(Table2[[#This Row],[Guest_Age]]&gt;=26,Table2[[#This Row],[Guest_Age]]&lt;=35),"Adults",AND(Table2[[#This Row],[Guest_Age]]&gt;=36,Table2[[#This Row],[Guest_Age]]&lt;=50),"Middle Aged Adults",Table2[[#This Row],[Guest_Age]]&gt;50,"Senior")</f>
        <v>Senior</v>
      </c>
      <c r="AB3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394" t="str" cm="1">
        <f t="array" ref="AC394">_xlfn.IFS(Table2[[#This Row],[Satification_points]]&gt;=4.5,"GREAT",AND(Table2[[#This Row],[Satification_points]]&gt;=4,Table2[[#This Row],[Satification_points]]&lt;4.5),"GOOD",AND(Table2[[#This Row],[Satification_points]]&gt;=3,Table2[[#This Row],[Satification_points]]&lt;4),"AVERAGE",Table2[[#This Row],[Satification_points]]&lt;3,"POOR")</f>
        <v>AVERAGE</v>
      </c>
    </row>
    <row r="395" spans="1:29" x14ac:dyDescent="0.3">
      <c r="A395">
        <v>394</v>
      </c>
      <c r="B395">
        <v>93595</v>
      </c>
      <c r="C395" t="s">
        <v>450</v>
      </c>
      <c r="D395" t="s">
        <v>48</v>
      </c>
      <c r="E395" t="s">
        <v>35</v>
      </c>
      <c r="F395" s="1">
        <v>45650</v>
      </c>
      <c r="G395" s="1">
        <v>45651</v>
      </c>
      <c r="H395">
        <v>12</v>
      </c>
      <c r="I395" t="s">
        <v>49</v>
      </c>
      <c r="J395" t="s">
        <v>53</v>
      </c>
      <c r="K395">
        <v>2</v>
      </c>
      <c r="L395">
        <v>3</v>
      </c>
      <c r="M395">
        <v>4</v>
      </c>
      <c r="N395">
        <v>3</v>
      </c>
      <c r="O395">
        <v>5</v>
      </c>
      <c r="P395">
        <v>4</v>
      </c>
      <c r="Q395">
        <v>3</v>
      </c>
      <c r="R395">
        <v>3</v>
      </c>
      <c r="S395">
        <v>2</v>
      </c>
      <c r="T395">
        <v>5</v>
      </c>
      <c r="U395" t="s">
        <v>37</v>
      </c>
      <c r="V395" t="s">
        <v>58</v>
      </c>
      <c r="W395" t="s">
        <v>55</v>
      </c>
      <c r="X395" t="s">
        <v>44</v>
      </c>
      <c r="Y395">
        <v>40</v>
      </c>
      <c r="Z395" s="1">
        <v>45651</v>
      </c>
      <c r="AA395" t="str" cm="1">
        <f t="array" ref="AA395">_xlfn.IFS(AND(Table2[[#This Row],[Guest_Age]]&gt;=18,Table2[[#This Row],[Guest_Age]]&lt;=25),"Young Adults",AND(Table2[[#This Row],[Guest_Age]]&gt;=26,Table2[[#This Row],[Guest_Age]]&lt;=35),"Adults",AND(Table2[[#This Row],[Guest_Age]]&gt;=36,Table2[[#This Row],[Guest_Age]]&lt;=50),"Middle Aged Adults",Table2[[#This Row],[Guest_Age]]&gt;50,"Senior")</f>
        <v>Middle Aged Adults</v>
      </c>
      <c r="AB3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95" t="str" cm="1">
        <f t="array" ref="AC395">_xlfn.IFS(Table2[[#This Row],[Satification_points]]&gt;=4.5,"GREAT",AND(Table2[[#This Row],[Satification_points]]&gt;=4,Table2[[#This Row],[Satification_points]]&lt;4.5),"GOOD",AND(Table2[[#This Row],[Satification_points]]&gt;=3,Table2[[#This Row],[Satification_points]]&lt;4),"AVERAGE",Table2[[#This Row],[Satification_points]]&lt;3,"POOR")</f>
        <v>AVERAGE</v>
      </c>
    </row>
    <row r="396" spans="1:29" x14ac:dyDescent="0.3">
      <c r="A396">
        <v>395</v>
      </c>
      <c r="B396">
        <v>21544</v>
      </c>
      <c r="C396" t="s">
        <v>451</v>
      </c>
      <c r="D396" t="s">
        <v>34</v>
      </c>
      <c r="E396" t="s">
        <v>52</v>
      </c>
      <c r="F396" s="1">
        <v>45414</v>
      </c>
      <c r="G396" s="1">
        <v>45599</v>
      </c>
      <c r="H396">
        <v>4</v>
      </c>
      <c r="I396" t="s">
        <v>50</v>
      </c>
      <c r="J396" t="s">
        <v>53</v>
      </c>
      <c r="K396">
        <v>4</v>
      </c>
      <c r="L396">
        <v>2</v>
      </c>
      <c r="M396">
        <v>2</v>
      </c>
      <c r="N396">
        <v>2</v>
      </c>
      <c r="O396">
        <v>5</v>
      </c>
      <c r="P396">
        <v>2</v>
      </c>
      <c r="Q396">
        <v>4</v>
      </c>
      <c r="R396">
        <v>4</v>
      </c>
      <c r="S396">
        <v>4</v>
      </c>
      <c r="T396">
        <v>5</v>
      </c>
      <c r="U396" t="s">
        <v>37</v>
      </c>
      <c r="V396" t="s">
        <v>58</v>
      </c>
      <c r="W396" t="s">
        <v>47</v>
      </c>
      <c r="X396" t="s">
        <v>40</v>
      </c>
      <c r="Y396">
        <v>47</v>
      </c>
      <c r="Z396" s="1">
        <v>45651</v>
      </c>
      <c r="AA396" t="str" cm="1">
        <f t="array" ref="AA3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3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396" t="str" cm="1">
        <f t="array" ref="AC396">_xlfn.IFS(Table2[[#This Row],[Satification_points]]&gt;=4.5,"GREAT",AND(Table2[[#This Row],[Satification_points]]&gt;=4,Table2[[#This Row],[Satification_points]]&lt;4.5),"GOOD",AND(Table2[[#This Row],[Satification_points]]&gt;=3,Table2[[#This Row],[Satification_points]]&lt;4),"AVERAGE",Table2[[#This Row],[Satification_points]]&lt;3,"POOR")</f>
        <v>AVERAGE</v>
      </c>
    </row>
    <row r="397" spans="1:29" x14ac:dyDescent="0.3">
      <c r="A397">
        <v>396</v>
      </c>
      <c r="B397">
        <v>16381</v>
      </c>
      <c r="C397" t="s">
        <v>452</v>
      </c>
      <c r="D397" t="s">
        <v>51</v>
      </c>
      <c r="E397" t="s">
        <v>45</v>
      </c>
      <c r="F397" s="1">
        <v>45291</v>
      </c>
      <c r="G397" s="1">
        <v>45503</v>
      </c>
      <c r="H397">
        <v>7</v>
      </c>
      <c r="I397" t="s">
        <v>50</v>
      </c>
      <c r="J397" t="s">
        <v>40</v>
      </c>
      <c r="K397">
        <v>4</v>
      </c>
      <c r="L397">
        <v>4</v>
      </c>
      <c r="M397">
        <v>1</v>
      </c>
      <c r="N397">
        <v>4</v>
      </c>
      <c r="O397">
        <v>1</v>
      </c>
      <c r="P397">
        <v>1</v>
      </c>
      <c r="Q397">
        <v>3</v>
      </c>
      <c r="R397">
        <v>5</v>
      </c>
      <c r="S397">
        <v>5</v>
      </c>
      <c r="T397">
        <v>2</v>
      </c>
      <c r="U397" t="s">
        <v>30</v>
      </c>
      <c r="V397" t="s">
        <v>38</v>
      </c>
      <c r="W397" t="s">
        <v>47</v>
      </c>
      <c r="X397" t="s">
        <v>40</v>
      </c>
      <c r="Y397">
        <v>56</v>
      </c>
      <c r="Z397" s="1">
        <v>45503</v>
      </c>
      <c r="AA397" t="str" cm="1">
        <f t="array" ref="AA397">_xlfn.IFS(AND(Table2[[#This Row],[Guest_Age]]&gt;=18,Table2[[#This Row],[Guest_Age]]&lt;=25),"Young Adults",AND(Table2[[#This Row],[Guest_Age]]&gt;=26,Table2[[#This Row],[Guest_Age]]&lt;=35),"Adults",AND(Table2[[#This Row],[Guest_Age]]&gt;=36,Table2[[#This Row],[Guest_Age]]&lt;=50),"Middle Aged Adults",Table2[[#This Row],[Guest_Age]]&gt;50,"Senior")</f>
        <v>Senior</v>
      </c>
      <c r="AB3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397" t="str" cm="1">
        <f t="array" ref="AC397">_xlfn.IFS(Table2[[#This Row],[Satification_points]]&gt;=4.5,"GREAT",AND(Table2[[#This Row],[Satification_points]]&gt;=4,Table2[[#This Row],[Satification_points]]&lt;4.5),"GOOD",AND(Table2[[#This Row],[Satification_points]]&gt;=3,Table2[[#This Row],[Satification_points]]&lt;4),"AVERAGE",Table2[[#This Row],[Satification_points]]&lt;3,"POOR")</f>
        <v>AVERAGE</v>
      </c>
    </row>
    <row r="398" spans="1:29" x14ac:dyDescent="0.3">
      <c r="A398">
        <v>397</v>
      </c>
      <c r="B398">
        <v>33128</v>
      </c>
      <c r="C398" t="s">
        <v>453</v>
      </c>
      <c r="D398" t="s">
        <v>41</v>
      </c>
      <c r="E398" t="s">
        <v>27</v>
      </c>
      <c r="F398" s="1">
        <v>45410</v>
      </c>
      <c r="G398" s="1">
        <v>45411</v>
      </c>
      <c r="H398">
        <v>3</v>
      </c>
      <c r="I398" t="s">
        <v>28</v>
      </c>
      <c r="J398" t="s">
        <v>36</v>
      </c>
      <c r="K398">
        <v>5</v>
      </c>
      <c r="L398">
        <v>4</v>
      </c>
      <c r="M398">
        <v>1</v>
      </c>
      <c r="N398">
        <v>1</v>
      </c>
      <c r="O398">
        <v>5</v>
      </c>
      <c r="P398">
        <v>4</v>
      </c>
      <c r="Q398">
        <v>2</v>
      </c>
      <c r="R398">
        <v>5</v>
      </c>
      <c r="S398">
        <v>4</v>
      </c>
      <c r="T398">
        <v>4</v>
      </c>
      <c r="U398" t="s">
        <v>37</v>
      </c>
      <c r="V398" t="s">
        <v>58</v>
      </c>
      <c r="W398" t="s">
        <v>39</v>
      </c>
      <c r="X398" t="s">
        <v>44</v>
      </c>
      <c r="Y398">
        <v>40</v>
      </c>
      <c r="Z398" s="1">
        <v>45411</v>
      </c>
      <c r="AA398" t="str" cm="1">
        <f t="array" ref="AA3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3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398" t="str" cm="1">
        <f t="array" ref="AC398">_xlfn.IFS(Table2[[#This Row],[Satification_points]]&gt;=4.5,"GREAT",AND(Table2[[#This Row],[Satification_points]]&gt;=4,Table2[[#This Row],[Satification_points]]&lt;4.5),"GOOD",AND(Table2[[#This Row],[Satification_points]]&gt;=3,Table2[[#This Row],[Satification_points]]&lt;4),"AVERAGE",Table2[[#This Row],[Satification_points]]&lt;3,"POOR")</f>
        <v>AVERAGE</v>
      </c>
    </row>
    <row r="399" spans="1:29" x14ac:dyDescent="0.3">
      <c r="A399">
        <v>398</v>
      </c>
      <c r="B399">
        <v>16834</v>
      </c>
      <c r="C399" t="s">
        <v>454</v>
      </c>
      <c r="D399" t="s">
        <v>34</v>
      </c>
      <c r="E399" t="s">
        <v>35</v>
      </c>
      <c r="F399" s="1">
        <v>45236</v>
      </c>
      <c r="G399" s="1">
        <v>45344</v>
      </c>
      <c r="H399">
        <v>11</v>
      </c>
      <c r="I399" t="s">
        <v>42</v>
      </c>
      <c r="J399" t="s">
        <v>36</v>
      </c>
      <c r="K399">
        <v>5</v>
      </c>
      <c r="L399">
        <v>2</v>
      </c>
      <c r="M399">
        <v>5</v>
      </c>
      <c r="N399">
        <v>3</v>
      </c>
      <c r="O399">
        <v>2</v>
      </c>
      <c r="P399">
        <v>3</v>
      </c>
      <c r="Q399">
        <v>1</v>
      </c>
      <c r="R399">
        <v>4</v>
      </c>
      <c r="S399">
        <v>2</v>
      </c>
      <c r="T399">
        <v>1</v>
      </c>
      <c r="U399" t="s">
        <v>37</v>
      </c>
      <c r="V399" t="s">
        <v>58</v>
      </c>
      <c r="W399" t="s">
        <v>39</v>
      </c>
      <c r="X399" t="s">
        <v>33</v>
      </c>
      <c r="Y399">
        <v>40</v>
      </c>
      <c r="Z399" s="1">
        <v>45344</v>
      </c>
      <c r="AA399" t="str" cm="1">
        <f t="array" ref="AA3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3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399" t="str" cm="1">
        <f t="array" ref="AC399">_xlfn.IFS(Table2[[#This Row],[Satification_points]]&gt;=4.5,"GREAT",AND(Table2[[#This Row],[Satification_points]]&gt;=4,Table2[[#This Row],[Satification_points]]&lt;4.5),"GOOD",AND(Table2[[#This Row],[Satification_points]]&gt;=3,Table2[[#This Row],[Satification_points]]&lt;4),"AVERAGE",Table2[[#This Row],[Satification_points]]&lt;3,"POOR")</f>
        <v>POOR</v>
      </c>
    </row>
    <row r="400" spans="1:29" x14ac:dyDescent="0.3">
      <c r="A400">
        <v>399</v>
      </c>
      <c r="B400">
        <v>62175</v>
      </c>
      <c r="C400" t="s">
        <v>455</v>
      </c>
      <c r="D400" t="s">
        <v>51</v>
      </c>
      <c r="E400" t="s">
        <v>52</v>
      </c>
      <c r="F400" s="1">
        <v>45039</v>
      </c>
      <c r="G400" s="1">
        <v>45289</v>
      </c>
      <c r="H400">
        <v>1</v>
      </c>
      <c r="I400" t="s">
        <v>28</v>
      </c>
      <c r="J400" t="s">
        <v>53</v>
      </c>
      <c r="K400">
        <v>3</v>
      </c>
      <c r="L400">
        <v>4</v>
      </c>
      <c r="M400">
        <v>1</v>
      </c>
      <c r="N400">
        <v>1</v>
      </c>
      <c r="O400">
        <v>3</v>
      </c>
      <c r="P400">
        <v>1</v>
      </c>
      <c r="Q400">
        <v>5</v>
      </c>
      <c r="R400">
        <v>4</v>
      </c>
      <c r="S400">
        <v>2</v>
      </c>
      <c r="T400">
        <v>2</v>
      </c>
      <c r="U400" t="s">
        <v>37</v>
      </c>
      <c r="V400" t="s">
        <v>46</v>
      </c>
      <c r="W400" t="s">
        <v>39</v>
      </c>
      <c r="X400" t="s">
        <v>44</v>
      </c>
      <c r="Y400">
        <v>60</v>
      </c>
      <c r="Z400" s="1">
        <v>45289</v>
      </c>
      <c r="AA400" t="str" cm="1">
        <f t="array" ref="AA400">_xlfn.IFS(AND(Table2[[#This Row],[Guest_Age]]&gt;=18,Table2[[#This Row],[Guest_Age]]&lt;=25),"Young Adults",AND(Table2[[#This Row],[Guest_Age]]&gt;=26,Table2[[#This Row],[Guest_Age]]&lt;=35),"Adults",AND(Table2[[#This Row],[Guest_Age]]&gt;=36,Table2[[#This Row],[Guest_Age]]&lt;=50),"Middle Aged Adults",Table2[[#This Row],[Guest_Age]]&gt;50,"Senior")</f>
        <v>Senior</v>
      </c>
      <c r="AB4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00" t="str" cm="1">
        <f t="array" ref="AC400">_xlfn.IFS(Table2[[#This Row],[Satification_points]]&gt;=4.5,"GREAT",AND(Table2[[#This Row],[Satification_points]]&gt;=4,Table2[[#This Row],[Satification_points]]&lt;4.5),"GOOD",AND(Table2[[#This Row],[Satification_points]]&gt;=3,Table2[[#This Row],[Satification_points]]&lt;4),"AVERAGE",Table2[[#This Row],[Satification_points]]&lt;3,"POOR")</f>
        <v>POOR</v>
      </c>
    </row>
    <row r="401" spans="1:29" x14ac:dyDescent="0.3">
      <c r="A401">
        <v>400</v>
      </c>
      <c r="B401">
        <v>94710</v>
      </c>
      <c r="C401" t="s">
        <v>456</v>
      </c>
      <c r="D401" t="s">
        <v>48</v>
      </c>
      <c r="E401" t="s">
        <v>57</v>
      </c>
      <c r="F401" s="1">
        <v>45196</v>
      </c>
      <c r="G401" s="1">
        <v>45273</v>
      </c>
      <c r="H401">
        <v>1</v>
      </c>
      <c r="I401" t="s">
        <v>49</v>
      </c>
      <c r="J401" t="s">
        <v>43</v>
      </c>
      <c r="K401">
        <v>2</v>
      </c>
      <c r="L401">
        <v>5</v>
      </c>
      <c r="M401">
        <v>5</v>
      </c>
      <c r="N401">
        <v>5</v>
      </c>
      <c r="O401">
        <v>3</v>
      </c>
      <c r="P401">
        <v>5</v>
      </c>
      <c r="Q401">
        <v>1</v>
      </c>
      <c r="R401">
        <v>2</v>
      </c>
      <c r="S401">
        <v>3</v>
      </c>
      <c r="T401">
        <v>2</v>
      </c>
      <c r="U401" t="s">
        <v>30</v>
      </c>
      <c r="V401" t="s">
        <v>58</v>
      </c>
      <c r="W401" t="s">
        <v>55</v>
      </c>
      <c r="X401" t="s">
        <v>44</v>
      </c>
      <c r="Y401">
        <v>53</v>
      </c>
      <c r="Z401" s="1">
        <v>45530</v>
      </c>
      <c r="AA401" t="str" cm="1">
        <f t="array" ref="AA401">_xlfn.IFS(AND(Table2[[#This Row],[Guest_Age]]&gt;=18,Table2[[#This Row],[Guest_Age]]&lt;=25),"Young Adults",AND(Table2[[#This Row],[Guest_Age]]&gt;=26,Table2[[#This Row],[Guest_Age]]&lt;=35),"Adults",AND(Table2[[#This Row],[Guest_Age]]&gt;=36,Table2[[#This Row],[Guest_Age]]&lt;=50),"Middle Aged Adults",Table2[[#This Row],[Guest_Age]]&gt;50,"Senior")</f>
        <v>Senior</v>
      </c>
      <c r="AB4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01" t="str" cm="1">
        <f t="array" ref="AC401">_xlfn.IFS(Table2[[#This Row],[Satification_points]]&gt;=4.5,"GREAT",AND(Table2[[#This Row],[Satification_points]]&gt;=4,Table2[[#This Row],[Satification_points]]&lt;4.5),"GOOD",AND(Table2[[#This Row],[Satification_points]]&gt;=3,Table2[[#This Row],[Satification_points]]&lt;4),"AVERAGE",Table2[[#This Row],[Satification_points]]&lt;3,"POOR")</f>
        <v>AVERAGE</v>
      </c>
    </row>
    <row r="402" spans="1:29" x14ac:dyDescent="0.3">
      <c r="A402">
        <v>401</v>
      </c>
      <c r="B402">
        <v>70514</v>
      </c>
      <c r="C402" t="s">
        <v>457</v>
      </c>
      <c r="D402" t="s">
        <v>51</v>
      </c>
      <c r="E402" t="s">
        <v>27</v>
      </c>
      <c r="F402" s="1">
        <v>45246</v>
      </c>
      <c r="G402" s="1">
        <v>45247</v>
      </c>
      <c r="H402">
        <v>9</v>
      </c>
      <c r="I402" t="s">
        <v>50</v>
      </c>
      <c r="J402" t="s">
        <v>53</v>
      </c>
      <c r="K402">
        <v>5</v>
      </c>
      <c r="L402">
        <v>3</v>
      </c>
      <c r="M402">
        <v>2</v>
      </c>
      <c r="N402">
        <v>1</v>
      </c>
      <c r="O402">
        <v>2</v>
      </c>
      <c r="P402">
        <v>1</v>
      </c>
      <c r="Q402">
        <v>5</v>
      </c>
      <c r="R402">
        <v>1</v>
      </c>
      <c r="S402">
        <v>2</v>
      </c>
      <c r="T402">
        <v>1</v>
      </c>
      <c r="U402" t="s">
        <v>30</v>
      </c>
      <c r="V402" t="s">
        <v>54</v>
      </c>
      <c r="W402" t="s">
        <v>39</v>
      </c>
      <c r="X402" t="s">
        <v>33</v>
      </c>
      <c r="Y402">
        <v>42</v>
      </c>
      <c r="Z402" s="1">
        <v>45529</v>
      </c>
      <c r="AA402" t="str" cm="1">
        <f t="array" ref="AA40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402" t="str" cm="1">
        <f t="array" ref="AC402">_xlfn.IFS(Table2[[#This Row],[Satification_points]]&gt;=4.5,"GREAT",AND(Table2[[#This Row],[Satification_points]]&gt;=4,Table2[[#This Row],[Satification_points]]&lt;4.5),"GOOD",AND(Table2[[#This Row],[Satification_points]]&gt;=3,Table2[[#This Row],[Satification_points]]&lt;4),"AVERAGE",Table2[[#This Row],[Satification_points]]&lt;3,"POOR")</f>
        <v>POOR</v>
      </c>
    </row>
    <row r="403" spans="1:29" x14ac:dyDescent="0.3">
      <c r="A403">
        <v>402</v>
      </c>
      <c r="B403">
        <v>39398</v>
      </c>
      <c r="C403" t="s">
        <v>458</v>
      </c>
      <c r="D403" t="s">
        <v>48</v>
      </c>
      <c r="E403" t="s">
        <v>52</v>
      </c>
      <c r="F403" s="1">
        <v>45101</v>
      </c>
      <c r="G403" s="1">
        <v>45643</v>
      </c>
      <c r="H403">
        <v>14</v>
      </c>
      <c r="I403" t="s">
        <v>50</v>
      </c>
      <c r="J403" t="s">
        <v>40</v>
      </c>
      <c r="K403">
        <v>3</v>
      </c>
      <c r="L403">
        <v>1</v>
      </c>
      <c r="M403">
        <v>3</v>
      </c>
      <c r="N403">
        <v>4</v>
      </c>
      <c r="O403">
        <v>1</v>
      </c>
      <c r="P403">
        <v>5</v>
      </c>
      <c r="Q403">
        <v>2</v>
      </c>
      <c r="R403">
        <v>3</v>
      </c>
      <c r="S403">
        <v>2</v>
      </c>
      <c r="T403">
        <v>1</v>
      </c>
      <c r="U403" t="s">
        <v>30</v>
      </c>
      <c r="V403" t="s">
        <v>31</v>
      </c>
      <c r="W403" t="s">
        <v>55</v>
      </c>
      <c r="X403" t="s">
        <v>44</v>
      </c>
      <c r="Y403">
        <v>37</v>
      </c>
      <c r="Z403" s="1">
        <v>45643</v>
      </c>
      <c r="AA403" t="str" cm="1">
        <f t="array" ref="AA4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4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403" t="str" cm="1">
        <f t="array" ref="AC403">_xlfn.IFS(Table2[[#This Row],[Satification_points]]&gt;=4.5,"GREAT",AND(Table2[[#This Row],[Satification_points]]&gt;=4,Table2[[#This Row],[Satification_points]]&lt;4.5),"GOOD",AND(Table2[[#This Row],[Satification_points]]&gt;=3,Table2[[#This Row],[Satification_points]]&lt;4),"AVERAGE",Table2[[#This Row],[Satification_points]]&lt;3,"POOR")</f>
        <v>POOR</v>
      </c>
    </row>
    <row r="404" spans="1:29" x14ac:dyDescent="0.3">
      <c r="A404">
        <v>403</v>
      </c>
      <c r="B404">
        <v>32727</v>
      </c>
      <c r="C404" t="s">
        <v>459</v>
      </c>
      <c r="D404" t="s">
        <v>34</v>
      </c>
      <c r="E404" t="s">
        <v>35</v>
      </c>
      <c r="F404" s="1">
        <v>44945</v>
      </c>
      <c r="G404" s="1">
        <v>44994</v>
      </c>
      <c r="H404">
        <v>4</v>
      </c>
      <c r="I404" t="s">
        <v>49</v>
      </c>
      <c r="J404" t="s">
        <v>43</v>
      </c>
      <c r="K404">
        <v>1</v>
      </c>
      <c r="L404">
        <v>3</v>
      </c>
      <c r="M404">
        <v>3</v>
      </c>
      <c r="N404">
        <v>4</v>
      </c>
      <c r="O404">
        <v>1</v>
      </c>
      <c r="P404">
        <v>4</v>
      </c>
      <c r="Q404">
        <v>3</v>
      </c>
      <c r="R404">
        <v>4</v>
      </c>
      <c r="S404">
        <v>3</v>
      </c>
      <c r="T404">
        <v>4</v>
      </c>
      <c r="U404" t="s">
        <v>37</v>
      </c>
      <c r="V404" t="s">
        <v>58</v>
      </c>
      <c r="W404" t="s">
        <v>55</v>
      </c>
      <c r="X404" t="s">
        <v>40</v>
      </c>
      <c r="Y404">
        <v>55</v>
      </c>
      <c r="Z404" s="1">
        <v>45136</v>
      </c>
      <c r="AA404" t="str" cm="1">
        <f t="array" ref="AA404">_xlfn.IFS(AND(Table2[[#This Row],[Guest_Age]]&gt;=18,Table2[[#This Row],[Guest_Age]]&lt;=25),"Young Adults",AND(Table2[[#This Row],[Guest_Age]]&gt;=26,Table2[[#This Row],[Guest_Age]]&lt;=35),"Adults",AND(Table2[[#This Row],[Guest_Age]]&gt;=36,Table2[[#This Row],[Guest_Age]]&lt;=50),"Middle Aged Adults",Table2[[#This Row],[Guest_Age]]&gt;50,"Senior")</f>
        <v>Senior</v>
      </c>
      <c r="AB4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04" t="str" cm="1">
        <f t="array" ref="AC404">_xlfn.IFS(Table2[[#This Row],[Satification_points]]&gt;=4.5,"GREAT",AND(Table2[[#This Row],[Satification_points]]&gt;=4,Table2[[#This Row],[Satification_points]]&lt;4.5),"GOOD",AND(Table2[[#This Row],[Satification_points]]&gt;=3,Table2[[#This Row],[Satification_points]]&lt;4),"AVERAGE",Table2[[#This Row],[Satification_points]]&lt;3,"POOR")</f>
        <v>AVERAGE</v>
      </c>
    </row>
    <row r="405" spans="1:29" x14ac:dyDescent="0.3">
      <c r="A405">
        <v>404</v>
      </c>
      <c r="B405">
        <v>90308</v>
      </c>
      <c r="C405" t="s">
        <v>460</v>
      </c>
      <c r="D405" t="s">
        <v>26</v>
      </c>
      <c r="E405" t="s">
        <v>45</v>
      </c>
      <c r="F405" s="1">
        <v>45129</v>
      </c>
      <c r="G405" s="1">
        <v>45444</v>
      </c>
      <c r="H405">
        <v>13</v>
      </c>
      <c r="I405" t="s">
        <v>50</v>
      </c>
      <c r="J405" t="s">
        <v>53</v>
      </c>
      <c r="K405">
        <v>4</v>
      </c>
      <c r="L405">
        <v>2</v>
      </c>
      <c r="M405">
        <v>2</v>
      </c>
      <c r="N405">
        <v>5</v>
      </c>
      <c r="O405">
        <v>3</v>
      </c>
      <c r="P405">
        <v>4</v>
      </c>
      <c r="Q405">
        <v>4</v>
      </c>
      <c r="R405">
        <v>5</v>
      </c>
      <c r="S405">
        <v>4</v>
      </c>
      <c r="T405">
        <v>4</v>
      </c>
      <c r="U405" t="s">
        <v>30</v>
      </c>
      <c r="V405" t="s">
        <v>38</v>
      </c>
      <c r="W405" t="s">
        <v>56</v>
      </c>
      <c r="X405" t="s">
        <v>44</v>
      </c>
      <c r="Y405">
        <v>50</v>
      </c>
      <c r="Z405" s="1">
        <v>45633</v>
      </c>
      <c r="AA405" t="str" cm="1">
        <f t="array" ref="AA4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4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405" t="str" cm="1">
        <f t="array" ref="AC405">_xlfn.IFS(Table2[[#This Row],[Satification_points]]&gt;=4.5,"GREAT",AND(Table2[[#This Row],[Satification_points]]&gt;=4,Table2[[#This Row],[Satification_points]]&lt;4.5),"GOOD",AND(Table2[[#This Row],[Satification_points]]&gt;=3,Table2[[#This Row],[Satification_points]]&lt;4),"AVERAGE",Table2[[#This Row],[Satification_points]]&lt;3,"POOR")</f>
        <v>AVERAGE</v>
      </c>
    </row>
    <row r="406" spans="1:29" x14ac:dyDescent="0.3">
      <c r="A406">
        <v>405</v>
      </c>
      <c r="B406">
        <v>96509</v>
      </c>
      <c r="C406" t="s">
        <v>461</v>
      </c>
      <c r="D406" t="s">
        <v>51</v>
      </c>
      <c r="E406" t="s">
        <v>35</v>
      </c>
      <c r="F406" s="1">
        <v>45052</v>
      </c>
      <c r="G406" s="1">
        <v>45053</v>
      </c>
      <c r="H406">
        <v>11</v>
      </c>
      <c r="I406" t="s">
        <v>49</v>
      </c>
      <c r="J406" t="s">
        <v>36</v>
      </c>
      <c r="K406">
        <v>2</v>
      </c>
      <c r="L406">
        <v>1</v>
      </c>
      <c r="M406">
        <v>2</v>
      </c>
      <c r="N406">
        <v>1</v>
      </c>
      <c r="O406">
        <v>4</v>
      </c>
      <c r="P406">
        <v>4</v>
      </c>
      <c r="Q406">
        <v>3</v>
      </c>
      <c r="R406">
        <v>1</v>
      </c>
      <c r="S406">
        <v>4</v>
      </c>
      <c r="T406">
        <v>5</v>
      </c>
      <c r="U406" t="s">
        <v>30</v>
      </c>
      <c r="V406" t="s">
        <v>46</v>
      </c>
      <c r="W406" t="s">
        <v>39</v>
      </c>
      <c r="X406" t="s">
        <v>40</v>
      </c>
      <c r="Y406">
        <v>50</v>
      </c>
      <c r="Z406" s="1">
        <v>45314</v>
      </c>
      <c r="AA406" t="str" cm="1">
        <f t="array" ref="AA406">_xlfn.IFS(AND(Table2[[#This Row],[Guest_Age]]&gt;=18,Table2[[#This Row],[Guest_Age]]&lt;=25),"Young Adults",AND(Table2[[#This Row],[Guest_Age]]&gt;=26,Table2[[#This Row],[Guest_Age]]&lt;=35),"Adults",AND(Table2[[#This Row],[Guest_Age]]&gt;=36,Table2[[#This Row],[Guest_Age]]&lt;=50),"Middle Aged Adults",Table2[[#This Row],[Guest_Age]]&gt;50,"Senior")</f>
        <v>Middle Aged Adults</v>
      </c>
      <c r="AB4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06" t="str" cm="1">
        <f t="array" ref="AC406">_xlfn.IFS(Table2[[#This Row],[Satification_points]]&gt;=4.5,"GREAT",AND(Table2[[#This Row],[Satification_points]]&gt;=4,Table2[[#This Row],[Satification_points]]&lt;4.5),"GOOD",AND(Table2[[#This Row],[Satification_points]]&gt;=3,Table2[[#This Row],[Satification_points]]&lt;4),"AVERAGE",Table2[[#This Row],[Satification_points]]&lt;3,"POOR")</f>
        <v>POOR</v>
      </c>
    </row>
    <row r="407" spans="1:29" x14ac:dyDescent="0.3">
      <c r="A407">
        <v>406</v>
      </c>
      <c r="B407">
        <v>62659</v>
      </c>
      <c r="C407" t="s">
        <v>462</v>
      </c>
      <c r="D407" t="s">
        <v>26</v>
      </c>
      <c r="E407" t="s">
        <v>45</v>
      </c>
      <c r="F407" s="1">
        <v>45393</v>
      </c>
      <c r="G407" s="1">
        <v>45515</v>
      </c>
      <c r="H407">
        <v>3</v>
      </c>
      <c r="I407" t="s">
        <v>42</v>
      </c>
      <c r="J407" t="s">
        <v>40</v>
      </c>
      <c r="K407">
        <v>2</v>
      </c>
      <c r="L407">
        <v>5</v>
      </c>
      <c r="M407">
        <v>4</v>
      </c>
      <c r="N407">
        <v>4</v>
      </c>
      <c r="O407">
        <v>2</v>
      </c>
      <c r="P407">
        <v>2</v>
      </c>
      <c r="Q407">
        <v>5</v>
      </c>
      <c r="R407">
        <v>1</v>
      </c>
      <c r="S407">
        <v>3</v>
      </c>
      <c r="T407">
        <v>4</v>
      </c>
      <c r="U407" t="s">
        <v>30</v>
      </c>
      <c r="V407" t="s">
        <v>46</v>
      </c>
      <c r="W407" t="s">
        <v>39</v>
      </c>
      <c r="X407" t="s">
        <v>33</v>
      </c>
      <c r="Y407">
        <v>55</v>
      </c>
      <c r="Z407" s="1">
        <v>45515</v>
      </c>
      <c r="AA407" t="str" cm="1">
        <f t="array" ref="AA407">_xlfn.IFS(AND(Table2[[#This Row],[Guest_Age]]&gt;=18,Table2[[#This Row],[Guest_Age]]&lt;=25),"Young Adults",AND(Table2[[#This Row],[Guest_Age]]&gt;=26,Table2[[#This Row],[Guest_Age]]&lt;=35),"Adults",AND(Table2[[#This Row],[Guest_Age]]&gt;=36,Table2[[#This Row],[Guest_Age]]&lt;=50),"Middle Aged Adults",Table2[[#This Row],[Guest_Age]]&gt;50,"Senior")</f>
        <v>Senior</v>
      </c>
      <c r="AB4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07" t="str" cm="1">
        <f t="array" ref="AC407">_xlfn.IFS(Table2[[#This Row],[Satification_points]]&gt;=4.5,"GREAT",AND(Table2[[#This Row],[Satification_points]]&gt;=4,Table2[[#This Row],[Satification_points]]&lt;4.5),"GOOD",AND(Table2[[#This Row],[Satification_points]]&gt;=3,Table2[[#This Row],[Satification_points]]&lt;4),"AVERAGE",Table2[[#This Row],[Satification_points]]&lt;3,"POOR")</f>
        <v>AVERAGE</v>
      </c>
    </row>
    <row r="408" spans="1:29" x14ac:dyDescent="0.3">
      <c r="A408">
        <v>407</v>
      </c>
      <c r="B408">
        <v>17530</v>
      </c>
      <c r="C408" t="s">
        <v>463</v>
      </c>
      <c r="D408" t="s">
        <v>41</v>
      </c>
      <c r="E408" t="s">
        <v>52</v>
      </c>
      <c r="F408" s="1">
        <v>45180</v>
      </c>
      <c r="G408" s="1">
        <v>45181</v>
      </c>
      <c r="H408">
        <v>5</v>
      </c>
      <c r="I408" t="s">
        <v>50</v>
      </c>
      <c r="J408" t="s">
        <v>53</v>
      </c>
      <c r="K408">
        <v>3</v>
      </c>
      <c r="L408">
        <v>5</v>
      </c>
      <c r="M408">
        <v>1</v>
      </c>
      <c r="N408">
        <v>4</v>
      </c>
      <c r="O408">
        <v>2</v>
      </c>
      <c r="P408">
        <v>5</v>
      </c>
      <c r="Q408">
        <v>4</v>
      </c>
      <c r="R408">
        <v>2</v>
      </c>
      <c r="S408">
        <v>4</v>
      </c>
      <c r="T408">
        <v>4</v>
      </c>
      <c r="U408" t="s">
        <v>37</v>
      </c>
      <c r="V408" t="s">
        <v>31</v>
      </c>
      <c r="W408" t="s">
        <v>47</v>
      </c>
      <c r="X408" t="s">
        <v>44</v>
      </c>
      <c r="Y408">
        <v>18</v>
      </c>
      <c r="Z408" s="1">
        <v>45395</v>
      </c>
      <c r="AA408" t="str" cm="1">
        <f t="array" ref="AA408">_xlfn.IFS(AND(Table2[[#This Row],[Guest_Age]]&gt;=18,Table2[[#This Row],[Guest_Age]]&lt;=25),"Young Adults",AND(Table2[[#This Row],[Guest_Age]]&gt;=26,Table2[[#This Row],[Guest_Age]]&lt;=35),"Adults",AND(Table2[[#This Row],[Guest_Age]]&gt;=36,Table2[[#This Row],[Guest_Age]]&lt;=50),"Middle Aged Adults",Table2[[#This Row],[Guest_Age]]&gt;50,"Senior")</f>
        <v>Young Adults</v>
      </c>
      <c r="AB4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08" t="str" cm="1">
        <f t="array" ref="AC408">_xlfn.IFS(Table2[[#This Row],[Satification_points]]&gt;=4.5,"GREAT",AND(Table2[[#This Row],[Satification_points]]&gt;=4,Table2[[#This Row],[Satification_points]]&lt;4.5),"GOOD",AND(Table2[[#This Row],[Satification_points]]&gt;=3,Table2[[#This Row],[Satification_points]]&lt;4),"AVERAGE",Table2[[#This Row],[Satification_points]]&lt;3,"POOR")</f>
        <v>AVERAGE</v>
      </c>
    </row>
    <row r="409" spans="1:29" x14ac:dyDescent="0.3">
      <c r="A409">
        <v>408</v>
      </c>
      <c r="B409">
        <v>85733</v>
      </c>
      <c r="C409" t="s">
        <v>464</v>
      </c>
      <c r="D409" t="s">
        <v>26</v>
      </c>
      <c r="E409" t="s">
        <v>52</v>
      </c>
      <c r="F409" s="1">
        <v>45218</v>
      </c>
      <c r="G409" s="1">
        <v>45514</v>
      </c>
      <c r="H409">
        <v>1</v>
      </c>
      <c r="I409" t="s">
        <v>28</v>
      </c>
      <c r="J409" t="s">
        <v>53</v>
      </c>
      <c r="K409">
        <v>5</v>
      </c>
      <c r="L409">
        <v>3</v>
      </c>
      <c r="M409">
        <v>1</v>
      </c>
      <c r="N409">
        <v>4</v>
      </c>
      <c r="O409">
        <v>3</v>
      </c>
      <c r="P409">
        <v>1</v>
      </c>
      <c r="Q409">
        <v>5</v>
      </c>
      <c r="R409">
        <v>5</v>
      </c>
      <c r="S409">
        <v>4</v>
      </c>
      <c r="T409">
        <v>1</v>
      </c>
      <c r="U409" t="s">
        <v>30</v>
      </c>
      <c r="V409" t="s">
        <v>31</v>
      </c>
      <c r="W409" t="s">
        <v>39</v>
      </c>
      <c r="X409" t="s">
        <v>44</v>
      </c>
      <c r="Y409">
        <v>64</v>
      </c>
      <c r="Z409" s="1">
        <v>45514</v>
      </c>
      <c r="AA409" t="str" cm="1">
        <f t="array" ref="AA409">_xlfn.IFS(AND(Table2[[#This Row],[Guest_Age]]&gt;=18,Table2[[#This Row],[Guest_Age]]&lt;=25),"Young Adults",AND(Table2[[#This Row],[Guest_Age]]&gt;=26,Table2[[#This Row],[Guest_Age]]&lt;=35),"Adults",AND(Table2[[#This Row],[Guest_Age]]&gt;=36,Table2[[#This Row],[Guest_Age]]&lt;=50),"Middle Aged Adults",Table2[[#This Row],[Guest_Age]]&gt;50,"Senior")</f>
        <v>Senior</v>
      </c>
      <c r="AB4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09" t="str" cm="1">
        <f t="array" ref="AC409">_xlfn.IFS(Table2[[#This Row],[Satification_points]]&gt;=4.5,"GREAT",AND(Table2[[#This Row],[Satification_points]]&gt;=4,Table2[[#This Row],[Satification_points]]&lt;4.5),"GOOD",AND(Table2[[#This Row],[Satification_points]]&gt;=3,Table2[[#This Row],[Satification_points]]&lt;4),"AVERAGE",Table2[[#This Row],[Satification_points]]&lt;3,"POOR")</f>
        <v>AVERAGE</v>
      </c>
    </row>
    <row r="410" spans="1:29" x14ac:dyDescent="0.3">
      <c r="A410">
        <v>409</v>
      </c>
      <c r="B410">
        <v>41509</v>
      </c>
      <c r="C410" t="s">
        <v>465</v>
      </c>
      <c r="D410" t="s">
        <v>41</v>
      </c>
      <c r="E410" t="s">
        <v>35</v>
      </c>
      <c r="F410" s="1">
        <v>45078</v>
      </c>
      <c r="G410" s="1">
        <v>45413</v>
      </c>
      <c r="H410">
        <v>3</v>
      </c>
      <c r="I410" t="s">
        <v>28</v>
      </c>
      <c r="J410" t="s">
        <v>29</v>
      </c>
      <c r="K410">
        <v>4</v>
      </c>
      <c r="L410">
        <v>4</v>
      </c>
      <c r="M410">
        <v>1</v>
      </c>
      <c r="N410">
        <v>4</v>
      </c>
      <c r="O410">
        <v>5</v>
      </c>
      <c r="P410">
        <v>1</v>
      </c>
      <c r="Q410">
        <v>5</v>
      </c>
      <c r="R410">
        <v>1</v>
      </c>
      <c r="S410">
        <v>5</v>
      </c>
      <c r="T410">
        <v>3</v>
      </c>
      <c r="U410" t="s">
        <v>30</v>
      </c>
      <c r="V410" t="s">
        <v>38</v>
      </c>
      <c r="W410" t="s">
        <v>55</v>
      </c>
      <c r="X410" t="s">
        <v>33</v>
      </c>
      <c r="Y410">
        <v>50</v>
      </c>
      <c r="Z410" s="1">
        <v>45413</v>
      </c>
      <c r="AA410" t="str" cm="1">
        <f t="array" ref="AA4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10" t="str" cm="1">
        <f t="array" ref="AC410">_xlfn.IFS(Table2[[#This Row],[Satification_points]]&gt;=4.5,"GREAT",AND(Table2[[#This Row],[Satification_points]]&gt;=4,Table2[[#This Row],[Satification_points]]&lt;4.5),"GOOD",AND(Table2[[#This Row],[Satification_points]]&gt;=3,Table2[[#This Row],[Satification_points]]&lt;4),"AVERAGE",Table2[[#This Row],[Satification_points]]&lt;3,"POOR")</f>
        <v>AVERAGE</v>
      </c>
    </row>
    <row r="411" spans="1:29" x14ac:dyDescent="0.3">
      <c r="A411">
        <v>410</v>
      </c>
      <c r="B411">
        <v>39409</v>
      </c>
      <c r="C411" t="s">
        <v>466</v>
      </c>
      <c r="D411" t="s">
        <v>34</v>
      </c>
      <c r="E411" t="s">
        <v>35</v>
      </c>
      <c r="F411" s="1">
        <v>45125</v>
      </c>
      <c r="G411" s="1">
        <v>45126</v>
      </c>
      <c r="H411">
        <v>4</v>
      </c>
      <c r="I411" t="s">
        <v>42</v>
      </c>
      <c r="J411" t="s">
        <v>43</v>
      </c>
      <c r="K411">
        <v>4</v>
      </c>
      <c r="L411">
        <v>4</v>
      </c>
      <c r="M411">
        <v>5</v>
      </c>
      <c r="N411">
        <v>2</v>
      </c>
      <c r="O411">
        <v>4</v>
      </c>
      <c r="P411">
        <v>1</v>
      </c>
      <c r="Q411">
        <v>4</v>
      </c>
      <c r="R411">
        <v>5</v>
      </c>
      <c r="S411">
        <v>3</v>
      </c>
      <c r="T411">
        <v>5</v>
      </c>
      <c r="U411" t="s">
        <v>37</v>
      </c>
      <c r="V411" t="s">
        <v>38</v>
      </c>
      <c r="W411" t="s">
        <v>39</v>
      </c>
      <c r="X411" t="s">
        <v>33</v>
      </c>
      <c r="Y411">
        <v>55</v>
      </c>
      <c r="Z411" s="1">
        <v>45639</v>
      </c>
      <c r="AA411" t="str" cm="1">
        <f t="array" ref="AA411">_xlfn.IFS(AND(Table2[[#This Row],[Guest_Age]]&gt;=18,Table2[[#This Row],[Guest_Age]]&lt;=25),"Young Adults",AND(Table2[[#This Row],[Guest_Age]]&gt;=26,Table2[[#This Row],[Guest_Age]]&lt;=35),"Adults",AND(Table2[[#This Row],[Guest_Age]]&gt;=36,Table2[[#This Row],[Guest_Age]]&lt;=50),"Middle Aged Adults",Table2[[#This Row],[Guest_Age]]&gt;50,"Senior")</f>
        <v>Senior</v>
      </c>
      <c r="AB4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411" t="str" cm="1">
        <f t="array" ref="AC411">_xlfn.IFS(Table2[[#This Row],[Satification_points]]&gt;=4.5,"GREAT",AND(Table2[[#This Row],[Satification_points]]&gt;=4,Table2[[#This Row],[Satification_points]]&lt;4.5),"GOOD",AND(Table2[[#This Row],[Satification_points]]&gt;=3,Table2[[#This Row],[Satification_points]]&lt;4),"AVERAGE",Table2[[#This Row],[Satification_points]]&lt;3,"POOR")</f>
        <v>AVERAGE</v>
      </c>
    </row>
    <row r="412" spans="1:29" x14ac:dyDescent="0.3">
      <c r="A412">
        <v>411</v>
      </c>
      <c r="B412">
        <v>94095</v>
      </c>
      <c r="C412" t="s">
        <v>467</v>
      </c>
      <c r="D412" t="s">
        <v>34</v>
      </c>
      <c r="E412" t="s">
        <v>45</v>
      </c>
      <c r="F412" s="1">
        <v>45125</v>
      </c>
      <c r="G412" s="1">
        <v>45249</v>
      </c>
      <c r="H412">
        <v>13</v>
      </c>
      <c r="I412" t="s">
        <v>49</v>
      </c>
      <c r="J412" t="s">
        <v>29</v>
      </c>
      <c r="K412">
        <v>2</v>
      </c>
      <c r="L412">
        <v>2</v>
      </c>
      <c r="M412">
        <v>1</v>
      </c>
      <c r="N412">
        <v>3</v>
      </c>
      <c r="O412">
        <v>1</v>
      </c>
      <c r="P412">
        <v>2</v>
      </c>
      <c r="Q412">
        <v>1</v>
      </c>
      <c r="R412">
        <v>3</v>
      </c>
      <c r="S412">
        <v>3</v>
      </c>
      <c r="T412">
        <v>5</v>
      </c>
      <c r="U412" t="s">
        <v>37</v>
      </c>
      <c r="V412" t="s">
        <v>38</v>
      </c>
      <c r="W412" t="s">
        <v>32</v>
      </c>
      <c r="X412" t="s">
        <v>40</v>
      </c>
      <c r="Y412">
        <v>41</v>
      </c>
      <c r="Z412" s="1">
        <v>45290</v>
      </c>
      <c r="AA412" t="str" cm="1">
        <f t="array" ref="AA41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412" t="str" cm="1">
        <f t="array" ref="AC412">_xlfn.IFS(Table2[[#This Row],[Satification_points]]&gt;=4.5,"GREAT",AND(Table2[[#This Row],[Satification_points]]&gt;=4,Table2[[#This Row],[Satification_points]]&lt;4.5),"GOOD",AND(Table2[[#This Row],[Satification_points]]&gt;=3,Table2[[#This Row],[Satification_points]]&lt;4),"AVERAGE",Table2[[#This Row],[Satification_points]]&lt;3,"POOR")</f>
        <v>POOR</v>
      </c>
    </row>
    <row r="413" spans="1:29" x14ac:dyDescent="0.3">
      <c r="A413">
        <v>412</v>
      </c>
      <c r="B413">
        <v>55598</v>
      </c>
      <c r="C413" t="s">
        <v>468</v>
      </c>
      <c r="D413" t="s">
        <v>51</v>
      </c>
      <c r="E413" t="s">
        <v>27</v>
      </c>
      <c r="F413" s="1">
        <v>45613</v>
      </c>
      <c r="G413" s="1">
        <v>45614</v>
      </c>
      <c r="H413">
        <v>12</v>
      </c>
      <c r="I413" t="s">
        <v>50</v>
      </c>
      <c r="J413" t="s">
        <v>36</v>
      </c>
      <c r="K413">
        <v>2</v>
      </c>
      <c r="L413">
        <v>4</v>
      </c>
      <c r="M413">
        <v>4</v>
      </c>
      <c r="N413">
        <v>2</v>
      </c>
      <c r="O413">
        <v>1</v>
      </c>
      <c r="P413">
        <v>2</v>
      </c>
      <c r="Q413">
        <v>1</v>
      </c>
      <c r="R413">
        <v>5</v>
      </c>
      <c r="S413">
        <v>1</v>
      </c>
      <c r="T413">
        <v>2</v>
      </c>
      <c r="U413" t="s">
        <v>30</v>
      </c>
      <c r="V413" t="s">
        <v>46</v>
      </c>
      <c r="W413" t="s">
        <v>47</v>
      </c>
      <c r="X413" t="s">
        <v>33</v>
      </c>
      <c r="Y413">
        <v>26</v>
      </c>
      <c r="Z413" s="1">
        <v>45614</v>
      </c>
      <c r="AA413" t="str" cm="1">
        <f t="array" ref="AA413">_xlfn.IFS(AND(Table2[[#This Row],[Guest_Age]]&gt;=18,Table2[[#This Row],[Guest_Age]]&lt;=25),"Young Adults",AND(Table2[[#This Row],[Guest_Age]]&gt;=26,Table2[[#This Row],[Guest_Age]]&lt;=35),"Adults",AND(Table2[[#This Row],[Guest_Age]]&gt;=36,Table2[[#This Row],[Guest_Age]]&lt;=50),"Middle Aged Adults",Table2[[#This Row],[Guest_Age]]&gt;50,"Senior")</f>
        <v>Adults</v>
      </c>
      <c r="AB4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13" t="str" cm="1">
        <f t="array" ref="AC413">_xlfn.IFS(Table2[[#This Row],[Satification_points]]&gt;=4.5,"GREAT",AND(Table2[[#This Row],[Satification_points]]&gt;=4,Table2[[#This Row],[Satification_points]]&lt;4.5),"GOOD",AND(Table2[[#This Row],[Satification_points]]&gt;=3,Table2[[#This Row],[Satification_points]]&lt;4),"AVERAGE",Table2[[#This Row],[Satification_points]]&lt;3,"POOR")</f>
        <v>POOR</v>
      </c>
    </row>
    <row r="414" spans="1:29" x14ac:dyDescent="0.3">
      <c r="A414">
        <v>413</v>
      </c>
      <c r="B414">
        <v>69130</v>
      </c>
      <c r="C414" t="s">
        <v>469</v>
      </c>
      <c r="D414" t="s">
        <v>26</v>
      </c>
      <c r="E414" t="s">
        <v>35</v>
      </c>
      <c r="F414" s="1">
        <v>45379</v>
      </c>
      <c r="G414" s="1">
        <v>45380</v>
      </c>
      <c r="H414">
        <v>6</v>
      </c>
      <c r="I414" t="s">
        <v>50</v>
      </c>
      <c r="J414" t="s">
        <v>43</v>
      </c>
      <c r="K414">
        <v>4</v>
      </c>
      <c r="L414">
        <v>5</v>
      </c>
      <c r="M414">
        <v>3</v>
      </c>
      <c r="N414">
        <v>4</v>
      </c>
      <c r="O414">
        <v>1</v>
      </c>
      <c r="P414">
        <v>5</v>
      </c>
      <c r="Q414">
        <v>5</v>
      </c>
      <c r="R414">
        <v>1</v>
      </c>
      <c r="S414">
        <v>5</v>
      </c>
      <c r="T414">
        <v>4</v>
      </c>
      <c r="U414" t="s">
        <v>37</v>
      </c>
      <c r="V414" t="s">
        <v>46</v>
      </c>
      <c r="W414" t="s">
        <v>32</v>
      </c>
      <c r="X414" t="s">
        <v>40</v>
      </c>
      <c r="Y414">
        <v>48</v>
      </c>
      <c r="Z414" s="1">
        <v>45415</v>
      </c>
      <c r="AA414" t="str" cm="1">
        <f t="array" ref="AA414">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414" t="str" cm="1">
        <f t="array" ref="AC414">_xlfn.IFS(Table2[[#This Row],[Satification_points]]&gt;=4.5,"GREAT",AND(Table2[[#This Row],[Satification_points]]&gt;=4,Table2[[#This Row],[Satification_points]]&lt;4.5),"GOOD",AND(Table2[[#This Row],[Satification_points]]&gt;=3,Table2[[#This Row],[Satification_points]]&lt;4),"AVERAGE",Table2[[#This Row],[Satification_points]]&lt;3,"POOR")</f>
        <v>AVERAGE</v>
      </c>
    </row>
    <row r="415" spans="1:29" x14ac:dyDescent="0.3">
      <c r="A415">
        <v>414</v>
      </c>
      <c r="B415">
        <v>54089</v>
      </c>
      <c r="C415" t="s">
        <v>470</v>
      </c>
      <c r="D415" t="s">
        <v>41</v>
      </c>
      <c r="E415" t="s">
        <v>27</v>
      </c>
      <c r="F415" s="1">
        <v>45106</v>
      </c>
      <c r="G415" s="1">
        <v>45355</v>
      </c>
      <c r="H415">
        <v>9</v>
      </c>
      <c r="I415" t="s">
        <v>28</v>
      </c>
      <c r="J415" t="s">
        <v>40</v>
      </c>
      <c r="K415">
        <v>1</v>
      </c>
      <c r="L415">
        <v>1</v>
      </c>
      <c r="M415">
        <v>3</v>
      </c>
      <c r="N415">
        <v>1</v>
      </c>
      <c r="O415">
        <v>1</v>
      </c>
      <c r="P415">
        <v>2</v>
      </c>
      <c r="Q415">
        <v>2</v>
      </c>
      <c r="R415">
        <v>5</v>
      </c>
      <c r="S415">
        <v>4</v>
      </c>
      <c r="T415">
        <v>4</v>
      </c>
      <c r="U415" t="s">
        <v>37</v>
      </c>
      <c r="V415" t="s">
        <v>38</v>
      </c>
      <c r="W415" t="s">
        <v>55</v>
      </c>
      <c r="X415" t="s">
        <v>33</v>
      </c>
      <c r="Y415">
        <v>55</v>
      </c>
      <c r="Z415" s="1">
        <v>45582</v>
      </c>
      <c r="AA415" t="str" cm="1">
        <f t="array" ref="AA415">_xlfn.IFS(AND(Table2[[#This Row],[Guest_Age]]&gt;=18,Table2[[#This Row],[Guest_Age]]&lt;=25),"Young Adults",AND(Table2[[#This Row],[Guest_Age]]&gt;=26,Table2[[#This Row],[Guest_Age]]&lt;=35),"Adults",AND(Table2[[#This Row],[Guest_Age]]&gt;=36,Table2[[#This Row],[Guest_Age]]&lt;=50),"Middle Aged Adults",Table2[[#This Row],[Guest_Age]]&gt;50,"Senior")</f>
        <v>Senior</v>
      </c>
      <c r="AB4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15" t="str" cm="1">
        <f t="array" ref="AC415">_xlfn.IFS(Table2[[#This Row],[Satification_points]]&gt;=4.5,"GREAT",AND(Table2[[#This Row],[Satification_points]]&gt;=4,Table2[[#This Row],[Satification_points]]&lt;4.5),"GOOD",AND(Table2[[#This Row],[Satification_points]]&gt;=3,Table2[[#This Row],[Satification_points]]&lt;4),"AVERAGE",Table2[[#This Row],[Satification_points]]&lt;3,"POOR")</f>
        <v>POOR</v>
      </c>
    </row>
    <row r="416" spans="1:29" x14ac:dyDescent="0.3">
      <c r="A416">
        <v>415</v>
      </c>
      <c r="B416">
        <v>61524</v>
      </c>
      <c r="C416" t="s">
        <v>471</v>
      </c>
      <c r="D416" t="s">
        <v>41</v>
      </c>
      <c r="E416" t="s">
        <v>27</v>
      </c>
      <c r="F416" s="1">
        <v>45144</v>
      </c>
      <c r="G416" s="1">
        <v>45607</v>
      </c>
      <c r="H416">
        <v>3</v>
      </c>
      <c r="I416" t="s">
        <v>49</v>
      </c>
      <c r="J416" t="s">
        <v>43</v>
      </c>
      <c r="K416">
        <v>3</v>
      </c>
      <c r="L416">
        <v>3</v>
      </c>
      <c r="M416">
        <v>5</v>
      </c>
      <c r="N416">
        <v>2</v>
      </c>
      <c r="O416">
        <v>2</v>
      </c>
      <c r="P416">
        <v>4</v>
      </c>
      <c r="Q416">
        <v>3</v>
      </c>
      <c r="R416">
        <v>5</v>
      </c>
      <c r="S416">
        <v>1</v>
      </c>
      <c r="T416">
        <v>1</v>
      </c>
      <c r="U416" t="s">
        <v>37</v>
      </c>
      <c r="V416" t="s">
        <v>58</v>
      </c>
      <c r="W416" t="s">
        <v>32</v>
      </c>
      <c r="X416" t="s">
        <v>40</v>
      </c>
      <c r="Y416">
        <v>66</v>
      </c>
      <c r="Z416" s="1">
        <v>45607</v>
      </c>
      <c r="AA416" t="str" cm="1">
        <f t="array" ref="AA416">_xlfn.IFS(AND(Table2[[#This Row],[Guest_Age]]&gt;=18,Table2[[#This Row],[Guest_Age]]&lt;=25),"Young Adults",AND(Table2[[#This Row],[Guest_Age]]&gt;=26,Table2[[#This Row],[Guest_Age]]&lt;=35),"Adults",AND(Table2[[#This Row],[Guest_Age]]&gt;=36,Table2[[#This Row],[Guest_Age]]&lt;=50),"Middle Aged Adults",Table2[[#This Row],[Guest_Age]]&gt;50,"Senior")</f>
        <v>Senior</v>
      </c>
      <c r="AB4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16" t="str" cm="1">
        <f t="array" ref="AC416">_xlfn.IFS(Table2[[#This Row],[Satification_points]]&gt;=4.5,"GREAT",AND(Table2[[#This Row],[Satification_points]]&gt;=4,Table2[[#This Row],[Satification_points]]&lt;4.5),"GOOD",AND(Table2[[#This Row],[Satification_points]]&gt;=3,Table2[[#This Row],[Satification_points]]&lt;4),"AVERAGE",Table2[[#This Row],[Satification_points]]&lt;3,"POOR")</f>
        <v>POOR</v>
      </c>
    </row>
    <row r="417" spans="1:29" x14ac:dyDescent="0.3">
      <c r="A417">
        <v>416</v>
      </c>
      <c r="B417">
        <v>65954</v>
      </c>
      <c r="C417" t="s">
        <v>472</v>
      </c>
      <c r="D417" t="s">
        <v>26</v>
      </c>
      <c r="E417" t="s">
        <v>27</v>
      </c>
      <c r="F417" s="1">
        <v>45556</v>
      </c>
      <c r="G417" s="1">
        <v>45557</v>
      </c>
      <c r="H417">
        <v>4</v>
      </c>
      <c r="I417" t="s">
        <v>49</v>
      </c>
      <c r="J417" t="s">
        <v>53</v>
      </c>
      <c r="K417">
        <v>1</v>
      </c>
      <c r="L417">
        <v>3</v>
      </c>
      <c r="M417">
        <v>4</v>
      </c>
      <c r="N417">
        <v>5</v>
      </c>
      <c r="O417">
        <v>2</v>
      </c>
      <c r="P417">
        <v>1</v>
      </c>
      <c r="Q417">
        <v>1</v>
      </c>
      <c r="R417">
        <v>5</v>
      </c>
      <c r="S417">
        <v>5</v>
      </c>
      <c r="T417">
        <v>4</v>
      </c>
      <c r="U417" t="s">
        <v>37</v>
      </c>
      <c r="V417" t="s">
        <v>58</v>
      </c>
      <c r="W417" t="s">
        <v>55</v>
      </c>
      <c r="X417" t="s">
        <v>33</v>
      </c>
      <c r="Y417">
        <v>45</v>
      </c>
      <c r="Z417" s="1">
        <v>45557</v>
      </c>
      <c r="AA417" t="str" cm="1">
        <f t="array" ref="AA4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17" t="str" cm="1">
        <f t="array" ref="AC417">_xlfn.IFS(Table2[[#This Row],[Satification_points]]&gt;=4.5,"GREAT",AND(Table2[[#This Row],[Satification_points]]&gt;=4,Table2[[#This Row],[Satification_points]]&lt;4.5),"GOOD",AND(Table2[[#This Row],[Satification_points]]&gt;=3,Table2[[#This Row],[Satification_points]]&lt;4),"AVERAGE",Table2[[#This Row],[Satification_points]]&lt;3,"POOR")</f>
        <v>AVERAGE</v>
      </c>
    </row>
    <row r="418" spans="1:29" x14ac:dyDescent="0.3">
      <c r="A418">
        <v>417</v>
      </c>
      <c r="B418">
        <v>48996</v>
      </c>
      <c r="C418" t="s">
        <v>473</v>
      </c>
      <c r="D418" t="s">
        <v>34</v>
      </c>
      <c r="E418" t="s">
        <v>52</v>
      </c>
      <c r="F418" s="1">
        <v>45246</v>
      </c>
      <c r="G418" s="1">
        <v>45249</v>
      </c>
      <c r="H418">
        <v>5</v>
      </c>
      <c r="I418" t="s">
        <v>50</v>
      </c>
      <c r="J418" t="s">
        <v>53</v>
      </c>
      <c r="K418">
        <v>5</v>
      </c>
      <c r="L418">
        <v>3</v>
      </c>
      <c r="M418">
        <v>2</v>
      </c>
      <c r="N418">
        <v>3</v>
      </c>
      <c r="O418">
        <v>5</v>
      </c>
      <c r="P418">
        <v>4</v>
      </c>
      <c r="Q418">
        <v>4</v>
      </c>
      <c r="R418">
        <v>1</v>
      </c>
      <c r="S418">
        <v>4</v>
      </c>
      <c r="T418">
        <v>2</v>
      </c>
      <c r="U418" t="s">
        <v>30</v>
      </c>
      <c r="V418" t="s">
        <v>38</v>
      </c>
      <c r="W418" t="s">
        <v>47</v>
      </c>
      <c r="X418" t="s">
        <v>40</v>
      </c>
      <c r="Y418">
        <v>40</v>
      </c>
      <c r="Z418" s="1">
        <v>45580</v>
      </c>
      <c r="AA418" t="str" cm="1">
        <f t="array" ref="AA418">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18" t="str" cm="1">
        <f t="array" ref="AC418">_xlfn.IFS(Table2[[#This Row],[Satification_points]]&gt;=4.5,"GREAT",AND(Table2[[#This Row],[Satification_points]]&gt;=4,Table2[[#This Row],[Satification_points]]&lt;4.5),"GOOD",AND(Table2[[#This Row],[Satification_points]]&gt;=3,Table2[[#This Row],[Satification_points]]&lt;4),"AVERAGE",Table2[[#This Row],[Satification_points]]&lt;3,"POOR")</f>
        <v>AVERAGE</v>
      </c>
    </row>
    <row r="419" spans="1:29" x14ac:dyDescent="0.3">
      <c r="A419">
        <v>418</v>
      </c>
      <c r="B419">
        <v>31505</v>
      </c>
      <c r="C419" t="s">
        <v>474</v>
      </c>
      <c r="D419" t="s">
        <v>34</v>
      </c>
      <c r="E419" t="s">
        <v>52</v>
      </c>
      <c r="F419" s="1">
        <v>44949</v>
      </c>
      <c r="G419" s="1">
        <v>45263</v>
      </c>
      <c r="H419">
        <v>8</v>
      </c>
      <c r="I419" t="s">
        <v>50</v>
      </c>
      <c r="J419" t="s">
        <v>53</v>
      </c>
      <c r="K419">
        <v>1</v>
      </c>
      <c r="L419">
        <v>4</v>
      </c>
      <c r="M419">
        <v>3</v>
      </c>
      <c r="N419">
        <v>1</v>
      </c>
      <c r="O419">
        <v>2</v>
      </c>
      <c r="P419">
        <v>2</v>
      </c>
      <c r="Q419">
        <v>5</v>
      </c>
      <c r="R419">
        <v>3</v>
      </c>
      <c r="S419">
        <v>5</v>
      </c>
      <c r="T419">
        <v>1</v>
      </c>
      <c r="U419" t="s">
        <v>37</v>
      </c>
      <c r="V419" t="s">
        <v>38</v>
      </c>
      <c r="W419" t="s">
        <v>56</v>
      </c>
      <c r="X419" t="s">
        <v>40</v>
      </c>
      <c r="Y419">
        <v>47</v>
      </c>
      <c r="Z419" s="1">
        <v>45362</v>
      </c>
      <c r="AA419" t="str" cm="1">
        <f t="array" ref="AA4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4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19" t="str" cm="1">
        <f t="array" ref="AC419">_xlfn.IFS(Table2[[#This Row],[Satification_points]]&gt;=4.5,"GREAT",AND(Table2[[#This Row],[Satification_points]]&gt;=4,Table2[[#This Row],[Satification_points]]&lt;4.5),"GOOD",AND(Table2[[#This Row],[Satification_points]]&gt;=3,Table2[[#This Row],[Satification_points]]&lt;4),"AVERAGE",Table2[[#This Row],[Satification_points]]&lt;3,"POOR")</f>
        <v>POOR</v>
      </c>
    </row>
    <row r="420" spans="1:29" x14ac:dyDescent="0.3">
      <c r="A420">
        <v>419</v>
      </c>
      <c r="B420">
        <v>40132</v>
      </c>
      <c r="C420" t="s">
        <v>475</v>
      </c>
      <c r="D420" t="s">
        <v>41</v>
      </c>
      <c r="E420" t="s">
        <v>27</v>
      </c>
      <c r="F420" s="1">
        <v>45563</v>
      </c>
      <c r="G420" s="1">
        <v>45564</v>
      </c>
      <c r="H420">
        <v>9</v>
      </c>
      <c r="I420" t="s">
        <v>28</v>
      </c>
      <c r="J420" t="s">
        <v>43</v>
      </c>
      <c r="K420">
        <v>1</v>
      </c>
      <c r="L420">
        <v>1</v>
      </c>
      <c r="M420">
        <v>4</v>
      </c>
      <c r="N420">
        <v>2</v>
      </c>
      <c r="O420">
        <v>5</v>
      </c>
      <c r="P420">
        <v>1</v>
      </c>
      <c r="Q420">
        <v>3</v>
      </c>
      <c r="R420">
        <v>5</v>
      </c>
      <c r="S420">
        <v>2</v>
      </c>
      <c r="T420">
        <v>5</v>
      </c>
      <c r="U420" t="s">
        <v>30</v>
      </c>
      <c r="V420" t="s">
        <v>46</v>
      </c>
      <c r="W420" t="s">
        <v>32</v>
      </c>
      <c r="X420" t="s">
        <v>44</v>
      </c>
      <c r="Y420">
        <v>35</v>
      </c>
      <c r="Z420" s="1">
        <v>45564</v>
      </c>
      <c r="AA420" t="str" cm="1">
        <f t="array" ref="AA420">_xlfn.IFS(AND(Table2[[#This Row],[Guest_Age]]&gt;=18,Table2[[#This Row],[Guest_Age]]&lt;=25),"Young Adults",AND(Table2[[#This Row],[Guest_Age]]&gt;=26,Table2[[#This Row],[Guest_Age]]&lt;=35),"Adults",AND(Table2[[#This Row],[Guest_Age]]&gt;=36,Table2[[#This Row],[Guest_Age]]&lt;=50),"Middle Aged Adults",Table2[[#This Row],[Guest_Age]]&gt;50,"Senior")</f>
        <v>Adults</v>
      </c>
      <c r="AB4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20" t="str" cm="1">
        <f t="array" ref="AC420">_xlfn.IFS(Table2[[#This Row],[Satification_points]]&gt;=4.5,"GREAT",AND(Table2[[#This Row],[Satification_points]]&gt;=4,Table2[[#This Row],[Satification_points]]&lt;4.5),"GOOD",AND(Table2[[#This Row],[Satification_points]]&gt;=3,Table2[[#This Row],[Satification_points]]&lt;4),"AVERAGE",Table2[[#This Row],[Satification_points]]&lt;3,"POOR")</f>
        <v>POOR</v>
      </c>
    </row>
    <row r="421" spans="1:29" x14ac:dyDescent="0.3">
      <c r="A421">
        <v>420</v>
      </c>
      <c r="B421">
        <v>42558</v>
      </c>
      <c r="C421" t="s">
        <v>476</v>
      </c>
      <c r="D421" t="s">
        <v>51</v>
      </c>
      <c r="E421" t="s">
        <v>27</v>
      </c>
      <c r="F421" s="1">
        <v>45010</v>
      </c>
      <c r="G421" s="1">
        <v>45098</v>
      </c>
      <c r="H421">
        <v>3</v>
      </c>
      <c r="I421" t="s">
        <v>49</v>
      </c>
      <c r="J421" t="s">
        <v>53</v>
      </c>
      <c r="K421">
        <v>5</v>
      </c>
      <c r="L421">
        <v>4</v>
      </c>
      <c r="M421">
        <v>2</v>
      </c>
      <c r="N421">
        <v>3</v>
      </c>
      <c r="O421">
        <v>5</v>
      </c>
      <c r="P421">
        <v>3</v>
      </c>
      <c r="Q421">
        <v>3</v>
      </c>
      <c r="R421">
        <v>3</v>
      </c>
      <c r="S421">
        <v>4</v>
      </c>
      <c r="T421">
        <v>4</v>
      </c>
      <c r="U421" t="s">
        <v>30</v>
      </c>
      <c r="V421" t="s">
        <v>58</v>
      </c>
      <c r="W421" t="s">
        <v>47</v>
      </c>
      <c r="X421" t="s">
        <v>40</v>
      </c>
      <c r="Y421">
        <v>43</v>
      </c>
      <c r="Z421" s="1">
        <v>45613</v>
      </c>
      <c r="AA421" t="str" cm="1">
        <f t="array" ref="AA421">_xlfn.IFS(AND(Table2[[#This Row],[Guest_Age]]&gt;=18,Table2[[#This Row],[Guest_Age]]&lt;=25),"Young Adults",AND(Table2[[#This Row],[Guest_Age]]&gt;=26,Table2[[#This Row],[Guest_Age]]&lt;=35),"Adults",AND(Table2[[#This Row],[Guest_Age]]&gt;=36,Table2[[#This Row],[Guest_Age]]&lt;=50),"Middle Aged Adults",Table2[[#This Row],[Guest_Age]]&gt;50,"Senior")</f>
        <v>Middle Aged Adults</v>
      </c>
      <c r="AB4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421" t="str" cm="1">
        <f t="array" ref="AC421">_xlfn.IFS(Table2[[#This Row],[Satification_points]]&gt;=4.5,"GREAT",AND(Table2[[#This Row],[Satification_points]]&gt;=4,Table2[[#This Row],[Satification_points]]&lt;4.5),"GOOD",AND(Table2[[#This Row],[Satification_points]]&gt;=3,Table2[[#This Row],[Satification_points]]&lt;4),"AVERAGE",Table2[[#This Row],[Satification_points]]&lt;3,"POOR")</f>
        <v>AVERAGE</v>
      </c>
    </row>
    <row r="422" spans="1:29" x14ac:dyDescent="0.3">
      <c r="A422">
        <v>421</v>
      </c>
      <c r="B422">
        <v>67202</v>
      </c>
      <c r="C422" t="s">
        <v>477</v>
      </c>
      <c r="D422" t="s">
        <v>34</v>
      </c>
      <c r="E422" t="s">
        <v>52</v>
      </c>
      <c r="F422" s="1">
        <v>45637</v>
      </c>
      <c r="G422" s="1">
        <v>45638</v>
      </c>
      <c r="H422">
        <v>3</v>
      </c>
      <c r="I422" t="s">
        <v>50</v>
      </c>
      <c r="J422" t="s">
        <v>53</v>
      </c>
      <c r="K422">
        <v>3</v>
      </c>
      <c r="L422">
        <v>4</v>
      </c>
      <c r="M422">
        <v>5</v>
      </c>
      <c r="N422">
        <v>2</v>
      </c>
      <c r="O422">
        <v>1</v>
      </c>
      <c r="P422">
        <v>4</v>
      </c>
      <c r="Q422">
        <v>5</v>
      </c>
      <c r="R422">
        <v>1</v>
      </c>
      <c r="S422">
        <v>5</v>
      </c>
      <c r="T422">
        <v>4</v>
      </c>
      <c r="U422" t="s">
        <v>37</v>
      </c>
      <c r="V422" t="s">
        <v>31</v>
      </c>
      <c r="W422" t="s">
        <v>56</v>
      </c>
      <c r="X422" t="s">
        <v>44</v>
      </c>
      <c r="Y422">
        <v>69</v>
      </c>
      <c r="Z422" s="1">
        <v>45638</v>
      </c>
      <c r="AA422" t="str" cm="1">
        <f t="array" ref="AA422">_xlfn.IFS(AND(Table2[[#This Row],[Guest_Age]]&gt;=18,Table2[[#This Row],[Guest_Age]]&lt;=25),"Young Adults",AND(Table2[[#This Row],[Guest_Age]]&gt;=26,Table2[[#This Row],[Guest_Age]]&lt;=35),"Adults",AND(Table2[[#This Row],[Guest_Age]]&gt;=36,Table2[[#This Row],[Guest_Age]]&lt;=50),"Middle Aged Adults",Table2[[#This Row],[Guest_Age]]&gt;50,"Senior")</f>
        <v>Senior</v>
      </c>
      <c r="AB4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22" t="str" cm="1">
        <f t="array" ref="AC422">_xlfn.IFS(Table2[[#This Row],[Satification_points]]&gt;=4.5,"GREAT",AND(Table2[[#This Row],[Satification_points]]&gt;=4,Table2[[#This Row],[Satification_points]]&lt;4.5),"GOOD",AND(Table2[[#This Row],[Satification_points]]&gt;=3,Table2[[#This Row],[Satification_points]]&lt;4),"AVERAGE",Table2[[#This Row],[Satification_points]]&lt;3,"POOR")</f>
        <v>AVERAGE</v>
      </c>
    </row>
    <row r="423" spans="1:29" x14ac:dyDescent="0.3">
      <c r="A423">
        <v>422</v>
      </c>
      <c r="B423">
        <v>34116</v>
      </c>
      <c r="C423" t="s">
        <v>478</v>
      </c>
      <c r="D423" t="s">
        <v>48</v>
      </c>
      <c r="E423" t="s">
        <v>45</v>
      </c>
      <c r="F423" s="1">
        <v>45252</v>
      </c>
      <c r="G423" s="1">
        <v>45607</v>
      </c>
      <c r="H423">
        <v>7</v>
      </c>
      <c r="I423" t="s">
        <v>50</v>
      </c>
      <c r="J423" t="s">
        <v>29</v>
      </c>
      <c r="K423">
        <v>4</v>
      </c>
      <c r="L423">
        <v>5</v>
      </c>
      <c r="M423">
        <v>1</v>
      </c>
      <c r="N423">
        <v>5</v>
      </c>
      <c r="O423">
        <v>1</v>
      </c>
      <c r="P423">
        <v>3</v>
      </c>
      <c r="Q423">
        <v>3</v>
      </c>
      <c r="R423">
        <v>4</v>
      </c>
      <c r="S423">
        <v>5</v>
      </c>
      <c r="T423">
        <v>2</v>
      </c>
      <c r="U423" t="s">
        <v>30</v>
      </c>
      <c r="V423" t="s">
        <v>31</v>
      </c>
      <c r="W423" t="s">
        <v>55</v>
      </c>
      <c r="X423" t="s">
        <v>44</v>
      </c>
      <c r="Y423">
        <v>50</v>
      </c>
      <c r="Z423" s="1">
        <v>45607</v>
      </c>
      <c r="AA423" t="str" cm="1">
        <f t="array" ref="AA423">_xlfn.IFS(AND(Table2[[#This Row],[Guest_Age]]&gt;=18,Table2[[#This Row],[Guest_Age]]&lt;=25),"Young Adults",AND(Table2[[#This Row],[Guest_Age]]&gt;=26,Table2[[#This Row],[Guest_Age]]&lt;=35),"Adults",AND(Table2[[#This Row],[Guest_Age]]&gt;=36,Table2[[#This Row],[Guest_Age]]&lt;=50),"Middle Aged Adults",Table2[[#This Row],[Guest_Age]]&gt;50,"Senior")</f>
        <v>Middle Aged Adults</v>
      </c>
      <c r="AB4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23" t="str" cm="1">
        <f t="array" ref="AC423">_xlfn.IFS(Table2[[#This Row],[Satification_points]]&gt;=4.5,"GREAT",AND(Table2[[#This Row],[Satification_points]]&gt;=4,Table2[[#This Row],[Satification_points]]&lt;4.5),"GOOD",AND(Table2[[#This Row],[Satification_points]]&gt;=3,Table2[[#This Row],[Satification_points]]&lt;4),"AVERAGE",Table2[[#This Row],[Satification_points]]&lt;3,"POOR")</f>
        <v>AVERAGE</v>
      </c>
    </row>
    <row r="424" spans="1:29" x14ac:dyDescent="0.3">
      <c r="A424">
        <v>423</v>
      </c>
      <c r="B424">
        <v>86769</v>
      </c>
      <c r="C424" t="s">
        <v>479</v>
      </c>
      <c r="D424" t="s">
        <v>41</v>
      </c>
      <c r="E424" t="s">
        <v>57</v>
      </c>
      <c r="F424" s="1">
        <v>45625</v>
      </c>
      <c r="G424" s="1">
        <v>45626</v>
      </c>
      <c r="H424">
        <v>9</v>
      </c>
      <c r="I424" t="s">
        <v>28</v>
      </c>
      <c r="J424" t="s">
        <v>53</v>
      </c>
      <c r="K424">
        <v>1</v>
      </c>
      <c r="L424">
        <v>5</v>
      </c>
      <c r="M424">
        <v>4</v>
      </c>
      <c r="N424">
        <v>4</v>
      </c>
      <c r="O424">
        <v>2</v>
      </c>
      <c r="P424">
        <v>5</v>
      </c>
      <c r="Q424">
        <v>2</v>
      </c>
      <c r="R424">
        <v>5</v>
      </c>
      <c r="S424">
        <v>1</v>
      </c>
      <c r="T424">
        <v>2</v>
      </c>
      <c r="U424" t="s">
        <v>37</v>
      </c>
      <c r="V424" t="s">
        <v>54</v>
      </c>
      <c r="W424" t="s">
        <v>55</v>
      </c>
      <c r="X424" t="s">
        <v>33</v>
      </c>
      <c r="Y424">
        <v>33</v>
      </c>
      <c r="Z424" s="1">
        <v>45626</v>
      </c>
      <c r="AA424" t="str" cm="1">
        <f t="array" ref="AA424">_xlfn.IFS(AND(Table2[[#This Row],[Guest_Age]]&gt;=18,Table2[[#This Row],[Guest_Age]]&lt;=25),"Young Adults",AND(Table2[[#This Row],[Guest_Age]]&gt;=26,Table2[[#This Row],[Guest_Age]]&lt;=35),"Adults",AND(Table2[[#This Row],[Guest_Age]]&gt;=36,Table2[[#This Row],[Guest_Age]]&lt;=50),"Middle Aged Adults",Table2[[#This Row],[Guest_Age]]&gt;50,"Senior")</f>
        <v>Adults</v>
      </c>
      <c r="AB4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24" t="str" cm="1">
        <f t="array" ref="AC424">_xlfn.IFS(Table2[[#This Row],[Satification_points]]&gt;=4.5,"GREAT",AND(Table2[[#This Row],[Satification_points]]&gt;=4,Table2[[#This Row],[Satification_points]]&lt;4.5),"GOOD",AND(Table2[[#This Row],[Satification_points]]&gt;=3,Table2[[#This Row],[Satification_points]]&lt;4),"AVERAGE",Table2[[#This Row],[Satification_points]]&lt;3,"POOR")</f>
        <v>AVERAGE</v>
      </c>
    </row>
    <row r="425" spans="1:29" x14ac:dyDescent="0.3">
      <c r="A425">
        <v>424</v>
      </c>
      <c r="B425">
        <v>97064</v>
      </c>
      <c r="C425" t="s">
        <v>480</v>
      </c>
      <c r="D425" t="s">
        <v>26</v>
      </c>
      <c r="E425" t="s">
        <v>35</v>
      </c>
      <c r="F425" s="1">
        <v>45255</v>
      </c>
      <c r="G425" s="1">
        <v>45324</v>
      </c>
      <c r="H425">
        <v>1</v>
      </c>
      <c r="I425" t="s">
        <v>28</v>
      </c>
      <c r="J425" t="s">
        <v>29</v>
      </c>
      <c r="K425">
        <v>3</v>
      </c>
      <c r="L425">
        <v>4</v>
      </c>
      <c r="M425">
        <v>3</v>
      </c>
      <c r="N425">
        <v>5</v>
      </c>
      <c r="O425">
        <v>2</v>
      </c>
      <c r="P425">
        <v>4</v>
      </c>
      <c r="Q425">
        <v>5</v>
      </c>
      <c r="R425">
        <v>3</v>
      </c>
      <c r="S425">
        <v>5</v>
      </c>
      <c r="T425">
        <v>1</v>
      </c>
      <c r="U425" t="s">
        <v>30</v>
      </c>
      <c r="V425" t="s">
        <v>31</v>
      </c>
      <c r="W425" t="s">
        <v>56</v>
      </c>
      <c r="X425" t="s">
        <v>44</v>
      </c>
      <c r="Y425">
        <v>46</v>
      </c>
      <c r="Z425" s="1">
        <v>45580</v>
      </c>
      <c r="AA425" t="str" cm="1">
        <f t="array" ref="AA4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4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425" t="str" cm="1">
        <f t="array" ref="AC425">_xlfn.IFS(Table2[[#This Row],[Satification_points]]&gt;=4.5,"GREAT",AND(Table2[[#This Row],[Satification_points]]&gt;=4,Table2[[#This Row],[Satification_points]]&lt;4.5),"GOOD",AND(Table2[[#This Row],[Satification_points]]&gt;=3,Table2[[#This Row],[Satification_points]]&lt;4),"AVERAGE",Table2[[#This Row],[Satification_points]]&lt;3,"POOR")</f>
        <v>AVERAGE</v>
      </c>
    </row>
    <row r="426" spans="1:29" x14ac:dyDescent="0.3">
      <c r="A426">
        <v>425</v>
      </c>
      <c r="B426">
        <v>19250</v>
      </c>
      <c r="C426" t="s">
        <v>481</v>
      </c>
      <c r="D426" t="s">
        <v>26</v>
      </c>
      <c r="E426" t="s">
        <v>27</v>
      </c>
      <c r="F426" s="1">
        <v>45530</v>
      </c>
      <c r="G426" s="1">
        <v>45531</v>
      </c>
      <c r="H426">
        <v>1</v>
      </c>
      <c r="I426" t="s">
        <v>50</v>
      </c>
      <c r="J426" t="s">
        <v>36</v>
      </c>
      <c r="K426">
        <v>5</v>
      </c>
      <c r="L426">
        <v>2</v>
      </c>
      <c r="M426">
        <v>5</v>
      </c>
      <c r="N426">
        <v>4</v>
      </c>
      <c r="O426">
        <v>5</v>
      </c>
      <c r="P426">
        <v>1</v>
      </c>
      <c r="Q426">
        <v>3</v>
      </c>
      <c r="R426">
        <v>5</v>
      </c>
      <c r="S426">
        <v>2</v>
      </c>
      <c r="T426">
        <v>5</v>
      </c>
      <c r="U426" t="s">
        <v>37</v>
      </c>
      <c r="V426" t="s">
        <v>58</v>
      </c>
      <c r="W426" t="s">
        <v>47</v>
      </c>
      <c r="X426" t="s">
        <v>40</v>
      </c>
      <c r="Y426">
        <v>33</v>
      </c>
      <c r="Z426" s="1">
        <v>45531</v>
      </c>
      <c r="AA426" t="str" cm="1">
        <f t="array" ref="AA426">_xlfn.IFS(AND(Table2[[#This Row],[Guest_Age]]&gt;=18,Table2[[#This Row],[Guest_Age]]&lt;=25),"Young Adults",AND(Table2[[#This Row],[Guest_Age]]&gt;=26,Table2[[#This Row],[Guest_Age]]&lt;=35),"Adults",AND(Table2[[#This Row],[Guest_Age]]&gt;=36,Table2[[#This Row],[Guest_Age]]&lt;=50),"Middle Aged Adults",Table2[[#This Row],[Guest_Age]]&gt;50,"Senior")</f>
        <v>Adults</v>
      </c>
      <c r="AB4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426" t="str" cm="1">
        <f t="array" ref="AC426">_xlfn.IFS(Table2[[#This Row],[Satification_points]]&gt;=4.5,"GREAT",AND(Table2[[#This Row],[Satification_points]]&gt;=4,Table2[[#This Row],[Satification_points]]&lt;4.5),"GOOD",AND(Table2[[#This Row],[Satification_points]]&gt;=3,Table2[[#This Row],[Satification_points]]&lt;4),"AVERAGE",Table2[[#This Row],[Satification_points]]&lt;3,"POOR")</f>
        <v>AVERAGE</v>
      </c>
    </row>
    <row r="427" spans="1:29" x14ac:dyDescent="0.3">
      <c r="A427">
        <v>426</v>
      </c>
      <c r="B427">
        <v>35547</v>
      </c>
      <c r="C427" t="s">
        <v>482</v>
      </c>
      <c r="D427" t="s">
        <v>41</v>
      </c>
      <c r="E427" t="s">
        <v>52</v>
      </c>
      <c r="F427" s="1">
        <v>45256</v>
      </c>
      <c r="G427" s="1">
        <v>45257</v>
      </c>
      <c r="H427">
        <v>14</v>
      </c>
      <c r="I427" t="s">
        <v>42</v>
      </c>
      <c r="J427" t="s">
        <v>43</v>
      </c>
      <c r="K427">
        <v>3</v>
      </c>
      <c r="L427">
        <v>2</v>
      </c>
      <c r="M427">
        <v>4</v>
      </c>
      <c r="N427">
        <v>3</v>
      </c>
      <c r="O427">
        <v>3</v>
      </c>
      <c r="P427">
        <v>1</v>
      </c>
      <c r="Q427">
        <v>3</v>
      </c>
      <c r="R427">
        <v>2</v>
      </c>
      <c r="S427">
        <v>2</v>
      </c>
      <c r="T427">
        <v>2</v>
      </c>
      <c r="U427" t="s">
        <v>37</v>
      </c>
      <c r="V427" t="s">
        <v>46</v>
      </c>
      <c r="W427" t="s">
        <v>56</v>
      </c>
      <c r="X427" t="s">
        <v>33</v>
      </c>
      <c r="Y427">
        <v>50</v>
      </c>
      <c r="Z427" s="1">
        <v>45257</v>
      </c>
      <c r="AA427" t="str" cm="1">
        <f t="array" ref="AA4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427" t="str" cm="1">
        <f t="array" ref="AC427">_xlfn.IFS(Table2[[#This Row],[Satification_points]]&gt;=4.5,"GREAT",AND(Table2[[#This Row],[Satification_points]]&gt;=4,Table2[[#This Row],[Satification_points]]&lt;4.5),"GOOD",AND(Table2[[#This Row],[Satification_points]]&gt;=3,Table2[[#This Row],[Satification_points]]&lt;4),"AVERAGE",Table2[[#This Row],[Satification_points]]&lt;3,"POOR")</f>
        <v>POOR</v>
      </c>
    </row>
    <row r="428" spans="1:29" x14ac:dyDescent="0.3">
      <c r="A428">
        <v>427</v>
      </c>
      <c r="B428">
        <v>69734</v>
      </c>
      <c r="C428" t="s">
        <v>483</v>
      </c>
      <c r="D428" t="s">
        <v>41</v>
      </c>
      <c r="E428" t="s">
        <v>27</v>
      </c>
      <c r="F428" s="1">
        <v>45620</v>
      </c>
      <c r="G428" s="1">
        <v>45621</v>
      </c>
      <c r="H428">
        <v>12</v>
      </c>
      <c r="I428" t="s">
        <v>28</v>
      </c>
      <c r="J428" t="s">
        <v>29</v>
      </c>
      <c r="K428">
        <v>1</v>
      </c>
      <c r="L428">
        <v>2</v>
      </c>
      <c r="M428">
        <v>5</v>
      </c>
      <c r="N428">
        <v>2</v>
      </c>
      <c r="O428">
        <v>1</v>
      </c>
      <c r="P428">
        <v>3</v>
      </c>
      <c r="Q428">
        <v>1</v>
      </c>
      <c r="R428">
        <v>2</v>
      </c>
      <c r="S428">
        <v>5</v>
      </c>
      <c r="T428">
        <v>2</v>
      </c>
      <c r="U428" t="s">
        <v>30</v>
      </c>
      <c r="V428" t="s">
        <v>58</v>
      </c>
      <c r="W428" t="s">
        <v>32</v>
      </c>
      <c r="X428" t="s">
        <v>40</v>
      </c>
      <c r="Y428">
        <v>56</v>
      </c>
      <c r="Z428" s="1">
        <v>45621</v>
      </c>
      <c r="AA428" t="str" cm="1">
        <f t="array" ref="AA428">_xlfn.IFS(AND(Table2[[#This Row],[Guest_Age]]&gt;=18,Table2[[#This Row],[Guest_Age]]&lt;=25),"Young Adults",AND(Table2[[#This Row],[Guest_Age]]&gt;=26,Table2[[#This Row],[Guest_Age]]&lt;=35),"Adults",AND(Table2[[#This Row],[Guest_Age]]&gt;=36,Table2[[#This Row],[Guest_Age]]&lt;=50),"Middle Aged Adults",Table2[[#This Row],[Guest_Age]]&gt;50,"Senior")</f>
        <v>Senior</v>
      </c>
      <c r="AB4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28" t="str" cm="1">
        <f t="array" ref="AC428">_xlfn.IFS(Table2[[#This Row],[Satification_points]]&gt;=4.5,"GREAT",AND(Table2[[#This Row],[Satification_points]]&gt;=4,Table2[[#This Row],[Satification_points]]&lt;4.5),"GOOD",AND(Table2[[#This Row],[Satification_points]]&gt;=3,Table2[[#This Row],[Satification_points]]&lt;4),"AVERAGE",Table2[[#This Row],[Satification_points]]&lt;3,"POOR")</f>
        <v>POOR</v>
      </c>
    </row>
    <row r="429" spans="1:29" x14ac:dyDescent="0.3">
      <c r="A429">
        <v>428</v>
      </c>
      <c r="B429">
        <v>83360</v>
      </c>
      <c r="C429" t="s">
        <v>484</v>
      </c>
      <c r="D429" t="s">
        <v>34</v>
      </c>
      <c r="E429" t="s">
        <v>27</v>
      </c>
      <c r="F429" s="1">
        <v>45637</v>
      </c>
      <c r="G429" s="1">
        <v>45638</v>
      </c>
      <c r="H429">
        <v>2</v>
      </c>
      <c r="I429" t="s">
        <v>50</v>
      </c>
      <c r="J429" t="s">
        <v>43</v>
      </c>
      <c r="K429">
        <v>4</v>
      </c>
      <c r="L429">
        <v>4</v>
      </c>
      <c r="M429">
        <v>2</v>
      </c>
      <c r="N429">
        <v>2</v>
      </c>
      <c r="O429">
        <v>4</v>
      </c>
      <c r="P429">
        <v>1</v>
      </c>
      <c r="Q429">
        <v>3</v>
      </c>
      <c r="R429">
        <v>1</v>
      </c>
      <c r="S429">
        <v>4</v>
      </c>
      <c r="T429">
        <v>5</v>
      </c>
      <c r="U429" t="s">
        <v>37</v>
      </c>
      <c r="V429" t="s">
        <v>58</v>
      </c>
      <c r="W429" t="s">
        <v>56</v>
      </c>
      <c r="X429" t="s">
        <v>44</v>
      </c>
      <c r="Y429">
        <v>63</v>
      </c>
      <c r="Z429" s="1">
        <v>45638</v>
      </c>
      <c r="AA429" t="str" cm="1">
        <f t="array" ref="AA429">_xlfn.IFS(AND(Table2[[#This Row],[Guest_Age]]&gt;=18,Table2[[#This Row],[Guest_Age]]&lt;=25),"Young Adults",AND(Table2[[#This Row],[Guest_Age]]&gt;=26,Table2[[#This Row],[Guest_Age]]&lt;=35),"Adults",AND(Table2[[#This Row],[Guest_Age]]&gt;=36,Table2[[#This Row],[Guest_Age]]&lt;=50),"Middle Aged Adults",Table2[[#This Row],[Guest_Age]]&gt;50,"Senior")</f>
        <v>Senior</v>
      </c>
      <c r="AB4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29" t="str" cm="1">
        <f t="array" ref="AC429">_xlfn.IFS(Table2[[#This Row],[Satification_points]]&gt;=4.5,"GREAT",AND(Table2[[#This Row],[Satification_points]]&gt;=4,Table2[[#This Row],[Satification_points]]&lt;4.5),"GOOD",AND(Table2[[#This Row],[Satification_points]]&gt;=3,Table2[[#This Row],[Satification_points]]&lt;4),"AVERAGE",Table2[[#This Row],[Satification_points]]&lt;3,"POOR")</f>
        <v>AVERAGE</v>
      </c>
    </row>
    <row r="430" spans="1:29" x14ac:dyDescent="0.3">
      <c r="A430">
        <v>429</v>
      </c>
      <c r="B430">
        <v>15455</v>
      </c>
      <c r="C430" t="s">
        <v>485</v>
      </c>
      <c r="D430" t="s">
        <v>41</v>
      </c>
      <c r="E430" t="s">
        <v>27</v>
      </c>
      <c r="F430" s="1">
        <v>45399</v>
      </c>
      <c r="G430" s="1">
        <v>45665</v>
      </c>
      <c r="H430">
        <v>6</v>
      </c>
      <c r="I430" t="s">
        <v>42</v>
      </c>
      <c r="J430" t="s">
        <v>43</v>
      </c>
      <c r="K430">
        <v>5</v>
      </c>
      <c r="L430">
        <v>1</v>
      </c>
      <c r="M430">
        <v>4</v>
      </c>
      <c r="N430">
        <v>5</v>
      </c>
      <c r="O430">
        <v>3</v>
      </c>
      <c r="P430">
        <v>4</v>
      </c>
      <c r="Q430">
        <v>3</v>
      </c>
      <c r="R430">
        <v>3</v>
      </c>
      <c r="S430">
        <v>1</v>
      </c>
      <c r="T430">
        <v>3</v>
      </c>
      <c r="U430" t="s">
        <v>37</v>
      </c>
      <c r="V430" t="s">
        <v>31</v>
      </c>
      <c r="W430" t="s">
        <v>39</v>
      </c>
      <c r="X430" t="s">
        <v>44</v>
      </c>
      <c r="Y430">
        <v>64</v>
      </c>
      <c r="Z430" s="1">
        <v>45665</v>
      </c>
      <c r="AA430" t="str" cm="1">
        <f t="array" ref="AA430">_xlfn.IFS(AND(Table2[[#This Row],[Guest_Age]]&gt;=18,Table2[[#This Row],[Guest_Age]]&lt;=25),"Young Adults",AND(Table2[[#This Row],[Guest_Age]]&gt;=26,Table2[[#This Row],[Guest_Age]]&lt;=35),"Adults",AND(Table2[[#This Row],[Guest_Age]]&gt;=36,Table2[[#This Row],[Guest_Age]]&lt;=50),"Middle Aged Adults",Table2[[#This Row],[Guest_Age]]&gt;50,"Senior")</f>
        <v>Senior</v>
      </c>
      <c r="AB4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30" t="str" cm="1">
        <f t="array" ref="AC430">_xlfn.IFS(Table2[[#This Row],[Satification_points]]&gt;=4.5,"GREAT",AND(Table2[[#This Row],[Satification_points]]&gt;=4,Table2[[#This Row],[Satification_points]]&lt;4.5),"GOOD",AND(Table2[[#This Row],[Satification_points]]&gt;=3,Table2[[#This Row],[Satification_points]]&lt;4),"AVERAGE",Table2[[#This Row],[Satification_points]]&lt;3,"POOR")</f>
        <v>AVERAGE</v>
      </c>
    </row>
    <row r="431" spans="1:29" x14ac:dyDescent="0.3">
      <c r="A431">
        <v>430</v>
      </c>
      <c r="B431">
        <v>58560</v>
      </c>
      <c r="C431" t="s">
        <v>486</v>
      </c>
      <c r="D431" t="s">
        <v>41</v>
      </c>
      <c r="E431" t="s">
        <v>27</v>
      </c>
      <c r="F431" s="1">
        <v>45404</v>
      </c>
      <c r="G431" s="1">
        <v>45405</v>
      </c>
      <c r="H431">
        <v>3</v>
      </c>
      <c r="I431" t="s">
        <v>50</v>
      </c>
      <c r="J431" t="s">
        <v>40</v>
      </c>
      <c r="K431">
        <v>5</v>
      </c>
      <c r="L431">
        <v>2</v>
      </c>
      <c r="M431">
        <v>1</v>
      </c>
      <c r="N431">
        <v>1</v>
      </c>
      <c r="O431">
        <v>1</v>
      </c>
      <c r="P431">
        <v>2</v>
      </c>
      <c r="Q431">
        <v>1</v>
      </c>
      <c r="R431">
        <v>3</v>
      </c>
      <c r="S431">
        <v>4</v>
      </c>
      <c r="T431">
        <v>1</v>
      </c>
      <c r="U431" t="s">
        <v>30</v>
      </c>
      <c r="V431" t="s">
        <v>38</v>
      </c>
      <c r="W431" t="s">
        <v>32</v>
      </c>
      <c r="X431" t="s">
        <v>44</v>
      </c>
      <c r="Y431">
        <v>55</v>
      </c>
      <c r="Z431" s="1">
        <v>45536</v>
      </c>
      <c r="AA431" t="str" cm="1">
        <f t="array" ref="AA431">_xlfn.IFS(AND(Table2[[#This Row],[Guest_Age]]&gt;=18,Table2[[#This Row],[Guest_Age]]&lt;=25),"Young Adults",AND(Table2[[#This Row],[Guest_Age]]&gt;=26,Table2[[#This Row],[Guest_Age]]&lt;=35),"Adults",AND(Table2[[#This Row],[Guest_Age]]&gt;=36,Table2[[#This Row],[Guest_Age]]&lt;=50),"Middle Aged Adults",Table2[[#This Row],[Guest_Age]]&gt;50,"Senior")</f>
        <v>Senior</v>
      </c>
      <c r="AB4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431" t="str" cm="1">
        <f t="array" ref="AC431">_xlfn.IFS(Table2[[#This Row],[Satification_points]]&gt;=4.5,"GREAT",AND(Table2[[#This Row],[Satification_points]]&gt;=4,Table2[[#This Row],[Satification_points]]&lt;4.5),"GOOD",AND(Table2[[#This Row],[Satification_points]]&gt;=3,Table2[[#This Row],[Satification_points]]&lt;4),"AVERAGE",Table2[[#This Row],[Satification_points]]&lt;3,"POOR")</f>
        <v>POOR</v>
      </c>
    </row>
    <row r="432" spans="1:29" x14ac:dyDescent="0.3">
      <c r="A432">
        <v>431</v>
      </c>
      <c r="B432">
        <v>94424</v>
      </c>
      <c r="C432" t="s">
        <v>487</v>
      </c>
      <c r="D432" t="s">
        <v>48</v>
      </c>
      <c r="E432" t="s">
        <v>45</v>
      </c>
      <c r="F432" s="1">
        <v>45161</v>
      </c>
      <c r="G432" s="1">
        <v>45625</v>
      </c>
      <c r="H432">
        <v>12</v>
      </c>
      <c r="I432" t="s">
        <v>49</v>
      </c>
      <c r="J432" t="s">
        <v>29</v>
      </c>
      <c r="K432">
        <v>1</v>
      </c>
      <c r="L432">
        <v>5</v>
      </c>
      <c r="M432">
        <v>2</v>
      </c>
      <c r="N432">
        <v>3</v>
      </c>
      <c r="O432">
        <v>1</v>
      </c>
      <c r="P432">
        <v>2</v>
      </c>
      <c r="Q432">
        <v>5</v>
      </c>
      <c r="R432">
        <v>5</v>
      </c>
      <c r="S432">
        <v>5</v>
      </c>
      <c r="T432">
        <v>3</v>
      </c>
      <c r="U432" t="s">
        <v>37</v>
      </c>
      <c r="V432" t="s">
        <v>54</v>
      </c>
      <c r="W432" t="s">
        <v>47</v>
      </c>
      <c r="X432" t="s">
        <v>44</v>
      </c>
      <c r="Y432">
        <v>40</v>
      </c>
      <c r="Z432" s="1">
        <v>45625</v>
      </c>
      <c r="AA432" t="str" cm="1">
        <f t="array" ref="AA43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32" t="str" cm="1">
        <f t="array" ref="AC432">_xlfn.IFS(Table2[[#This Row],[Satification_points]]&gt;=4.5,"GREAT",AND(Table2[[#This Row],[Satification_points]]&gt;=4,Table2[[#This Row],[Satification_points]]&lt;4.5),"GOOD",AND(Table2[[#This Row],[Satification_points]]&gt;=3,Table2[[#This Row],[Satification_points]]&lt;4),"AVERAGE",Table2[[#This Row],[Satification_points]]&lt;3,"POOR")</f>
        <v>AVERAGE</v>
      </c>
    </row>
    <row r="433" spans="1:29" x14ac:dyDescent="0.3">
      <c r="A433">
        <v>432</v>
      </c>
      <c r="B433">
        <v>35474</v>
      </c>
      <c r="C433" t="s">
        <v>488</v>
      </c>
      <c r="D433" t="s">
        <v>26</v>
      </c>
      <c r="E433" t="s">
        <v>35</v>
      </c>
      <c r="F433" s="1">
        <v>45482</v>
      </c>
      <c r="G433" s="1">
        <v>45524</v>
      </c>
      <c r="H433">
        <v>8</v>
      </c>
      <c r="I433" t="s">
        <v>42</v>
      </c>
      <c r="J433" t="s">
        <v>53</v>
      </c>
      <c r="K433">
        <v>3</v>
      </c>
      <c r="L433">
        <v>3</v>
      </c>
      <c r="M433">
        <v>1</v>
      </c>
      <c r="N433">
        <v>4</v>
      </c>
      <c r="O433">
        <v>2</v>
      </c>
      <c r="P433">
        <v>1</v>
      </c>
      <c r="Q433">
        <v>1</v>
      </c>
      <c r="R433">
        <v>2</v>
      </c>
      <c r="S433">
        <v>2</v>
      </c>
      <c r="T433">
        <v>5</v>
      </c>
      <c r="U433" t="s">
        <v>37</v>
      </c>
      <c r="V433" t="s">
        <v>31</v>
      </c>
      <c r="W433" t="s">
        <v>32</v>
      </c>
      <c r="X433" t="s">
        <v>40</v>
      </c>
      <c r="Y433">
        <v>43</v>
      </c>
      <c r="Z433" s="1">
        <v>45524</v>
      </c>
      <c r="AA433" t="str" cm="1">
        <f t="array" ref="AA4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4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33" t="str" cm="1">
        <f t="array" ref="AC433">_xlfn.IFS(Table2[[#This Row],[Satification_points]]&gt;=4.5,"GREAT",AND(Table2[[#This Row],[Satification_points]]&gt;=4,Table2[[#This Row],[Satification_points]]&lt;4.5),"GOOD",AND(Table2[[#This Row],[Satification_points]]&gt;=3,Table2[[#This Row],[Satification_points]]&lt;4),"AVERAGE",Table2[[#This Row],[Satification_points]]&lt;3,"POOR")</f>
        <v>POOR</v>
      </c>
    </row>
    <row r="434" spans="1:29" x14ac:dyDescent="0.3">
      <c r="A434">
        <v>433</v>
      </c>
      <c r="B434">
        <v>52773</v>
      </c>
      <c r="C434" t="s">
        <v>489</v>
      </c>
      <c r="D434" t="s">
        <v>34</v>
      </c>
      <c r="E434" t="s">
        <v>35</v>
      </c>
      <c r="F434" s="1">
        <v>45514</v>
      </c>
      <c r="G434" s="1">
        <v>45515</v>
      </c>
      <c r="H434">
        <v>5</v>
      </c>
      <c r="I434" t="s">
        <v>49</v>
      </c>
      <c r="J434" t="s">
        <v>40</v>
      </c>
      <c r="K434">
        <v>4</v>
      </c>
      <c r="L434">
        <v>3</v>
      </c>
      <c r="M434">
        <v>5</v>
      </c>
      <c r="N434">
        <v>3</v>
      </c>
      <c r="O434">
        <v>4</v>
      </c>
      <c r="P434">
        <v>5</v>
      </c>
      <c r="Q434">
        <v>4</v>
      </c>
      <c r="R434">
        <v>5</v>
      </c>
      <c r="S434">
        <v>3</v>
      </c>
      <c r="T434">
        <v>4</v>
      </c>
      <c r="U434" t="s">
        <v>37</v>
      </c>
      <c r="V434" t="s">
        <v>31</v>
      </c>
      <c r="W434" t="s">
        <v>55</v>
      </c>
      <c r="X434" t="s">
        <v>40</v>
      </c>
      <c r="Y434">
        <v>66</v>
      </c>
      <c r="Z434" s="1">
        <v>45515</v>
      </c>
      <c r="AA434" t="str" cm="1">
        <f t="array" ref="AA434">_xlfn.IFS(AND(Table2[[#This Row],[Guest_Age]]&gt;=18,Table2[[#This Row],[Guest_Age]]&lt;=25),"Young Adults",AND(Table2[[#This Row],[Guest_Age]]&gt;=26,Table2[[#This Row],[Guest_Age]]&lt;=35),"Adults",AND(Table2[[#This Row],[Guest_Age]]&gt;=36,Table2[[#This Row],[Guest_Age]]&lt;=50),"Middle Aged Adults",Table2[[#This Row],[Guest_Age]]&gt;50,"Senior")</f>
        <v>Senior</v>
      </c>
      <c r="AB4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434" t="str" cm="1">
        <f t="array" ref="AC434">_xlfn.IFS(Table2[[#This Row],[Satification_points]]&gt;=4.5,"GREAT",AND(Table2[[#This Row],[Satification_points]]&gt;=4,Table2[[#This Row],[Satification_points]]&lt;4.5),"GOOD",AND(Table2[[#This Row],[Satification_points]]&gt;=3,Table2[[#This Row],[Satification_points]]&lt;4),"AVERAGE",Table2[[#This Row],[Satification_points]]&lt;3,"POOR")</f>
        <v>GOOD</v>
      </c>
    </row>
    <row r="435" spans="1:29" x14ac:dyDescent="0.3">
      <c r="A435">
        <v>434</v>
      </c>
      <c r="B435">
        <v>11502</v>
      </c>
      <c r="C435" t="s">
        <v>490</v>
      </c>
      <c r="D435" t="s">
        <v>51</v>
      </c>
      <c r="E435" t="s">
        <v>52</v>
      </c>
      <c r="F435" s="1">
        <v>45579</v>
      </c>
      <c r="G435" s="1">
        <v>45582</v>
      </c>
      <c r="H435">
        <v>3</v>
      </c>
      <c r="I435" t="s">
        <v>50</v>
      </c>
      <c r="J435" t="s">
        <v>29</v>
      </c>
      <c r="K435">
        <v>5</v>
      </c>
      <c r="L435">
        <v>4</v>
      </c>
      <c r="M435">
        <v>1</v>
      </c>
      <c r="N435">
        <v>5</v>
      </c>
      <c r="O435">
        <v>4</v>
      </c>
      <c r="P435">
        <v>4</v>
      </c>
      <c r="Q435">
        <v>4</v>
      </c>
      <c r="R435">
        <v>5</v>
      </c>
      <c r="S435">
        <v>1</v>
      </c>
      <c r="T435">
        <v>1</v>
      </c>
      <c r="U435" t="s">
        <v>30</v>
      </c>
      <c r="V435" t="s">
        <v>31</v>
      </c>
      <c r="W435" t="s">
        <v>55</v>
      </c>
      <c r="X435" t="s">
        <v>33</v>
      </c>
      <c r="Y435">
        <v>34</v>
      </c>
      <c r="Z435" s="1">
        <v>45582</v>
      </c>
      <c r="AA435" t="str" cm="1">
        <f t="array" ref="AA435">_xlfn.IFS(AND(Table2[[#This Row],[Guest_Age]]&gt;=18,Table2[[#This Row],[Guest_Age]]&lt;=25),"Young Adults",AND(Table2[[#This Row],[Guest_Age]]&gt;=26,Table2[[#This Row],[Guest_Age]]&lt;=35),"Adults",AND(Table2[[#This Row],[Guest_Age]]&gt;=36,Table2[[#This Row],[Guest_Age]]&lt;=50),"Middle Aged Adults",Table2[[#This Row],[Guest_Age]]&gt;50,"Senior")</f>
        <v>Adults</v>
      </c>
      <c r="AB4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35" t="str" cm="1">
        <f t="array" ref="AC435">_xlfn.IFS(Table2[[#This Row],[Satification_points]]&gt;=4.5,"GREAT",AND(Table2[[#This Row],[Satification_points]]&gt;=4,Table2[[#This Row],[Satification_points]]&lt;4.5),"GOOD",AND(Table2[[#This Row],[Satification_points]]&gt;=3,Table2[[#This Row],[Satification_points]]&lt;4),"AVERAGE",Table2[[#This Row],[Satification_points]]&lt;3,"POOR")</f>
        <v>AVERAGE</v>
      </c>
    </row>
    <row r="436" spans="1:29" x14ac:dyDescent="0.3">
      <c r="A436">
        <v>435</v>
      </c>
      <c r="B436">
        <v>41117</v>
      </c>
      <c r="C436" t="s">
        <v>491</v>
      </c>
      <c r="D436" t="s">
        <v>34</v>
      </c>
      <c r="E436" t="s">
        <v>45</v>
      </c>
      <c r="F436" s="1">
        <v>45620</v>
      </c>
      <c r="G436" s="1">
        <v>45621</v>
      </c>
      <c r="H436">
        <v>14</v>
      </c>
      <c r="I436" t="s">
        <v>42</v>
      </c>
      <c r="J436" t="s">
        <v>29</v>
      </c>
      <c r="K436">
        <v>1</v>
      </c>
      <c r="L436">
        <v>3</v>
      </c>
      <c r="M436">
        <v>2</v>
      </c>
      <c r="N436">
        <v>2</v>
      </c>
      <c r="O436">
        <v>1</v>
      </c>
      <c r="P436">
        <v>5</v>
      </c>
      <c r="Q436">
        <v>2</v>
      </c>
      <c r="R436">
        <v>1</v>
      </c>
      <c r="S436">
        <v>4</v>
      </c>
      <c r="T436">
        <v>5</v>
      </c>
      <c r="U436" t="s">
        <v>30</v>
      </c>
      <c r="V436" t="s">
        <v>54</v>
      </c>
      <c r="W436" t="s">
        <v>55</v>
      </c>
      <c r="X436" t="s">
        <v>33</v>
      </c>
      <c r="Y436">
        <v>55</v>
      </c>
      <c r="Z436" s="1">
        <v>45621</v>
      </c>
      <c r="AA436" t="str" cm="1">
        <f t="array" ref="AA436">_xlfn.IFS(AND(Table2[[#This Row],[Guest_Age]]&gt;=18,Table2[[#This Row],[Guest_Age]]&lt;=25),"Young Adults",AND(Table2[[#This Row],[Guest_Age]]&gt;=26,Table2[[#This Row],[Guest_Age]]&lt;=35),"Adults",AND(Table2[[#This Row],[Guest_Age]]&gt;=36,Table2[[#This Row],[Guest_Age]]&lt;=50),"Middle Aged Adults",Table2[[#This Row],[Guest_Age]]&gt;50,"Senior")</f>
        <v>Senior</v>
      </c>
      <c r="AB4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36" t="str" cm="1">
        <f t="array" ref="AC436">_xlfn.IFS(Table2[[#This Row],[Satification_points]]&gt;=4.5,"GREAT",AND(Table2[[#This Row],[Satification_points]]&gt;=4,Table2[[#This Row],[Satification_points]]&lt;4.5),"GOOD",AND(Table2[[#This Row],[Satification_points]]&gt;=3,Table2[[#This Row],[Satification_points]]&lt;4),"AVERAGE",Table2[[#This Row],[Satification_points]]&lt;3,"POOR")</f>
        <v>POOR</v>
      </c>
    </row>
    <row r="437" spans="1:29" x14ac:dyDescent="0.3">
      <c r="A437">
        <v>436</v>
      </c>
      <c r="B437">
        <v>17042</v>
      </c>
      <c r="C437" t="s">
        <v>492</v>
      </c>
      <c r="D437" t="s">
        <v>26</v>
      </c>
      <c r="E437" t="s">
        <v>45</v>
      </c>
      <c r="F437" s="1">
        <v>45045</v>
      </c>
      <c r="G437" s="1">
        <v>45529</v>
      </c>
      <c r="H437">
        <v>8</v>
      </c>
      <c r="I437" t="s">
        <v>49</v>
      </c>
      <c r="J437" t="s">
        <v>36</v>
      </c>
      <c r="K437">
        <v>1</v>
      </c>
      <c r="L437">
        <v>4</v>
      </c>
      <c r="M437">
        <v>2</v>
      </c>
      <c r="N437">
        <v>4</v>
      </c>
      <c r="O437">
        <v>5</v>
      </c>
      <c r="P437">
        <v>3</v>
      </c>
      <c r="Q437">
        <v>3</v>
      </c>
      <c r="R437">
        <v>4</v>
      </c>
      <c r="S437">
        <v>2</v>
      </c>
      <c r="T437">
        <v>5</v>
      </c>
      <c r="U437" t="s">
        <v>37</v>
      </c>
      <c r="V437" t="s">
        <v>46</v>
      </c>
      <c r="W437" t="s">
        <v>32</v>
      </c>
      <c r="X437" t="s">
        <v>40</v>
      </c>
      <c r="Y437">
        <v>62</v>
      </c>
      <c r="Z437" s="1">
        <v>45529</v>
      </c>
      <c r="AA437" t="str" cm="1">
        <f t="array" ref="AA437">_xlfn.IFS(AND(Table2[[#This Row],[Guest_Age]]&gt;=18,Table2[[#This Row],[Guest_Age]]&lt;=25),"Young Adults",AND(Table2[[#This Row],[Guest_Age]]&gt;=26,Table2[[#This Row],[Guest_Age]]&lt;=35),"Adults",AND(Table2[[#This Row],[Guest_Age]]&gt;=36,Table2[[#This Row],[Guest_Age]]&lt;=50),"Middle Aged Adults",Table2[[#This Row],[Guest_Age]]&gt;50,"Senior")</f>
        <v>Senior</v>
      </c>
      <c r="AB4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37" t="str" cm="1">
        <f t="array" ref="AC437">_xlfn.IFS(Table2[[#This Row],[Satification_points]]&gt;=4.5,"GREAT",AND(Table2[[#This Row],[Satification_points]]&gt;=4,Table2[[#This Row],[Satification_points]]&lt;4.5),"GOOD",AND(Table2[[#This Row],[Satification_points]]&gt;=3,Table2[[#This Row],[Satification_points]]&lt;4),"AVERAGE",Table2[[#This Row],[Satification_points]]&lt;3,"POOR")</f>
        <v>AVERAGE</v>
      </c>
    </row>
    <row r="438" spans="1:29" x14ac:dyDescent="0.3">
      <c r="A438">
        <v>437</v>
      </c>
      <c r="B438">
        <v>40501</v>
      </c>
      <c r="C438" t="s">
        <v>493</v>
      </c>
      <c r="D438" t="s">
        <v>51</v>
      </c>
      <c r="E438" t="s">
        <v>35</v>
      </c>
      <c r="F438" s="1">
        <v>44966</v>
      </c>
      <c r="G438" s="1">
        <v>45195</v>
      </c>
      <c r="H438">
        <v>8</v>
      </c>
      <c r="I438" t="s">
        <v>28</v>
      </c>
      <c r="J438" t="s">
        <v>53</v>
      </c>
      <c r="K438">
        <v>2</v>
      </c>
      <c r="L438">
        <v>3</v>
      </c>
      <c r="M438">
        <v>2</v>
      </c>
      <c r="N438">
        <v>4</v>
      </c>
      <c r="O438">
        <v>4</v>
      </c>
      <c r="P438">
        <v>1</v>
      </c>
      <c r="Q438">
        <v>4</v>
      </c>
      <c r="R438">
        <v>1</v>
      </c>
      <c r="S438">
        <v>4</v>
      </c>
      <c r="T438">
        <v>1</v>
      </c>
      <c r="U438" t="s">
        <v>37</v>
      </c>
      <c r="V438" t="s">
        <v>31</v>
      </c>
      <c r="W438" t="s">
        <v>55</v>
      </c>
      <c r="X438" t="s">
        <v>40</v>
      </c>
      <c r="Y438">
        <v>41</v>
      </c>
      <c r="Z438" s="1">
        <v>45453</v>
      </c>
      <c r="AA438" t="str" cm="1">
        <f t="array" ref="AA4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4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38" t="str" cm="1">
        <f t="array" ref="AC438">_xlfn.IFS(Table2[[#This Row],[Satification_points]]&gt;=4.5,"GREAT",AND(Table2[[#This Row],[Satification_points]]&gt;=4,Table2[[#This Row],[Satification_points]]&lt;4.5),"GOOD",AND(Table2[[#This Row],[Satification_points]]&gt;=3,Table2[[#This Row],[Satification_points]]&lt;4),"AVERAGE",Table2[[#This Row],[Satification_points]]&lt;3,"POOR")</f>
        <v>POOR</v>
      </c>
    </row>
    <row r="439" spans="1:29" x14ac:dyDescent="0.3">
      <c r="A439">
        <v>438</v>
      </c>
      <c r="B439">
        <v>30244</v>
      </c>
      <c r="C439" t="s">
        <v>494</v>
      </c>
      <c r="D439" t="s">
        <v>41</v>
      </c>
      <c r="E439" t="s">
        <v>52</v>
      </c>
      <c r="F439" s="1">
        <v>45186</v>
      </c>
      <c r="G439" s="1">
        <v>45187</v>
      </c>
      <c r="H439">
        <v>2</v>
      </c>
      <c r="I439" t="s">
        <v>42</v>
      </c>
      <c r="J439" t="s">
        <v>36</v>
      </c>
      <c r="K439">
        <v>2</v>
      </c>
      <c r="L439">
        <v>1</v>
      </c>
      <c r="M439">
        <v>5</v>
      </c>
      <c r="N439">
        <v>4</v>
      </c>
      <c r="O439">
        <v>3</v>
      </c>
      <c r="P439">
        <v>3</v>
      </c>
      <c r="Q439">
        <v>5</v>
      </c>
      <c r="R439">
        <v>1</v>
      </c>
      <c r="S439">
        <v>5</v>
      </c>
      <c r="T439">
        <v>3</v>
      </c>
      <c r="U439" t="s">
        <v>37</v>
      </c>
      <c r="V439" t="s">
        <v>46</v>
      </c>
      <c r="W439" t="s">
        <v>47</v>
      </c>
      <c r="X439" t="s">
        <v>44</v>
      </c>
      <c r="Y439">
        <v>60</v>
      </c>
      <c r="Z439" s="1">
        <v>45332</v>
      </c>
      <c r="AA439" t="str" cm="1">
        <f t="array" ref="AA439">_xlfn.IFS(AND(Table2[[#This Row],[Guest_Age]]&gt;=18,Table2[[#This Row],[Guest_Age]]&lt;=25),"Young Adults",AND(Table2[[#This Row],[Guest_Age]]&gt;=26,Table2[[#This Row],[Guest_Age]]&lt;=35),"Adults",AND(Table2[[#This Row],[Guest_Age]]&gt;=36,Table2[[#This Row],[Guest_Age]]&lt;=50),"Middle Aged Adults",Table2[[#This Row],[Guest_Age]]&gt;50,"Senior")</f>
        <v>Senior</v>
      </c>
      <c r="AB4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39" t="str" cm="1">
        <f t="array" ref="AC439">_xlfn.IFS(Table2[[#This Row],[Satification_points]]&gt;=4.5,"GREAT",AND(Table2[[#This Row],[Satification_points]]&gt;=4,Table2[[#This Row],[Satification_points]]&lt;4.5),"GOOD",AND(Table2[[#This Row],[Satification_points]]&gt;=3,Table2[[#This Row],[Satification_points]]&lt;4),"AVERAGE",Table2[[#This Row],[Satification_points]]&lt;3,"POOR")</f>
        <v>AVERAGE</v>
      </c>
    </row>
    <row r="440" spans="1:29" x14ac:dyDescent="0.3">
      <c r="A440">
        <v>439</v>
      </c>
      <c r="B440">
        <v>34242</v>
      </c>
      <c r="C440" t="s">
        <v>495</v>
      </c>
      <c r="D440" t="s">
        <v>48</v>
      </c>
      <c r="E440" t="s">
        <v>45</v>
      </c>
      <c r="F440" s="1">
        <v>45567</v>
      </c>
      <c r="G440" s="1">
        <v>45568</v>
      </c>
      <c r="H440">
        <v>5</v>
      </c>
      <c r="I440" t="s">
        <v>28</v>
      </c>
      <c r="J440" t="s">
        <v>43</v>
      </c>
      <c r="K440">
        <v>3</v>
      </c>
      <c r="L440">
        <v>1</v>
      </c>
      <c r="M440">
        <v>3</v>
      </c>
      <c r="N440">
        <v>4</v>
      </c>
      <c r="O440">
        <v>5</v>
      </c>
      <c r="P440">
        <v>5</v>
      </c>
      <c r="Q440">
        <v>5</v>
      </c>
      <c r="R440">
        <v>1</v>
      </c>
      <c r="S440">
        <v>4</v>
      </c>
      <c r="T440">
        <v>4</v>
      </c>
      <c r="U440" t="s">
        <v>30</v>
      </c>
      <c r="V440" t="s">
        <v>46</v>
      </c>
      <c r="W440" t="s">
        <v>47</v>
      </c>
      <c r="X440" t="s">
        <v>44</v>
      </c>
      <c r="Y440">
        <v>36</v>
      </c>
      <c r="Z440" s="1">
        <v>45568</v>
      </c>
      <c r="AA440" t="str" cm="1">
        <f t="array" ref="AA4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4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440" t="str" cm="1">
        <f t="array" ref="AC440">_xlfn.IFS(Table2[[#This Row],[Satification_points]]&gt;=4.5,"GREAT",AND(Table2[[#This Row],[Satification_points]]&gt;=4,Table2[[#This Row],[Satification_points]]&lt;4.5),"GOOD",AND(Table2[[#This Row],[Satification_points]]&gt;=3,Table2[[#This Row],[Satification_points]]&lt;4),"AVERAGE",Table2[[#This Row],[Satification_points]]&lt;3,"POOR")</f>
        <v>AVERAGE</v>
      </c>
    </row>
    <row r="441" spans="1:29" x14ac:dyDescent="0.3">
      <c r="A441">
        <v>440</v>
      </c>
      <c r="B441">
        <v>66671</v>
      </c>
      <c r="C441" t="s">
        <v>496</v>
      </c>
      <c r="D441" t="s">
        <v>48</v>
      </c>
      <c r="E441" t="s">
        <v>52</v>
      </c>
      <c r="F441" s="1">
        <v>44932</v>
      </c>
      <c r="G441" s="1">
        <v>45372</v>
      </c>
      <c r="H441">
        <v>3</v>
      </c>
      <c r="I441" t="s">
        <v>28</v>
      </c>
      <c r="J441" t="s">
        <v>53</v>
      </c>
      <c r="K441">
        <v>1</v>
      </c>
      <c r="L441">
        <v>1</v>
      </c>
      <c r="M441">
        <v>5</v>
      </c>
      <c r="N441">
        <v>3</v>
      </c>
      <c r="O441">
        <v>2</v>
      </c>
      <c r="P441">
        <v>4</v>
      </c>
      <c r="Q441">
        <v>4</v>
      </c>
      <c r="R441">
        <v>5</v>
      </c>
      <c r="S441">
        <v>1</v>
      </c>
      <c r="T441">
        <v>3</v>
      </c>
      <c r="U441" t="s">
        <v>30</v>
      </c>
      <c r="V441" t="s">
        <v>58</v>
      </c>
      <c r="W441" t="s">
        <v>32</v>
      </c>
      <c r="X441" t="s">
        <v>33</v>
      </c>
      <c r="Y441">
        <v>59</v>
      </c>
      <c r="Z441" s="1">
        <v>45372</v>
      </c>
      <c r="AA441" t="str" cm="1">
        <f t="array" ref="AA441">_xlfn.IFS(AND(Table2[[#This Row],[Guest_Age]]&gt;=18,Table2[[#This Row],[Guest_Age]]&lt;=25),"Young Adults",AND(Table2[[#This Row],[Guest_Age]]&gt;=26,Table2[[#This Row],[Guest_Age]]&lt;=35),"Adults",AND(Table2[[#This Row],[Guest_Age]]&gt;=36,Table2[[#This Row],[Guest_Age]]&lt;=50),"Middle Aged Adults",Table2[[#This Row],[Guest_Age]]&gt;50,"Senior")</f>
        <v>Senior</v>
      </c>
      <c r="AB4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41" t="str" cm="1">
        <f t="array" ref="AC441">_xlfn.IFS(Table2[[#This Row],[Satification_points]]&gt;=4.5,"GREAT",AND(Table2[[#This Row],[Satification_points]]&gt;=4,Table2[[#This Row],[Satification_points]]&lt;4.5),"GOOD",AND(Table2[[#This Row],[Satification_points]]&gt;=3,Table2[[#This Row],[Satification_points]]&lt;4),"AVERAGE",Table2[[#This Row],[Satification_points]]&lt;3,"POOR")</f>
        <v>POOR</v>
      </c>
    </row>
    <row r="442" spans="1:29" x14ac:dyDescent="0.3">
      <c r="A442">
        <v>441</v>
      </c>
      <c r="B442">
        <v>94780</v>
      </c>
      <c r="C442" t="s">
        <v>497</v>
      </c>
      <c r="D442" t="s">
        <v>26</v>
      </c>
      <c r="E442" t="s">
        <v>35</v>
      </c>
      <c r="F442" s="1">
        <v>45237</v>
      </c>
      <c r="G442" s="1">
        <v>45238</v>
      </c>
      <c r="H442">
        <v>7</v>
      </c>
      <c r="I442" t="s">
        <v>49</v>
      </c>
      <c r="J442" t="s">
        <v>36</v>
      </c>
      <c r="K442">
        <v>3</v>
      </c>
      <c r="L442">
        <v>1</v>
      </c>
      <c r="M442">
        <v>2</v>
      </c>
      <c r="N442">
        <v>3</v>
      </c>
      <c r="O442">
        <v>1</v>
      </c>
      <c r="P442">
        <v>5</v>
      </c>
      <c r="Q442">
        <v>1</v>
      </c>
      <c r="R442">
        <v>5</v>
      </c>
      <c r="S442">
        <v>3</v>
      </c>
      <c r="T442">
        <v>2</v>
      </c>
      <c r="U442" t="s">
        <v>37</v>
      </c>
      <c r="V442" t="s">
        <v>38</v>
      </c>
      <c r="W442" t="s">
        <v>56</v>
      </c>
      <c r="X442" t="s">
        <v>33</v>
      </c>
      <c r="Y442">
        <v>44</v>
      </c>
      <c r="Z442" s="1">
        <v>45238</v>
      </c>
      <c r="AA442" t="str" cm="1">
        <f t="array" ref="AA4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42" t="str" cm="1">
        <f t="array" ref="AC442">_xlfn.IFS(Table2[[#This Row],[Satification_points]]&gt;=4.5,"GREAT",AND(Table2[[#This Row],[Satification_points]]&gt;=4,Table2[[#This Row],[Satification_points]]&lt;4.5),"GOOD",AND(Table2[[#This Row],[Satification_points]]&gt;=3,Table2[[#This Row],[Satification_points]]&lt;4),"AVERAGE",Table2[[#This Row],[Satification_points]]&lt;3,"POOR")</f>
        <v>POOR</v>
      </c>
    </row>
    <row r="443" spans="1:29" x14ac:dyDescent="0.3">
      <c r="A443">
        <v>442</v>
      </c>
      <c r="B443">
        <v>66235</v>
      </c>
      <c r="C443" t="s">
        <v>498</v>
      </c>
      <c r="D443" t="s">
        <v>26</v>
      </c>
      <c r="E443" t="s">
        <v>27</v>
      </c>
      <c r="F443" s="1">
        <v>44992</v>
      </c>
      <c r="G443" s="1">
        <v>45401</v>
      </c>
      <c r="H443">
        <v>2</v>
      </c>
      <c r="I443" t="s">
        <v>50</v>
      </c>
      <c r="J443" t="s">
        <v>36</v>
      </c>
      <c r="K443">
        <v>3</v>
      </c>
      <c r="L443">
        <v>2</v>
      </c>
      <c r="M443">
        <v>5</v>
      </c>
      <c r="N443">
        <v>5</v>
      </c>
      <c r="O443">
        <v>1</v>
      </c>
      <c r="P443">
        <v>2</v>
      </c>
      <c r="Q443">
        <v>2</v>
      </c>
      <c r="R443">
        <v>5</v>
      </c>
      <c r="S443">
        <v>3</v>
      </c>
      <c r="T443">
        <v>3</v>
      </c>
      <c r="U443" t="s">
        <v>30</v>
      </c>
      <c r="V443" t="s">
        <v>54</v>
      </c>
      <c r="W443" t="s">
        <v>56</v>
      </c>
      <c r="X443" t="s">
        <v>33</v>
      </c>
      <c r="Y443">
        <v>19</v>
      </c>
      <c r="Z443" s="1">
        <v>45401</v>
      </c>
      <c r="AA443" t="str" cm="1">
        <f t="array" ref="AA443">_xlfn.IFS(AND(Table2[[#This Row],[Guest_Age]]&gt;=18,Table2[[#This Row],[Guest_Age]]&lt;=25),"Young Adults",AND(Table2[[#This Row],[Guest_Age]]&gt;=26,Table2[[#This Row],[Guest_Age]]&lt;=35),"Adults",AND(Table2[[#This Row],[Guest_Age]]&gt;=36,Table2[[#This Row],[Guest_Age]]&lt;=50),"Middle Aged Adults",Table2[[#This Row],[Guest_Age]]&gt;50,"Senior")</f>
        <v>Young Adults</v>
      </c>
      <c r="AB4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43" t="str" cm="1">
        <f t="array" ref="AC443">_xlfn.IFS(Table2[[#This Row],[Satification_points]]&gt;=4.5,"GREAT",AND(Table2[[#This Row],[Satification_points]]&gt;=4,Table2[[#This Row],[Satification_points]]&lt;4.5),"GOOD",AND(Table2[[#This Row],[Satification_points]]&gt;=3,Table2[[#This Row],[Satification_points]]&lt;4),"AVERAGE",Table2[[#This Row],[Satification_points]]&lt;3,"POOR")</f>
        <v>AVERAGE</v>
      </c>
    </row>
    <row r="444" spans="1:29" x14ac:dyDescent="0.3">
      <c r="A444">
        <v>443</v>
      </c>
      <c r="B444">
        <v>40766</v>
      </c>
      <c r="C444" t="s">
        <v>499</v>
      </c>
      <c r="D444" t="s">
        <v>48</v>
      </c>
      <c r="E444" t="s">
        <v>45</v>
      </c>
      <c r="F444" s="1">
        <v>45300</v>
      </c>
      <c r="G444" s="1">
        <v>45301</v>
      </c>
      <c r="H444">
        <v>9</v>
      </c>
      <c r="I444" t="s">
        <v>49</v>
      </c>
      <c r="J444" t="s">
        <v>53</v>
      </c>
      <c r="K444">
        <v>4</v>
      </c>
      <c r="L444">
        <v>5</v>
      </c>
      <c r="M444">
        <v>4</v>
      </c>
      <c r="N444">
        <v>2</v>
      </c>
      <c r="O444">
        <v>3</v>
      </c>
      <c r="P444">
        <v>5</v>
      </c>
      <c r="Q444">
        <v>1</v>
      </c>
      <c r="R444">
        <v>5</v>
      </c>
      <c r="S444">
        <v>5</v>
      </c>
      <c r="T444">
        <v>2</v>
      </c>
      <c r="U444" t="s">
        <v>30</v>
      </c>
      <c r="V444" t="s">
        <v>38</v>
      </c>
      <c r="W444" t="s">
        <v>47</v>
      </c>
      <c r="X444" t="s">
        <v>40</v>
      </c>
      <c r="Y444">
        <v>69</v>
      </c>
      <c r="Z444" s="1">
        <v>45413</v>
      </c>
      <c r="AA444" t="str" cm="1">
        <f t="array" ref="AA444">_xlfn.IFS(AND(Table2[[#This Row],[Guest_Age]]&gt;=18,Table2[[#This Row],[Guest_Age]]&lt;=25),"Young Adults",AND(Table2[[#This Row],[Guest_Age]]&gt;=26,Table2[[#This Row],[Guest_Age]]&lt;=35),"Adults",AND(Table2[[#This Row],[Guest_Age]]&gt;=36,Table2[[#This Row],[Guest_Age]]&lt;=50),"Middle Aged Adults",Table2[[#This Row],[Guest_Age]]&gt;50,"Senior")</f>
        <v>Senior</v>
      </c>
      <c r="AB4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444" t="str" cm="1">
        <f t="array" ref="AC444">_xlfn.IFS(Table2[[#This Row],[Satification_points]]&gt;=4.5,"GREAT",AND(Table2[[#This Row],[Satification_points]]&gt;=4,Table2[[#This Row],[Satification_points]]&lt;4.5),"GOOD",AND(Table2[[#This Row],[Satification_points]]&gt;=3,Table2[[#This Row],[Satification_points]]&lt;4),"AVERAGE",Table2[[#This Row],[Satification_points]]&lt;3,"POOR")</f>
        <v>AVERAGE</v>
      </c>
    </row>
    <row r="445" spans="1:29" x14ac:dyDescent="0.3">
      <c r="A445">
        <v>444</v>
      </c>
      <c r="B445">
        <v>68552</v>
      </c>
      <c r="C445" t="s">
        <v>500</v>
      </c>
      <c r="D445" t="s">
        <v>51</v>
      </c>
      <c r="E445" t="s">
        <v>52</v>
      </c>
      <c r="F445" s="1">
        <v>45657</v>
      </c>
      <c r="G445" s="1">
        <v>45658</v>
      </c>
      <c r="H445">
        <v>2</v>
      </c>
      <c r="I445" t="s">
        <v>50</v>
      </c>
      <c r="J445" t="s">
        <v>29</v>
      </c>
      <c r="K445">
        <v>2</v>
      </c>
      <c r="L445">
        <v>1</v>
      </c>
      <c r="M445">
        <v>4</v>
      </c>
      <c r="N445">
        <v>2</v>
      </c>
      <c r="O445">
        <v>3</v>
      </c>
      <c r="P445">
        <v>5</v>
      </c>
      <c r="Q445">
        <v>2</v>
      </c>
      <c r="R445">
        <v>2</v>
      </c>
      <c r="S445">
        <v>1</v>
      </c>
      <c r="T445">
        <v>1</v>
      </c>
      <c r="U445" t="s">
        <v>30</v>
      </c>
      <c r="V445" t="s">
        <v>46</v>
      </c>
      <c r="W445" t="s">
        <v>32</v>
      </c>
      <c r="X445" t="s">
        <v>33</v>
      </c>
      <c r="Y445">
        <v>25</v>
      </c>
      <c r="Z445" s="1">
        <v>45658</v>
      </c>
      <c r="AA445" t="str" cm="1">
        <f t="array" ref="AA445">_xlfn.IFS(AND(Table2[[#This Row],[Guest_Age]]&gt;=18,Table2[[#This Row],[Guest_Age]]&lt;=25),"Young Adults",AND(Table2[[#This Row],[Guest_Age]]&gt;=26,Table2[[#This Row],[Guest_Age]]&lt;=35),"Adults",AND(Table2[[#This Row],[Guest_Age]]&gt;=36,Table2[[#This Row],[Guest_Age]]&lt;=50),"Middle Aged Adults",Table2[[#This Row],[Guest_Age]]&gt;50,"Senior")</f>
        <v>Young Adults</v>
      </c>
      <c r="AB4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445" t="str" cm="1">
        <f t="array" ref="AC445">_xlfn.IFS(Table2[[#This Row],[Satification_points]]&gt;=4.5,"GREAT",AND(Table2[[#This Row],[Satification_points]]&gt;=4,Table2[[#This Row],[Satification_points]]&lt;4.5),"GOOD",AND(Table2[[#This Row],[Satification_points]]&gt;=3,Table2[[#This Row],[Satification_points]]&lt;4),"AVERAGE",Table2[[#This Row],[Satification_points]]&lt;3,"POOR")</f>
        <v>POOR</v>
      </c>
    </row>
    <row r="446" spans="1:29" x14ac:dyDescent="0.3">
      <c r="A446">
        <v>445</v>
      </c>
      <c r="B446">
        <v>15012</v>
      </c>
      <c r="C446" t="s">
        <v>501</v>
      </c>
      <c r="D446" t="s">
        <v>51</v>
      </c>
      <c r="E446" t="s">
        <v>27</v>
      </c>
      <c r="F446" s="1">
        <v>45072</v>
      </c>
      <c r="G446" s="1">
        <v>45658</v>
      </c>
      <c r="H446">
        <v>11</v>
      </c>
      <c r="I446" t="s">
        <v>49</v>
      </c>
      <c r="J446" t="s">
        <v>43</v>
      </c>
      <c r="K446">
        <v>3</v>
      </c>
      <c r="L446">
        <v>2</v>
      </c>
      <c r="M446">
        <v>3</v>
      </c>
      <c r="N446">
        <v>3</v>
      </c>
      <c r="O446">
        <v>2</v>
      </c>
      <c r="P446">
        <v>5</v>
      </c>
      <c r="Q446">
        <v>4</v>
      </c>
      <c r="R446">
        <v>3</v>
      </c>
      <c r="S446">
        <v>3</v>
      </c>
      <c r="T446">
        <v>2</v>
      </c>
      <c r="U446" t="s">
        <v>37</v>
      </c>
      <c r="V446" t="s">
        <v>46</v>
      </c>
      <c r="W446" t="s">
        <v>47</v>
      </c>
      <c r="X446" t="s">
        <v>40</v>
      </c>
      <c r="Y446">
        <v>32</v>
      </c>
      <c r="Z446" s="1">
        <v>45658</v>
      </c>
      <c r="AA446" t="str" cm="1">
        <f t="array" ref="AA446">_xlfn.IFS(AND(Table2[[#This Row],[Guest_Age]]&gt;=18,Table2[[#This Row],[Guest_Age]]&lt;=25),"Young Adults",AND(Table2[[#This Row],[Guest_Age]]&gt;=26,Table2[[#This Row],[Guest_Age]]&lt;=35),"Adults",AND(Table2[[#This Row],[Guest_Age]]&gt;=36,Table2[[#This Row],[Guest_Age]]&lt;=50),"Middle Aged Adults",Table2[[#This Row],[Guest_Age]]&gt;50,"Senior")</f>
        <v>Adults</v>
      </c>
      <c r="AB4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46" t="str" cm="1">
        <f t="array" ref="AC446">_xlfn.IFS(Table2[[#This Row],[Satification_points]]&gt;=4.5,"GREAT",AND(Table2[[#This Row],[Satification_points]]&gt;=4,Table2[[#This Row],[Satification_points]]&lt;4.5),"GOOD",AND(Table2[[#This Row],[Satification_points]]&gt;=3,Table2[[#This Row],[Satification_points]]&lt;4),"AVERAGE",Table2[[#This Row],[Satification_points]]&lt;3,"POOR")</f>
        <v>AVERAGE</v>
      </c>
    </row>
    <row r="447" spans="1:29" x14ac:dyDescent="0.3">
      <c r="A447">
        <v>446</v>
      </c>
      <c r="B447">
        <v>32146</v>
      </c>
      <c r="C447" t="s">
        <v>502</v>
      </c>
      <c r="D447" t="s">
        <v>34</v>
      </c>
      <c r="E447" t="s">
        <v>35</v>
      </c>
      <c r="F447" s="1">
        <v>45160</v>
      </c>
      <c r="G447" s="1">
        <v>45412</v>
      </c>
      <c r="H447">
        <v>2</v>
      </c>
      <c r="I447" t="s">
        <v>49</v>
      </c>
      <c r="J447" t="s">
        <v>40</v>
      </c>
      <c r="K447">
        <v>4</v>
      </c>
      <c r="L447">
        <v>4</v>
      </c>
      <c r="M447">
        <v>5</v>
      </c>
      <c r="N447">
        <v>5</v>
      </c>
      <c r="O447">
        <v>2</v>
      </c>
      <c r="P447">
        <v>5</v>
      </c>
      <c r="Q447">
        <v>1</v>
      </c>
      <c r="R447">
        <v>2</v>
      </c>
      <c r="S447">
        <v>2</v>
      </c>
      <c r="T447">
        <v>5</v>
      </c>
      <c r="U447" t="s">
        <v>30</v>
      </c>
      <c r="V447" t="s">
        <v>54</v>
      </c>
      <c r="W447" t="s">
        <v>55</v>
      </c>
      <c r="X447" t="s">
        <v>40</v>
      </c>
      <c r="Y447">
        <v>58</v>
      </c>
      <c r="Z447" s="1">
        <v>45412</v>
      </c>
      <c r="AA447" t="str" cm="1">
        <f t="array" ref="AA447">_xlfn.IFS(AND(Table2[[#This Row],[Guest_Age]]&gt;=18,Table2[[#This Row],[Guest_Age]]&lt;=25),"Young Adults",AND(Table2[[#This Row],[Guest_Age]]&gt;=26,Table2[[#This Row],[Guest_Age]]&lt;=35),"Adults",AND(Table2[[#This Row],[Guest_Age]]&gt;=36,Table2[[#This Row],[Guest_Age]]&lt;=50),"Middle Aged Adults",Table2[[#This Row],[Guest_Age]]&gt;50,"Senior")</f>
        <v>Senior</v>
      </c>
      <c r="AB4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447" t="str" cm="1">
        <f t="array" ref="AC447">_xlfn.IFS(Table2[[#This Row],[Satification_points]]&gt;=4.5,"GREAT",AND(Table2[[#This Row],[Satification_points]]&gt;=4,Table2[[#This Row],[Satification_points]]&lt;4.5),"GOOD",AND(Table2[[#This Row],[Satification_points]]&gt;=3,Table2[[#This Row],[Satification_points]]&lt;4),"AVERAGE",Table2[[#This Row],[Satification_points]]&lt;3,"POOR")</f>
        <v>AVERAGE</v>
      </c>
    </row>
    <row r="448" spans="1:29" x14ac:dyDescent="0.3">
      <c r="A448">
        <v>447</v>
      </c>
      <c r="B448">
        <v>44907</v>
      </c>
      <c r="C448" t="s">
        <v>503</v>
      </c>
      <c r="D448" t="s">
        <v>41</v>
      </c>
      <c r="E448" t="s">
        <v>57</v>
      </c>
      <c r="F448" s="1">
        <v>44955</v>
      </c>
      <c r="G448" s="1">
        <v>45015</v>
      </c>
      <c r="H448">
        <v>6</v>
      </c>
      <c r="I448" t="s">
        <v>42</v>
      </c>
      <c r="J448" t="s">
        <v>40</v>
      </c>
      <c r="K448">
        <v>4</v>
      </c>
      <c r="L448">
        <v>3</v>
      </c>
      <c r="M448">
        <v>5</v>
      </c>
      <c r="N448">
        <v>1</v>
      </c>
      <c r="O448">
        <v>4</v>
      </c>
      <c r="P448">
        <v>4</v>
      </c>
      <c r="Q448">
        <v>4</v>
      </c>
      <c r="R448">
        <v>3</v>
      </c>
      <c r="S448">
        <v>4</v>
      </c>
      <c r="T448">
        <v>2</v>
      </c>
      <c r="U448" t="s">
        <v>30</v>
      </c>
      <c r="V448" t="s">
        <v>38</v>
      </c>
      <c r="W448" t="s">
        <v>55</v>
      </c>
      <c r="X448" t="s">
        <v>33</v>
      </c>
      <c r="Y448">
        <v>30</v>
      </c>
      <c r="Z448" s="1">
        <v>45189</v>
      </c>
      <c r="AA448" t="str" cm="1">
        <f t="array" ref="AA448">_xlfn.IFS(AND(Table2[[#This Row],[Guest_Age]]&gt;=18,Table2[[#This Row],[Guest_Age]]&lt;=25),"Young Adults",AND(Table2[[#This Row],[Guest_Age]]&gt;=26,Table2[[#This Row],[Guest_Age]]&lt;=35),"Adults",AND(Table2[[#This Row],[Guest_Age]]&gt;=36,Table2[[#This Row],[Guest_Age]]&lt;=50),"Middle Aged Adults",Table2[[#This Row],[Guest_Age]]&gt;50,"Senior")</f>
        <v>Adults</v>
      </c>
      <c r="AB4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48" t="str" cm="1">
        <f t="array" ref="AC448">_xlfn.IFS(Table2[[#This Row],[Satification_points]]&gt;=4.5,"GREAT",AND(Table2[[#This Row],[Satification_points]]&gt;=4,Table2[[#This Row],[Satification_points]]&lt;4.5),"GOOD",AND(Table2[[#This Row],[Satification_points]]&gt;=3,Table2[[#This Row],[Satification_points]]&lt;4),"AVERAGE",Table2[[#This Row],[Satification_points]]&lt;3,"POOR")</f>
        <v>AVERAGE</v>
      </c>
    </row>
    <row r="449" spans="1:29" x14ac:dyDescent="0.3">
      <c r="A449">
        <v>448</v>
      </c>
      <c r="B449">
        <v>75161</v>
      </c>
      <c r="C449" t="s">
        <v>504</v>
      </c>
      <c r="D449" t="s">
        <v>51</v>
      </c>
      <c r="E449" t="s">
        <v>45</v>
      </c>
      <c r="F449" s="1">
        <v>45599</v>
      </c>
      <c r="G449" s="1">
        <v>45600</v>
      </c>
      <c r="H449">
        <v>3</v>
      </c>
      <c r="I449" t="s">
        <v>50</v>
      </c>
      <c r="J449" t="s">
        <v>40</v>
      </c>
      <c r="K449">
        <v>2</v>
      </c>
      <c r="L449">
        <v>3</v>
      </c>
      <c r="M449">
        <v>4</v>
      </c>
      <c r="N449">
        <v>4</v>
      </c>
      <c r="O449">
        <v>5</v>
      </c>
      <c r="P449">
        <v>1</v>
      </c>
      <c r="Q449">
        <v>2</v>
      </c>
      <c r="R449">
        <v>5</v>
      </c>
      <c r="S449">
        <v>5</v>
      </c>
      <c r="T449">
        <v>5</v>
      </c>
      <c r="U449" t="s">
        <v>37</v>
      </c>
      <c r="V449" t="s">
        <v>58</v>
      </c>
      <c r="W449" t="s">
        <v>47</v>
      </c>
      <c r="X449" t="s">
        <v>40</v>
      </c>
      <c r="Y449">
        <v>44</v>
      </c>
      <c r="Z449" s="1">
        <v>45600</v>
      </c>
      <c r="AA449" t="str" cm="1">
        <f t="array" ref="AA449">_xlfn.IFS(AND(Table2[[#This Row],[Guest_Age]]&gt;=18,Table2[[#This Row],[Guest_Age]]&lt;=25),"Young Adults",AND(Table2[[#This Row],[Guest_Age]]&gt;=26,Table2[[#This Row],[Guest_Age]]&lt;=35),"Adults",AND(Table2[[#This Row],[Guest_Age]]&gt;=36,Table2[[#This Row],[Guest_Age]]&lt;=50),"Middle Aged Adults",Table2[[#This Row],[Guest_Age]]&gt;50,"Senior")</f>
        <v>Middle Aged Adults</v>
      </c>
      <c r="AB4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449" t="str" cm="1">
        <f t="array" ref="AC449">_xlfn.IFS(Table2[[#This Row],[Satification_points]]&gt;=4.5,"GREAT",AND(Table2[[#This Row],[Satification_points]]&gt;=4,Table2[[#This Row],[Satification_points]]&lt;4.5),"GOOD",AND(Table2[[#This Row],[Satification_points]]&gt;=3,Table2[[#This Row],[Satification_points]]&lt;4),"AVERAGE",Table2[[#This Row],[Satification_points]]&lt;3,"POOR")</f>
        <v>AVERAGE</v>
      </c>
    </row>
    <row r="450" spans="1:29" x14ac:dyDescent="0.3">
      <c r="A450">
        <v>449</v>
      </c>
      <c r="B450">
        <v>67900</v>
      </c>
      <c r="C450" t="s">
        <v>505</v>
      </c>
      <c r="D450" t="s">
        <v>41</v>
      </c>
      <c r="E450" t="s">
        <v>45</v>
      </c>
      <c r="F450" s="1">
        <v>45569</v>
      </c>
      <c r="G450" s="1">
        <v>45570</v>
      </c>
      <c r="H450">
        <v>3</v>
      </c>
      <c r="I450" t="s">
        <v>28</v>
      </c>
      <c r="J450" t="s">
        <v>43</v>
      </c>
      <c r="K450">
        <v>2</v>
      </c>
      <c r="L450">
        <v>2</v>
      </c>
      <c r="M450">
        <v>2</v>
      </c>
      <c r="N450">
        <v>2</v>
      </c>
      <c r="O450">
        <v>1</v>
      </c>
      <c r="P450">
        <v>4</v>
      </c>
      <c r="Q450">
        <v>5</v>
      </c>
      <c r="R450">
        <v>2</v>
      </c>
      <c r="S450">
        <v>2</v>
      </c>
      <c r="T450">
        <v>5</v>
      </c>
      <c r="U450" t="s">
        <v>37</v>
      </c>
      <c r="V450" t="s">
        <v>38</v>
      </c>
      <c r="W450" t="s">
        <v>55</v>
      </c>
      <c r="X450" t="s">
        <v>40</v>
      </c>
      <c r="Y450">
        <v>39</v>
      </c>
      <c r="Z450" s="1">
        <v>45570</v>
      </c>
      <c r="AA450" t="str" cm="1">
        <f t="array" ref="AA4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4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50" t="str" cm="1">
        <f t="array" ref="AC450">_xlfn.IFS(Table2[[#This Row],[Satification_points]]&gt;=4.5,"GREAT",AND(Table2[[#This Row],[Satification_points]]&gt;=4,Table2[[#This Row],[Satification_points]]&lt;4.5),"GOOD",AND(Table2[[#This Row],[Satification_points]]&gt;=3,Table2[[#This Row],[Satification_points]]&lt;4),"AVERAGE",Table2[[#This Row],[Satification_points]]&lt;3,"POOR")</f>
        <v>POOR</v>
      </c>
    </row>
    <row r="451" spans="1:29" x14ac:dyDescent="0.3">
      <c r="A451">
        <v>450</v>
      </c>
      <c r="B451">
        <v>65270</v>
      </c>
      <c r="C451" t="s">
        <v>506</v>
      </c>
      <c r="D451" t="s">
        <v>26</v>
      </c>
      <c r="E451" t="s">
        <v>52</v>
      </c>
      <c r="F451" s="1">
        <v>45586</v>
      </c>
      <c r="G451" s="1">
        <v>45587</v>
      </c>
      <c r="H451">
        <v>10</v>
      </c>
      <c r="I451" t="s">
        <v>50</v>
      </c>
      <c r="J451" t="s">
        <v>53</v>
      </c>
      <c r="K451">
        <v>1</v>
      </c>
      <c r="L451">
        <v>3</v>
      </c>
      <c r="M451">
        <v>1</v>
      </c>
      <c r="N451">
        <v>4</v>
      </c>
      <c r="O451">
        <v>4</v>
      </c>
      <c r="P451">
        <v>3</v>
      </c>
      <c r="Q451">
        <v>1</v>
      </c>
      <c r="R451">
        <v>3</v>
      </c>
      <c r="S451">
        <v>5</v>
      </c>
      <c r="T451">
        <v>3</v>
      </c>
      <c r="U451" t="s">
        <v>37</v>
      </c>
      <c r="V451" t="s">
        <v>31</v>
      </c>
      <c r="W451" t="s">
        <v>39</v>
      </c>
      <c r="X451" t="s">
        <v>33</v>
      </c>
      <c r="Y451">
        <v>64</v>
      </c>
      <c r="Z451" s="1">
        <v>45587</v>
      </c>
      <c r="AA451" t="str" cm="1">
        <f t="array" ref="AA451">_xlfn.IFS(AND(Table2[[#This Row],[Guest_Age]]&gt;=18,Table2[[#This Row],[Guest_Age]]&lt;=25),"Young Adults",AND(Table2[[#This Row],[Guest_Age]]&gt;=26,Table2[[#This Row],[Guest_Age]]&lt;=35),"Adults",AND(Table2[[#This Row],[Guest_Age]]&gt;=36,Table2[[#This Row],[Guest_Age]]&lt;=50),"Middle Aged Adults",Table2[[#This Row],[Guest_Age]]&gt;50,"Senior")</f>
        <v>Senior</v>
      </c>
      <c r="AB4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51" t="str" cm="1">
        <f t="array" ref="AC451">_xlfn.IFS(Table2[[#This Row],[Satification_points]]&gt;=4.5,"GREAT",AND(Table2[[#This Row],[Satification_points]]&gt;=4,Table2[[#This Row],[Satification_points]]&lt;4.5),"GOOD",AND(Table2[[#This Row],[Satification_points]]&gt;=3,Table2[[#This Row],[Satification_points]]&lt;4),"AVERAGE",Table2[[#This Row],[Satification_points]]&lt;3,"POOR")</f>
        <v>POOR</v>
      </c>
    </row>
    <row r="452" spans="1:29" x14ac:dyDescent="0.3">
      <c r="A452">
        <v>451</v>
      </c>
      <c r="B452">
        <v>23960</v>
      </c>
      <c r="C452" t="s">
        <v>507</v>
      </c>
      <c r="D452" t="s">
        <v>51</v>
      </c>
      <c r="E452" t="s">
        <v>35</v>
      </c>
      <c r="F452" s="1">
        <v>45520</v>
      </c>
      <c r="G452" s="1">
        <v>45521</v>
      </c>
      <c r="H452">
        <v>2</v>
      </c>
      <c r="I452" t="s">
        <v>50</v>
      </c>
      <c r="J452" t="s">
        <v>53</v>
      </c>
      <c r="K452">
        <v>3</v>
      </c>
      <c r="L452">
        <v>1</v>
      </c>
      <c r="M452">
        <v>2</v>
      </c>
      <c r="N452">
        <v>2</v>
      </c>
      <c r="O452">
        <v>2</v>
      </c>
      <c r="P452">
        <v>2</v>
      </c>
      <c r="Q452">
        <v>4</v>
      </c>
      <c r="R452">
        <v>4</v>
      </c>
      <c r="S452">
        <v>1</v>
      </c>
      <c r="T452">
        <v>4</v>
      </c>
      <c r="U452" t="s">
        <v>37</v>
      </c>
      <c r="V452" t="s">
        <v>38</v>
      </c>
      <c r="W452" t="s">
        <v>39</v>
      </c>
      <c r="X452" t="s">
        <v>33</v>
      </c>
      <c r="Y452">
        <v>64</v>
      </c>
      <c r="Z452" s="1">
        <v>45521</v>
      </c>
      <c r="AA452" t="str" cm="1">
        <f t="array" ref="AA452">_xlfn.IFS(AND(Table2[[#This Row],[Guest_Age]]&gt;=18,Table2[[#This Row],[Guest_Age]]&lt;=25),"Young Adults",AND(Table2[[#This Row],[Guest_Age]]&gt;=26,Table2[[#This Row],[Guest_Age]]&lt;=35),"Adults",AND(Table2[[#This Row],[Guest_Age]]&gt;=36,Table2[[#This Row],[Guest_Age]]&lt;=50),"Middle Aged Adults",Table2[[#This Row],[Guest_Age]]&gt;50,"Senior")</f>
        <v>Senior</v>
      </c>
      <c r="AB4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452" t="str" cm="1">
        <f t="array" ref="AC452">_xlfn.IFS(Table2[[#This Row],[Satification_points]]&gt;=4.5,"GREAT",AND(Table2[[#This Row],[Satification_points]]&gt;=4,Table2[[#This Row],[Satification_points]]&lt;4.5),"GOOD",AND(Table2[[#This Row],[Satification_points]]&gt;=3,Table2[[#This Row],[Satification_points]]&lt;4),"AVERAGE",Table2[[#This Row],[Satification_points]]&lt;3,"POOR")</f>
        <v>POOR</v>
      </c>
    </row>
    <row r="453" spans="1:29" x14ac:dyDescent="0.3">
      <c r="A453">
        <v>452</v>
      </c>
      <c r="B453">
        <v>71030</v>
      </c>
      <c r="C453" t="s">
        <v>508</v>
      </c>
      <c r="D453" t="s">
        <v>51</v>
      </c>
      <c r="E453" t="s">
        <v>35</v>
      </c>
      <c r="F453" s="1">
        <v>45396</v>
      </c>
      <c r="G453" s="1">
        <v>45397</v>
      </c>
      <c r="H453">
        <v>14</v>
      </c>
      <c r="I453" t="s">
        <v>49</v>
      </c>
      <c r="J453" t="s">
        <v>53</v>
      </c>
      <c r="K453">
        <v>4</v>
      </c>
      <c r="L453">
        <v>3</v>
      </c>
      <c r="M453">
        <v>3</v>
      </c>
      <c r="N453">
        <v>1</v>
      </c>
      <c r="O453">
        <v>3</v>
      </c>
      <c r="P453">
        <v>1</v>
      </c>
      <c r="Q453">
        <v>2</v>
      </c>
      <c r="R453">
        <v>1</v>
      </c>
      <c r="S453">
        <v>5</v>
      </c>
      <c r="T453">
        <v>3</v>
      </c>
      <c r="U453" t="s">
        <v>37</v>
      </c>
      <c r="V453" t="s">
        <v>46</v>
      </c>
      <c r="W453" t="s">
        <v>39</v>
      </c>
      <c r="X453" t="s">
        <v>33</v>
      </c>
      <c r="Y453">
        <v>18</v>
      </c>
      <c r="Z453" s="1">
        <v>45397</v>
      </c>
      <c r="AA453" t="str" cm="1">
        <f t="array" ref="AA453">_xlfn.IFS(AND(Table2[[#This Row],[Guest_Age]]&gt;=18,Table2[[#This Row],[Guest_Age]]&lt;=25),"Young Adults",AND(Table2[[#This Row],[Guest_Age]]&gt;=26,Table2[[#This Row],[Guest_Age]]&lt;=35),"Adults",AND(Table2[[#This Row],[Guest_Age]]&gt;=36,Table2[[#This Row],[Guest_Age]]&lt;=50),"Middle Aged Adults",Table2[[#This Row],[Guest_Age]]&gt;50,"Senior")</f>
        <v>Young Adults</v>
      </c>
      <c r="AB4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53" t="str" cm="1">
        <f t="array" ref="AC453">_xlfn.IFS(Table2[[#This Row],[Satification_points]]&gt;=4.5,"GREAT",AND(Table2[[#This Row],[Satification_points]]&gt;=4,Table2[[#This Row],[Satification_points]]&lt;4.5),"GOOD",AND(Table2[[#This Row],[Satification_points]]&gt;=3,Table2[[#This Row],[Satification_points]]&lt;4),"AVERAGE",Table2[[#This Row],[Satification_points]]&lt;3,"POOR")</f>
        <v>POOR</v>
      </c>
    </row>
    <row r="454" spans="1:29" x14ac:dyDescent="0.3">
      <c r="A454">
        <v>453</v>
      </c>
      <c r="B454">
        <v>46512</v>
      </c>
      <c r="C454" t="s">
        <v>509</v>
      </c>
      <c r="D454" t="s">
        <v>51</v>
      </c>
      <c r="E454" t="s">
        <v>45</v>
      </c>
      <c r="F454" s="1">
        <v>45287</v>
      </c>
      <c r="G454" s="1">
        <v>45614</v>
      </c>
      <c r="H454">
        <v>13</v>
      </c>
      <c r="I454" t="s">
        <v>28</v>
      </c>
      <c r="J454" t="s">
        <v>40</v>
      </c>
      <c r="K454">
        <v>1</v>
      </c>
      <c r="L454">
        <v>1</v>
      </c>
      <c r="M454">
        <v>1</v>
      </c>
      <c r="N454">
        <v>2</v>
      </c>
      <c r="O454">
        <v>4</v>
      </c>
      <c r="P454">
        <v>2</v>
      </c>
      <c r="Q454">
        <v>5</v>
      </c>
      <c r="R454">
        <v>3</v>
      </c>
      <c r="S454">
        <v>3</v>
      </c>
      <c r="T454">
        <v>3</v>
      </c>
      <c r="U454" t="s">
        <v>30</v>
      </c>
      <c r="V454" t="s">
        <v>54</v>
      </c>
      <c r="W454" t="s">
        <v>56</v>
      </c>
      <c r="X454" t="s">
        <v>33</v>
      </c>
      <c r="Y454">
        <v>22</v>
      </c>
      <c r="Z454" s="1">
        <v>45614</v>
      </c>
      <c r="AA454" t="str" cm="1">
        <f t="array" ref="AA454">_xlfn.IFS(AND(Table2[[#This Row],[Guest_Age]]&gt;=18,Table2[[#This Row],[Guest_Age]]&lt;=25),"Young Adults",AND(Table2[[#This Row],[Guest_Age]]&gt;=26,Table2[[#This Row],[Guest_Age]]&lt;=35),"Adults",AND(Table2[[#This Row],[Guest_Age]]&gt;=36,Table2[[#This Row],[Guest_Age]]&lt;=50),"Middle Aged Adults",Table2[[#This Row],[Guest_Age]]&gt;50,"Senior")</f>
        <v>Young Adults</v>
      </c>
      <c r="AB4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454" t="str" cm="1">
        <f t="array" ref="AC454">_xlfn.IFS(Table2[[#This Row],[Satification_points]]&gt;=4.5,"GREAT",AND(Table2[[#This Row],[Satification_points]]&gt;=4,Table2[[#This Row],[Satification_points]]&lt;4.5),"GOOD",AND(Table2[[#This Row],[Satification_points]]&gt;=3,Table2[[#This Row],[Satification_points]]&lt;4),"AVERAGE",Table2[[#This Row],[Satification_points]]&lt;3,"POOR")</f>
        <v>POOR</v>
      </c>
    </row>
    <row r="455" spans="1:29" x14ac:dyDescent="0.3">
      <c r="A455">
        <v>454</v>
      </c>
      <c r="B455">
        <v>30005</v>
      </c>
      <c r="C455" t="s">
        <v>510</v>
      </c>
      <c r="D455" t="s">
        <v>34</v>
      </c>
      <c r="E455" t="s">
        <v>45</v>
      </c>
      <c r="F455" s="1">
        <v>45521</v>
      </c>
      <c r="G455" s="1">
        <v>45522</v>
      </c>
      <c r="H455">
        <v>5</v>
      </c>
      <c r="I455" t="s">
        <v>42</v>
      </c>
      <c r="J455" t="s">
        <v>29</v>
      </c>
      <c r="K455">
        <v>3</v>
      </c>
      <c r="L455">
        <v>1</v>
      </c>
      <c r="M455">
        <v>2</v>
      </c>
      <c r="N455">
        <v>1</v>
      </c>
      <c r="O455">
        <v>3</v>
      </c>
      <c r="P455">
        <v>2</v>
      </c>
      <c r="Q455">
        <v>1</v>
      </c>
      <c r="R455">
        <v>2</v>
      </c>
      <c r="S455">
        <v>1</v>
      </c>
      <c r="T455">
        <v>5</v>
      </c>
      <c r="U455" t="s">
        <v>30</v>
      </c>
      <c r="V455" t="s">
        <v>31</v>
      </c>
      <c r="W455" t="s">
        <v>56</v>
      </c>
      <c r="X455" t="s">
        <v>44</v>
      </c>
      <c r="Y455">
        <v>46</v>
      </c>
      <c r="Z455" s="1">
        <v>45522</v>
      </c>
      <c r="AA455" t="str" cm="1">
        <f t="array" ref="AA455">_xlfn.IFS(AND(Table2[[#This Row],[Guest_Age]]&gt;=18,Table2[[#This Row],[Guest_Age]]&lt;=25),"Young Adults",AND(Table2[[#This Row],[Guest_Age]]&gt;=26,Table2[[#This Row],[Guest_Age]]&lt;=35),"Adults",AND(Table2[[#This Row],[Guest_Age]]&gt;=36,Table2[[#This Row],[Guest_Age]]&lt;=50),"Middle Aged Adults",Table2[[#This Row],[Guest_Age]]&gt;50,"Senior")</f>
        <v>Middle Aged Adults</v>
      </c>
      <c r="AB4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455" t="str" cm="1">
        <f t="array" ref="AC455">_xlfn.IFS(Table2[[#This Row],[Satification_points]]&gt;=4.5,"GREAT",AND(Table2[[#This Row],[Satification_points]]&gt;=4,Table2[[#This Row],[Satification_points]]&lt;4.5),"GOOD",AND(Table2[[#This Row],[Satification_points]]&gt;=3,Table2[[#This Row],[Satification_points]]&lt;4),"AVERAGE",Table2[[#This Row],[Satification_points]]&lt;3,"POOR")</f>
        <v>POOR</v>
      </c>
    </row>
    <row r="456" spans="1:29" x14ac:dyDescent="0.3">
      <c r="A456">
        <v>455</v>
      </c>
      <c r="B456">
        <v>74056</v>
      </c>
      <c r="C456" t="s">
        <v>511</v>
      </c>
      <c r="D456" t="s">
        <v>26</v>
      </c>
      <c r="E456" t="s">
        <v>52</v>
      </c>
      <c r="F456" s="1">
        <v>45511</v>
      </c>
      <c r="G456" s="1">
        <v>45512</v>
      </c>
      <c r="H456">
        <v>12</v>
      </c>
      <c r="I456" t="s">
        <v>49</v>
      </c>
      <c r="J456" t="s">
        <v>36</v>
      </c>
      <c r="K456">
        <v>3</v>
      </c>
      <c r="L456">
        <v>3</v>
      </c>
      <c r="M456">
        <v>5</v>
      </c>
      <c r="N456">
        <v>2</v>
      </c>
      <c r="O456">
        <v>5</v>
      </c>
      <c r="P456">
        <v>1</v>
      </c>
      <c r="Q456">
        <v>2</v>
      </c>
      <c r="R456">
        <v>2</v>
      </c>
      <c r="S456">
        <v>5</v>
      </c>
      <c r="T456">
        <v>4</v>
      </c>
      <c r="U456" t="s">
        <v>30</v>
      </c>
      <c r="V456" t="s">
        <v>46</v>
      </c>
      <c r="W456" t="s">
        <v>32</v>
      </c>
      <c r="X456" t="s">
        <v>44</v>
      </c>
      <c r="Y456">
        <v>32</v>
      </c>
      <c r="Z456" s="1">
        <v>45512</v>
      </c>
      <c r="AA456" t="str" cm="1">
        <f t="array" ref="AA456">_xlfn.IFS(AND(Table2[[#This Row],[Guest_Age]]&gt;=18,Table2[[#This Row],[Guest_Age]]&lt;=25),"Young Adults",AND(Table2[[#This Row],[Guest_Age]]&gt;=26,Table2[[#This Row],[Guest_Age]]&lt;=35),"Adults",AND(Table2[[#This Row],[Guest_Age]]&gt;=36,Table2[[#This Row],[Guest_Age]]&lt;=50),"Middle Aged Adults",Table2[[#This Row],[Guest_Age]]&gt;50,"Senior")</f>
        <v>Adults</v>
      </c>
      <c r="AB4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56" t="str" cm="1">
        <f t="array" ref="AC456">_xlfn.IFS(Table2[[#This Row],[Satification_points]]&gt;=4.5,"GREAT",AND(Table2[[#This Row],[Satification_points]]&gt;=4,Table2[[#This Row],[Satification_points]]&lt;4.5),"GOOD",AND(Table2[[#This Row],[Satification_points]]&gt;=3,Table2[[#This Row],[Satification_points]]&lt;4),"AVERAGE",Table2[[#This Row],[Satification_points]]&lt;3,"POOR")</f>
        <v>AVERAGE</v>
      </c>
    </row>
    <row r="457" spans="1:29" x14ac:dyDescent="0.3">
      <c r="A457">
        <v>456</v>
      </c>
      <c r="B457">
        <v>23472</v>
      </c>
      <c r="C457" t="s">
        <v>512</v>
      </c>
      <c r="D457" t="s">
        <v>48</v>
      </c>
      <c r="E457" t="s">
        <v>52</v>
      </c>
      <c r="F457" s="1">
        <v>45281</v>
      </c>
      <c r="G457" s="1">
        <v>45526</v>
      </c>
      <c r="H457">
        <v>11</v>
      </c>
      <c r="I457" t="s">
        <v>42</v>
      </c>
      <c r="J457" t="s">
        <v>40</v>
      </c>
      <c r="K457">
        <v>1</v>
      </c>
      <c r="L457">
        <v>2</v>
      </c>
      <c r="M457">
        <v>5</v>
      </c>
      <c r="N457">
        <v>3</v>
      </c>
      <c r="O457">
        <v>3</v>
      </c>
      <c r="P457">
        <v>1</v>
      </c>
      <c r="Q457">
        <v>1</v>
      </c>
      <c r="R457">
        <v>4</v>
      </c>
      <c r="S457">
        <v>2</v>
      </c>
      <c r="T457">
        <v>5</v>
      </c>
      <c r="U457" t="s">
        <v>37</v>
      </c>
      <c r="V457" t="s">
        <v>38</v>
      </c>
      <c r="W457" t="s">
        <v>56</v>
      </c>
      <c r="X457" t="s">
        <v>44</v>
      </c>
      <c r="Y457">
        <v>47</v>
      </c>
      <c r="Z457" s="1">
        <v>45526</v>
      </c>
      <c r="AA457" t="str" cm="1">
        <f t="array" ref="AA4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57" t="str" cm="1">
        <f t="array" ref="AC457">_xlfn.IFS(Table2[[#This Row],[Satification_points]]&gt;=4.5,"GREAT",AND(Table2[[#This Row],[Satification_points]]&gt;=4,Table2[[#This Row],[Satification_points]]&lt;4.5),"GOOD",AND(Table2[[#This Row],[Satification_points]]&gt;=3,Table2[[#This Row],[Satification_points]]&lt;4),"AVERAGE",Table2[[#This Row],[Satification_points]]&lt;3,"POOR")</f>
        <v>POOR</v>
      </c>
    </row>
    <row r="458" spans="1:29" x14ac:dyDescent="0.3">
      <c r="A458">
        <v>457</v>
      </c>
      <c r="B458">
        <v>73663</v>
      </c>
      <c r="C458" t="s">
        <v>513</v>
      </c>
      <c r="D458" t="s">
        <v>34</v>
      </c>
      <c r="E458" t="s">
        <v>57</v>
      </c>
      <c r="F458" s="1">
        <v>45652</v>
      </c>
      <c r="G458" s="1">
        <v>45653</v>
      </c>
      <c r="H458">
        <v>5</v>
      </c>
      <c r="I458" t="s">
        <v>42</v>
      </c>
      <c r="J458" t="s">
        <v>43</v>
      </c>
      <c r="K458">
        <v>4</v>
      </c>
      <c r="L458">
        <v>4</v>
      </c>
      <c r="M458">
        <v>4</v>
      </c>
      <c r="N458">
        <v>4</v>
      </c>
      <c r="O458">
        <v>1</v>
      </c>
      <c r="P458">
        <v>3</v>
      </c>
      <c r="Q458">
        <v>1</v>
      </c>
      <c r="R458">
        <v>3</v>
      </c>
      <c r="S458">
        <v>1</v>
      </c>
      <c r="T458">
        <v>4</v>
      </c>
      <c r="U458" t="s">
        <v>30</v>
      </c>
      <c r="V458" t="s">
        <v>54</v>
      </c>
      <c r="W458" t="s">
        <v>47</v>
      </c>
      <c r="X458" t="s">
        <v>33</v>
      </c>
      <c r="Y458">
        <v>63</v>
      </c>
      <c r="Z458" s="1">
        <v>45653</v>
      </c>
      <c r="AA458" t="str" cm="1">
        <f t="array" ref="AA458">_xlfn.IFS(AND(Table2[[#This Row],[Guest_Age]]&gt;=18,Table2[[#This Row],[Guest_Age]]&lt;=25),"Young Adults",AND(Table2[[#This Row],[Guest_Age]]&gt;=26,Table2[[#This Row],[Guest_Age]]&lt;=35),"Adults",AND(Table2[[#This Row],[Guest_Age]]&gt;=36,Table2[[#This Row],[Guest_Age]]&lt;=50),"Middle Aged Adults",Table2[[#This Row],[Guest_Age]]&gt;50,"Senior")</f>
        <v>Senior</v>
      </c>
      <c r="AB4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58" t="str" cm="1">
        <f t="array" ref="AC458">_xlfn.IFS(Table2[[#This Row],[Satification_points]]&gt;=4.5,"GREAT",AND(Table2[[#This Row],[Satification_points]]&gt;=4,Table2[[#This Row],[Satification_points]]&lt;4.5),"GOOD",AND(Table2[[#This Row],[Satification_points]]&gt;=3,Table2[[#This Row],[Satification_points]]&lt;4),"AVERAGE",Table2[[#This Row],[Satification_points]]&lt;3,"POOR")</f>
        <v>POOR</v>
      </c>
    </row>
    <row r="459" spans="1:29" x14ac:dyDescent="0.3">
      <c r="A459">
        <v>458</v>
      </c>
      <c r="B459">
        <v>68316</v>
      </c>
      <c r="C459" t="s">
        <v>514</v>
      </c>
      <c r="D459" t="s">
        <v>34</v>
      </c>
      <c r="E459" t="s">
        <v>27</v>
      </c>
      <c r="F459" s="1">
        <v>44952</v>
      </c>
      <c r="G459" s="1">
        <v>45508</v>
      </c>
      <c r="H459">
        <v>7</v>
      </c>
      <c r="I459" t="s">
        <v>50</v>
      </c>
      <c r="J459" t="s">
        <v>53</v>
      </c>
      <c r="K459">
        <v>1</v>
      </c>
      <c r="L459">
        <v>2</v>
      </c>
      <c r="M459">
        <v>5</v>
      </c>
      <c r="N459">
        <v>5</v>
      </c>
      <c r="O459">
        <v>5</v>
      </c>
      <c r="P459">
        <v>4</v>
      </c>
      <c r="Q459">
        <v>3</v>
      </c>
      <c r="R459">
        <v>1</v>
      </c>
      <c r="S459">
        <v>1</v>
      </c>
      <c r="T459">
        <v>2</v>
      </c>
      <c r="U459" t="s">
        <v>37</v>
      </c>
      <c r="V459" t="s">
        <v>31</v>
      </c>
      <c r="W459" t="s">
        <v>32</v>
      </c>
      <c r="X459" t="s">
        <v>44</v>
      </c>
      <c r="Y459">
        <v>23</v>
      </c>
      <c r="Z459" s="1">
        <v>45508</v>
      </c>
      <c r="AA459" t="str" cm="1">
        <f t="array" ref="AA459">_xlfn.IFS(AND(Table2[[#This Row],[Guest_Age]]&gt;=18,Table2[[#This Row],[Guest_Age]]&lt;=25),"Young Adults",AND(Table2[[#This Row],[Guest_Age]]&gt;=26,Table2[[#This Row],[Guest_Age]]&lt;=35),"Adults",AND(Table2[[#This Row],[Guest_Age]]&gt;=36,Table2[[#This Row],[Guest_Age]]&lt;=50),"Middle Aged Adults",Table2[[#This Row],[Guest_Age]]&gt;50,"Senior")</f>
        <v>Young Adults</v>
      </c>
      <c r="AB4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59" t="str" cm="1">
        <f t="array" ref="AC459">_xlfn.IFS(Table2[[#This Row],[Satification_points]]&gt;=4.5,"GREAT",AND(Table2[[#This Row],[Satification_points]]&gt;=4,Table2[[#This Row],[Satification_points]]&lt;4.5),"GOOD",AND(Table2[[#This Row],[Satification_points]]&gt;=3,Table2[[#This Row],[Satification_points]]&lt;4),"AVERAGE",Table2[[#This Row],[Satification_points]]&lt;3,"POOR")</f>
        <v>POOR</v>
      </c>
    </row>
    <row r="460" spans="1:29" x14ac:dyDescent="0.3">
      <c r="A460">
        <v>459</v>
      </c>
      <c r="B460">
        <v>79443</v>
      </c>
      <c r="C460" t="s">
        <v>515</v>
      </c>
      <c r="D460" t="s">
        <v>51</v>
      </c>
      <c r="E460" t="s">
        <v>52</v>
      </c>
      <c r="F460" s="1">
        <v>45216</v>
      </c>
      <c r="G460" s="1">
        <v>45217</v>
      </c>
      <c r="H460">
        <v>8</v>
      </c>
      <c r="I460" t="s">
        <v>28</v>
      </c>
      <c r="J460" t="s">
        <v>36</v>
      </c>
      <c r="K460">
        <v>3</v>
      </c>
      <c r="L460">
        <v>5</v>
      </c>
      <c r="M460">
        <v>5</v>
      </c>
      <c r="N460">
        <v>5</v>
      </c>
      <c r="O460">
        <v>3</v>
      </c>
      <c r="P460">
        <v>1</v>
      </c>
      <c r="Q460">
        <v>4</v>
      </c>
      <c r="R460">
        <v>2</v>
      </c>
      <c r="S460">
        <v>5</v>
      </c>
      <c r="T460">
        <v>5</v>
      </c>
      <c r="U460" t="s">
        <v>37</v>
      </c>
      <c r="V460" t="s">
        <v>38</v>
      </c>
      <c r="W460" t="s">
        <v>32</v>
      </c>
      <c r="X460" t="s">
        <v>33</v>
      </c>
      <c r="Y460">
        <v>23</v>
      </c>
      <c r="Z460" s="1">
        <v>45655</v>
      </c>
      <c r="AA460" t="str" cm="1">
        <f t="array" ref="AA460">_xlfn.IFS(AND(Table2[[#This Row],[Guest_Age]]&gt;=18,Table2[[#This Row],[Guest_Age]]&lt;=25),"Young Adults",AND(Table2[[#This Row],[Guest_Age]]&gt;=26,Table2[[#This Row],[Guest_Age]]&lt;=35),"Adults",AND(Table2[[#This Row],[Guest_Age]]&gt;=36,Table2[[#This Row],[Guest_Age]]&lt;=50),"Middle Aged Adults",Table2[[#This Row],[Guest_Age]]&gt;50,"Senior")</f>
        <v>Young Adults</v>
      </c>
      <c r="AB4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460" t="str" cm="1">
        <f t="array" ref="AC460">_xlfn.IFS(Table2[[#This Row],[Satification_points]]&gt;=4.5,"GREAT",AND(Table2[[#This Row],[Satification_points]]&gt;=4,Table2[[#This Row],[Satification_points]]&lt;4.5),"GOOD",AND(Table2[[#This Row],[Satification_points]]&gt;=3,Table2[[#This Row],[Satification_points]]&lt;4),"AVERAGE",Table2[[#This Row],[Satification_points]]&lt;3,"POOR")</f>
        <v>AVERAGE</v>
      </c>
    </row>
    <row r="461" spans="1:29" x14ac:dyDescent="0.3">
      <c r="A461">
        <v>460</v>
      </c>
      <c r="B461">
        <v>88761</v>
      </c>
      <c r="C461" t="s">
        <v>516</v>
      </c>
      <c r="D461" t="s">
        <v>34</v>
      </c>
      <c r="E461" t="s">
        <v>27</v>
      </c>
      <c r="F461" s="1">
        <v>44997</v>
      </c>
      <c r="G461" s="1">
        <v>45150</v>
      </c>
      <c r="H461">
        <v>8</v>
      </c>
      <c r="I461" t="s">
        <v>50</v>
      </c>
      <c r="J461" t="s">
        <v>53</v>
      </c>
      <c r="K461">
        <v>1</v>
      </c>
      <c r="L461">
        <v>5</v>
      </c>
      <c r="M461">
        <v>3</v>
      </c>
      <c r="N461">
        <v>2</v>
      </c>
      <c r="O461">
        <v>4</v>
      </c>
      <c r="P461">
        <v>3</v>
      </c>
      <c r="Q461">
        <v>3</v>
      </c>
      <c r="R461">
        <v>5</v>
      </c>
      <c r="S461">
        <v>5</v>
      </c>
      <c r="T461">
        <v>3</v>
      </c>
      <c r="U461" t="s">
        <v>30</v>
      </c>
      <c r="V461" t="s">
        <v>31</v>
      </c>
      <c r="W461" t="s">
        <v>47</v>
      </c>
      <c r="X461" t="s">
        <v>44</v>
      </c>
      <c r="Y461">
        <v>40</v>
      </c>
      <c r="Z461" s="1">
        <v>45579</v>
      </c>
      <c r="AA461" t="str" cm="1">
        <f t="array" ref="AA4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4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61" t="str" cm="1">
        <f t="array" ref="AC461">_xlfn.IFS(Table2[[#This Row],[Satification_points]]&gt;=4.5,"GREAT",AND(Table2[[#This Row],[Satification_points]]&gt;=4,Table2[[#This Row],[Satification_points]]&lt;4.5),"GOOD",AND(Table2[[#This Row],[Satification_points]]&gt;=3,Table2[[#This Row],[Satification_points]]&lt;4),"AVERAGE",Table2[[#This Row],[Satification_points]]&lt;3,"POOR")</f>
        <v>AVERAGE</v>
      </c>
    </row>
    <row r="462" spans="1:29" x14ac:dyDescent="0.3">
      <c r="A462">
        <v>461</v>
      </c>
      <c r="B462">
        <v>99667</v>
      </c>
      <c r="C462" t="s">
        <v>517</v>
      </c>
      <c r="D462" t="s">
        <v>48</v>
      </c>
      <c r="E462" t="s">
        <v>45</v>
      </c>
      <c r="F462" s="1">
        <v>45615</v>
      </c>
      <c r="G462" s="1">
        <v>45616</v>
      </c>
      <c r="H462">
        <v>12</v>
      </c>
      <c r="I462" t="s">
        <v>28</v>
      </c>
      <c r="J462" t="s">
        <v>53</v>
      </c>
      <c r="K462">
        <v>1</v>
      </c>
      <c r="L462">
        <v>1</v>
      </c>
      <c r="M462">
        <v>1</v>
      </c>
      <c r="N462">
        <v>5</v>
      </c>
      <c r="O462">
        <v>1</v>
      </c>
      <c r="P462">
        <v>5</v>
      </c>
      <c r="Q462">
        <v>1</v>
      </c>
      <c r="R462">
        <v>5</v>
      </c>
      <c r="S462">
        <v>1</v>
      </c>
      <c r="T462">
        <v>5</v>
      </c>
      <c r="U462" t="s">
        <v>37</v>
      </c>
      <c r="V462" t="s">
        <v>58</v>
      </c>
      <c r="W462" t="s">
        <v>39</v>
      </c>
      <c r="X462" t="s">
        <v>40</v>
      </c>
      <c r="Y462">
        <v>69</v>
      </c>
      <c r="Z462" s="1">
        <v>45616</v>
      </c>
      <c r="AA462" t="str" cm="1">
        <f t="array" ref="AA462">_xlfn.IFS(AND(Table2[[#This Row],[Guest_Age]]&gt;=18,Table2[[#This Row],[Guest_Age]]&lt;=25),"Young Adults",AND(Table2[[#This Row],[Guest_Age]]&gt;=26,Table2[[#This Row],[Guest_Age]]&lt;=35),"Adults",AND(Table2[[#This Row],[Guest_Age]]&gt;=36,Table2[[#This Row],[Guest_Age]]&lt;=50),"Middle Aged Adults",Table2[[#This Row],[Guest_Age]]&gt;50,"Senior")</f>
        <v>Senior</v>
      </c>
      <c r="AB4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62" t="str" cm="1">
        <f t="array" ref="AC462">_xlfn.IFS(Table2[[#This Row],[Satification_points]]&gt;=4.5,"GREAT",AND(Table2[[#This Row],[Satification_points]]&gt;=4,Table2[[#This Row],[Satification_points]]&lt;4.5),"GOOD",AND(Table2[[#This Row],[Satification_points]]&gt;=3,Table2[[#This Row],[Satification_points]]&lt;4),"AVERAGE",Table2[[#This Row],[Satification_points]]&lt;3,"POOR")</f>
        <v>POOR</v>
      </c>
    </row>
    <row r="463" spans="1:29" x14ac:dyDescent="0.3">
      <c r="A463">
        <v>462</v>
      </c>
      <c r="B463">
        <v>21603</v>
      </c>
      <c r="C463" t="s">
        <v>518</v>
      </c>
      <c r="D463" t="s">
        <v>34</v>
      </c>
      <c r="E463" t="s">
        <v>57</v>
      </c>
      <c r="F463" s="1">
        <v>45015</v>
      </c>
      <c r="G463" s="1">
        <v>45212</v>
      </c>
      <c r="H463">
        <v>14</v>
      </c>
      <c r="I463" t="s">
        <v>42</v>
      </c>
      <c r="J463" t="s">
        <v>53</v>
      </c>
      <c r="K463">
        <v>3</v>
      </c>
      <c r="L463">
        <v>1</v>
      </c>
      <c r="M463">
        <v>2</v>
      </c>
      <c r="N463">
        <v>4</v>
      </c>
      <c r="O463">
        <v>1</v>
      </c>
      <c r="P463">
        <v>1</v>
      </c>
      <c r="Q463">
        <v>2</v>
      </c>
      <c r="R463">
        <v>3</v>
      </c>
      <c r="S463">
        <v>4</v>
      </c>
      <c r="T463">
        <v>1</v>
      </c>
      <c r="U463" t="s">
        <v>30</v>
      </c>
      <c r="V463" t="s">
        <v>58</v>
      </c>
      <c r="W463" t="s">
        <v>56</v>
      </c>
      <c r="X463" t="s">
        <v>33</v>
      </c>
      <c r="Y463">
        <v>22</v>
      </c>
      <c r="Z463" s="1">
        <v>45212</v>
      </c>
      <c r="AA463" t="str" cm="1">
        <f t="array" ref="AA463">_xlfn.IFS(AND(Table2[[#This Row],[Guest_Age]]&gt;=18,Table2[[#This Row],[Guest_Age]]&lt;=25),"Young Adults",AND(Table2[[#This Row],[Guest_Age]]&gt;=26,Table2[[#This Row],[Guest_Age]]&lt;=35),"Adults",AND(Table2[[#This Row],[Guest_Age]]&gt;=36,Table2[[#This Row],[Guest_Age]]&lt;=50),"Middle Aged Adults",Table2[[#This Row],[Guest_Age]]&gt;50,"Senior")</f>
        <v>Young Adults</v>
      </c>
      <c r="AB4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463" t="str" cm="1">
        <f t="array" ref="AC463">_xlfn.IFS(Table2[[#This Row],[Satification_points]]&gt;=4.5,"GREAT",AND(Table2[[#This Row],[Satification_points]]&gt;=4,Table2[[#This Row],[Satification_points]]&lt;4.5),"GOOD",AND(Table2[[#This Row],[Satification_points]]&gt;=3,Table2[[#This Row],[Satification_points]]&lt;4),"AVERAGE",Table2[[#This Row],[Satification_points]]&lt;3,"POOR")</f>
        <v>POOR</v>
      </c>
    </row>
    <row r="464" spans="1:29" x14ac:dyDescent="0.3">
      <c r="A464">
        <v>463</v>
      </c>
      <c r="B464">
        <v>52251</v>
      </c>
      <c r="C464" t="s">
        <v>519</v>
      </c>
      <c r="D464" t="s">
        <v>34</v>
      </c>
      <c r="E464" t="s">
        <v>57</v>
      </c>
      <c r="F464" s="1">
        <v>45103</v>
      </c>
      <c r="G464" s="1">
        <v>45104</v>
      </c>
      <c r="H464">
        <v>3</v>
      </c>
      <c r="I464" t="s">
        <v>50</v>
      </c>
      <c r="J464" t="s">
        <v>29</v>
      </c>
      <c r="K464">
        <v>2</v>
      </c>
      <c r="L464">
        <v>2</v>
      </c>
      <c r="M464">
        <v>2</v>
      </c>
      <c r="N464">
        <v>3</v>
      </c>
      <c r="O464">
        <v>2</v>
      </c>
      <c r="P464">
        <v>4</v>
      </c>
      <c r="Q464">
        <v>4</v>
      </c>
      <c r="R464">
        <v>4</v>
      </c>
      <c r="S464">
        <v>4</v>
      </c>
      <c r="T464">
        <v>1</v>
      </c>
      <c r="U464" t="s">
        <v>30</v>
      </c>
      <c r="V464" t="s">
        <v>54</v>
      </c>
      <c r="W464" t="s">
        <v>32</v>
      </c>
      <c r="X464" t="s">
        <v>44</v>
      </c>
      <c r="Y464">
        <v>39</v>
      </c>
      <c r="Z464" s="1">
        <v>45104</v>
      </c>
      <c r="AA464" t="str" cm="1">
        <f t="array" ref="AA4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4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64" t="str" cm="1">
        <f t="array" ref="AC464">_xlfn.IFS(Table2[[#This Row],[Satification_points]]&gt;=4.5,"GREAT",AND(Table2[[#This Row],[Satification_points]]&gt;=4,Table2[[#This Row],[Satification_points]]&lt;4.5),"GOOD",AND(Table2[[#This Row],[Satification_points]]&gt;=3,Table2[[#This Row],[Satification_points]]&lt;4),"AVERAGE",Table2[[#This Row],[Satification_points]]&lt;3,"POOR")</f>
        <v>POOR</v>
      </c>
    </row>
    <row r="465" spans="1:29" x14ac:dyDescent="0.3">
      <c r="A465">
        <v>464</v>
      </c>
      <c r="B465">
        <v>10163</v>
      </c>
      <c r="C465" t="s">
        <v>520</v>
      </c>
      <c r="D465" t="s">
        <v>51</v>
      </c>
      <c r="E465" t="s">
        <v>57</v>
      </c>
      <c r="F465" s="1">
        <v>44953</v>
      </c>
      <c r="G465" s="1">
        <v>45660</v>
      </c>
      <c r="H465">
        <v>6</v>
      </c>
      <c r="I465" t="s">
        <v>42</v>
      </c>
      <c r="J465" t="s">
        <v>36</v>
      </c>
      <c r="K465">
        <v>4</v>
      </c>
      <c r="L465">
        <v>2</v>
      </c>
      <c r="M465">
        <v>3</v>
      </c>
      <c r="N465">
        <v>3</v>
      </c>
      <c r="O465">
        <v>2</v>
      </c>
      <c r="P465">
        <v>5</v>
      </c>
      <c r="Q465">
        <v>2</v>
      </c>
      <c r="R465">
        <v>1</v>
      </c>
      <c r="S465">
        <v>3</v>
      </c>
      <c r="T465">
        <v>1</v>
      </c>
      <c r="U465" t="s">
        <v>30</v>
      </c>
      <c r="V465" t="s">
        <v>58</v>
      </c>
      <c r="W465" t="s">
        <v>39</v>
      </c>
      <c r="X465" t="s">
        <v>44</v>
      </c>
      <c r="Y465">
        <v>58</v>
      </c>
      <c r="Z465" s="1">
        <v>45660</v>
      </c>
      <c r="AA465" t="str" cm="1">
        <f t="array" ref="AA465">_xlfn.IFS(AND(Table2[[#This Row],[Guest_Age]]&gt;=18,Table2[[#This Row],[Guest_Age]]&lt;=25),"Young Adults",AND(Table2[[#This Row],[Guest_Age]]&gt;=26,Table2[[#This Row],[Guest_Age]]&lt;=35),"Adults",AND(Table2[[#This Row],[Guest_Age]]&gt;=36,Table2[[#This Row],[Guest_Age]]&lt;=50),"Middle Aged Adults",Table2[[#This Row],[Guest_Age]]&gt;50,"Senior")</f>
        <v>Senior</v>
      </c>
      <c r="AB4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465" t="str" cm="1">
        <f t="array" ref="AC465">_xlfn.IFS(Table2[[#This Row],[Satification_points]]&gt;=4.5,"GREAT",AND(Table2[[#This Row],[Satification_points]]&gt;=4,Table2[[#This Row],[Satification_points]]&lt;4.5),"GOOD",AND(Table2[[#This Row],[Satification_points]]&gt;=3,Table2[[#This Row],[Satification_points]]&lt;4),"AVERAGE",Table2[[#This Row],[Satification_points]]&lt;3,"POOR")</f>
        <v>POOR</v>
      </c>
    </row>
    <row r="466" spans="1:29" x14ac:dyDescent="0.3">
      <c r="A466">
        <v>465</v>
      </c>
      <c r="B466">
        <v>78998</v>
      </c>
      <c r="C466" t="s">
        <v>521</v>
      </c>
      <c r="D466" t="s">
        <v>26</v>
      </c>
      <c r="E466" t="s">
        <v>35</v>
      </c>
      <c r="F466" s="1">
        <v>45215</v>
      </c>
      <c r="G466" s="1">
        <v>45368</v>
      </c>
      <c r="H466">
        <v>12</v>
      </c>
      <c r="I466" t="s">
        <v>49</v>
      </c>
      <c r="J466" t="s">
        <v>40</v>
      </c>
      <c r="K466">
        <v>3</v>
      </c>
      <c r="L466">
        <v>1</v>
      </c>
      <c r="M466">
        <v>1</v>
      </c>
      <c r="N466">
        <v>1</v>
      </c>
      <c r="O466">
        <v>4</v>
      </c>
      <c r="P466">
        <v>5</v>
      </c>
      <c r="Q466">
        <v>2</v>
      </c>
      <c r="R466">
        <v>3</v>
      </c>
      <c r="S466">
        <v>1</v>
      </c>
      <c r="T466">
        <v>3</v>
      </c>
      <c r="U466" t="s">
        <v>30</v>
      </c>
      <c r="V466" t="s">
        <v>46</v>
      </c>
      <c r="W466" t="s">
        <v>55</v>
      </c>
      <c r="X466" t="s">
        <v>33</v>
      </c>
      <c r="Y466">
        <v>37</v>
      </c>
      <c r="Z466" s="1">
        <v>45368</v>
      </c>
      <c r="AA466" t="str" cm="1">
        <f t="array" ref="AA4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4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66" t="str" cm="1">
        <f t="array" ref="AC466">_xlfn.IFS(Table2[[#This Row],[Satification_points]]&gt;=4.5,"GREAT",AND(Table2[[#This Row],[Satification_points]]&gt;=4,Table2[[#This Row],[Satification_points]]&lt;4.5),"GOOD",AND(Table2[[#This Row],[Satification_points]]&gt;=3,Table2[[#This Row],[Satification_points]]&lt;4),"AVERAGE",Table2[[#This Row],[Satification_points]]&lt;3,"POOR")</f>
        <v>POOR</v>
      </c>
    </row>
    <row r="467" spans="1:29" x14ac:dyDescent="0.3">
      <c r="A467">
        <v>466</v>
      </c>
      <c r="B467">
        <v>20287</v>
      </c>
      <c r="C467" t="s">
        <v>522</v>
      </c>
      <c r="D467" t="s">
        <v>48</v>
      </c>
      <c r="E467" t="s">
        <v>45</v>
      </c>
      <c r="F467" s="1">
        <v>45501</v>
      </c>
      <c r="G467" s="1">
        <v>45502</v>
      </c>
      <c r="H467">
        <v>5</v>
      </c>
      <c r="I467" t="s">
        <v>28</v>
      </c>
      <c r="J467" t="s">
        <v>29</v>
      </c>
      <c r="K467">
        <v>2</v>
      </c>
      <c r="L467">
        <v>4</v>
      </c>
      <c r="M467">
        <v>5</v>
      </c>
      <c r="N467">
        <v>5</v>
      </c>
      <c r="O467">
        <v>2</v>
      </c>
      <c r="P467">
        <v>5</v>
      </c>
      <c r="Q467">
        <v>5</v>
      </c>
      <c r="R467">
        <v>3</v>
      </c>
      <c r="S467">
        <v>4</v>
      </c>
      <c r="T467">
        <v>3</v>
      </c>
      <c r="U467" t="s">
        <v>30</v>
      </c>
      <c r="V467" t="s">
        <v>38</v>
      </c>
      <c r="W467" t="s">
        <v>39</v>
      </c>
      <c r="X467" t="s">
        <v>40</v>
      </c>
      <c r="Y467">
        <v>37</v>
      </c>
      <c r="Z467" s="1">
        <v>45502</v>
      </c>
      <c r="AA467" t="str" cm="1">
        <f t="array" ref="AA4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467" t="str" cm="1">
        <f t="array" ref="AC467">_xlfn.IFS(Table2[[#This Row],[Satification_points]]&gt;=4.5,"GREAT",AND(Table2[[#This Row],[Satification_points]]&gt;=4,Table2[[#This Row],[Satification_points]]&lt;4.5),"GOOD",AND(Table2[[#This Row],[Satification_points]]&gt;=3,Table2[[#This Row],[Satification_points]]&lt;4),"AVERAGE",Table2[[#This Row],[Satification_points]]&lt;3,"POOR")</f>
        <v>AVERAGE</v>
      </c>
    </row>
    <row r="468" spans="1:29" x14ac:dyDescent="0.3">
      <c r="A468">
        <v>467</v>
      </c>
      <c r="B468">
        <v>64465</v>
      </c>
      <c r="C468" t="s">
        <v>523</v>
      </c>
      <c r="D468" t="s">
        <v>51</v>
      </c>
      <c r="E468" t="s">
        <v>35</v>
      </c>
      <c r="F468" s="1">
        <v>45457</v>
      </c>
      <c r="G468" s="1">
        <v>45458</v>
      </c>
      <c r="H468">
        <v>4</v>
      </c>
      <c r="I468" t="s">
        <v>42</v>
      </c>
      <c r="J468" t="s">
        <v>43</v>
      </c>
      <c r="K468">
        <v>1</v>
      </c>
      <c r="L468">
        <v>4</v>
      </c>
      <c r="M468">
        <v>3</v>
      </c>
      <c r="N468">
        <v>4</v>
      </c>
      <c r="O468">
        <v>3</v>
      </c>
      <c r="P468">
        <v>5</v>
      </c>
      <c r="Q468">
        <v>1</v>
      </c>
      <c r="R468">
        <v>1</v>
      </c>
      <c r="S468">
        <v>2</v>
      </c>
      <c r="T468">
        <v>1</v>
      </c>
      <c r="U468" t="s">
        <v>30</v>
      </c>
      <c r="V468" t="s">
        <v>31</v>
      </c>
      <c r="W468" t="s">
        <v>39</v>
      </c>
      <c r="X468" t="s">
        <v>44</v>
      </c>
      <c r="Y468">
        <v>56</v>
      </c>
      <c r="Z468" s="1">
        <v>45638</v>
      </c>
      <c r="AA468" t="str" cm="1">
        <f t="array" ref="AA468">_xlfn.IFS(AND(Table2[[#This Row],[Guest_Age]]&gt;=18,Table2[[#This Row],[Guest_Age]]&lt;=25),"Young Adults",AND(Table2[[#This Row],[Guest_Age]]&gt;=26,Table2[[#This Row],[Guest_Age]]&lt;=35),"Adults",AND(Table2[[#This Row],[Guest_Age]]&gt;=36,Table2[[#This Row],[Guest_Age]]&lt;=50),"Middle Aged Adults",Table2[[#This Row],[Guest_Age]]&gt;50,"Senior")</f>
        <v>Senior</v>
      </c>
      <c r="AB4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468" t="str" cm="1">
        <f t="array" ref="AC468">_xlfn.IFS(Table2[[#This Row],[Satification_points]]&gt;=4.5,"GREAT",AND(Table2[[#This Row],[Satification_points]]&gt;=4,Table2[[#This Row],[Satification_points]]&lt;4.5),"GOOD",AND(Table2[[#This Row],[Satification_points]]&gt;=3,Table2[[#This Row],[Satification_points]]&lt;4),"AVERAGE",Table2[[#This Row],[Satification_points]]&lt;3,"POOR")</f>
        <v>POOR</v>
      </c>
    </row>
    <row r="469" spans="1:29" x14ac:dyDescent="0.3">
      <c r="A469">
        <v>468</v>
      </c>
      <c r="B469">
        <v>68144</v>
      </c>
      <c r="C469" t="s">
        <v>524</v>
      </c>
      <c r="D469" t="s">
        <v>34</v>
      </c>
      <c r="E469" t="s">
        <v>35</v>
      </c>
      <c r="F469" s="1">
        <v>45410</v>
      </c>
      <c r="G469" s="1">
        <v>45411</v>
      </c>
      <c r="H469">
        <v>10</v>
      </c>
      <c r="I469" t="s">
        <v>42</v>
      </c>
      <c r="J469" t="s">
        <v>43</v>
      </c>
      <c r="K469">
        <v>2</v>
      </c>
      <c r="L469">
        <v>5</v>
      </c>
      <c r="M469">
        <v>5</v>
      </c>
      <c r="N469">
        <v>5</v>
      </c>
      <c r="O469">
        <v>2</v>
      </c>
      <c r="P469">
        <v>2</v>
      </c>
      <c r="Q469">
        <v>2</v>
      </c>
      <c r="R469">
        <v>2</v>
      </c>
      <c r="S469">
        <v>1</v>
      </c>
      <c r="T469">
        <v>3</v>
      </c>
      <c r="U469" t="s">
        <v>30</v>
      </c>
      <c r="V469" t="s">
        <v>31</v>
      </c>
      <c r="W469" t="s">
        <v>56</v>
      </c>
      <c r="X469" t="s">
        <v>33</v>
      </c>
      <c r="Y469">
        <v>47</v>
      </c>
      <c r="Z469" s="1">
        <v>45411</v>
      </c>
      <c r="AA469" t="str" cm="1">
        <f t="array" ref="AA4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4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69" t="str" cm="1">
        <f t="array" ref="AC469">_xlfn.IFS(Table2[[#This Row],[Satification_points]]&gt;=4.5,"GREAT",AND(Table2[[#This Row],[Satification_points]]&gt;=4,Table2[[#This Row],[Satification_points]]&lt;4.5),"GOOD",AND(Table2[[#This Row],[Satification_points]]&gt;=3,Table2[[#This Row],[Satification_points]]&lt;4),"AVERAGE",Table2[[#This Row],[Satification_points]]&lt;3,"POOR")</f>
        <v>POOR</v>
      </c>
    </row>
    <row r="470" spans="1:29" x14ac:dyDescent="0.3">
      <c r="A470">
        <v>469</v>
      </c>
      <c r="B470">
        <v>70109</v>
      </c>
      <c r="C470" t="s">
        <v>525</v>
      </c>
      <c r="D470" t="s">
        <v>48</v>
      </c>
      <c r="E470" t="s">
        <v>57</v>
      </c>
      <c r="F470" s="1">
        <v>45360</v>
      </c>
      <c r="G470" s="1">
        <v>45361</v>
      </c>
      <c r="H470">
        <v>6</v>
      </c>
      <c r="I470" t="s">
        <v>28</v>
      </c>
      <c r="J470" t="s">
        <v>40</v>
      </c>
      <c r="K470">
        <v>3</v>
      </c>
      <c r="L470">
        <v>4</v>
      </c>
      <c r="M470">
        <v>2</v>
      </c>
      <c r="N470">
        <v>4</v>
      </c>
      <c r="O470">
        <v>1</v>
      </c>
      <c r="P470">
        <v>4</v>
      </c>
      <c r="Q470">
        <v>1</v>
      </c>
      <c r="R470">
        <v>5</v>
      </c>
      <c r="S470">
        <v>4</v>
      </c>
      <c r="T470">
        <v>3</v>
      </c>
      <c r="U470" t="s">
        <v>30</v>
      </c>
      <c r="V470" t="s">
        <v>58</v>
      </c>
      <c r="W470" t="s">
        <v>55</v>
      </c>
      <c r="X470" t="s">
        <v>44</v>
      </c>
      <c r="Y470">
        <v>65</v>
      </c>
      <c r="Z470" s="1">
        <v>45361</v>
      </c>
      <c r="AA470" t="str" cm="1">
        <f t="array" ref="AA470">_xlfn.IFS(AND(Table2[[#This Row],[Guest_Age]]&gt;=18,Table2[[#This Row],[Guest_Age]]&lt;=25),"Young Adults",AND(Table2[[#This Row],[Guest_Age]]&gt;=26,Table2[[#This Row],[Guest_Age]]&lt;=35),"Adults",AND(Table2[[#This Row],[Guest_Age]]&gt;=36,Table2[[#This Row],[Guest_Age]]&lt;=50),"Middle Aged Adults",Table2[[#This Row],[Guest_Age]]&gt;50,"Senior")</f>
        <v>Senior</v>
      </c>
      <c r="AB4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70" t="str" cm="1">
        <f t="array" ref="AC470">_xlfn.IFS(Table2[[#This Row],[Satification_points]]&gt;=4.5,"GREAT",AND(Table2[[#This Row],[Satification_points]]&gt;=4,Table2[[#This Row],[Satification_points]]&lt;4.5),"GOOD",AND(Table2[[#This Row],[Satification_points]]&gt;=3,Table2[[#This Row],[Satification_points]]&lt;4),"AVERAGE",Table2[[#This Row],[Satification_points]]&lt;3,"POOR")</f>
        <v>AVERAGE</v>
      </c>
    </row>
    <row r="471" spans="1:29" x14ac:dyDescent="0.3">
      <c r="A471">
        <v>470</v>
      </c>
      <c r="B471">
        <v>16227</v>
      </c>
      <c r="C471" t="s">
        <v>526</v>
      </c>
      <c r="D471" t="s">
        <v>41</v>
      </c>
      <c r="E471" t="s">
        <v>35</v>
      </c>
      <c r="F471" s="1">
        <v>45419</v>
      </c>
      <c r="G471" s="1">
        <v>45420</v>
      </c>
      <c r="H471">
        <v>4</v>
      </c>
      <c r="I471" t="s">
        <v>42</v>
      </c>
      <c r="J471" t="s">
        <v>36</v>
      </c>
      <c r="K471">
        <v>3</v>
      </c>
      <c r="L471">
        <v>3</v>
      </c>
      <c r="M471">
        <v>3</v>
      </c>
      <c r="N471">
        <v>1</v>
      </c>
      <c r="O471">
        <v>4</v>
      </c>
      <c r="P471">
        <v>3</v>
      </c>
      <c r="Q471">
        <v>3</v>
      </c>
      <c r="R471">
        <v>2</v>
      </c>
      <c r="S471">
        <v>5</v>
      </c>
      <c r="T471">
        <v>3</v>
      </c>
      <c r="U471" t="s">
        <v>30</v>
      </c>
      <c r="V471" t="s">
        <v>31</v>
      </c>
      <c r="W471" t="s">
        <v>32</v>
      </c>
      <c r="X471" t="s">
        <v>40</v>
      </c>
      <c r="Y471">
        <v>34</v>
      </c>
      <c r="Z471" s="1">
        <v>45420</v>
      </c>
      <c r="AA471" t="str" cm="1">
        <f t="array" ref="AA471">_xlfn.IFS(AND(Table2[[#This Row],[Guest_Age]]&gt;=18,Table2[[#This Row],[Guest_Age]]&lt;=25),"Young Adults",AND(Table2[[#This Row],[Guest_Age]]&gt;=26,Table2[[#This Row],[Guest_Age]]&lt;=35),"Adults",AND(Table2[[#This Row],[Guest_Age]]&gt;=36,Table2[[#This Row],[Guest_Age]]&lt;=50),"Middle Aged Adults",Table2[[#This Row],[Guest_Age]]&gt;50,"Senior")</f>
        <v>Adults</v>
      </c>
      <c r="AB4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71" t="str" cm="1">
        <f t="array" ref="AC471">_xlfn.IFS(Table2[[#This Row],[Satification_points]]&gt;=4.5,"GREAT",AND(Table2[[#This Row],[Satification_points]]&gt;=4,Table2[[#This Row],[Satification_points]]&lt;4.5),"GOOD",AND(Table2[[#This Row],[Satification_points]]&gt;=3,Table2[[#This Row],[Satification_points]]&lt;4),"AVERAGE",Table2[[#This Row],[Satification_points]]&lt;3,"POOR")</f>
        <v>AVERAGE</v>
      </c>
    </row>
    <row r="472" spans="1:29" x14ac:dyDescent="0.3">
      <c r="A472">
        <v>471</v>
      </c>
      <c r="B472">
        <v>94580</v>
      </c>
      <c r="C472" t="s">
        <v>527</v>
      </c>
      <c r="D472" t="s">
        <v>34</v>
      </c>
      <c r="E472" t="s">
        <v>45</v>
      </c>
      <c r="F472" s="1">
        <v>45204</v>
      </c>
      <c r="G472" s="1">
        <v>45513</v>
      </c>
      <c r="H472">
        <v>14</v>
      </c>
      <c r="I472" t="s">
        <v>49</v>
      </c>
      <c r="J472" t="s">
        <v>40</v>
      </c>
      <c r="K472">
        <v>1</v>
      </c>
      <c r="L472">
        <v>1</v>
      </c>
      <c r="M472">
        <v>3</v>
      </c>
      <c r="N472">
        <v>5</v>
      </c>
      <c r="O472">
        <v>3</v>
      </c>
      <c r="P472">
        <v>1</v>
      </c>
      <c r="Q472">
        <v>3</v>
      </c>
      <c r="R472">
        <v>4</v>
      </c>
      <c r="S472">
        <v>2</v>
      </c>
      <c r="T472">
        <v>1</v>
      </c>
      <c r="U472" t="s">
        <v>30</v>
      </c>
      <c r="V472" t="s">
        <v>31</v>
      </c>
      <c r="W472" t="s">
        <v>47</v>
      </c>
      <c r="X472" t="s">
        <v>33</v>
      </c>
      <c r="Y472">
        <v>40</v>
      </c>
      <c r="Z472" s="1">
        <v>45513</v>
      </c>
      <c r="AA472" t="str" cm="1">
        <f t="array" ref="AA4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4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72" t="str" cm="1">
        <f t="array" ref="AC472">_xlfn.IFS(Table2[[#This Row],[Satification_points]]&gt;=4.5,"GREAT",AND(Table2[[#This Row],[Satification_points]]&gt;=4,Table2[[#This Row],[Satification_points]]&lt;4.5),"GOOD",AND(Table2[[#This Row],[Satification_points]]&gt;=3,Table2[[#This Row],[Satification_points]]&lt;4),"AVERAGE",Table2[[#This Row],[Satification_points]]&lt;3,"POOR")</f>
        <v>POOR</v>
      </c>
    </row>
    <row r="473" spans="1:29" x14ac:dyDescent="0.3">
      <c r="A473">
        <v>472</v>
      </c>
      <c r="B473">
        <v>60842</v>
      </c>
      <c r="C473" t="s">
        <v>528</v>
      </c>
      <c r="D473" t="s">
        <v>26</v>
      </c>
      <c r="E473" t="s">
        <v>45</v>
      </c>
      <c r="F473" s="1">
        <v>45272</v>
      </c>
      <c r="G473" s="1">
        <v>45273</v>
      </c>
      <c r="H473">
        <v>8</v>
      </c>
      <c r="I473" t="s">
        <v>42</v>
      </c>
      <c r="J473" t="s">
        <v>29</v>
      </c>
      <c r="K473">
        <v>3</v>
      </c>
      <c r="L473">
        <v>2</v>
      </c>
      <c r="M473">
        <v>3</v>
      </c>
      <c r="N473">
        <v>3</v>
      </c>
      <c r="O473">
        <v>1</v>
      </c>
      <c r="P473">
        <v>3</v>
      </c>
      <c r="Q473">
        <v>2</v>
      </c>
      <c r="R473">
        <v>1</v>
      </c>
      <c r="S473">
        <v>3</v>
      </c>
      <c r="T473">
        <v>2</v>
      </c>
      <c r="U473" t="s">
        <v>37</v>
      </c>
      <c r="V473" t="s">
        <v>38</v>
      </c>
      <c r="W473" t="s">
        <v>32</v>
      </c>
      <c r="X473" t="s">
        <v>44</v>
      </c>
      <c r="Y473">
        <v>57</v>
      </c>
      <c r="Z473" s="1">
        <v>45379</v>
      </c>
      <c r="AA473" t="str" cm="1">
        <f t="array" ref="AA473">_xlfn.IFS(AND(Table2[[#This Row],[Guest_Age]]&gt;=18,Table2[[#This Row],[Guest_Age]]&lt;=25),"Young Adults",AND(Table2[[#This Row],[Guest_Age]]&gt;=26,Table2[[#This Row],[Guest_Age]]&lt;=35),"Adults",AND(Table2[[#This Row],[Guest_Age]]&gt;=36,Table2[[#This Row],[Guest_Age]]&lt;=50),"Middle Aged Adults",Table2[[#This Row],[Guest_Age]]&gt;50,"Senior")</f>
        <v>Senior</v>
      </c>
      <c r="AB4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473" t="str" cm="1">
        <f t="array" ref="AC473">_xlfn.IFS(Table2[[#This Row],[Satification_points]]&gt;=4.5,"GREAT",AND(Table2[[#This Row],[Satification_points]]&gt;=4,Table2[[#This Row],[Satification_points]]&lt;4.5),"GOOD",AND(Table2[[#This Row],[Satification_points]]&gt;=3,Table2[[#This Row],[Satification_points]]&lt;4),"AVERAGE",Table2[[#This Row],[Satification_points]]&lt;3,"POOR")</f>
        <v>POOR</v>
      </c>
    </row>
    <row r="474" spans="1:29" x14ac:dyDescent="0.3">
      <c r="A474">
        <v>473</v>
      </c>
      <c r="B474">
        <v>41790</v>
      </c>
      <c r="C474" t="s">
        <v>529</v>
      </c>
      <c r="D474" t="s">
        <v>34</v>
      </c>
      <c r="E474" t="s">
        <v>35</v>
      </c>
      <c r="F474" s="1">
        <v>45505</v>
      </c>
      <c r="G474" s="1">
        <v>45529</v>
      </c>
      <c r="H474">
        <v>9</v>
      </c>
      <c r="I474" t="s">
        <v>42</v>
      </c>
      <c r="J474" t="s">
        <v>36</v>
      </c>
      <c r="K474">
        <v>5</v>
      </c>
      <c r="L474">
        <v>1</v>
      </c>
      <c r="M474">
        <v>2</v>
      </c>
      <c r="N474">
        <v>1</v>
      </c>
      <c r="O474">
        <v>1</v>
      </c>
      <c r="P474">
        <v>2</v>
      </c>
      <c r="Q474">
        <v>1</v>
      </c>
      <c r="R474">
        <v>2</v>
      </c>
      <c r="S474">
        <v>4</v>
      </c>
      <c r="T474">
        <v>2</v>
      </c>
      <c r="U474" t="s">
        <v>37</v>
      </c>
      <c r="V474" t="s">
        <v>54</v>
      </c>
      <c r="W474" t="s">
        <v>56</v>
      </c>
      <c r="X474" t="s">
        <v>44</v>
      </c>
      <c r="Y474">
        <v>67</v>
      </c>
      <c r="Z474" s="1">
        <v>45529</v>
      </c>
      <c r="AA474" t="str" cm="1">
        <f t="array" ref="AA474">_xlfn.IFS(AND(Table2[[#This Row],[Guest_Age]]&gt;=18,Table2[[#This Row],[Guest_Age]]&lt;=25),"Young Adults",AND(Table2[[#This Row],[Guest_Age]]&gt;=26,Table2[[#This Row],[Guest_Age]]&lt;=35),"Adults",AND(Table2[[#This Row],[Guest_Age]]&gt;=36,Table2[[#This Row],[Guest_Age]]&lt;=50),"Middle Aged Adults",Table2[[#This Row],[Guest_Age]]&gt;50,"Senior")</f>
        <v>Senior</v>
      </c>
      <c r="AB4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474" t="str" cm="1">
        <f t="array" ref="AC474">_xlfn.IFS(Table2[[#This Row],[Satification_points]]&gt;=4.5,"GREAT",AND(Table2[[#This Row],[Satification_points]]&gt;=4,Table2[[#This Row],[Satification_points]]&lt;4.5),"GOOD",AND(Table2[[#This Row],[Satification_points]]&gt;=3,Table2[[#This Row],[Satification_points]]&lt;4),"AVERAGE",Table2[[#This Row],[Satification_points]]&lt;3,"POOR")</f>
        <v>POOR</v>
      </c>
    </row>
    <row r="475" spans="1:29" x14ac:dyDescent="0.3">
      <c r="A475">
        <v>474</v>
      </c>
      <c r="B475">
        <v>43001</v>
      </c>
      <c r="C475" t="s">
        <v>530</v>
      </c>
      <c r="D475" t="s">
        <v>26</v>
      </c>
      <c r="E475" t="s">
        <v>45</v>
      </c>
      <c r="F475" s="1">
        <v>45164</v>
      </c>
      <c r="G475" s="1">
        <v>45393</v>
      </c>
      <c r="H475">
        <v>1</v>
      </c>
      <c r="I475" t="s">
        <v>28</v>
      </c>
      <c r="J475" t="s">
        <v>43</v>
      </c>
      <c r="K475">
        <v>2</v>
      </c>
      <c r="L475">
        <v>3</v>
      </c>
      <c r="M475">
        <v>2</v>
      </c>
      <c r="N475">
        <v>5</v>
      </c>
      <c r="O475">
        <v>5</v>
      </c>
      <c r="P475">
        <v>5</v>
      </c>
      <c r="Q475">
        <v>5</v>
      </c>
      <c r="R475">
        <v>3</v>
      </c>
      <c r="S475">
        <v>5</v>
      </c>
      <c r="T475">
        <v>4</v>
      </c>
      <c r="U475" t="s">
        <v>30</v>
      </c>
      <c r="V475" t="s">
        <v>31</v>
      </c>
      <c r="W475" t="s">
        <v>32</v>
      </c>
      <c r="X475" t="s">
        <v>33</v>
      </c>
      <c r="Y475">
        <v>69</v>
      </c>
      <c r="Z475" s="1">
        <v>45393</v>
      </c>
      <c r="AA475" t="str" cm="1">
        <f t="array" ref="AA475">_xlfn.IFS(AND(Table2[[#This Row],[Guest_Age]]&gt;=18,Table2[[#This Row],[Guest_Age]]&lt;=25),"Young Adults",AND(Table2[[#This Row],[Guest_Age]]&gt;=26,Table2[[#This Row],[Guest_Age]]&lt;=35),"Adults",AND(Table2[[#This Row],[Guest_Age]]&gt;=36,Table2[[#This Row],[Guest_Age]]&lt;=50),"Middle Aged Adults",Table2[[#This Row],[Guest_Age]]&gt;50,"Senior")</f>
        <v>Senior</v>
      </c>
      <c r="AB4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475" t="str" cm="1">
        <f t="array" ref="AC475">_xlfn.IFS(Table2[[#This Row],[Satification_points]]&gt;=4.5,"GREAT",AND(Table2[[#This Row],[Satification_points]]&gt;=4,Table2[[#This Row],[Satification_points]]&lt;4.5),"GOOD",AND(Table2[[#This Row],[Satification_points]]&gt;=3,Table2[[#This Row],[Satification_points]]&lt;4),"AVERAGE",Table2[[#This Row],[Satification_points]]&lt;3,"POOR")</f>
        <v>AVERAGE</v>
      </c>
    </row>
    <row r="476" spans="1:29" x14ac:dyDescent="0.3">
      <c r="A476">
        <v>475</v>
      </c>
      <c r="B476">
        <v>44644</v>
      </c>
      <c r="C476" t="s">
        <v>531</v>
      </c>
      <c r="D476" t="s">
        <v>41</v>
      </c>
      <c r="E476" t="s">
        <v>27</v>
      </c>
      <c r="F476" s="1">
        <v>45063</v>
      </c>
      <c r="G476" s="1">
        <v>45568</v>
      </c>
      <c r="H476">
        <v>12</v>
      </c>
      <c r="I476" t="s">
        <v>28</v>
      </c>
      <c r="J476" t="s">
        <v>36</v>
      </c>
      <c r="K476">
        <v>5</v>
      </c>
      <c r="L476">
        <v>4</v>
      </c>
      <c r="M476">
        <v>4</v>
      </c>
      <c r="N476">
        <v>3</v>
      </c>
      <c r="O476">
        <v>2</v>
      </c>
      <c r="P476">
        <v>1</v>
      </c>
      <c r="Q476">
        <v>4</v>
      </c>
      <c r="R476">
        <v>3</v>
      </c>
      <c r="S476">
        <v>2</v>
      </c>
      <c r="T476">
        <v>5</v>
      </c>
      <c r="U476" t="s">
        <v>37</v>
      </c>
      <c r="V476" t="s">
        <v>58</v>
      </c>
      <c r="W476" t="s">
        <v>56</v>
      </c>
      <c r="X476" t="s">
        <v>40</v>
      </c>
      <c r="Y476">
        <v>30</v>
      </c>
      <c r="Z476" s="1">
        <v>45568</v>
      </c>
      <c r="AA476" t="str" cm="1">
        <f t="array" ref="AA476">_xlfn.IFS(AND(Table2[[#This Row],[Guest_Age]]&gt;=18,Table2[[#This Row],[Guest_Age]]&lt;=25),"Young Adults",AND(Table2[[#This Row],[Guest_Age]]&gt;=26,Table2[[#This Row],[Guest_Age]]&lt;=35),"Adults",AND(Table2[[#This Row],[Guest_Age]]&gt;=36,Table2[[#This Row],[Guest_Age]]&lt;=50),"Middle Aged Adults",Table2[[#This Row],[Guest_Age]]&gt;50,"Senior")</f>
        <v>Adults</v>
      </c>
      <c r="AB4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76" t="str" cm="1">
        <f t="array" ref="AC476">_xlfn.IFS(Table2[[#This Row],[Satification_points]]&gt;=4.5,"GREAT",AND(Table2[[#This Row],[Satification_points]]&gt;=4,Table2[[#This Row],[Satification_points]]&lt;4.5),"GOOD",AND(Table2[[#This Row],[Satification_points]]&gt;=3,Table2[[#This Row],[Satification_points]]&lt;4),"AVERAGE",Table2[[#This Row],[Satification_points]]&lt;3,"POOR")</f>
        <v>AVERAGE</v>
      </c>
    </row>
    <row r="477" spans="1:29" x14ac:dyDescent="0.3">
      <c r="A477">
        <v>476</v>
      </c>
      <c r="B477">
        <v>51921</v>
      </c>
      <c r="C477" t="s">
        <v>532</v>
      </c>
      <c r="D477" t="s">
        <v>51</v>
      </c>
      <c r="E477" t="s">
        <v>35</v>
      </c>
      <c r="F477" s="1">
        <v>45089</v>
      </c>
      <c r="G477" s="1">
        <v>45328</v>
      </c>
      <c r="H477">
        <v>1</v>
      </c>
      <c r="I477" t="s">
        <v>49</v>
      </c>
      <c r="J477" t="s">
        <v>36</v>
      </c>
      <c r="K477">
        <v>5</v>
      </c>
      <c r="L477">
        <v>1</v>
      </c>
      <c r="M477">
        <v>2</v>
      </c>
      <c r="N477">
        <v>3</v>
      </c>
      <c r="O477">
        <v>3</v>
      </c>
      <c r="P477">
        <v>4</v>
      </c>
      <c r="Q477">
        <v>3</v>
      </c>
      <c r="R477">
        <v>4</v>
      </c>
      <c r="S477">
        <v>2</v>
      </c>
      <c r="T477">
        <v>2</v>
      </c>
      <c r="U477" t="s">
        <v>30</v>
      </c>
      <c r="V477" t="s">
        <v>58</v>
      </c>
      <c r="W477" t="s">
        <v>56</v>
      </c>
      <c r="X477" t="s">
        <v>44</v>
      </c>
      <c r="Y477">
        <v>63</v>
      </c>
      <c r="Z477" s="1">
        <v>45328</v>
      </c>
      <c r="AA477" t="str" cm="1">
        <f t="array" ref="AA477">_xlfn.IFS(AND(Table2[[#This Row],[Guest_Age]]&gt;=18,Table2[[#This Row],[Guest_Age]]&lt;=25),"Young Adults",AND(Table2[[#This Row],[Guest_Age]]&gt;=26,Table2[[#This Row],[Guest_Age]]&lt;=35),"Adults",AND(Table2[[#This Row],[Guest_Age]]&gt;=36,Table2[[#This Row],[Guest_Age]]&lt;=50),"Middle Aged Adults",Table2[[#This Row],[Guest_Age]]&gt;50,"Senior")</f>
        <v>Senior</v>
      </c>
      <c r="AB4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77" t="str" cm="1">
        <f t="array" ref="AC477">_xlfn.IFS(Table2[[#This Row],[Satification_points]]&gt;=4.5,"GREAT",AND(Table2[[#This Row],[Satification_points]]&gt;=4,Table2[[#This Row],[Satification_points]]&lt;4.5),"GOOD",AND(Table2[[#This Row],[Satification_points]]&gt;=3,Table2[[#This Row],[Satification_points]]&lt;4),"AVERAGE",Table2[[#This Row],[Satification_points]]&lt;3,"POOR")</f>
        <v>POOR</v>
      </c>
    </row>
    <row r="478" spans="1:29" x14ac:dyDescent="0.3">
      <c r="A478">
        <v>477</v>
      </c>
      <c r="B478">
        <v>95290</v>
      </c>
      <c r="C478" t="s">
        <v>533</v>
      </c>
      <c r="D478" t="s">
        <v>51</v>
      </c>
      <c r="E478" t="s">
        <v>57</v>
      </c>
      <c r="F478" s="1">
        <v>45219</v>
      </c>
      <c r="G478" s="1">
        <v>45488</v>
      </c>
      <c r="H478">
        <v>4</v>
      </c>
      <c r="I478" t="s">
        <v>42</v>
      </c>
      <c r="J478" t="s">
        <v>36</v>
      </c>
      <c r="K478">
        <v>2</v>
      </c>
      <c r="L478">
        <v>3</v>
      </c>
      <c r="M478">
        <v>2</v>
      </c>
      <c r="N478">
        <v>4</v>
      </c>
      <c r="O478">
        <v>4</v>
      </c>
      <c r="P478">
        <v>1</v>
      </c>
      <c r="Q478">
        <v>3</v>
      </c>
      <c r="R478">
        <v>4</v>
      </c>
      <c r="S478">
        <v>3</v>
      </c>
      <c r="T478">
        <v>4</v>
      </c>
      <c r="U478" t="s">
        <v>30</v>
      </c>
      <c r="V478" t="s">
        <v>54</v>
      </c>
      <c r="W478" t="s">
        <v>32</v>
      </c>
      <c r="X478" t="s">
        <v>40</v>
      </c>
      <c r="Y478">
        <v>53</v>
      </c>
      <c r="Z478" s="1">
        <v>45488</v>
      </c>
      <c r="AA478" t="str" cm="1">
        <f t="array" ref="AA478">_xlfn.IFS(AND(Table2[[#This Row],[Guest_Age]]&gt;=18,Table2[[#This Row],[Guest_Age]]&lt;=25),"Young Adults",AND(Table2[[#This Row],[Guest_Age]]&gt;=26,Table2[[#This Row],[Guest_Age]]&lt;=35),"Adults",AND(Table2[[#This Row],[Guest_Age]]&gt;=36,Table2[[#This Row],[Guest_Age]]&lt;=50),"Middle Aged Adults",Table2[[#This Row],[Guest_Age]]&gt;50,"Senior")</f>
        <v>Senior</v>
      </c>
      <c r="AB4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78" t="str" cm="1">
        <f t="array" ref="AC478">_xlfn.IFS(Table2[[#This Row],[Satification_points]]&gt;=4.5,"GREAT",AND(Table2[[#This Row],[Satification_points]]&gt;=4,Table2[[#This Row],[Satification_points]]&lt;4.5),"GOOD",AND(Table2[[#This Row],[Satification_points]]&gt;=3,Table2[[#This Row],[Satification_points]]&lt;4),"AVERAGE",Table2[[#This Row],[Satification_points]]&lt;3,"POOR")</f>
        <v>AVERAGE</v>
      </c>
    </row>
    <row r="479" spans="1:29" x14ac:dyDescent="0.3">
      <c r="A479">
        <v>478</v>
      </c>
      <c r="B479">
        <v>57951</v>
      </c>
      <c r="C479" t="s">
        <v>534</v>
      </c>
      <c r="D479" t="s">
        <v>51</v>
      </c>
      <c r="E479" t="s">
        <v>57</v>
      </c>
      <c r="F479" s="1">
        <v>44954</v>
      </c>
      <c r="G479" s="1">
        <v>45525</v>
      </c>
      <c r="H479">
        <v>6</v>
      </c>
      <c r="I479" t="s">
        <v>50</v>
      </c>
      <c r="J479" t="s">
        <v>40</v>
      </c>
      <c r="K479">
        <v>3</v>
      </c>
      <c r="L479">
        <v>4</v>
      </c>
      <c r="M479">
        <v>5</v>
      </c>
      <c r="N479">
        <v>3</v>
      </c>
      <c r="O479">
        <v>4</v>
      </c>
      <c r="P479">
        <v>1</v>
      </c>
      <c r="Q479">
        <v>5</v>
      </c>
      <c r="R479">
        <v>1</v>
      </c>
      <c r="S479">
        <v>5</v>
      </c>
      <c r="T479">
        <v>2</v>
      </c>
      <c r="U479" t="s">
        <v>30</v>
      </c>
      <c r="V479" t="s">
        <v>31</v>
      </c>
      <c r="W479" t="s">
        <v>47</v>
      </c>
      <c r="X479" t="s">
        <v>33</v>
      </c>
      <c r="Y479">
        <v>59</v>
      </c>
      <c r="Z479" s="1">
        <v>45525</v>
      </c>
      <c r="AA479" t="str" cm="1">
        <f t="array" ref="AA479">_xlfn.IFS(AND(Table2[[#This Row],[Guest_Age]]&gt;=18,Table2[[#This Row],[Guest_Age]]&lt;=25),"Young Adults",AND(Table2[[#This Row],[Guest_Age]]&gt;=26,Table2[[#This Row],[Guest_Age]]&lt;=35),"Adults",AND(Table2[[#This Row],[Guest_Age]]&gt;=36,Table2[[#This Row],[Guest_Age]]&lt;=50),"Middle Aged Adults",Table2[[#This Row],[Guest_Age]]&gt;50,"Senior")</f>
        <v>Senior</v>
      </c>
      <c r="AB4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79" t="str" cm="1">
        <f t="array" ref="AC479">_xlfn.IFS(Table2[[#This Row],[Satification_points]]&gt;=4.5,"GREAT",AND(Table2[[#This Row],[Satification_points]]&gt;=4,Table2[[#This Row],[Satification_points]]&lt;4.5),"GOOD",AND(Table2[[#This Row],[Satification_points]]&gt;=3,Table2[[#This Row],[Satification_points]]&lt;4),"AVERAGE",Table2[[#This Row],[Satification_points]]&lt;3,"POOR")</f>
        <v>AVERAGE</v>
      </c>
    </row>
    <row r="480" spans="1:29" x14ac:dyDescent="0.3">
      <c r="A480">
        <v>479</v>
      </c>
      <c r="B480">
        <v>81875</v>
      </c>
      <c r="C480" t="s">
        <v>535</v>
      </c>
      <c r="D480" t="s">
        <v>48</v>
      </c>
      <c r="E480" t="s">
        <v>45</v>
      </c>
      <c r="F480" s="1">
        <v>45182</v>
      </c>
      <c r="G480" s="1">
        <v>45412</v>
      </c>
      <c r="H480">
        <v>8</v>
      </c>
      <c r="I480" t="s">
        <v>49</v>
      </c>
      <c r="J480" t="s">
        <v>53</v>
      </c>
      <c r="K480">
        <v>2</v>
      </c>
      <c r="L480">
        <v>5</v>
      </c>
      <c r="M480">
        <v>2</v>
      </c>
      <c r="N480">
        <v>2</v>
      </c>
      <c r="O480">
        <v>4</v>
      </c>
      <c r="P480">
        <v>3</v>
      </c>
      <c r="Q480">
        <v>2</v>
      </c>
      <c r="R480">
        <v>2</v>
      </c>
      <c r="S480">
        <v>4</v>
      </c>
      <c r="T480">
        <v>1</v>
      </c>
      <c r="U480" t="s">
        <v>37</v>
      </c>
      <c r="V480" t="s">
        <v>31</v>
      </c>
      <c r="W480" t="s">
        <v>47</v>
      </c>
      <c r="X480" t="s">
        <v>44</v>
      </c>
      <c r="Y480">
        <v>27</v>
      </c>
      <c r="Z480" s="1">
        <v>45555</v>
      </c>
      <c r="AA480" t="str" cm="1">
        <f t="array" ref="AA480">_xlfn.IFS(AND(Table2[[#This Row],[Guest_Age]]&gt;=18,Table2[[#This Row],[Guest_Age]]&lt;=25),"Young Adults",AND(Table2[[#This Row],[Guest_Age]]&gt;=26,Table2[[#This Row],[Guest_Age]]&lt;=35),"Adults",AND(Table2[[#This Row],[Guest_Age]]&gt;=36,Table2[[#This Row],[Guest_Age]]&lt;=50),"Middle Aged Adults",Table2[[#This Row],[Guest_Age]]&gt;50,"Senior")</f>
        <v>Adults</v>
      </c>
      <c r="AB4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480" t="str" cm="1">
        <f t="array" ref="AC480">_xlfn.IFS(Table2[[#This Row],[Satification_points]]&gt;=4.5,"GREAT",AND(Table2[[#This Row],[Satification_points]]&gt;=4,Table2[[#This Row],[Satification_points]]&lt;4.5),"GOOD",AND(Table2[[#This Row],[Satification_points]]&gt;=3,Table2[[#This Row],[Satification_points]]&lt;4),"AVERAGE",Table2[[#This Row],[Satification_points]]&lt;3,"POOR")</f>
        <v>POOR</v>
      </c>
    </row>
    <row r="481" spans="1:29" x14ac:dyDescent="0.3">
      <c r="A481">
        <v>480</v>
      </c>
      <c r="B481">
        <v>97029</v>
      </c>
      <c r="C481" t="s">
        <v>536</v>
      </c>
      <c r="D481" t="s">
        <v>26</v>
      </c>
      <c r="E481" t="s">
        <v>45</v>
      </c>
      <c r="F481" s="1">
        <v>45550</v>
      </c>
      <c r="G481" s="1">
        <v>45583</v>
      </c>
      <c r="H481">
        <v>12</v>
      </c>
      <c r="I481" t="s">
        <v>50</v>
      </c>
      <c r="J481" t="s">
        <v>29</v>
      </c>
      <c r="K481">
        <v>1</v>
      </c>
      <c r="L481">
        <v>5</v>
      </c>
      <c r="M481">
        <v>1</v>
      </c>
      <c r="N481">
        <v>5</v>
      </c>
      <c r="O481">
        <v>5</v>
      </c>
      <c r="P481">
        <v>5</v>
      </c>
      <c r="Q481">
        <v>3</v>
      </c>
      <c r="R481">
        <v>3</v>
      </c>
      <c r="S481">
        <v>1</v>
      </c>
      <c r="T481">
        <v>4</v>
      </c>
      <c r="U481" t="s">
        <v>37</v>
      </c>
      <c r="V481" t="s">
        <v>31</v>
      </c>
      <c r="W481" t="s">
        <v>32</v>
      </c>
      <c r="X481" t="s">
        <v>44</v>
      </c>
      <c r="Y481">
        <v>55</v>
      </c>
      <c r="Z481" s="1">
        <v>45583</v>
      </c>
      <c r="AA481" t="str" cm="1">
        <f t="array" ref="AA481">_xlfn.IFS(AND(Table2[[#This Row],[Guest_Age]]&gt;=18,Table2[[#This Row],[Guest_Age]]&lt;=25),"Young Adults",AND(Table2[[#This Row],[Guest_Age]]&gt;=26,Table2[[#This Row],[Guest_Age]]&lt;=35),"Adults",AND(Table2[[#This Row],[Guest_Age]]&gt;=36,Table2[[#This Row],[Guest_Age]]&lt;=50),"Middle Aged Adults",Table2[[#This Row],[Guest_Age]]&gt;50,"Senior")</f>
        <v>Senior</v>
      </c>
      <c r="AB4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81" t="str" cm="1">
        <f t="array" ref="AC481">_xlfn.IFS(Table2[[#This Row],[Satification_points]]&gt;=4.5,"GREAT",AND(Table2[[#This Row],[Satification_points]]&gt;=4,Table2[[#This Row],[Satification_points]]&lt;4.5),"GOOD",AND(Table2[[#This Row],[Satification_points]]&gt;=3,Table2[[#This Row],[Satification_points]]&lt;4),"AVERAGE",Table2[[#This Row],[Satification_points]]&lt;3,"POOR")</f>
        <v>AVERAGE</v>
      </c>
    </row>
    <row r="482" spans="1:29" x14ac:dyDescent="0.3">
      <c r="A482">
        <v>481</v>
      </c>
      <c r="B482">
        <v>60197</v>
      </c>
      <c r="C482" t="s">
        <v>537</v>
      </c>
      <c r="D482" t="s">
        <v>34</v>
      </c>
      <c r="E482" t="s">
        <v>57</v>
      </c>
      <c r="F482" s="1">
        <v>45591</v>
      </c>
      <c r="G482" s="1">
        <v>45592</v>
      </c>
      <c r="H482">
        <v>12</v>
      </c>
      <c r="I482" t="s">
        <v>42</v>
      </c>
      <c r="J482" t="s">
        <v>36</v>
      </c>
      <c r="K482">
        <v>5</v>
      </c>
      <c r="L482">
        <v>5</v>
      </c>
      <c r="M482">
        <v>5</v>
      </c>
      <c r="N482">
        <v>5</v>
      </c>
      <c r="O482">
        <v>3</v>
      </c>
      <c r="P482">
        <v>4</v>
      </c>
      <c r="Q482">
        <v>3</v>
      </c>
      <c r="R482">
        <v>1</v>
      </c>
      <c r="S482">
        <v>2</v>
      </c>
      <c r="T482">
        <v>1</v>
      </c>
      <c r="U482" t="s">
        <v>37</v>
      </c>
      <c r="V482" t="s">
        <v>54</v>
      </c>
      <c r="W482" t="s">
        <v>55</v>
      </c>
      <c r="X482" t="s">
        <v>40</v>
      </c>
      <c r="Y482">
        <v>56</v>
      </c>
      <c r="Z482" s="1">
        <v>45592</v>
      </c>
      <c r="AA482" t="str" cm="1">
        <f t="array" ref="AA482">_xlfn.IFS(AND(Table2[[#This Row],[Guest_Age]]&gt;=18,Table2[[#This Row],[Guest_Age]]&lt;=25),"Young Adults",AND(Table2[[#This Row],[Guest_Age]]&gt;=26,Table2[[#This Row],[Guest_Age]]&lt;=35),"Adults",AND(Table2[[#This Row],[Guest_Age]]&gt;=36,Table2[[#This Row],[Guest_Age]]&lt;=50),"Middle Aged Adults",Table2[[#This Row],[Guest_Age]]&gt;50,"Senior")</f>
        <v>Senior</v>
      </c>
      <c r="AB4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82" t="str" cm="1">
        <f t="array" ref="AC482">_xlfn.IFS(Table2[[#This Row],[Satification_points]]&gt;=4.5,"GREAT",AND(Table2[[#This Row],[Satification_points]]&gt;=4,Table2[[#This Row],[Satification_points]]&lt;4.5),"GOOD",AND(Table2[[#This Row],[Satification_points]]&gt;=3,Table2[[#This Row],[Satification_points]]&lt;4),"AVERAGE",Table2[[#This Row],[Satification_points]]&lt;3,"POOR")</f>
        <v>AVERAGE</v>
      </c>
    </row>
    <row r="483" spans="1:29" x14ac:dyDescent="0.3">
      <c r="A483">
        <v>482</v>
      </c>
      <c r="B483">
        <v>48859</v>
      </c>
      <c r="C483" t="s">
        <v>538</v>
      </c>
      <c r="D483" t="s">
        <v>48</v>
      </c>
      <c r="E483" t="s">
        <v>27</v>
      </c>
      <c r="F483" s="1">
        <v>45191</v>
      </c>
      <c r="G483" s="1">
        <v>45554</v>
      </c>
      <c r="H483">
        <v>1</v>
      </c>
      <c r="I483" t="s">
        <v>42</v>
      </c>
      <c r="J483" t="s">
        <v>36</v>
      </c>
      <c r="K483">
        <v>5</v>
      </c>
      <c r="L483">
        <v>3</v>
      </c>
      <c r="M483">
        <v>4</v>
      </c>
      <c r="N483">
        <v>4</v>
      </c>
      <c r="O483">
        <v>1</v>
      </c>
      <c r="P483">
        <v>1</v>
      </c>
      <c r="Q483">
        <v>4</v>
      </c>
      <c r="R483">
        <v>1</v>
      </c>
      <c r="S483">
        <v>4</v>
      </c>
      <c r="T483">
        <v>1</v>
      </c>
      <c r="U483" t="s">
        <v>30</v>
      </c>
      <c r="V483" t="s">
        <v>58</v>
      </c>
      <c r="W483" t="s">
        <v>39</v>
      </c>
      <c r="X483" t="s">
        <v>40</v>
      </c>
      <c r="Y483">
        <v>56</v>
      </c>
      <c r="Z483" s="1">
        <v>45554</v>
      </c>
      <c r="AA483" t="str" cm="1">
        <f t="array" ref="AA483">_xlfn.IFS(AND(Table2[[#This Row],[Guest_Age]]&gt;=18,Table2[[#This Row],[Guest_Age]]&lt;=25),"Young Adults",AND(Table2[[#This Row],[Guest_Age]]&gt;=26,Table2[[#This Row],[Guest_Age]]&lt;=35),"Adults",AND(Table2[[#This Row],[Guest_Age]]&gt;=36,Table2[[#This Row],[Guest_Age]]&lt;=50),"Middle Aged Adults",Table2[[#This Row],[Guest_Age]]&gt;50,"Senior")</f>
        <v>Senior</v>
      </c>
      <c r="AB4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83" t="str" cm="1">
        <f t="array" ref="AC483">_xlfn.IFS(Table2[[#This Row],[Satification_points]]&gt;=4.5,"GREAT",AND(Table2[[#This Row],[Satification_points]]&gt;=4,Table2[[#This Row],[Satification_points]]&lt;4.5),"GOOD",AND(Table2[[#This Row],[Satification_points]]&gt;=3,Table2[[#This Row],[Satification_points]]&lt;4),"AVERAGE",Table2[[#This Row],[Satification_points]]&lt;3,"POOR")</f>
        <v>POOR</v>
      </c>
    </row>
    <row r="484" spans="1:29" x14ac:dyDescent="0.3">
      <c r="A484">
        <v>483</v>
      </c>
      <c r="B484">
        <v>41937</v>
      </c>
      <c r="C484" t="s">
        <v>539</v>
      </c>
      <c r="D484" t="s">
        <v>48</v>
      </c>
      <c r="E484" t="s">
        <v>57</v>
      </c>
      <c r="F484" s="1">
        <v>45490</v>
      </c>
      <c r="G484" s="1">
        <v>45491</v>
      </c>
      <c r="H484">
        <v>3</v>
      </c>
      <c r="I484" t="s">
        <v>28</v>
      </c>
      <c r="J484" t="s">
        <v>40</v>
      </c>
      <c r="K484">
        <v>3</v>
      </c>
      <c r="L484">
        <v>3</v>
      </c>
      <c r="M484">
        <v>1</v>
      </c>
      <c r="N484">
        <v>3</v>
      </c>
      <c r="O484">
        <v>5</v>
      </c>
      <c r="P484">
        <v>2</v>
      </c>
      <c r="Q484">
        <v>5</v>
      </c>
      <c r="R484">
        <v>3</v>
      </c>
      <c r="S484">
        <v>1</v>
      </c>
      <c r="T484">
        <v>4</v>
      </c>
      <c r="U484" t="s">
        <v>30</v>
      </c>
      <c r="V484" t="s">
        <v>31</v>
      </c>
      <c r="W484" t="s">
        <v>47</v>
      </c>
      <c r="X484" t="s">
        <v>40</v>
      </c>
      <c r="Y484">
        <v>21</v>
      </c>
      <c r="Z484" s="1">
        <v>45645</v>
      </c>
      <c r="AA484" t="str" cm="1">
        <f t="array" ref="AA484">_xlfn.IFS(AND(Table2[[#This Row],[Guest_Age]]&gt;=18,Table2[[#This Row],[Guest_Age]]&lt;=25),"Young Adults",AND(Table2[[#This Row],[Guest_Age]]&gt;=26,Table2[[#This Row],[Guest_Age]]&lt;=35),"Adults",AND(Table2[[#This Row],[Guest_Age]]&gt;=36,Table2[[#This Row],[Guest_Age]]&lt;=50),"Middle Aged Adults",Table2[[#This Row],[Guest_Age]]&gt;50,"Senior")</f>
        <v>Young Adults</v>
      </c>
      <c r="AB4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484" t="str" cm="1">
        <f t="array" ref="AC484">_xlfn.IFS(Table2[[#This Row],[Satification_points]]&gt;=4.5,"GREAT",AND(Table2[[#This Row],[Satification_points]]&gt;=4,Table2[[#This Row],[Satification_points]]&lt;4.5),"GOOD",AND(Table2[[#This Row],[Satification_points]]&gt;=3,Table2[[#This Row],[Satification_points]]&lt;4),"AVERAGE",Table2[[#This Row],[Satification_points]]&lt;3,"POOR")</f>
        <v>AVERAGE</v>
      </c>
    </row>
    <row r="485" spans="1:29" x14ac:dyDescent="0.3">
      <c r="A485">
        <v>484</v>
      </c>
      <c r="B485">
        <v>14481</v>
      </c>
      <c r="C485" t="s">
        <v>540</v>
      </c>
      <c r="D485" t="s">
        <v>34</v>
      </c>
      <c r="E485" t="s">
        <v>35</v>
      </c>
      <c r="F485" s="1">
        <v>45407</v>
      </c>
      <c r="G485" s="1">
        <v>45408</v>
      </c>
      <c r="H485">
        <v>12</v>
      </c>
      <c r="I485" t="s">
        <v>49</v>
      </c>
      <c r="J485" t="s">
        <v>29</v>
      </c>
      <c r="K485">
        <v>2</v>
      </c>
      <c r="L485">
        <v>2</v>
      </c>
      <c r="M485">
        <v>4</v>
      </c>
      <c r="N485">
        <v>4</v>
      </c>
      <c r="O485">
        <v>2</v>
      </c>
      <c r="P485">
        <v>2</v>
      </c>
      <c r="Q485">
        <v>5</v>
      </c>
      <c r="R485">
        <v>2</v>
      </c>
      <c r="S485">
        <v>4</v>
      </c>
      <c r="T485">
        <v>4</v>
      </c>
      <c r="U485" t="s">
        <v>37</v>
      </c>
      <c r="V485" t="s">
        <v>31</v>
      </c>
      <c r="W485" t="s">
        <v>56</v>
      </c>
      <c r="X485" t="s">
        <v>33</v>
      </c>
      <c r="Y485">
        <v>36</v>
      </c>
      <c r="Z485" s="1">
        <v>45657</v>
      </c>
      <c r="AA485" t="str" cm="1">
        <f t="array" ref="AA485">_xlfn.IFS(AND(Table2[[#This Row],[Guest_Age]]&gt;=18,Table2[[#This Row],[Guest_Age]]&lt;=25),"Young Adults",AND(Table2[[#This Row],[Guest_Age]]&gt;=26,Table2[[#This Row],[Guest_Age]]&lt;=35),"Adults",AND(Table2[[#This Row],[Guest_Age]]&gt;=36,Table2[[#This Row],[Guest_Age]]&lt;=50),"Middle Aged Adults",Table2[[#This Row],[Guest_Age]]&gt;50,"Senior")</f>
        <v>Middle Aged Adults</v>
      </c>
      <c r="AB4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485" t="str" cm="1">
        <f t="array" ref="AC485">_xlfn.IFS(Table2[[#This Row],[Satification_points]]&gt;=4.5,"GREAT",AND(Table2[[#This Row],[Satification_points]]&gt;=4,Table2[[#This Row],[Satification_points]]&lt;4.5),"GOOD",AND(Table2[[#This Row],[Satification_points]]&gt;=3,Table2[[#This Row],[Satification_points]]&lt;4),"AVERAGE",Table2[[#This Row],[Satification_points]]&lt;3,"POOR")</f>
        <v>AVERAGE</v>
      </c>
    </row>
    <row r="486" spans="1:29" x14ac:dyDescent="0.3">
      <c r="A486">
        <v>485</v>
      </c>
      <c r="B486">
        <v>89848</v>
      </c>
      <c r="C486" t="s">
        <v>541</v>
      </c>
      <c r="D486" t="s">
        <v>41</v>
      </c>
      <c r="E486" t="s">
        <v>57</v>
      </c>
      <c r="F486" s="1">
        <v>45327</v>
      </c>
      <c r="G486" s="1">
        <v>45626</v>
      </c>
      <c r="H486">
        <v>4</v>
      </c>
      <c r="I486" t="s">
        <v>50</v>
      </c>
      <c r="J486" t="s">
        <v>29</v>
      </c>
      <c r="K486">
        <v>4</v>
      </c>
      <c r="L486">
        <v>2</v>
      </c>
      <c r="M486">
        <v>3</v>
      </c>
      <c r="N486">
        <v>2</v>
      </c>
      <c r="O486">
        <v>1</v>
      </c>
      <c r="P486">
        <v>5</v>
      </c>
      <c r="Q486">
        <v>1</v>
      </c>
      <c r="R486">
        <v>5</v>
      </c>
      <c r="S486">
        <v>4</v>
      </c>
      <c r="T486">
        <v>2</v>
      </c>
      <c r="U486" t="s">
        <v>37</v>
      </c>
      <c r="V486" t="s">
        <v>46</v>
      </c>
      <c r="W486" t="s">
        <v>47</v>
      </c>
      <c r="X486" t="s">
        <v>40</v>
      </c>
      <c r="Y486">
        <v>69</v>
      </c>
      <c r="Z486" s="1">
        <v>45626</v>
      </c>
      <c r="AA486" t="str" cm="1">
        <f t="array" ref="AA486">_xlfn.IFS(AND(Table2[[#This Row],[Guest_Age]]&gt;=18,Table2[[#This Row],[Guest_Age]]&lt;=25),"Young Adults",AND(Table2[[#This Row],[Guest_Age]]&gt;=26,Table2[[#This Row],[Guest_Age]]&lt;=35),"Adults",AND(Table2[[#This Row],[Guest_Age]]&gt;=36,Table2[[#This Row],[Guest_Age]]&lt;=50),"Middle Aged Adults",Table2[[#This Row],[Guest_Age]]&gt;50,"Senior")</f>
        <v>Senior</v>
      </c>
      <c r="AB4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486" t="str" cm="1">
        <f t="array" ref="AC486">_xlfn.IFS(Table2[[#This Row],[Satification_points]]&gt;=4.5,"GREAT",AND(Table2[[#This Row],[Satification_points]]&gt;=4,Table2[[#This Row],[Satification_points]]&lt;4.5),"GOOD",AND(Table2[[#This Row],[Satification_points]]&gt;=3,Table2[[#This Row],[Satification_points]]&lt;4),"AVERAGE",Table2[[#This Row],[Satification_points]]&lt;3,"POOR")</f>
        <v>POOR</v>
      </c>
    </row>
    <row r="487" spans="1:29" x14ac:dyDescent="0.3">
      <c r="A487">
        <v>486</v>
      </c>
      <c r="B487">
        <v>47227</v>
      </c>
      <c r="C487" t="s">
        <v>542</v>
      </c>
      <c r="D487" t="s">
        <v>51</v>
      </c>
      <c r="E487" t="s">
        <v>52</v>
      </c>
      <c r="F487" s="1">
        <v>45386</v>
      </c>
      <c r="G487" s="1">
        <v>45387</v>
      </c>
      <c r="H487">
        <v>10</v>
      </c>
      <c r="I487" t="s">
        <v>42</v>
      </c>
      <c r="J487" t="s">
        <v>43</v>
      </c>
      <c r="K487">
        <v>3</v>
      </c>
      <c r="L487">
        <v>5</v>
      </c>
      <c r="M487">
        <v>3</v>
      </c>
      <c r="N487">
        <v>4</v>
      </c>
      <c r="O487">
        <v>4</v>
      </c>
      <c r="P487">
        <v>1</v>
      </c>
      <c r="Q487">
        <v>5</v>
      </c>
      <c r="R487">
        <v>4</v>
      </c>
      <c r="S487">
        <v>2</v>
      </c>
      <c r="T487">
        <v>2</v>
      </c>
      <c r="U487" t="s">
        <v>30</v>
      </c>
      <c r="V487" t="s">
        <v>38</v>
      </c>
      <c r="W487" t="s">
        <v>55</v>
      </c>
      <c r="X487" t="s">
        <v>44</v>
      </c>
      <c r="Y487">
        <v>58</v>
      </c>
      <c r="Z487" s="1">
        <v>45387</v>
      </c>
      <c r="AA487" t="str" cm="1">
        <f t="array" ref="AA487">_xlfn.IFS(AND(Table2[[#This Row],[Guest_Age]]&gt;=18,Table2[[#This Row],[Guest_Age]]&lt;=25),"Young Adults",AND(Table2[[#This Row],[Guest_Age]]&gt;=26,Table2[[#This Row],[Guest_Age]]&lt;=35),"Adults",AND(Table2[[#This Row],[Guest_Age]]&gt;=36,Table2[[#This Row],[Guest_Age]]&lt;=50),"Middle Aged Adults",Table2[[#This Row],[Guest_Age]]&gt;50,"Senior")</f>
        <v>Senior</v>
      </c>
      <c r="AB4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87" t="str" cm="1">
        <f t="array" ref="AC487">_xlfn.IFS(Table2[[#This Row],[Satification_points]]&gt;=4.5,"GREAT",AND(Table2[[#This Row],[Satification_points]]&gt;=4,Table2[[#This Row],[Satification_points]]&lt;4.5),"GOOD",AND(Table2[[#This Row],[Satification_points]]&gt;=3,Table2[[#This Row],[Satification_points]]&lt;4),"AVERAGE",Table2[[#This Row],[Satification_points]]&lt;3,"POOR")</f>
        <v>AVERAGE</v>
      </c>
    </row>
    <row r="488" spans="1:29" x14ac:dyDescent="0.3">
      <c r="A488">
        <v>487</v>
      </c>
      <c r="B488">
        <v>27791</v>
      </c>
      <c r="C488" t="s">
        <v>543</v>
      </c>
      <c r="D488" t="s">
        <v>41</v>
      </c>
      <c r="E488" t="s">
        <v>27</v>
      </c>
      <c r="F488" s="1">
        <v>45492</v>
      </c>
      <c r="G488" s="1">
        <v>45493</v>
      </c>
      <c r="H488">
        <v>2</v>
      </c>
      <c r="I488" t="s">
        <v>42</v>
      </c>
      <c r="J488" t="s">
        <v>29</v>
      </c>
      <c r="K488">
        <v>3</v>
      </c>
      <c r="L488">
        <v>1</v>
      </c>
      <c r="M488">
        <v>3</v>
      </c>
      <c r="N488">
        <v>5</v>
      </c>
      <c r="O488">
        <v>2</v>
      </c>
      <c r="P488">
        <v>5</v>
      </c>
      <c r="Q488">
        <v>4</v>
      </c>
      <c r="R488">
        <v>2</v>
      </c>
      <c r="S488">
        <v>2</v>
      </c>
      <c r="T488">
        <v>5</v>
      </c>
      <c r="U488" t="s">
        <v>30</v>
      </c>
      <c r="V488" t="s">
        <v>54</v>
      </c>
      <c r="W488" t="s">
        <v>32</v>
      </c>
      <c r="X488" t="s">
        <v>33</v>
      </c>
      <c r="Y488">
        <v>45</v>
      </c>
      <c r="Z488" s="1">
        <v>45498</v>
      </c>
      <c r="AA488" t="str" cm="1">
        <f t="array" ref="AA4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4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88" t="str" cm="1">
        <f t="array" ref="AC488">_xlfn.IFS(Table2[[#This Row],[Satification_points]]&gt;=4.5,"GREAT",AND(Table2[[#This Row],[Satification_points]]&gt;=4,Table2[[#This Row],[Satification_points]]&lt;4.5),"GOOD",AND(Table2[[#This Row],[Satification_points]]&gt;=3,Table2[[#This Row],[Satification_points]]&lt;4),"AVERAGE",Table2[[#This Row],[Satification_points]]&lt;3,"POOR")</f>
        <v>AVERAGE</v>
      </c>
    </row>
    <row r="489" spans="1:29" x14ac:dyDescent="0.3">
      <c r="A489">
        <v>488</v>
      </c>
      <c r="B489">
        <v>10207</v>
      </c>
      <c r="C489" t="s">
        <v>544</v>
      </c>
      <c r="D489" t="s">
        <v>41</v>
      </c>
      <c r="E489" t="s">
        <v>27</v>
      </c>
      <c r="F489" s="1">
        <v>45059</v>
      </c>
      <c r="G489" s="1">
        <v>45361</v>
      </c>
      <c r="H489">
        <v>13</v>
      </c>
      <c r="I489" t="s">
        <v>28</v>
      </c>
      <c r="J489" t="s">
        <v>29</v>
      </c>
      <c r="K489">
        <v>3</v>
      </c>
      <c r="L489">
        <v>4</v>
      </c>
      <c r="M489">
        <v>2</v>
      </c>
      <c r="N489">
        <v>4</v>
      </c>
      <c r="O489">
        <v>3</v>
      </c>
      <c r="P489">
        <v>1</v>
      </c>
      <c r="Q489">
        <v>5</v>
      </c>
      <c r="R489">
        <v>5</v>
      </c>
      <c r="S489">
        <v>4</v>
      </c>
      <c r="T489">
        <v>2</v>
      </c>
      <c r="U489" t="s">
        <v>30</v>
      </c>
      <c r="V489" t="s">
        <v>38</v>
      </c>
      <c r="W489" t="s">
        <v>55</v>
      </c>
      <c r="X489" t="s">
        <v>33</v>
      </c>
      <c r="Y489">
        <v>44</v>
      </c>
      <c r="Z489" s="1">
        <v>45591</v>
      </c>
      <c r="AA489" t="str" cm="1">
        <f t="array" ref="AA4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4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489" t="str" cm="1">
        <f t="array" ref="AC489">_xlfn.IFS(Table2[[#This Row],[Satification_points]]&gt;=4.5,"GREAT",AND(Table2[[#This Row],[Satification_points]]&gt;=4,Table2[[#This Row],[Satification_points]]&lt;4.5),"GOOD",AND(Table2[[#This Row],[Satification_points]]&gt;=3,Table2[[#This Row],[Satification_points]]&lt;4),"AVERAGE",Table2[[#This Row],[Satification_points]]&lt;3,"POOR")</f>
        <v>AVERAGE</v>
      </c>
    </row>
    <row r="490" spans="1:29" x14ac:dyDescent="0.3">
      <c r="A490">
        <v>489</v>
      </c>
      <c r="B490">
        <v>47138</v>
      </c>
      <c r="C490" t="s">
        <v>545</v>
      </c>
      <c r="D490" t="s">
        <v>51</v>
      </c>
      <c r="E490" t="s">
        <v>57</v>
      </c>
      <c r="F490" s="1">
        <v>45117</v>
      </c>
      <c r="G490" s="1">
        <v>45118</v>
      </c>
      <c r="H490">
        <v>9</v>
      </c>
      <c r="I490" t="s">
        <v>28</v>
      </c>
      <c r="J490" t="s">
        <v>36</v>
      </c>
      <c r="K490">
        <v>2</v>
      </c>
      <c r="L490">
        <v>2</v>
      </c>
      <c r="M490">
        <v>2</v>
      </c>
      <c r="N490">
        <v>5</v>
      </c>
      <c r="O490">
        <v>3</v>
      </c>
      <c r="P490">
        <v>4</v>
      </c>
      <c r="Q490">
        <v>1</v>
      </c>
      <c r="R490">
        <v>5</v>
      </c>
      <c r="S490">
        <v>4</v>
      </c>
      <c r="T490">
        <v>4</v>
      </c>
      <c r="U490" t="s">
        <v>37</v>
      </c>
      <c r="V490" t="s">
        <v>54</v>
      </c>
      <c r="W490" t="s">
        <v>39</v>
      </c>
      <c r="X490" t="s">
        <v>33</v>
      </c>
      <c r="Y490">
        <v>40</v>
      </c>
      <c r="Z490" s="1">
        <v>45492</v>
      </c>
      <c r="AA490" t="str" cm="1">
        <f t="array" ref="AA4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4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90" t="str" cm="1">
        <f t="array" ref="AC490">_xlfn.IFS(Table2[[#This Row],[Satification_points]]&gt;=4.5,"GREAT",AND(Table2[[#This Row],[Satification_points]]&gt;=4,Table2[[#This Row],[Satification_points]]&lt;4.5),"GOOD",AND(Table2[[#This Row],[Satification_points]]&gt;=3,Table2[[#This Row],[Satification_points]]&lt;4),"AVERAGE",Table2[[#This Row],[Satification_points]]&lt;3,"POOR")</f>
        <v>AVERAGE</v>
      </c>
    </row>
    <row r="491" spans="1:29" x14ac:dyDescent="0.3">
      <c r="A491">
        <v>490</v>
      </c>
      <c r="B491">
        <v>99070</v>
      </c>
      <c r="C491" t="s">
        <v>546</v>
      </c>
      <c r="D491" t="s">
        <v>41</v>
      </c>
      <c r="E491" t="s">
        <v>52</v>
      </c>
      <c r="F491" s="1">
        <v>45050</v>
      </c>
      <c r="G491" s="1">
        <v>45051</v>
      </c>
      <c r="H491">
        <v>3</v>
      </c>
      <c r="I491" t="s">
        <v>28</v>
      </c>
      <c r="J491" t="s">
        <v>53</v>
      </c>
      <c r="K491">
        <v>3</v>
      </c>
      <c r="L491">
        <v>4</v>
      </c>
      <c r="M491">
        <v>5</v>
      </c>
      <c r="N491">
        <v>1</v>
      </c>
      <c r="O491">
        <v>5</v>
      </c>
      <c r="P491">
        <v>2</v>
      </c>
      <c r="Q491">
        <v>4</v>
      </c>
      <c r="R491">
        <v>3</v>
      </c>
      <c r="S491">
        <v>3</v>
      </c>
      <c r="T491">
        <v>2</v>
      </c>
      <c r="U491" t="s">
        <v>37</v>
      </c>
      <c r="V491" t="s">
        <v>38</v>
      </c>
      <c r="W491" t="s">
        <v>47</v>
      </c>
      <c r="X491" t="s">
        <v>44</v>
      </c>
      <c r="Y491">
        <v>36</v>
      </c>
      <c r="Z491" s="1">
        <v>45337</v>
      </c>
      <c r="AA491" t="str" cm="1">
        <f t="array" ref="AA4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4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91" t="str" cm="1">
        <f t="array" ref="AC491">_xlfn.IFS(Table2[[#This Row],[Satification_points]]&gt;=4.5,"GREAT",AND(Table2[[#This Row],[Satification_points]]&gt;=4,Table2[[#This Row],[Satification_points]]&lt;4.5),"GOOD",AND(Table2[[#This Row],[Satification_points]]&gt;=3,Table2[[#This Row],[Satification_points]]&lt;4),"AVERAGE",Table2[[#This Row],[Satification_points]]&lt;3,"POOR")</f>
        <v>AVERAGE</v>
      </c>
    </row>
    <row r="492" spans="1:29" x14ac:dyDescent="0.3">
      <c r="A492">
        <v>491</v>
      </c>
      <c r="B492">
        <v>19944</v>
      </c>
      <c r="C492" t="s">
        <v>547</v>
      </c>
      <c r="D492" t="s">
        <v>48</v>
      </c>
      <c r="E492" t="s">
        <v>35</v>
      </c>
      <c r="F492" s="1">
        <v>45357</v>
      </c>
      <c r="G492" s="1">
        <v>45652</v>
      </c>
      <c r="H492">
        <v>4</v>
      </c>
      <c r="I492" t="s">
        <v>49</v>
      </c>
      <c r="J492" t="s">
        <v>36</v>
      </c>
      <c r="K492">
        <v>1</v>
      </c>
      <c r="L492">
        <v>1</v>
      </c>
      <c r="M492">
        <v>1</v>
      </c>
      <c r="N492">
        <v>2</v>
      </c>
      <c r="O492">
        <v>3</v>
      </c>
      <c r="P492">
        <v>3</v>
      </c>
      <c r="Q492">
        <v>3</v>
      </c>
      <c r="R492">
        <v>5</v>
      </c>
      <c r="S492">
        <v>1</v>
      </c>
      <c r="T492">
        <v>4</v>
      </c>
      <c r="U492" t="s">
        <v>37</v>
      </c>
      <c r="V492" t="s">
        <v>46</v>
      </c>
      <c r="W492" t="s">
        <v>56</v>
      </c>
      <c r="X492" t="s">
        <v>40</v>
      </c>
      <c r="Y492">
        <v>33</v>
      </c>
      <c r="Z492" s="1">
        <v>45652</v>
      </c>
      <c r="AA492" t="str" cm="1">
        <f t="array" ref="AA492">_xlfn.IFS(AND(Table2[[#This Row],[Guest_Age]]&gt;=18,Table2[[#This Row],[Guest_Age]]&lt;=25),"Young Adults",AND(Table2[[#This Row],[Guest_Age]]&gt;=26,Table2[[#This Row],[Guest_Age]]&lt;=35),"Adults",AND(Table2[[#This Row],[Guest_Age]]&gt;=36,Table2[[#This Row],[Guest_Age]]&lt;=50),"Middle Aged Adults",Table2[[#This Row],[Guest_Age]]&gt;50,"Senior")</f>
        <v>Adults</v>
      </c>
      <c r="AB4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492" t="str" cm="1">
        <f t="array" ref="AC492">_xlfn.IFS(Table2[[#This Row],[Satification_points]]&gt;=4.5,"GREAT",AND(Table2[[#This Row],[Satification_points]]&gt;=4,Table2[[#This Row],[Satification_points]]&lt;4.5),"GOOD",AND(Table2[[#This Row],[Satification_points]]&gt;=3,Table2[[#This Row],[Satification_points]]&lt;4),"AVERAGE",Table2[[#This Row],[Satification_points]]&lt;3,"POOR")</f>
        <v>POOR</v>
      </c>
    </row>
    <row r="493" spans="1:29" x14ac:dyDescent="0.3">
      <c r="A493">
        <v>492</v>
      </c>
      <c r="B493">
        <v>84223</v>
      </c>
      <c r="C493" t="s">
        <v>548</v>
      </c>
      <c r="D493" t="s">
        <v>34</v>
      </c>
      <c r="E493" t="s">
        <v>57</v>
      </c>
      <c r="F493" s="1">
        <v>45144</v>
      </c>
      <c r="G493" s="1">
        <v>45379</v>
      </c>
      <c r="H493">
        <v>4</v>
      </c>
      <c r="I493" t="s">
        <v>49</v>
      </c>
      <c r="J493" t="s">
        <v>40</v>
      </c>
      <c r="K493">
        <v>1</v>
      </c>
      <c r="L493">
        <v>5</v>
      </c>
      <c r="M493">
        <v>1</v>
      </c>
      <c r="N493">
        <v>2</v>
      </c>
      <c r="O493">
        <v>4</v>
      </c>
      <c r="P493">
        <v>5</v>
      </c>
      <c r="Q493">
        <v>2</v>
      </c>
      <c r="R493">
        <v>4</v>
      </c>
      <c r="S493">
        <v>5</v>
      </c>
      <c r="T493">
        <v>5</v>
      </c>
      <c r="U493" t="s">
        <v>37</v>
      </c>
      <c r="V493" t="s">
        <v>38</v>
      </c>
      <c r="W493" t="s">
        <v>56</v>
      </c>
      <c r="X493" t="s">
        <v>33</v>
      </c>
      <c r="Y493">
        <v>52</v>
      </c>
      <c r="Z493" s="1">
        <v>45473</v>
      </c>
      <c r="AA493" t="str" cm="1">
        <f t="array" ref="AA493">_xlfn.IFS(AND(Table2[[#This Row],[Guest_Age]]&gt;=18,Table2[[#This Row],[Guest_Age]]&lt;=25),"Young Adults",AND(Table2[[#This Row],[Guest_Age]]&gt;=26,Table2[[#This Row],[Guest_Age]]&lt;=35),"Adults",AND(Table2[[#This Row],[Guest_Age]]&gt;=36,Table2[[#This Row],[Guest_Age]]&lt;=50),"Middle Aged Adults",Table2[[#This Row],[Guest_Age]]&gt;50,"Senior")</f>
        <v>Senior</v>
      </c>
      <c r="AB4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493" t="str" cm="1">
        <f t="array" ref="AC493">_xlfn.IFS(Table2[[#This Row],[Satification_points]]&gt;=4.5,"GREAT",AND(Table2[[#This Row],[Satification_points]]&gt;=4,Table2[[#This Row],[Satification_points]]&lt;4.5),"GOOD",AND(Table2[[#This Row],[Satification_points]]&gt;=3,Table2[[#This Row],[Satification_points]]&lt;4),"AVERAGE",Table2[[#This Row],[Satification_points]]&lt;3,"POOR")</f>
        <v>AVERAGE</v>
      </c>
    </row>
    <row r="494" spans="1:29" x14ac:dyDescent="0.3">
      <c r="A494">
        <v>493</v>
      </c>
      <c r="B494">
        <v>27285</v>
      </c>
      <c r="C494" t="s">
        <v>549</v>
      </c>
      <c r="D494" t="s">
        <v>48</v>
      </c>
      <c r="E494" t="s">
        <v>35</v>
      </c>
      <c r="F494" s="1">
        <v>45329</v>
      </c>
      <c r="G494" s="1">
        <v>45330</v>
      </c>
      <c r="H494">
        <v>1</v>
      </c>
      <c r="I494" t="s">
        <v>42</v>
      </c>
      <c r="J494" t="s">
        <v>29</v>
      </c>
      <c r="K494">
        <v>5</v>
      </c>
      <c r="L494">
        <v>4</v>
      </c>
      <c r="M494">
        <v>3</v>
      </c>
      <c r="N494">
        <v>5</v>
      </c>
      <c r="O494">
        <v>5</v>
      </c>
      <c r="P494">
        <v>4</v>
      </c>
      <c r="Q494">
        <v>3</v>
      </c>
      <c r="R494">
        <v>1</v>
      </c>
      <c r="S494">
        <v>5</v>
      </c>
      <c r="T494">
        <v>4</v>
      </c>
      <c r="U494" t="s">
        <v>37</v>
      </c>
      <c r="V494" t="s">
        <v>31</v>
      </c>
      <c r="W494" t="s">
        <v>55</v>
      </c>
      <c r="X494" t="s">
        <v>33</v>
      </c>
      <c r="Y494">
        <v>22</v>
      </c>
      <c r="Z494" s="1">
        <v>45618</v>
      </c>
      <c r="AA494" t="str" cm="1">
        <f t="array" ref="AA494">_xlfn.IFS(AND(Table2[[#This Row],[Guest_Age]]&gt;=18,Table2[[#This Row],[Guest_Age]]&lt;=25),"Young Adults",AND(Table2[[#This Row],[Guest_Age]]&gt;=26,Table2[[#This Row],[Guest_Age]]&lt;=35),"Adults",AND(Table2[[#This Row],[Guest_Age]]&gt;=36,Table2[[#This Row],[Guest_Age]]&lt;=50),"Middle Aged Adults",Table2[[#This Row],[Guest_Age]]&gt;50,"Senior")</f>
        <v>Young Adults</v>
      </c>
      <c r="AB4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494" t="str" cm="1">
        <f t="array" ref="AC494">_xlfn.IFS(Table2[[#This Row],[Satification_points]]&gt;=4.5,"GREAT",AND(Table2[[#This Row],[Satification_points]]&gt;=4,Table2[[#This Row],[Satification_points]]&lt;4.5),"GOOD",AND(Table2[[#This Row],[Satification_points]]&gt;=3,Table2[[#This Row],[Satification_points]]&lt;4),"AVERAGE",Table2[[#This Row],[Satification_points]]&lt;3,"POOR")</f>
        <v>AVERAGE</v>
      </c>
    </row>
    <row r="495" spans="1:29" x14ac:dyDescent="0.3">
      <c r="A495">
        <v>494</v>
      </c>
      <c r="B495">
        <v>54558</v>
      </c>
      <c r="C495" t="s">
        <v>550</v>
      </c>
      <c r="D495" t="s">
        <v>48</v>
      </c>
      <c r="E495" t="s">
        <v>52</v>
      </c>
      <c r="F495" s="1">
        <v>45248</v>
      </c>
      <c r="G495" s="1">
        <v>45249</v>
      </c>
      <c r="H495">
        <v>5</v>
      </c>
      <c r="I495" t="s">
        <v>50</v>
      </c>
      <c r="J495" t="s">
        <v>53</v>
      </c>
      <c r="K495">
        <v>5</v>
      </c>
      <c r="L495">
        <v>5</v>
      </c>
      <c r="M495">
        <v>3</v>
      </c>
      <c r="N495">
        <v>1</v>
      </c>
      <c r="O495">
        <v>5</v>
      </c>
      <c r="P495">
        <v>2</v>
      </c>
      <c r="Q495">
        <v>1</v>
      </c>
      <c r="R495">
        <v>2</v>
      </c>
      <c r="S495">
        <v>3</v>
      </c>
      <c r="T495">
        <v>5</v>
      </c>
      <c r="U495" t="s">
        <v>30</v>
      </c>
      <c r="V495" t="s">
        <v>38</v>
      </c>
      <c r="W495" t="s">
        <v>32</v>
      </c>
      <c r="X495" t="s">
        <v>44</v>
      </c>
      <c r="Y495">
        <v>41</v>
      </c>
      <c r="Z495" s="1">
        <v>45380</v>
      </c>
      <c r="AA495" t="str" cm="1">
        <f t="array" ref="AA495">_xlfn.IFS(AND(Table2[[#This Row],[Guest_Age]]&gt;=18,Table2[[#This Row],[Guest_Age]]&lt;=25),"Young Adults",AND(Table2[[#This Row],[Guest_Age]]&gt;=26,Table2[[#This Row],[Guest_Age]]&lt;=35),"Adults",AND(Table2[[#This Row],[Guest_Age]]&gt;=36,Table2[[#This Row],[Guest_Age]]&lt;=50),"Middle Aged Adults",Table2[[#This Row],[Guest_Age]]&gt;50,"Senior")</f>
        <v>Middle Aged Adults</v>
      </c>
      <c r="AB4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495" t="str" cm="1">
        <f t="array" ref="AC495">_xlfn.IFS(Table2[[#This Row],[Satification_points]]&gt;=4.5,"GREAT",AND(Table2[[#This Row],[Satification_points]]&gt;=4,Table2[[#This Row],[Satification_points]]&lt;4.5),"GOOD",AND(Table2[[#This Row],[Satification_points]]&gt;=3,Table2[[#This Row],[Satification_points]]&lt;4),"AVERAGE",Table2[[#This Row],[Satification_points]]&lt;3,"POOR")</f>
        <v>AVERAGE</v>
      </c>
    </row>
    <row r="496" spans="1:29" x14ac:dyDescent="0.3">
      <c r="A496">
        <v>495</v>
      </c>
      <c r="B496">
        <v>36782</v>
      </c>
      <c r="C496" t="s">
        <v>551</v>
      </c>
      <c r="D496" t="s">
        <v>26</v>
      </c>
      <c r="E496" t="s">
        <v>57</v>
      </c>
      <c r="F496" s="1">
        <v>45227</v>
      </c>
      <c r="G496" s="1">
        <v>45269</v>
      </c>
      <c r="H496">
        <v>5</v>
      </c>
      <c r="I496" t="s">
        <v>49</v>
      </c>
      <c r="J496" t="s">
        <v>36</v>
      </c>
      <c r="K496">
        <v>2</v>
      </c>
      <c r="L496">
        <v>4</v>
      </c>
      <c r="M496">
        <v>2</v>
      </c>
      <c r="N496">
        <v>3</v>
      </c>
      <c r="O496">
        <v>4</v>
      </c>
      <c r="P496">
        <v>4</v>
      </c>
      <c r="Q496">
        <v>4</v>
      </c>
      <c r="R496">
        <v>4</v>
      </c>
      <c r="S496">
        <v>4</v>
      </c>
      <c r="T496">
        <v>5</v>
      </c>
      <c r="U496" t="s">
        <v>30</v>
      </c>
      <c r="V496" t="s">
        <v>38</v>
      </c>
      <c r="W496" t="s">
        <v>39</v>
      </c>
      <c r="X496" t="s">
        <v>44</v>
      </c>
      <c r="Y496">
        <v>22</v>
      </c>
      <c r="Z496" s="1">
        <v>45409</v>
      </c>
      <c r="AA496" t="str" cm="1">
        <f t="array" ref="AA496">_xlfn.IFS(AND(Table2[[#This Row],[Guest_Age]]&gt;=18,Table2[[#This Row],[Guest_Age]]&lt;=25),"Young Adults",AND(Table2[[#This Row],[Guest_Age]]&gt;=26,Table2[[#This Row],[Guest_Age]]&lt;=35),"Adults",AND(Table2[[#This Row],[Guest_Age]]&gt;=36,Table2[[#This Row],[Guest_Age]]&lt;=50),"Middle Aged Adults",Table2[[#This Row],[Guest_Age]]&gt;50,"Senior")</f>
        <v>Young Adults</v>
      </c>
      <c r="AB4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496" t="str" cm="1">
        <f t="array" ref="AC496">_xlfn.IFS(Table2[[#This Row],[Satification_points]]&gt;=4.5,"GREAT",AND(Table2[[#This Row],[Satification_points]]&gt;=4,Table2[[#This Row],[Satification_points]]&lt;4.5),"GOOD",AND(Table2[[#This Row],[Satification_points]]&gt;=3,Table2[[#This Row],[Satification_points]]&lt;4),"AVERAGE",Table2[[#This Row],[Satification_points]]&lt;3,"POOR")</f>
        <v>AVERAGE</v>
      </c>
    </row>
    <row r="497" spans="1:29" x14ac:dyDescent="0.3">
      <c r="A497">
        <v>496</v>
      </c>
      <c r="B497">
        <v>99003</v>
      </c>
      <c r="C497" t="s">
        <v>552</v>
      </c>
      <c r="D497" t="s">
        <v>51</v>
      </c>
      <c r="E497" t="s">
        <v>57</v>
      </c>
      <c r="F497" s="1">
        <v>44997</v>
      </c>
      <c r="G497" s="1">
        <v>45243</v>
      </c>
      <c r="H497">
        <v>2</v>
      </c>
      <c r="I497" t="s">
        <v>28</v>
      </c>
      <c r="J497" t="s">
        <v>43</v>
      </c>
      <c r="K497">
        <v>4</v>
      </c>
      <c r="L497">
        <v>1</v>
      </c>
      <c r="M497">
        <v>4</v>
      </c>
      <c r="N497">
        <v>4</v>
      </c>
      <c r="O497">
        <v>3</v>
      </c>
      <c r="P497">
        <v>3</v>
      </c>
      <c r="Q497">
        <v>3</v>
      </c>
      <c r="R497">
        <v>5</v>
      </c>
      <c r="S497">
        <v>4</v>
      </c>
      <c r="T497">
        <v>5</v>
      </c>
      <c r="U497" t="s">
        <v>30</v>
      </c>
      <c r="V497" t="s">
        <v>58</v>
      </c>
      <c r="W497" t="s">
        <v>32</v>
      </c>
      <c r="X497" t="s">
        <v>40</v>
      </c>
      <c r="Y497">
        <v>46</v>
      </c>
      <c r="Z497" s="1">
        <v>45243</v>
      </c>
      <c r="AA497" t="str" cm="1">
        <f t="array" ref="AA4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4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497" t="str" cm="1">
        <f t="array" ref="AC497">_xlfn.IFS(Table2[[#This Row],[Satification_points]]&gt;=4.5,"GREAT",AND(Table2[[#This Row],[Satification_points]]&gt;=4,Table2[[#This Row],[Satification_points]]&lt;4.5),"GOOD",AND(Table2[[#This Row],[Satification_points]]&gt;=3,Table2[[#This Row],[Satification_points]]&lt;4),"AVERAGE",Table2[[#This Row],[Satification_points]]&lt;3,"POOR")</f>
        <v>AVERAGE</v>
      </c>
    </row>
    <row r="498" spans="1:29" x14ac:dyDescent="0.3">
      <c r="A498">
        <v>497</v>
      </c>
      <c r="B498">
        <v>93669</v>
      </c>
      <c r="C498" t="s">
        <v>553</v>
      </c>
      <c r="D498" t="s">
        <v>51</v>
      </c>
      <c r="E498" t="s">
        <v>35</v>
      </c>
      <c r="F498" s="1">
        <v>45140</v>
      </c>
      <c r="G498" s="1">
        <v>45141</v>
      </c>
      <c r="H498">
        <v>1</v>
      </c>
      <c r="I498" t="s">
        <v>28</v>
      </c>
      <c r="J498" t="s">
        <v>40</v>
      </c>
      <c r="K498">
        <v>5</v>
      </c>
      <c r="L498">
        <v>2</v>
      </c>
      <c r="M498">
        <v>1</v>
      </c>
      <c r="N498">
        <v>3</v>
      </c>
      <c r="O498">
        <v>2</v>
      </c>
      <c r="P498">
        <v>1</v>
      </c>
      <c r="Q498">
        <v>1</v>
      </c>
      <c r="R498">
        <v>1</v>
      </c>
      <c r="S498">
        <v>3</v>
      </c>
      <c r="T498">
        <v>1</v>
      </c>
      <c r="U498" t="s">
        <v>37</v>
      </c>
      <c r="V498" t="s">
        <v>54</v>
      </c>
      <c r="W498" t="s">
        <v>47</v>
      </c>
      <c r="X498" t="s">
        <v>40</v>
      </c>
      <c r="Y498">
        <v>23</v>
      </c>
      <c r="Z498" s="1">
        <v>45581</v>
      </c>
      <c r="AA498" t="str" cm="1">
        <f t="array" ref="AA498">_xlfn.IFS(AND(Table2[[#This Row],[Guest_Age]]&gt;=18,Table2[[#This Row],[Guest_Age]]&lt;=25),"Young Adults",AND(Table2[[#This Row],[Guest_Age]]&gt;=26,Table2[[#This Row],[Guest_Age]]&lt;=35),"Adults",AND(Table2[[#This Row],[Guest_Age]]&gt;=36,Table2[[#This Row],[Guest_Age]]&lt;=50),"Middle Aged Adults",Table2[[#This Row],[Guest_Age]]&gt;50,"Senior")</f>
        <v>Young Adults</v>
      </c>
      <c r="AB4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498" t="str" cm="1">
        <f t="array" ref="AC498">_xlfn.IFS(Table2[[#This Row],[Satification_points]]&gt;=4.5,"GREAT",AND(Table2[[#This Row],[Satification_points]]&gt;=4,Table2[[#This Row],[Satification_points]]&lt;4.5),"GOOD",AND(Table2[[#This Row],[Satification_points]]&gt;=3,Table2[[#This Row],[Satification_points]]&lt;4),"AVERAGE",Table2[[#This Row],[Satification_points]]&lt;3,"POOR")</f>
        <v>POOR</v>
      </c>
    </row>
    <row r="499" spans="1:29" x14ac:dyDescent="0.3">
      <c r="A499">
        <v>498</v>
      </c>
      <c r="B499">
        <v>67803</v>
      </c>
      <c r="C499" t="s">
        <v>554</v>
      </c>
      <c r="D499" t="s">
        <v>48</v>
      </c>
      <c r="E499" t="s">
        <v>57</v>
      </c>
      <c r="F499" s="1">
        <v>45471</v>
      </c>
      <c r="G499" s="1">
        <v>45472</v>
      </c>
      <c r="H499">
        <v>5</v>
      </c>
      <c r="I499" t="s">
        <v>49</v>
      </c>
      <c r="J499" t="s">
        <v>40</v>
      </c>
      <c r="K499">
        <v>5</v>
      </c>
      <c r="L499">
        <v>3</v>
      </c>
      <c r="M499">
        <v>1</v>
      </c>
      <c r="N499">
        <v>1</v>
      </c>
      <c r="O499">
        <v>5</v>
      </c>
      <c r="P499">
        <v>1</v>
      </c>
      <c r="Q499">
        <v>3</v>
      </c>
      <c r="R499">
        <v>1</v>
      </c>
      <c r="S499">
        <v>5</v>
      </c>
      <c r="T499">
        <v>3</v>
      </c>
      <c r="U499" t="s">
        <v>37</v>
      </c>
      <c r="V499" t="s">
        <v>38</v>
      </c>
      <c r="W499" t="s">
        <v>55</v>
      </c>
      <c r="X499" t="s">
        <v>40</v>
      </c>
      <c r="Y499">
        <v>58</v>
      </c>
      <c r="Z499" s="1">
        <v>45472</v>
      </c>
      <c r="AA499" t="str" cm="1">
        <f t="array" ref="AA499">_xlfn.IFS(AND(Table2[[#This Row],[Guest_Age]]&gt;=18,Table2[[#This Row],[Guest_Age]]&lt;=25),"Young Adults",AND(Table2[[#This Row],[Guest_Age]]&gt;=26,Table2[[#This Row],[Guest_Age]]&lt;=35),"Adults",AND(Table2[[#This Row],[Guest_Age]]&gt;=36,Table2[[#This Row],[Guest_Age]]&lt;=50),"Middle Aged Adults",Table2[[#This Row],[Guest_Age]]&gt;50,"Senior")</f>
        <v>Senior</v>
      </c>
      <c r="AB4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499" t="str" cm="1">
        <f t="array" ref="AC499">_xlfn.IFS(Table2[[#This Row],[Satification_points]]&gt;=4.5,"GREAT",AND(Table2[[#This Row],[Satification_points]]&gt;=4,Table2[[#This Row],[Satification_points]]&lt;4.5),"GOOD",AND(Table2[[#This Row],[Satification_points]]&gt;=3,Table2[[#This Row],[Satification_points]]&lt;4),"AVERAGE",Table2[[#This Row],[Satification_points]]&lt;3,"POOR")</f>
        <v>POOR</v>
      </c>
    </row>
    <row r="500" spans="1:29" x14ac:dyDescent="0.3">
      <c r="A500">
        <v>499</v>
      </c>
      <c r="B500">
        <v>14489</v>
      </c>
      <c r="C500" t="s">
        <v>555</v>
      </c>
      <c r="D500" t="s">
        <v>51</v>
      </c>
      <c r="E500" t="s">
        <v>52</v>
      </c>
      <c r="F500" s="1">
        <v>45300</v>
      </c>
      <c r="G500" s="1">
        <v>45376</v>
      </c>
      <c r="H500">
        <v>5</v>
      </c>
      <c r="I500" t="s">
        <v>42</v>
      </c>
      <c r="J500" t="s">
        <v>40</v>
      </c>
      <c r="K500">
        <v>5</v>
      </c>
      <c r="L500">
        <v>5</v>
      </c>
      <c r="M500">
        <v>4</v>
      </c>
      <c r="N500">
        <v>2</v>
      </c>
      <c r="O500">
        <v>2</v>
      </c>
      <c r="P500">
        <v>4</v>
      </c>
      <c r="Q500">
        <v>2</v>
      </c>
      <c r="R500">
        <v>5</v>
      </c>
      <c r="S500">
        <v>2</v>
      </c>
      <c r="T500">
        <v>4</v>
      </c>
      <c r="U500" t="s">
        <v>37</v>
      </c>
      <c r="V500" t="s">
        <v>31</v>
      </c>
      <c r="W500" t="s">
        <v>55</v>
      </c>
      <c r="X500" t="s">
        <v>44</v>
      </c>
      <c r="Y500">
        <v>58</v>
      </c>
      <c r="Z500" s="1">
        <v>45599</v>
      </c>
      <c r="AA500" t="str" cm="1">
        <f t="array" ref="AA500">_xlfn.IFS(AND(Table2[[#This Row],[Guest_Age]]&gt;=18,Table2[[#This Row],[Guest_Age]]&lt;=25),"Young Adults",AND(Table2[[#This Row],[Guest_Age]]&gt;=26,Table2[[#This Row],[Guest_Age]]&lt;=35),"Adults",AND(Table2[[#This Row],[Guest_Age]]&gt;=36,Table2[[#This Row],[Guest_Age]]&lt;=50),"Middle Aged Adults",Table2[[#This Row],[Guest_Age]]&gt;50,"Senior")</f>
        <v>Senior</v>
      </c>
      <c r="AB5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500" t="str" cm="1">
        <f t="array" ref="AC500">_xlfn.IFS(Table2[[#This Row],[Satification_points]]&gt;=4.5,"GREAT",AND(Table2[[#This Row],[Satification_points]]&gt;=4,Table2[[#This Row],[Satification_points]]&lt;4.5),"GOOD",AND(Table2[[#This Row],[Satification_points]]&gt;=3,Table2[[#This Row],[Satification_points]]&lt;4),"AVERAGE",Table2[[#This Row],[Satification_points]]&lt;3,"POOR")</f>
        <v>AVERAGE</v>
      </c>
    </row>
    <row r="501" spans="1:29" x14ac:dyDescent="0.3">
      <c r="A501">
        <v>500</v>
      </c>
      <c r="B501">
        <v>19108</v>
      </c>
      <c r="C501" t="s">
        <v>556</v>
      </c>
      <c r="D501" t="s">
        <v>26</v>
      </c>
      <c r="E501" t="s">
        <v>57</v>
      </c>
      <c r="F501" s="1">
        <v>45262</v>
      </c>
      <c r="G501" s="1">
        <v>45263</v>
      </c>
      <c r="H501">
        <v>7</v>
      </c>
      <c r="I501" t="s">
        <v>42</v>
      </c>
      <c r="J501" t="s">
        <v>36</v>
      </c>
      <c r="K501">
        <v>5</v>
      </c>
      <c r="L501">
        <v>2</v>
      </c>
      <c r="M501">
        <v>1</v>
      </c>
      <c r="N501">
        <v>3</v>
      </c>
      <c r="O501">
        <v>2</v>
      </c>
      <c r="P501">
        <v>4</v>
      </c>
      <c r="Q501">
        <v>3</v>
      </c>
      <c r="R501">
        <v>4</v>
      </c>
      <c r="S501">
        <v>2</v>
      </c>
      <c r="T501">
        <v>2</v>
      </c>
      <c r="U501" t="s">
        <v>37</v>
      </c>
      <c r="V501" t="s">
        <v>31</v>
      </c>
      <c r="W501" t="s">
        <v>56</v>
      </c>
      <c r="X501" t="s">
        <v>33</v>
      </c>
      <c r="Y501">
        <v>61</v>
      </c>
      <c r="Z501" s="1">
        <v>45559</v>
      </c>
      <c r="AA501" t="str" cm="1">
        <f t="array" ref="AA501">_xlfn.IFS(AND(Table2[[#This Row],[Guest_Age]]&gt;=18,Table2[[#This Row],[Guest_Age]]&lt;=25),"Young Adults",AND(Table2[[#This Row],[Guest_Age]]&gt;=26,Table2[[#This Row],[Guest_Age]]&lt;=35),"Adults",AND(Table2[[#This Row],[Guest_Age]]&gt;=36,Table2[[#This Row],[Guest_Age]]&lt;=50),"Middle Aged Adults",Table2[[#This Row],[Guest_Age]]&gt;50,"Senior")</f>
        <v>Senior</v>
      </c>
      <c r="AB5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01" t="str" cm="1">
        <f t="array" ref="AC501">_xlfn.IFS(Table2[[#This Row],[Satification_points]]&gt;=4.5,"GREAT",AND(Table2[[#This Row],[Satification_points]]&gt;=4,Table2[[#This Row],[Satification_points]]&lt;4.5),"GOOD",AND(Table2[[#This Row],[Satification_points]]&gt;=3,Table2[[#This Row],[Satification_points]]&lt;4),"AVERAGE",Table2[[#This Row],[Satification_points]]&lt;3,"POOR")</f>
        <v>POOR</v>
      </c>
    </row>
    <row r="502" spans="1:29" x14ac:dyDescent="0.3">
      <c r="A502">
        <v>501</v>
      </c>
      <c r="B502">
        <v>74430</v>
      </c>
      <c r="C502" t="s">
        <v>557</v>
      </c>
      <c r="D502" t="s">
        <v>34</v>
      </c>
      <c r="E502" t="s">
        <v>45</v>
      </c>
      <c r="F502" s="1">
        <v>45097</v>
      </c>
      <c r="G502" s="1">
        <v>45488</v>
      </c>
      <c r="H502">
        <v>11</v>
      </c>
      <c r="I502" t="s">
        <v>42</v>
      </c>
      <c r="J502" t="s">
        <v>53</v>
      </c>
      <c r="K502">
        <v>3</v>
      </c>
      <c r="L502">
        <v>4</v>
      </c>
      <c r="M502">
        <v>1</v>
      </c>
      <c r="N502">
        <v>1</v>
      </c>
      <c r="O502">
        <v>2</v>
      </c>
      <c r="P502">
        <v>5</v>
      </c>
      <c r="Q502">
        <v>3</v>
      </c>
      <c r="R502">
        <v>5</v>
      </c>
      <c r="S502">
        <v>4</v>
      </c>
      <c r="T502">
        <v>3</v>
      </c>
      <c r="U502" t="s">
        <v>37</v>
      </c>
      <c r="V502" t="s">
        <v>54</v>
      </c>
      <c r="W502" t="s">
        <v>47</v>
      </c>
      <c r="X502" t="s">
        <v>33</v>
      </c>
      <c r="Y502">
        <v>65</v>
      </c>
      <c r="Z502" s="1">
        <v>45647</v>
      </c>
      <c r="AA502" t="str" cm="1">
        <f t="array" ref="AA502">_xlfn.IFS(AND(Table2[[#This Row],[Guest_Age]]&gt;=18,Table2[[#This Row],[Guest_Age]]&lt;=25),"Young Adults",AND(Table2[[#This Row],[Guest_Age]]&gt;=26,Table2[[#This Row],[Guest_Age]]&lt;=35),"Adults",AND(Table2[[#This Row],[Guest_Age]]&gt;=36,Table2[[#This Row],[Guest_Age]]&lt;=50),"Middle Aged Adults",Table2[[#This Row],[Guest_Age]]&gt;50,"Senior")</f>
        <v>Senior</v>
      </c>
      <c r="AB5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02" t="str" cm="1">
        <f t="array" ref="AC502">_xlfn.IFS(Table2[[#This Row],[Satification_points]]&gt;=4.5,"GREAT",AND(Table2[[#This Row],[Satification_points]]&gt;=4,Table2[[#This Row],[Satification_points]]&lt;4.5),"GOOD",AND(Table2[[#This Row],[Satification_points]]&gt;=3,Table2[[#This Row],[Satification_points]]&lt;4),"AVERAGE",Table2[[#This Row],[Satification_points]]&lt;3,"POOR")</f>
        <v>AVERAGE</v>
      </c>
    </row>
    <row r="503" spans="1:29" x14ac:dyDescent="0.3">
      <c r="A503">
        <v>502</v>
      </c>
      <c r="B503">
        <v>82118</v>
      </c>
      <c r="C503" t="s">
        <v>558</v>
      </c>
      <c r="D503" t="s">
        <v>41</v>
      </c>
      <c r="E503" t="s">
        <v>52</v>
      </c>
      <c r="F503" s="1">
        <v>45270</v>
      </c>
      <c r="G503" s="1">
        <v>45271</v>
      </c>
      <c r="H503">
        <v>10</v>
      </c>
      <c r="I503" t="s">
        <v>42</v>
      </c>
      <c r="J503" t="s">
        <v>53</v>
      </c>
      <c r="K503">
        <v>5</v>
      </c>
      <c r="L503">
        <v>2</v>
      </c>
      <c r="M503">
        <v>2</v>
      </c>
      <c r="N503">
        <v>2</v>
      </c>
      <c r="O503">
        <v>2</v>
      </c>
      <c r="P503">
        <v>4</v>
      </c>
      <c r="Q503">
        <v>3</v>
      </c>
      <c r="R503">
        <v>2</v>
      </c>
      <c r="S503">
        <v>1</v>
      </c>
      <c r="T503">
        <v>3</v>
      </c>
      <c r="U503" t="s">
        <v>30</v>
      </c>
      <c r="V503" t="s">
        <v>46</v>
      </c>
      <c r="W503" t="s">
        <v>56</v>
      </c>
      <c r="X503" t="s">
        <v>44</v>
      </c>
      <c r="Y503">
        <v>65</v>
      </c>
      <c r="Z503" s="1">
        <v>45610</v>
      </c>
      <c r="AA503" t="str" cm="1">
        <f t="array" ref="AA503">_xlfn.IFS(AND(Table2[[#This Row],[Guest_Age]]&gt;=18,Table2[[#This Row],[Guest_Age]]&lt;=25),"Young Adults",AND(Table2[[#This Row],[Guest_Age]]&gt;=26,Table2[[#This Row],[Guest_Age]]&lt;=35),"Adults",AND(Table2[[#This Row],[Guest_Age]]&gt;=36,Table2[[#This Row],[Guest_Age]]&lt;=50),"Middle Aged Adults",Table2[[#This Row],[Guest_Age]]&gt;50,"Senior")</f>
        <v>Senior</v>
      </c>
      <c r="AB5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03" t="str" cm="1">
        <f t="array" ref="AC503">_xlfn.IFS(Table2[[#This Row],[Satification_points]]&gt;=4.5,"GREAT",AND(Table2[[#This Row],[Satification_points]]&gt;=4,Table2[[#This Row],[Satification_points]]&lt;4.5),"GOOD",AND(Table2[[#This Row],[Satification_points]]&gt;=3,Table2[[#This Row],[Satification_points]]&lt;4),"AVERAGE",Table2[[#This Row],[Satification_points]]&lt;3,"POOR")</f>
        <v>POOR</v>
      </c>
    </row>
    <row r="504" spans="1:29" x14ac:dyDescent="0.3">
      <c r="A504">
        <v>503</v>
      </c>
      <c r="B504">
        <v>91274</v>
      </c>
      <c r="C504" t="s">
        <v>559</v>
      </c>
      <c r="D504" t="s">
        <v>51</v>
      </c>
      <c r="E504" t="s">
        <v>27</v>
      </c>
      <c r="F504" s="1">
        <v>45382</v>
      </c>
      <c r="G504" s="1">
        <v>45501</v>
      </c>
      <c r="H504">
        <v>10</v>
      </c>
      <c r="I504" t="s">
        <v>28</v>
      </c>
      <c r="J504" t="s">
        <v>29</v>
      </c>
      <c r="K504">
        <v>2</v>
      </c>
      <c r="L504">
        <v>3</v>
      </c>
      <c r="M504">
        <v>1</v>
      </c>
      <c r="N504">
        <v>3</v>
      </c>
      <c r="O504">
        <v>4</v>
      </c>
      <c r="P504">
        <v>1</v>
      </c>
      <c r="Q504">
        <v>1</v>
      </c>
      <c r="R504">
        <v>1</v>
      </c>
      <c r="S504">
        <v>5</v>
      </c>
      <c r="T504">
        <v>1</v>
      </c>
      <c r="U504" t="s">
        <v>37</v>
      </c>
      <c r="V504" t="s">
        <v>54</v>
      </c>
      <c r="W504" t="s">
        <v>32</v>
      </c>
      <c r="X504" t="s">
        <v>40</v>
      </c>
      <c r="Y504">
        <v>54</v>
      </c>
      <c r="Z504" s="1">
        <v>45501</v>
      </c>
      <c r="AA504" t="str" cm="1">
        <f t="array" ref="AA504">_xlfn.IFS(AND(Table2[[#This Row],[Guest_Age]]&gt;=18,Table2[[#This Row],[Guest_Age]]&lt;=25),"Young Adults",AND(Table2[[#This Row],[Guest_Age]]&gt;=26,Table2[[#This Row],[Guest_Age]]&lt;=35),"Adults",AND(Table2[[#This Row],[Guest_Age]]&gt;=36,Table2[[#This Row],[Guest_Age]]&lt;=50),"Middle Aged Adults",Table2[[#This Row],[Guest_Age]]&gt;50,"Senior")</f>
        <v>Senior</v>
      </c>
      <c r="AB5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504" t="str" cm="1">
        <f t="array" ref="AC504">_xlfn.IFS(Table2[[#This Row],[Satification_points]]&gt;=4.5,"GREAT",AND(Table2[[#This Row],[Satification_points]]&gt;=4,Table2[[#This Row],[Satification_points]]&lt;4.5),"GOOD",AND(Table2[[#This Row],[Satification_points]]&gt;=3,Table2[[#This Row],[Satification_points]]&lt;4),"AVERAGE",Table2[[#This Row],[Satification_points]]&lt;3,"POOR")</f>
        <v>POOR</v>
      </c>
    </row>
    <row r="505" spans="1:29" x14ac:dyDescent="0.3">
      <c r="A505">
        <v>504</v>
      </c>
      <c r="B505">
        <v>18030</v>
      </c>
      <c r="C505" t="s">
        <v>560</v>
      </c>
      <c r="D505" t="s">
        <v>48</v>
      </c>
      <c r="E505" t="s">
        <v>35</v>
      </c>
      <c r="F505" s="1">
        <v>45336</v>
      </c>
      <c r="G505" s="1">
        <v>45337</v>
      </c>
      <c r="H505">
        <v>2</v>
      </c>
      <c r="I505" t="s">
        <v>49</v>
      </c>
      <c r="J505" t="s">
        <v>53</v>
      </c>
      <c r="K505">
        <v>3</v>
      </c>
      <c r="L505">
        <v>5</v>
      </c>
      <c r="M505">
        <v>3</v>
      </c>
      <c r="N505">
        <v>2</v>
      </c>
      <c r="O505">
        <v>1</v>
      </c>
      <c r="P505">
        <v>4</v>
      </c>
      <c r="Q505">
        <v>4</v>
      </c>
      <c r="R505">
        <v>3</v>
      </c>
      <c r="S505">
        <v>1</v>
      </c>
      <c r="T505">
        <v>4</v>
      </c>
      <c r="U505" t="s">
        <v>37</v>
      </c>
      <c r="V505" t="s">
        <v>31</v>
      </c>
      <c r="W505" t="s">
        <v>55</v>
      </c>
      <c r="X505" t="s">
        <v>33</v>
      </c>
      <c r="Y505">
        <v>46</v>
      </c>
      <c r="Z505" s="1">
        <v>45337</v>
      </c>
      <c r="AA505" t="str" cm="1">
        <f t="array" ref="AA5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5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05" t="str" cm="1">
        <f t="array" ref="AC505">_xlfn.IFS(Table2[[#This Row],[Satification_points]]&gt;=4.5,"GREAT",AND(Table2[[#This Row],[Satification_points]]&gt;=4,Table2[[#This Row],[Satification_points]]&lt;4.5),"GOOD",AND(Table2[[#This Row],[Satification_points]]&gt;=3,Table2[[#This Row],[Satification_points]]&lt;4),"AVERAGE",Table2[[#This Row],[Satification_points]]&lt;3,"POOR")</f>
        <v>AVERAGE</v>
      </c>
    </row>
    <row r="506" spans="1:29" x14ac:dyDescent="0.3">
      <c r="A506">
        <v>505</v>
      </c>
      <c r="B506">
        <v>71603</v>
      </c>
      <c r="C506" t="s">
        <v>561</v>
      </c>
      <c r="D506" t="s">
        <v>51</v>
      </c>
      <c r="E506" t="s">
        <v>52</v>
      </c>
      <c r="F506" s="1">
        <v>45227</v>
      </c>
      <c r="G506" s="1">
        <v>45644</v>
      </c>
      <c r="H506">
        <v>14</v>
      </c>
      <c r="I506" t="s">
        <v>28</v>
      </c>
      <c r="J506" t="s">
        <v>43</v>
      </c>
      <c r="K506">
        <v>3</v>
      </c>
      <c r="L506">
        <v>5</v>
      </c>
      <c r="M506">
        <v>3</v>
      </c>
      <c r="N506">
        <v>5</v>
      </c>
      <c r="O506">
        <v>3</v>
      </c>
      <c r="P506">
        <v>2</v>
      </c>
      <c r="Q506">
        <v>5</v>
      </c>
      <c r="R506">
        <v>1</v>
      </c>
      <c r="S506">
        <v>4</v>
      </c>
      <c r="T506">
        <v>4</v>
      </c>
      <c r="U506" t="s">
        <v>30</v>
      </c>
      <c r="V506" t="s">
        <v>46</v>
      </c>
      <c r="W506" t="s">
        <v>55</v>
      </c>
      <c r="X506" t="s">
        <v>33</v>
      </c>
      <c r="Y506">
        <v>50</v>
      </c>
      <c r="Z506" s="1">
        <v>45644</v>
      </c>
      <c r="AA506" t="str" cm="1">
        <f t="array" ref="AA506">_xlfn.IFS(AND(Table2[[#This Row],[Guest_Age]]&gt;=18,Table2[[#This Row],[Guest_Age]]&lt;=25),"Young Adults",AND(Table2[[#This Row],[Guest_Age]]&gt;=26,Table2[[#This Row],[Guest_Age]]&lt;=35),"Adults",AND(Table2[[#This Row],[Guest_Age]]&gt;=36,Table2[[#This Row],[Guest_Age]]&lt;=50),"Middle Aged Adults",Table2[[#This Row],[Guest_Age]]&gt;50,"Senior")</f>
        <v>Middle Aged Adults</v>
      </c>
      <c r="AB5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506" t="str" cm="1">
        <f t="array" ref="AC506">_xlfn.IFS(Table2[[#This Row],[Satification_points]]&gt;=4.5,"GREAT",AND(Table2[[#This Row],[Satification_points]]&gt;=4,Table2[[#This Row],[Satification_points]]&lt;4.5),"GOOD",AND(Table2[[#This Row],[Satification_points]]&gt;=3,Table2[[#This Row],[Satification_points]]&lt;4),"AVERAGE",Table2[[#This Row],[Satification_points]]&lt;3,"POOR")</f>
        <v>AVERAGE</v>
      </c>
    </row>
    <row r="507" spans="1:29" x14ac:dyDescent="0.3">
      <c r="A507">
        <v>506</v>
      </c>
      <c r="B507">
        <v>31118</v>
      </c>
      <c r="C507" t="s">
        <v>562</v>
      </c>
      <c r="D507" t="s">
        <v>48</v>
      </c>
      <c r="E507" t="s">
        <v>27</v>
      </c>
      <c r="F507" s="1">
        <v>45422</v>
      </c>
      <c r="G507" s="1">
        <v>45588</v>
      </c>
      <c r="H507">
        <v>13</v>
      </c>
      <c r="I507" t="s">
        <v>50</v>
      </c>
      <c r="J507" t="s">
        <v>40</v>
      </c>
      <c r="K507">
        <v>2</v>
      </c>
      <c r="L507">
        <v>2</v>
      </c>
      <c r="M507">
        <v>5</v>
      </c>
      <c r="N507">
        <v>2</v>
      </c>
      <c r="O507">
        <v>1</v>
      </c>
      <c r="P507">
        <v>2</v>
      </c>
      <c r="Q507">
        <v>1</v>
      </c>
      <c r="R507">
        <v>5</v>
      </c>
      <c r="S507">
        <v>5</v>
      </c>
      <c r="T507">
        <v>2</v>
      </c>
      <c r="U507" t="s">
        <v>37</v>
      </c>
      <c r="V507" t="s">
        <v>46</v>
      </c>
      <c r="W507" t="s">
        <v>39</v>
      </c>
      <c r="X507" t="s">
        <v>44</v>
      </c>
      <c r="Y507">
        <v>44</v>
      </c>
      <c r="Z507" s="1">
        <v>45588</v>
      </c>
      <c r="AA507" t="str" cm="1">
        <f t="array" ref="AA507">_xlfn.IFS(AND(Table2[[#This Row],[Guest_Age]]&gt;=18,Table2[[#This Row],[Guest_Age]]&lt;=25),"Young Adults",AND(Table2[[#This Row],[Guest_Age]]&gt;=26,Table2[[#This Row],[Guest_Age]]&lt;=35),"Adults",AND(Table2[[#This Row],[Guest_Age]]&gt;=36,Table2[[#This Row],[Guest_Age]]&lt;=50),"Middle Aged Adults",Table2[[#This Row],[Guest_Age]]&gt;50,"Senior")</f>
        <v>Middle Aged Adults</v>
      </c>
      <c r="AB5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07" t="str" cm="1">
        <f t="array" ref="AC507">_xlfn.IFS(Table2[[#This Row],[Satification_points]]&gt;=4.5,"GREAT",AND(Table2[[#This Row],[Satification_points]]&gt;=4,Table2[[#This Row],[Satification_points]]&lt;4.5),"GOOD",AND(Table2[[#This Row],[Satification_points]]&gt;=3,Table2[[#This Row],[Satification_points]]&lt;4),"AVERAGE",Table2[[#This Row],[Satification_points]]&lt;3,"POOR")</f>
        <v>POOR</v>
      </c>
    </row>
    <row r="508" spans="1:29" x14ac:dyDescent="0.3">
      <c r="A508">
        <v>507</v>
      </c>
      <c r="B508">
        <v>21593</v>
      </c>
      <c r="C508" t="s">
        <v>563</v>
      </c>
      <c r="D508" t="s">
        <v>41</v>
      </c>
      <c r="E508" t="s">
        <v>27</v>
      </c>
      <c r="F508" s="1">
        <v>45217</v>
      </c>
      <c r="G508" s="1">
        <v>45218</v>
      </c>
      <c r="H508">
        <v>12</v>
      </c>
      <c r="I508" t="s">
        <v>42</v>
      </c>
      <c r="J508" t="s">
        <v>36</v>
      </c>
      <c r="K508">
        <v>4</v>
      </c>
      <c r="L508">
        <v>1</v>
      </c>
      <c r="M508">
        <v>2</v>
      </c>
      <c r="N508">
        <v>2</v>
      </c>
      <c r="O508">
        <v>1</v>
      </c>
      <c r="P508">
        <v>1</v>
      </c>
      <c r="Q508">
        <v>5</v>
      </c>
      <c r="R508">
        <v>5</v>
      </c>
      <c r="S508">
        <v>2</v>
      </c>
      <c r="T508">
        <v>1</v>
      </c>
      <c r="U508" t="s">
        <v>37</v>
      </c>
      <c r="V508" t="s">
        <v>58</v>
      </c>
      <c r="W508" t="s">
        <v>32</v>
      </c>
      <c r="X508" t="s">
        <v>40</v>
      </c>
      <c r="Y508">
        <v>52</v>
      </c>
      <c r="Z508" s="1">
        <v>45218</v>
      </c>
      <c r="AA508" t="str" cm="1">
        <f t="array" ref="AA508">_xlfn.IFS(AND(Table2[[#This Row],[Guest_Age]]&gt;=18,Table2[[#This Row],[Guest_Age]]&lt;=25),"Young Adults",AND(Table2[[#This Row],[Guest_Age]]&gt;=26,Table2[[#This Row],[Guest_Age]]&lt;=35),"Adults",AND(Table2[[#This Row],[Guest_Age]]&gt;=36,Table2[[#This Row],[Guest_Age]]&lt;=50),"Middle Aged Adults",Table2[[#This Row],[Guest_Age]]&gt;50,"Senior")</f>
        <v>Senior</v>
      </c>
      <c r="AB5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508" t="str" cm="1">
        <f t="array" ref="AC508">_xlfn.IFS(Table2[[#This Row],[Satification_points]]&gt;=4.5,"GREAT",AND(Table2[[#This Row],[Satification_points]]&gt;=4,Table2[[#This Row],[Satification_points]]&lt;4.5),"GOOD",AND(Table2[[#This Row],[Satification_points]]&gt;=3,Table2[[#This Row],[Satification_points]]&lt;4),"AVERAGE",Table2[[#This Row],[Satification_points]]&lt;3,"POOR")</f>
        <v>POOR</v>
      </c>
    </row>
    <row r="509" spans="1:29" x14ac:dyDescent="0.3">
      <c r="A509">
        <v>508</v>
      </c>
      <c r="B509">
        <v>96585</v>
      </c>
      <c r="C509" t="s">
        <v>564</v>
      </c>
      <c r="D509" t="s">
        <v>51</v>
      </c>
      <c r="E509" t="s">
        <v>52</v>
      </c>
      <c r="F509" s="1">
        <v>45363</v>
      </c>
      <c r="G509" s="1">
        <v>45364</v>
      </c>
      <c r="H509">
        <v>14</v>
      </c>
      <c r="I509" t="s">
        <v>42</v>
      </c>
      <c r="J509" t="s">
        <v>40</v>
      </c>
      <c r="K509">
        <v>5</v>
      </c>
      <c r="L509">
        <v>4</v>
      </c>
      <c r="M509">
        <v>2</v>
      </c>
      <c r="N509">
        <v>1</v>
      </c>
      <c r="O509">
        <v>5</v>
      </c>
      <c r="P509">
        <v>4</v>
      </c>
      <c r="Q509">
        <v>5</v>
      </c>
      <c r="R509">
        <v>3</v>
      </c>
      <c r="S509">
        <v>2</v>
      </c>
      <c r="T509">
        <v>3</v>
      </c>
      <c r="U509" t="s">
        <v>30</v>
      </c>
      <c r="V509" t="s">
        <v>38</v>
      </c>
      <c r="W509" t="s">
        <v>47</v>
      </c>
      <c r="X509" t="s">
        <v>33</v>
      </c>
      <c r="Y509">
        <v>55</v>
      </c>
      <c r="Z509" s="1">
        <v>45595</v>
      </c>
      <c r="AA509" t="str" cm="1">
        <f t="array" ref="AA509">_xlfn.IFS(AND(Table2[[#This Row],[Guest_Age]]&gt;=18,Table2[[#This Row],[Guest_Age]]&lt;=25),"Young Adults",AND(Table2[[#This Row],[Guest_Age]]&gt;=26,Table2[[#This Row],[Guest_Age]]&lt;=35),"Adults",AND(Table2[[#This Row],[Guest_Age]]&gt;=36,Table2[[#This Row],[Guest_Age]]&lt;=50),"Middle Aged Adults",Table2[[#This Row],[Guest_Age]]&gt;50,"Senior")</f>
        <v>Senior</v>
      </c>
      <c r="AB5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09" t="str" cm="1">
        <f t="array" ref="AC509">_xlfn.IFS(Table2[[#This Row],[Satification_points]]&gt;=4.5,"GREAT",AND(Table2[[#This Row],[Satification_points]]&gt;=4,Table2[[#This Row],[Satification_points]]&lt;4.5),"GOOD",AND(Table2[[#This Row],[Satification_points]]&gt;=3,Table2[[#This Row],[Satification_points]]&lt;4),"AVERAGE",Table2[[#This Row],[Satification_points]]&lt;3,"POOR")</f>
        <v>AVERAGE</v>
      </c>
    </row>
    <row r="510" spans="1:29" x14ac:dyDescent="0.3">
      <c r="A510">
        <v>509</v>
      </c>
      <c r="B510">
        <v>77730</v>
      </c>
      <c r="C510" t="s">
        <v>565</v>
      </c>
      <c r="D510" t="s">
        <v>41</v>
      </c>
      <c r="E510" t="s">
        <v>27</v>
      </c>
      <c r="F510" s="1">
        <v>45028</v>
      </c>
      <c r="G510" s="1">
        <v>45304</v>
      </c>
      <c r="H510">
        <v>8</v>
      </c>
      <c r="I510" t="s">
        <v>50</v>
      </c>
      <c r="J510" t="s">
        <v>40</v>
      </c>
      <c r="K510">
        <v>1</v>
      </c>
      <c r="L510">
        <v>2</v>
      </c>
      <c r="M510">
        <v>3</v>
      </c>
      <c r="N510">
        <v>1</v>
      </c>
      <c r="O510">
        <v>1</v>
      </c>
      <c r="P510">
        <v>4</v>
      </c>
      <c r="Q510">
        <v>3</v>
      </c>
      <c r="R510">
        <v>3</v>
      </c>
      <c r="S510">
        <v>1</v>
      </c>
      <c r="T510">
        <v>4</v>
      </c>
      <c r="U510" t="s">
        <v>30</v>
      </c>
      <c r="V510" t="s">
        <v>58</v>
      </c>
      <c r="W510" t="s">
        <v>39</v>
      </c>
      <c r="X510" t="s">
        <v>40</v>
      </c>
      <c r="Y510">
        <v>57</v>
      </c>
      <c r="Z510" s="1">
        <v>45358</v>
      </c>
      <c r="AA510" t="str" cm="1">
        <f t="array" ref="AA510">_xlfn.IFS(AND(Table2[[#This Row],[Guest_Age]]&gt;=18,Table2[[#This Row],[Guest_Age]]&lt;=25),"Young Adults",AND(Table2[[#This Row],[Guest_Age]]&gt;=26,Table2[[#This Row],[Guest_Age]]&lt;=35),"Adults",AND(Table2[[#This Row],[Guest_Age]]&gt;=36,Table2[[#This Row],[Guest_Age]]&lt;=50),"Middle Aged Adults",Table2[[#This Row],[Guest_Age]]&gt;50,"Senior")</f>
        <v>Senior</v>
      </c>
      <c r="AB5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510" t="str" cm="1">
        <f t="array" ref="AC510">_xlfn.IFS(Table2[[#This Row],[Satification_points]]&gt;=4.5,"GREAT",AND(Table2[[#This Row],[Satification_points]]&gt;=4,Table2[[#This Row],[Satification_points]]&lt;4.5),"GOOD",AND(Table2[[#This Row],[Satification_points]]&gt;=3,Table2[[#This Row],[Satification_points]]&lt;4),"AVERAGE",Table2[[#This Row],[Satification_points]]&lt;3,"POOR")</f>
        <v>POOR</v>
      </c>
    </row>
    <row r="511" spans="1:29" x14ac:dyDescent="0.3">
      <c r="A511">
        <v>510</v>
      </c>
      <c r="B511">
        <v>92879</v>
      </c>
      <c r="C511" t="s">
        <v>566</v>
      </c>
      <c r="D511" t="s">
        <v>48</v>
      </c>
      <c r="E511" t="s">
        <v>27</v>
      </c>
      <c r="F511" s="1">
        <v>44936</v>
      </c>
      <c r="G511" s="1">
        <v>45418</v>
      </c>
      <c r="H511">
        <v>5</v>
      </c>
      <c r="I511" t="s">
        <v>50</v>
      </c>
      <c r="J511" t="s">
        <v>43</v>
      </c>
      <c r="K511">
        <v>4</v>
      </c>
      <c r="L511">
        <v>1</v>
      </c>
      <c r="M511">
        <v>2</v>
      </c>
      <c r="N511">
        <v>4</v>
      </c>
      <c r="O511">
        <v>1</v>
      </c>
      <c r="P511">
        <v>4</v>
      </c>
      <c r="Q511">
        <v>2</v>
      </c>
      <c r="R511">
        <v>1</v>
      </c>
      <c r="S511">
        <v>5</v>
      </c>
      <c r="T511">
        <v>1</v>
      </c>
      <c r="U511" t="s">
        <v>37</v>
      </c>
      <c r="V511" t="s">
        <v>38</v>
      </c>
      <c r="W511" t="s">
        <v>55</v>
      </c>
      <c r="X511" t="s">
        <v>44</v>
      </c>
      <c r="Y511">
        <v>65</v>
      </c>
      <c r="Z511" s="1">
        <v>45585</v>
      </c>
      <c r="AA511" t="str" cm="1">
        <f t="array" ref="AA511">_xlfn.IFS(AND(Table2[[#This Row],[Guest_Age]]&gt;=18,Table2[[#This Row],[Guest_Age]]&lt;=25),"Young Adults",AND(Table2[[#This Row],[Guest_Age]]&gt;=26,Table2[[#This Row],[Guest_Age]]&lt;=35),"Adults",AND(Table2[[#This Row],[Guest_Age]]&gt;=36,Table2[[#This Row],[Guest_Age]]&lt;=50),"Middle Aged Adults",Table2[[#This Row],[Guest_Age]]&gt;50,"Senior")</f>
        <v>Senior</v>
      </c>
      <c r="AB5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11" t="str" cm="1">
        <f t="array" ref="AC511">_xlfn.IFS(Table2[[#This Row],[Satification_points]]&gt;=4.5,"GREAT",AND(Table2[[#This Row],[Satification_points]]&gt;=4,Table2[[#This Row],[Satification_points]]&lt;4.5),"GOOD",AND(Table2[[#This Row],[Satification_points]]&gt;=3,Table2[[#This Row],[Satification_points]]&lt;4),"AVERAGE",Table2[[#This Row],[Satification_points]]&lt;3,"POOR")</f>
        <v>POOR</v>
      </c>
    </row>
    <row r="512" spans="1:29" x14ac:dyDescent="0.3">
      <c r="A512">
        <v>511</v>
      </c>
      <c r="B512">
        <v>39439</v>
      </c>
      <c r="C512" t="s">
        <v>567</v>
      </c>
      <c r="D512" t="s">
        <v>26</v>
      </c>
      <c r="E512" t="s">
        <v>45</v>
      </c>
      <c r="F512" s="1">
        <v>44967</v>
      </c>
      <c r="G512" s="1">
        <v>44980</v>
      </c>
      <c r="H512">
        <v>5</v>
      </c>
      <c r="I512" t="s">
        <v>28</v>
      </c>
      <c r="J512" t="s">
        <v>40</v>
      </c>
      <c r="K512">
        <v>5</v>
      </c>
      <c r="L512">
        <v>5</v>
      </c>
      <c r="M512">
        <v>2</v>
      </c>
      <c r="N512">
        <v>1</v>
      </c>
      <c r="O512">
        <v>4</v>
      </c>
      <c r="P512">
        <v>2</v>
      </c>
      <c r="Q512">
        <v>5</v>
      </c>
      <c r="R512">
        <v>5</v>
      </c>
      <c r="S512">
        <v>4</v>
      </c>
      <c r="T512">
        <v>5</v>
      </c>
      <c r="U512" t="s">
        <v>30</v>
      </c>
      <c r="V512" t="s">
        <v>58</v>
      </c>
      <c r="W512" t="s">
        <v>47</v>
      </c>
      <c r="X512" t="s">
        <v>44</v>
      </c>
      <c r="Y512">
        <v>23</v>
      </c>
      <c r="Z512" s="1">
        <v>45575</v>
      </c>
      <c r="AA512" t="str" cm="1">
        <f t="array" ref="AA512">_xlfn.IFS(AND(Table2[[#This Row],[Guest_Age]]&gt;=18,Table2[[#This Row],[Guest_Age]]&lt;=25),"Young Adults",AND(Table2[[#This Row],[Guest_Age]]&gt;=26,Table2[[#This Row],[Guest_Age]]&lt;=35),"Adults",AND(Table2[[#This Row],[Guest_Age]]&gt;=36,Table2[[#This Row],[Guest_Age]]&lt;=50),"Middle Aged Adults",Table2[[#This Row],[Guest_Age]]&gt;50,"Senior")</f>
        <v>Young Adults</v>
      </c>
      <c r="AB5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512" t="str" cm="1">
        <f t="array" ref="AC512">_xlfn.IFS(Table2[[#This Row],[Satification_points]]&gt;=4.5,"GREAT",AND(Table2[[#This Row],[Satification_points]]&gt;=4,Table2[[#This Row],[Satification_points]]&lt;4.5),"GOOD",AND(Table2[[#This Row],[Satification_points]]&gt;=3,Table2[[#This Row],[Satification_points]]&lt;4),"AVERAGE",Table2[[#This Row],[Satification_points]]&lt;3,"POOR")</f>
        <v>AVERAGE</v>
      </c>
    </row>
    <row r="513" spans="1:29" x14ac:dyDescent="0.3">
      <c r="A513">
        <v>512</v>
      </c>
      <c r="B513">
        <v>54592</v>
      </c>
      <c r="C513" t="s">
        <v>568</v>
      </c>
      <c r="D513" t="s">
        <v>26</v>
      </c>
      <c r="E513" t="s">
        <v>57</v>
      </c>
      <c r="F513" s="1">
        <v>45296</v>
      </c>
      <c r="G513" s="1">
        <v>45297</v>
      </c>
      <c r="H513">
        <v>9</v>
      </c>
      <c r="I513" t="s">
        <v>50</v>
      </c>
      <c r="J513" t="s">
        <v>40</v>
      </c>
      <c r="K513">
        <v>1</v>
      </c>
      <c r="L513">
        <v>4</v>
      </c>
      <c r="M513">
        <v>5</v>
      </c>
      <c r="N513">
        <v>5</v>
      </c>
      <c r="O513">
        <v>2</v>
      </c>
      <c r="P513">
        <v>1</v>
      </c>
      <c r="Q513">
        <v>5</v>
      </c>
      <c r="R513">
        <v>1</v>
      </c>
      <c r="S513">
        <v>3</v>
      </c>
      <c r="T513">
        <v>4</v>
      </c>
      <c r="U513" t="s">
        <v>30</v>
      </c>
      <c r="V513" t="s">
        <v>46</v>
      </c>
      <c r="W513" t="s">
        <v>56</v>
      </c>
      <c r="X513" t="s">
        <v>40</v>
      </c>
      <c r="Y513">
        <v>63</v>
      </c>
      <c r="Z513" s="1">
        <v>45510</v>
      </c>
      <c r="AA513" t="str" cm="1">
        <f t="array" ref="AA513">_xlfn.IFS(AND(Table2[[#This Row],[Guest_Age]]&gt;=18,Table2[[#This Row],[Guest_Age]]&lt;=25),"Young Adults",AND(Table2[[#This Row],[Guest_Age]]&gt;=26,Table2[[#This Row],[Guest_Age]]&lt;=35),"Adults",AND(Table2[[#This Row],[Guest_Age]]&gt;=36,Table2[[#This Row],[Guest_Age]]&lt;=50),"Middle Aged Adults",Table2[[#This Row],[Guest_Age]]&gt;50,"Senior")</f>
        <v>Senior</v>
      </c>
      <c r="AB5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13" t="str" cm="1">
        <f t="array" ref="AC513">_xlfn.IFS(Table2[[#This Row],[Satification_points]]&gt;=4.5,"GREAT",AND(Table2[[#This Row],[Satification_points]]&gt;=4,Table2[[#This Row],[Satification_points]]&lt;4.5),"GOOD",AND(Table2[[#This Row],[Satification_points]]&gt;=3,Table2[[#This Row],[Satification_points]]&lt;4),"AVERAGE",Table2[[#This Row],[Satification_points]]&lt;3,"POOR")</f>
        <v>AVERAGE</v>
      </c>
    </row>
    <row r="514" spans="1:29" x14ac:dyDescent="0.3">
      <c r="A514">
        <v>513</v>
      </c>
      <c r="B514">
        <v>56261</v>
      </c>
      <c r="C514" t="s">
        <v>569</v>
      </c>
      <c r="D514" t="s">
        <v>34</v>
      </c>
      <c r="E514" t="s">
        <v>45</v>
      </c>
      <c r="F514" s="1">
        <v>45052</v>
      </c>
      <c r="G514" s="1">
        <v>45258</v>
      </c>
      <c r="H514">
        <v>2</v>
      </c>
      <c r="I514" t="s">
        <v>42</v>
      </c>
      <c r="J514" t="s">
        <v>43</v>
      </c>
      <c r="K514">
        <v>3</v>
      </c>
      <c r="L514">
        <v>5</v>
      </c>
      <c r="M514">
        <v>4</v>
      </c>
      <c r="N514">
        <v>5</v>
      </c>
      <c r="O514">
        <v>1</v>
      </c>
      <c r="P514">
        <v>5</v>
      </c>
      <c r="Q514">
        <v>3</v>
      </c>
      <c r="R514">
        <v>4</v>
      </c>
      <c r="S514">
        <v>3</v>
      </c>
      <c r="T514">
        <v>3</v>
      </c>
      <c r="U514" t="s">
        <v>30</v>
      </c>
      <c r="V514" t="s">
        <v>38</v>
      </c>
      <c r="W514" t="s">
        <v>32</v>
      </c>
      <c r="X514" t="s">
        <v>33</v>
      </c>
      <c r="Y514">
        <v>27</v>
      </c>
      <c r="Z514" s="1">
        <v>45295</v>
      </c>
      <c r="AA514" t="str" cm="1">
        <f t="array" ref="AA514">_xlfn.IFS(AND(Table2[[#This Row],[Guest_Age]]&gt;=18,Table2[[#This Row],[Guest_Age]]&lt;=25),"Young Adults",AND(Table2[[#This Row],[Guest_Age]]&gt;=26,Table2[[#This Row],[Guest_Age]]&lt;=35),"Adults",AND(Table2[[#This Row],[Guest_Age]]&gt;=36,Table2[[#This Row],[Guest_Age]]&lt;=50),"Middle Aged Adults",Table2[[#This Row],[Guest_Age]]&gt;50,"Senior")</f>
        <v>Adults</v>
      </c>
      <c r="AB5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514" t="str" cm="1">
        <f t="array" ref="AC514">_xlfn.IFS(Table2[[#This Row],[Satification_points]]&gt;=4.5,"GREAT",AND(Table2[[#This Row],[Satification_points]]&gt;=4,Table2[[#This Row],[Satification_points]]&lt;4.5),"GOOD",AND(Table2[[#This Row],[Satification_points]]&gt;=3,Table2[[#This Row],[Satification_points]]&lt;4),"AVERAGE",Table2[[#This Row],[Satification_points]]&lt;3,"POOR")</f>
        <v>AVERAGE</v>
      </c>
    </row>
    <row r="515" spans="1:29" x14ac:dyDescent="0.3">
      <c r="A515">
        <v>514</v>
      </c>
      <c r="B515">
        <v>56652</v>
      </c>
      <c r="C515" t="s">
        <v>570</v>
      </c>
      <c r="D515" t="s">
        <v>48</v>
      </c>
      <c r="E515" t="s">
        <v>57</v>
      </c>
      <c r="F515" s="1">
        <v>45309</v>
      </c>
      <c r="G515" s="1">
        <v>45310</v>
      </c>
      <c r="H515">
        <v>10</v>
      </c>
      <c r="I515" t="s">
        <v>50</v>
      </c>
      <c r="J515" t="s">
        <v>43</v>
      </c>
      <c r="K515">
        <v>3</v>
      </c>
      <c r="L515">
        <v>3</v>
      </c>
      <c r="M515">
        <v>1</v>
      </c>
      <c r="N515">
        <v>2</v>
      </c>
      <c r="O515">
        <v>1</v>
      </c>
      <c r="P515">
        <v>2</v>
      </c>
      <c r="Q515">
        <v>2</v>
      </c>
      <c r="R515">
        <v>5</v>
      </c>
      <c r="S515">
        <v>3</v>
      </c>
      <c r="T515">
        <v>5</v>
      </c>
      <c r="U515" t="s">
        <v>30</v>
      </c>
      <c r="V515" t="s">
        <v>31</v>
      </c>
      <c r="W515" t="s">
        <v>56</v>
      </c>
      <c r="X515" t="s">
        <v>33</v>
      </c>
      <c r="Y515">
        <v>53</v>
      </c>
      <c r="Z515" s="1">
        <v>45310</v>
      </c>
      <c r="AA515" t="str" cm="1">
        <f t="array" ref="AA515">_xlfn.IFS(AND(Table2[[#This Row],[Guest_Age]]&gt;=18,Table2[[#This Row],[Guest_Age]]&lt;=25),"Young Adults",AND(Table2[[#This Row],[Guest_Age]]&gt;=26,Table2[[#This Row],[Guest_Age]]&lt;=35),"Adults",AND(Table2[[#This Row],[Guest_Age]]&gt;=36,Table2[[#This Row],[Guest_Age]]&lt;=50),"Middle Aged Adults",Table2[[#This Row],[Guest_Age]]&gt;50,"Senior")</f>
        <v>Senior</v>
      </c>
      <c r="AB5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15" t="str" cm="1">
        <f t="array" ref="AC515">_xlfn.IFS(Table2[[#This Row],[Satification_points]]&gt;=4.5,"GREAT",AND(Table2[[#This Row],[Satification_points]]&gt;=4,Table2[[#This Row],[Satification_points]]&lt;4.5),"GOOD",AND(Table2[[#This Row],[Satification_points]]&gt;=3,Table2[[#This Row],[Satification_points]]&lt;4),"AVERAGE",Table2[[#This Row],[Satification_points]]&lt;3,"POOR")</f>
        <v>POOR</v>
      </c>
    </row>
    <row r="516" spans="1:29" x14ac:dyDescent="0.3">
      <c r="A516">
        <v>515</v>
      </c>
      <c r="B516">
        <v>14538</v>
      </c>
      <c r="C516" t="s">
        <v>571</v>
      </c>
      <c r="D516" t="s">
        <v>48</v>
      </c>
      <c r="E516" t="s">
        <v>27</v>
      </c>
      <c r="F516" s="1">
        <v>45253</v>
      </c>
      <c r="G516" s="1">
        <v>45287</v>
      </c>
      <c r="H516">
        <v>11</v>
      </c>
      <c r="I516" t="s">
        <v>28</v>
      </c>
      <c r="J516" t="s">
        <v>53</v>
      </c>
      <c r="K516">
        <v>3</v>
      </c>
      <c r="L516">
        <v>1</v>
      </c>
      <c r="M516">
        <v>5</v>
      </c>
      <c r="N516">
        <v>1</v>
      </c>
      <c r="O516">
        <v>5</v>
      </c>
      <c r="P516">
        <v>1</v>
      </c>
      <c r="Q516">
        <v>3</v>
      </c>
      <c r="R516">
        <v>1</v>
      </c>
      <c r="S516">
        <v>4</v>
      </c>
      <c r="T516">
        <v>5</v>
      </c>
      <c r="U516" t="s">
        <v>37</v>
      </c>
      <c r="V516" t="s">
        <v>46</v>
      </c>
      <c r="W516" t="s">
        <v>55</v>
      </c>
      <c r="X516" t="s">
        <v>33</v>
      </c>
      <c r="Y516">
        <v>61</v>
      </c>
      <c r="Z516" s="1">
        <v>45408</v>
      </c>
      <c r="AA516" t="str" cm="1">
        <f t="array" ref="AA516">_xlfn.IFS(AND(Table2[[#This Row],[Guest_Age]]&gt;=18,Table2[[#This Row],[Guest_Age]]&lt;=25),"Young Adults",AND(Table2[[#This Row],[Guest_Age]]&gt;=26,Table2[[#This Row],[Guest_Age]]&lt;=35),"Adults",AND(Table2[[#This Row],[Guest_Age]]&gt;=36,Table2[[#This Row],[Guest_Age]]&lt;=50),"Middle Aged Adults",Table2[[#This Row],[Guest_Age]]&gt;50,"Senior")</f>
        <v>Senior</v>
      </c>
      <c r="AB5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16" t="str" cm="1">
        <f t="array" ref="AC516">_xlfn.IFS(Table2[[#This Row],[Satification_points]]&gt;=4.5,"GREAT",AND(Table2[[#This Row],[Satification_points]]&gt;=4,Table2[[#This Row],[Satification_points]]&lt;4.5),"GOOD",AND(Table2[[#This Row],[Satification_points]]&gt;=3,Table2[[#This Row],[Satification_points]]&lt;4),"AVERAGE",Table2[[#This Row],[Satification_points]]&lt;3,"POOR")</f>
        <v>POOR</v>
      </c>
    </row>
    <row r="517" spans="1:29" x14ac:dyDescent="0.3">
      <c r="A517">
        <v>516</v>
      </c>
      <c r="B517">
        <v>30442</v>
      </c>
      <c r="C517" t="s">
        <v>572</v>
      </c>
      <c r="D517" t="s">
        <v>48</v>
      </c>
      <c r="E517" t="s">
        <v>57</v>
      </c>
      <c r="F517" s="1">
        <v>45376</v>
      </c>
      <c r="G517" s="1">
        <v>45377</v>
      </c>
      <c r="H517">
        <v>2</v>
      </c>
      <c r="I517" t="s">
        <v>50</v>
      </c>
      <c r="J517" t="s">
        <v>40</v>
      </c>
      <c r="K517">
        <v>5</v>
      </c>
      <c r="L517">
        <v>3</v>
      </c>
      <c r="M517">
        <v>4</v>
      </c>
      <c r="N517">
        <v>4</v>
      </c>
      <c r="O517">
        <v>3</v>
      </c>
      <c r="P517">
        <v>1</v>
      </c>
      <c r="Q517">
        <v>5</v>
      </c>
      <c r="R517">
        <v>5</v>
      </c>
      <c r="S517">
        <v>3</v>
      </c>
      <c r="T517">
        <v>5</v>
      </c>
      <c r="U517" t="s">
        <v>30</v>
      </c>
      <c r="V517" t="s">
        <v>54</v>
      </c>
      <c r="W517" t="s">
        <v>39</v>
      </c>
      <c r="X517" t="s">
        <v>40</v>
      </c>
      <c r="Y517">
        <v>24</v>
      </c>
      <c r="Z517" s="1">
        <v>45377</v>
      </c>
      <c r="AA517" t="str" cm="1">
        <f t="array" ref="AA517">_xlfn.IFS(AND(Table2[[#This Row],[Guest_Age]]&gt;=18,Table2[[#This Row],[Guest_Age]]&lt;=25),"Young Adults",AND(Table2[[#This Row],[Guest_Age]]&gt;=26,Table2[[#This Row],[Guest_Age]]&lt;=35),"Adults",AND(Table2[[#This Row],[Guest_Age]]&gt;=36,Table2[[#This Row],[Guest_Age]]&lt;=50),"Middle Aged Adults",Table2[[#This Row],[Guest_Age]]&gt;50,"Senior")</f>
        <v>Young Adults</v>
      </c>
      <c r="AB5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517" t="str" cm="1">
        <f t="array" ref="AC517">_xlfn.IFS(Table2[[#This Row],[Satification_points]]&gt;=4.5,"GREAT",AND(Table2[[#This Row],[Satification_points]]&gt;=4,Table2[[#This Row],[Satification_points]]&lt;4.5),"GOOD",AND(Table2[[#This Row],[Satification_points]]&gt;=3,Table2[[#This Row],[Satification_points]]&lt;4),"AVERAGE",Table2[[#This Row],[Satification_points]]&lt;3,"POOR")</f>
        <v>AVERAGE</v>
      </c>
    </row>
    <row r="518" spans="1:29" x14ac:dyDescent="0.3">
      <c r="A518">
        <v>517</v>
      </c>
      <c r="B518">
        <v>14842</v>
      </c>
      <c r="C518" t="s">
        <v>573</v>
      </c>
      <c r="D518" t="s">
        <v>26</v>
      </c>
      <c r="E518" t="s">
        <v>45</v>
      </c>
      <c r="F518" s="1">
        <v>45449</v>
      </c>
      <c r="G518" s="1">
        <v>45450</v>
      </c>
      <c r="H518">
        <v>5</v>
      </c>
      <c r="I518" t="s">
        <v>50</v>
      </c>
      <c r="J518" t="s">
        <v>29</v>
      </c>
      <c r="K518">
        <v>2</v>
      </c>
      <c r="L518">
        <v>3</v>
      </c>
      <c r="M518">
        <v>1</v>
      </c>
      <c r="N518">
        <v>1</v>
      </c>
      <c r="O518">
        <v>5</v>
      </c>
      <c r="P518">
        <v>5</v>
      </c>
      <c r="Q518">
        <v>1</v>
      </c>
      <c r="R518">
        <v>5</v>
      </c>
      <c r="S518">
        <v>1</v>
      </c>
      <c r="T518">
        <v>3</v>
      </c>
      <c r="U518" t="s">
        <v>30</v>
      </c>
      <c r="V518" t="s">
        <v>46</v>
      </c>
      <c r="W518" t="s">
        <v>56</v>
      </c>
      <c r="X518" t="s">
        <v>40</v>
      </c>
      <c r="Y518">
        <v>24</v>
      </c>
      <c r="Z518" s="1">
        <v>45450</v>
      </c>
      <c r="AA518" t="str" cm="1">
        <f t="array" ref="AA518">_xlfn.IFS(AND(Table2[[#This Row],[Guest_Age]]&gt;=18,Table2[[#This Row],[Guest_Age]]&lt;=25),"Young Adults",AND(Table2[[#This Row],[Guest_Age]]&gt;=26,Table2[[#This Row],[Guest_Age]]&lt;=35),"Adults",AND(Table2[[#This Row],[Guest_Age]]&gt;=36,Table2[[#This Row],[Guest_Age]]&lt;=50),"Middle Aged Adults",Table2[[#This Row],[Guest_Age]]&gt;50,"Senior")</f>
        <v>Young Adults</v>
      </c>
      <c r="AB5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18" t="str" cm="1">
        <f t="array" ref="AC518">_xlfn.IFS(Table2[[#This Row],[Satification_points]]&gt;=4.5,"GREAT",AND(Table2[[#This Row],[Satification_points]]&gt;=4,Table2[[#This Row],[Satification_points]]&lt;4.5),"GOOD",AND(Table2[[#This Row],[Satification_points]]&gt;=3,Table2[[#This Row],[Satification_points]]&lt;4),"AVERAGE",Table2[[#This Row],[Satification_points]]&lt;3,"POOR")</f>
        <v>POOR</v>
      </c>
    </row>
    <row r="519" spans="1:29" x14ac:dyDescent="0.3">
      <c r="A519">
        <v>518</v>
      </c>
      <c r="B519">
        <v>60951</v>
      </c>
      <c r="C519" t="s">
        <v>574</v>
      </c>
      <c r="D519" t="s">
        <v>26</v>
      </c>
      <c r="E519" t="s">
        <v>35</v>
      </c>
      <c r="F519" s="1">
        <v>45633</v>
      </c>
      <c r="G519" s="1">
        <v>45634</v>
      </c>
      <c r="H519">
        <v>1</v>
      </c>
      <c r="I519" t="s">
        <v>28</v>
      </c>
      <c r="J519" t="s">
        <v>29</v>
      </c>
      <c r="K519">
        <v>3</v>
      </c>
      <c r="L519">
        <v>3</v>
      </c>
      <c r="M519">
        <v>3</v>
      </c>
      <c r="N519">
        <v>4</v>
      </c>
      <c r="O519">
        <v>3</v>
      </c>
      <c r="P519">
        <v>3</v>
      </c>
      <c r="Q519">
        <v>5</v>
      </c>
      <c r="R519">
        <v>2</v>
      </c>
      <c r="S519">
        <v>2</v>
      </c>
      <c r="T519">
        <v>1</v>
      </c>
      <c r="U519" t="s">
        <v>30</v>
      </c>
      <c r="V519" t="s">
        <v>31</v>
      </c>
      <c r="W519" t="s">
        <v>55</v>
      </c>
      <c r="X519" t="s">
        <v>33</v>
      </c>
      <c r="Y519">
        <v>46</v>
      </c>
      <c r="Z519" s="1">
        <v>45634</v>
      </c>
      <c r="AA519" t="str" cm="1">
        <f t="array" ref="AA5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5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19" t="str" cm="1">
        <f t="array" ref="AC519">_xlfn.IFS(Table2[[#This Row],[Satification_points]]&gt;=4.5,"GREAT",AND(Table2[[#This Row],[Satification_points]]&gt;=4,Table2[[#This Row],[Satification_points]]&lt;4.5),"GOOD",AND(Table2[[#This Row],[Satification_points]]&gt;=3,Table2[[#This Row],[Satification_points]]&lt;4),"AVERAGE",Table2[[#This Row],[Satification_points]]&lt;3,"POOR")</f>
        <v>POOR</v>
      </c>
    </row>
    <row r="520" spans="1:29" x14ac:dyDescent="0.3">
      <c r="A520">
        <v>519</v>
      </c>
      <c r="B520">
        <v>50338</v>
      </c>
      <c r="C520" t="s">
        <v>575</v>
      </c>
      <c r="D520" t="s">
        <v>26</v>
      </c>
      <c r="E520" t="s">
        <v>35</v>
      </c>
      <c r="F520" s="1">
        <v>45458</v>
      </c>
      <c r="G520" s="1">
        <v>45459</v>
      </c>
      <c r="H520">
        <v>11</v>
      </c>
      <c r="I520" t="s">
        <v>28</v>
      </c>
      <c r="J520" t="s">
        <v>29</v>
      </c>
      <c r="K520">
        <v>3</v>
      </c>
      <c r="L520">
        <v>1</v>
      </c>
      <c r="M520">
        <v>4</v>
      </c>
      <c r="N520">
        <v>2</v>
      </c>
      <c r="O520">
        <v>3</v>
      </c>
      <c r="P520">
        <v>5</v>
      </c>
      <c r="Q520">
        <v>1</v>
      </c>
      <c r="R520">
        <v>1</v>
      </c>
      <c r="S520">
        <v>3</v>
      </c>
      <c r="T520">
        <v>4</v>
      </c>
      <c r="U520" t="s">
        <v>30</v>
      </c>
      <c r="V520" t="s">
        <v>58</v>
      </c>
      <c r="W520" t="s">
        <v>56</v>
      </c>
      <c r="X520" t="s">
        <v>44</v>
      </c>
      <c r="Y520">
        <v>33</v>
      </c>
      <c r="Z520" s="1">
        <v>45459</v>
      </c>
      <c r="AA520" t="str" cm="1">
        <f t="array" ref="AA520">_xlfn.IFS(AND(Table2[[#This Row],[Guest_Age]]&gt;=18,Table2[[#This Row],[Guest_Age]]&lt;=25),"Young Adults",AND(Table2[[#This Row],[Guest_Age]]&gt;=26,Table2[[#This Row],[Guest_Age]]&lt;=35),"Adults",AND(Table2[[#This Row],[Guest_Age]]&gt;=36,Table2[[#This Row],[Guest_Age]]&lt;=50),"Middle Aged Adults",Table2[[#This Row],[Guest_Age]]&gt;50,"Senior")</f>
        <v>Adults</v>
      </c>
      <c r="AB5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20" t="str" cm="1">
        <f t="array" ref="AC520">_xlfn.IFS(Table2[[#This Row],[Satification_points]]&gt;=4.5,"GREAT",AND(Table2[[#This Row],[Satification_points]]&gt;=4,Table2[[#This Row],[Satification_points]]&lt;4.5),"GOOD",AND(Table2[[#This Row],[Satification_points]]&gt;=3,Table2[[#This Row],[Satification_points]]&lt;4),"AVERAGE",Table2[[#This Row],[Satification_points]]&lt;3,"POOR")</f>
        <v>POOR</v>
      </c>
    </row>
    <row r="521" spans="1:29" x14ac:dyDescent="0.3">
      <c r="A521">
        <v>520</v>
      </c>
      <c r="B521">
        <v>51464</v>
      </c>
      <c r="C521" t="s">
        <v>576</v>
      </c>
      <c r="D521" t="s">
        <v>51</v>
      </c>
      <c r="E521" t="s">
        <v>57</v>
      </c>
      <c r="F521" s="1">
        <v>45199</v>
      </c>
      <c r="G521" s="1">
        <v>45338</v>
      </c>
      <c r="H521">
        <v>5</v>
      </c>
      <c r="I521" t="s">
        <v>28</v>
      </c>
      <c r="J521" t="s">
        <v>43</v>
      </c>
      <c r="K521">
        <v>3</v>
      </c>
      <c r="L521">
        <v>4</v>
      </c>
      <c r="M521">
        <v>1</v>
      </c>
      <c r="N521">
        <v>5</v>
      </c>
      <c r="O521">
        <v>3</v>
      </c>
      <c r="P521">
        <v>5</v>
      </c>
      <c r="Q521">
        <v>4</v>
      </c>
      <c r="R521">
        <v>5</v>
      </c>
      <c r="S521">
        <v>2</v>
      </c>
      <c r="T521">
        <v>1</v>
      </c>
      <c r="U521" t="s">
        <v>30</v>
      </c>
      <c r="V521" t="s">
        <v>38</v>
      </c>
      <c r="W521" t="s">
        <v>32</v>
      </c>
      <c r="X521" t="s">
        <v>44</v>
      </c>
      <c r="Y521">
        <v>18</v>
      </c>
      <c r="Z521" s="1">
        <v>45338</v>
      </c>
      <c r="AA521" t="str" cm="1">
        <f t="array" ref="AA521">_xlfn.IFS(AND(Table2[[#This Row],[Guest_Age]]&gt;=18,Table2[[#This Row],[Guest_Age]]&lt;=25),"Young Adults",AND(Table2[[#This Row],[Guest_Age]]&gt;=26,Table2[[#This Row],[Guest_Age]]&lt;=35),"Adults",AND(Table2[[#This Row],[Guest_Age]]&gt;=36,Table2[[#This Row],[Guest_Age]]&lt;=50),"Middle Aged Adults",Table2[[#This Row],[Guest_Age]]&gt;50,"Senior")</f>
        <v>Young Adults</v>
      </c>
      <c r="AB5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21" t="str" cm="1">
        <f t="array" ref="AC521">_xlfn.IFS(Table2[[#This Row],[Satification_points]]&gt;=4.5,"GREAT",AND(Table2[[#This Row],[Satification_points]]&gt;=4,Table2[[#This Row],[Satification_points]]&lt;4.5),"GOOD",AND(Table2[[#This Row],[Satification_points]]&gt;=3,Table2[[#This Row],[Satification_points]]&lt;4),"AVERAGE",Table2[[#This Row],[Satification_points]]&lt;3,"POOR")</f>
        <v>AVERAGE</v>
      </c>
    </row>
    <row r="522" spans="1:29" x14ac:dyDescent="0.3">
      <c r="A522">
        <v>521</v>
      </c>
      <c r="B522">
        <v>92639</v>
      </c>
      <c r="C522" t="s">
        <v>577</v>
      </c>
      <c r="D522" t="s">
        <v>51</v>
      </c>
      <c r="E522" t="s">
        <v>35</v>
      </c>
      <c r="F522" s="1">
        <v>45428</v>
      </c>
      <c r="G522" s="1">
        <v>45429</v>
      </c>
      <c r="H522">
        <v>5</v>
      </c>
      <c r="I522" t="s">
        <v>42</v>
      </c>
      <c r="J522" t="s">
        <v>40</v>
      </c>
      <c r="K522">
        <v>5</v>
      </c>
      <c r="L522">
        <v>5</v>
      </c>
      <c r="M522">
        <v>5</v>
      </c>
      <c r="N522">
        <v>1</v>
      </c>
      <c r="O522">
        <v>4</v>
      </c>
      <c r="P522">
        <v>1</v>
      </c>
      <c r="Q522">
        <v>2</v>
      </c>
      <c r="R522">
        <v>3</v>
      </c>
      <c r="S522">
        <v>1</v>
      </c>
      <c r="T522">
        <v>3</v>
      </c>
      <c r="U522" t="s">
        <v>37</v>
      </c>
      <c r="V522" t="s">
        <v>58</v>
      </c>
      <c r="W522" t="s">
        <v>56</v>
      </c>
      <c r="X522" t="s">
        <v>33</v>
      </c>
      <c r="Y522">
        <v>65</v>
      </c>
      <c r="Z522" s="1">
        <v>45429</v>
      </c>
      <c r="AA522" t="str" cm="1">
        <f t="array" ref="AA522">_xlfn.IFS(AND(Table2[[#This Row],[Guest_Age]]&gt;=18,Table2[[#This Row],[Guest_Age]]&lt;=25),"Young Adults",AND(Table2[[#This Row],[Guest_Age]]&gt;=26,Table2[[#This Row],[Guest_Age]]&lt;=35),"Adults",AND(Table2[[#This Row],[Guest_Age]]&gt;=36,Table2[[#This Row],[Guest_Age]]&lt;=50),"Middle Aged Adults",Table2[[#This Row],[Guest_Age]]&gt;50,"Senior")</f>
        <v>Senior</v>
      </c>
      <c r="AB5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22" t="str" cm="1">
        <f t="array" ref="AC522">_xlfn.IFS(Table2[[#This Row],[Satification_points]]&gt;=4.5,"GREAT",AND(Table2[[#This Row],[Satification_points]]&gt;=4,Table2[[#This Row],[Satification_points]]&lt;4.5),"GOOD",AND(Table2[[#This Row],[Satification_points]]&gt;=3,Table2[[#This Row],[Satification_points]]&lt;4),"AVERAGE",Table2[[#This Row],[Satification_points]]&lt;3,"POOR")</f>
        <v>AVERAGE</v>
      </c>
    </row>
    <row r="523" spans="1:29" x14ac:dyDescent="0.3">
      <c r="A523">
        <v>522</v>
      </c>
      <c r="B523">
        <v>15773</v>
      </c>
      <c r="C523" t="s">
        <v>578</v>
      </c>
      <c r="D523" t="s">
        <v>26</v>
      </c>
      <c r="E523" t="s">
        <v>52</v>
      </c>
      <c r="F523" s="1">
        <v>45413</v>
      </c>
      <c r="G523" s="1">
        <v>45432</v>
      </c>
      <c r="H523">
        <v>8</v>
      </c>
      <c r="I523" t="s">
        <v>42</v>
      </c>
      <c r="J523" t="s">
        <v>53</v>
      </c>
      <c r="K523">
        <v>1</v>
      </c>
      <c r="L523">
        <v>4</v>
      </c>
      <c r="M523">
        <v>1</v>
      </c>
      <c r="N523">
        <v>1</v>
      </c>
      <c r="O523">
        <v>4</v>
      </c>
      <c r="P523">
        <v>3</v>
      </c>
      <c r="Q523">
        <v>4</v>
      </c>
      <c r="R523">
        <v>3</v>
      </c>
      <c r="S523">
        <v>5</v>
      </c>
      <c r="T523">
        <v>2</v>
      </c>
      <c r="U523" t="s">
        <v>37</v>
      </c>
      <c r="V523" t="s">
        <v>58</v>
      </c>
      <c r="W523" t="s">
        <v>32</v>
      </c>
      <c r="X523" t="s">
        <v>40</v>
      </c>
      <c r="Y523">
        <v>52</v>
      </c>
      <c r="Z523" s="1">
        <v>45432</v>
      </c>
      <c r="AA523" t="str" cm="1">
        <f t="array" ref="AA523">_xlfn.IFS(AND(Table2[[#This Row],[Guest_Age]]&gt;=18,Table2[[#This Row],[Guest_Age]]&lt;=25),"Young Adults",AND(Table2[[#This Row],[Guest_Age]]&gt;=26,Table2[[#This Row],[Guest_Age]]&lt;=35),"Adults",AND(Table2[[#This Row],[Guest_Age]]&gt;=36,Table2[[#This Row],[Guest_Age]]&lt;=50),"Middle Aged Adults",Table2[[#This Row],[Guest_Age]]&gt;50,"Senior")</f>
        <v>Senior</v>
      </c>
      <c r="AB5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23" t="str" cm="1">
        <f t="array" ref="AC523">_xlfn.IFS(Table2[[#This Row],[Satification_points]]&gt;=4.5,"GREAT",AND(Table2[[#This Row],[Satification_points]]&gt;=4,Table2[[#This Row],[Satification_points]]&lt;4.5),"GOOD",AND(Table2[[#This Row],[Satification_points]]&gt;=3,Table2[[#This Row],[Satification_points]]&lt;4),"AVERAGE",Table2[[#This Row],[Satification_points]]&lt;3,"POOR")</f>
        <v>POOR</v>
      </c>
    </row>
    <row r="524" spans="1:29" x14ac:dyDescent="0.3">
      <c r="A524">
        <v>523</v>
      </c>
      <c r="B524">
        <v>68218</v>
      </c>
      <c r="C524" t="s">
        <v>579</v>
      </c>
      <c r="D524" t="s">
        <v>41</v>
      </c>
      <c r="E524" t="s">
        <v>35</v>
      </c>
      <c r="F524" s="1">
        <v>45153</v>
      </c>
      <c r="G524" s="1">
        <v>45154</v>
      </c>
      <c r="H524">
        <v>6</v>
      </c>
      <c r="I524" t="s">
        <v>50</v>
      </c>
      <c r="J524" t="s">
        <v>40</v>
      </c>
      <c r="K524">
        <v>4</v>
      </c>
      <c r="L524">
        <v>4</v>
      </c>
      <c r="M524">
        <v>2</v>
      </c>
      <c r="N524">
        <v>5</v>
      </c>
      <c r="O524">
        <v>2</v>
      </c>
      <c r="P524">
        <v>3</v>
      </c>
      <c r="Q524">
        <v>3</v>
      </c>
      <c r="R524">
        <v>2</v>
      </c>
      <c r="S524">
        <v>5</v>
      </c>
      <c r="T524">
        <v>4</v>
      </c>
      <c r="U524" t="s">
        <v>30</v>
      </c>
      <c r="V524" t="s">
        <v>38</v>
      </c>
      <c r="W524" t="s">
        <v>32</v>
      </c>
      <c r="X524" t="s">
        <v>33</v>
      </c>
      <c r="Y524">
        <v>64</v>
      </c>
      <c r="Z524" s="1">
        <v>45294</v>
      </c>
      <c r="AA524" t="str" cm="1">
        <f t="array" ref="AA524">_xlfn.IFS(AND(Table2[[#This Row],[Guest_Age]]&gt;=18,Table2[[#This Row],[Guest_Age]]&lt;=25),"Young Adults",AND(Table2[[#This Row],[Guest_Age]]&gt;=26,Table2[[#This Row],[Guest_Age]]&lt;=35),"Adults",AND(Table2[[#This Row],[Guest_Age]]&gt;=36,Table2[[#This Row],[Guest_Age]]&lt;=50),"Middle Aged Adults",Table2[[#This Row],[Guest_Age]]&gt;50,"Senior")</f>
        <v>Senior</v>
      </c>
      <c r="AB5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24" t="str" cm="1">
        <f t="array" ref="AC524">_xlfn.IFS(Table2[[#This Row],[Satification_points]]&gt;=4.5,"GREAT",AND(Table2[[#This Row],[Satification_points]]&gt;=4,Table2[[#This Row],[Satification_points]]&lt;4.5),"GOOD",AND(Table2[[#This Row],[Satification_points]]&gt;=3,Table2[[#This Row],[Satification_points]]&lt;4),"AVERAGE",Table2[[#This Row],[Satification_points]]&lt;3,"POOR")</f>
        <v>AVERAGE</v>
      </c>
    </row>
    <row r="525" spans="1:29" x14ac:dyDescent="0.3">
      <c r="A525">
        <v>524</v>
      </c>
      <c r="B525">
        <v>45646</v>
      </c>
      <c r="C525" t="s">
        <v>580</v>
      </c>
      <c r="D525" t="s">
        <v>51</v>
      </c>
      <c r="E525" t="s">
        <v>57</v>
      </c>
      <c r="F525" s="1">
        <v>45153</v>
      </c>
      <c r="G525" s="1">
        <v>45154</v>
      </c>
      <c r="H525">
        <v>11</v>
      </c>
      <c r="I525" t="s">
        <v>42</v>
      </c>
      <c r="J525" t="s">
        <v>29</v>
      </c>
      <c r="K525">
        <v>3</v>
      </c>
      <c r="L525">
        <v>4</v>
      </c>
      <c r="M525">
        <v>1</v>
      </c>
      <c r="N525">
        <v>5</v>
      </c>
      <c r="O525">
        <v>3</v>
      </c>
      <c r="P525">
        <v>4</v>
      </c>
      <c r="Q525">
        <v>5</v>
      </c>
      <c r="R525">
        <v>5</v>
      </c>
      <c r="S525">
        <v>4</v>
      </c>
      <c r="T525">
        <v>4</v>
      </c>
      <c r="U525" t="s">
        <v>30</v>
      </c>
      <c r="V525" t="s">
        <v>58</v>
      </c>
      <c r="W525" t="s">
        <v>47</v>
      </c>
      <c r="X525" t="s">
        <v>44</v>
      </c>
      <c r="Y525">
        <v>46</v>
      </c>
      <c r="Z525" s="1">
        <v>45228</v>
      </c>
      <c r="AA525" t="str" cm="1">
        <f t="array" ref="AA5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5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525" t="str" cm="1">
        <f t="array" ref="AC525">_xlfn.IFS(Table2[[#This Row],[Satification_points]]&gt;=4.5,"GREAT",AND(Table2[[#This Row],[Satification_points]]&gt;=4,Table2[[#This Row],[Satification_points]]&lt;4.5),"GOOD",AND(Table2[[#This Row],[Satification_points]]&gt;=3,Table2[[#This Row],[Satification_points]]&lt;4),"AVERAGE",Table2[[#This Row],[Satification_points]]&lt;3,"POOR")</f>
        <v>AVERAGE</v>
      </c>
    </row>
    <row r="526" spans="1:29" x14ac:dyDescent="0.3">
      <c r="A526">
        <v>525</v>
      </c>
      <c r="B526">
        <v>55337</v>
      </c>
      <c r="C526" t="s">
        <v>581</v>
      </c>
      <c r="D526" t="s">
        <v>51</v>
      </c>
      <c r="E526" t="s">
        <v>27</v>
      </c>
      <c r="F526" s="1">
        <v>45267</v>
      </c>
      <c r="G526" s="1">
        <v>45268</v>
      </c>
      <c r="H526">
        <v>6</v>
      </c>
      <c r="I526" t="s">
        <v>49</v>
      </c>
      <c r="J526" t="s">
        <v>36</v>
      </c>
      <c r="K526">
        <v>4</v>
      </c>
      <c r="L526">
        <v>5</v>
      </c>
      <c r="M526">
        <v>3</v>
      </c>
      <c r="N526">
        <v>3</v>
      </c>
      <c r="O526">
        <v>4</v>
      </c>
      <c r="P526">
        <v>5</v>
      </c>
      <c r="Q526">
        <v>4</v>
      </c>
      <c r="R526">
        <v>1</v>
      </c>
      <c r="S526">
        <v>2</v>
      </c>
      <c r="T526">
        <v>2</v>
      </c>
      <c r="U526" t="s">
        <v>30</v>
      </c>
      <c r="V526" t="s">
        <v>31</v>
      </c>
      <c r="W526" t="s">
        <v>39</v>
      </c>
      <c r="X526" t="s">
        <v>44</v>
      </c>
      <c r="Y526">
        <v>55</v>
      </c>
      <c r="Z526" s="1">
        <v>45268</v>
      </c>
      <c r="AA526" t="str" cm="1">
        <f t="array" ref="AA526">_xlfn.IFS(AND(Table2[[#This Row],[Guest_Age]]&gt;=18,Table2[[#This Row],[Guest_Age]]&lt;=25),"Young Adults",AND(Table2[[#This Row],[Guest_Age]]&gt;=26,Table2[[#This Row],[Guest_Age]]&lt;=35),"Adults",AND(Table2[[#This Row],[Guest_Age]]&gt;=36,Table2[[#This Row],[Guest_Age]]&lt;=50),"Middle Aged Adults",Table2[[#This Row],[Guest_Age]]&gt;50,"Senior")</f>
        <v>Senior</v>
      </c>
      <c r="AB5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26" t="str" cm="1">
        <f t="array" ref="AC526">_xlfn.IFS(Table2[[#This Row],[Satification_points]]&gt;=4.5,"GREAT",AND(Table2[[#This Row],[Satification_points]]&gt;=4,Table2[[#This Row],[Satification_points]]&lt;4.5),"GOOD",AND(Table2[[#This Row],[Satification_points]]&gt;=3,Table2[[#This Row],[Satification_points]]&lt;4),"AVERAGE",Table2[[#This Row],[Satification_points]]&lt;3,"POOR")</f>
        <v>AVERAGE</v>
      </c>
    </row>
    <row r="527" spans="1:29" x14ac:dyDescent="0.3">
      <c r="A527">
        <v>526</v>
      </c>
      <c r="B527">
        <v>25586</v>
      </c>
      <c r="C527" t="s">
        <v>582</v>
      </c>
      <c r="D527" t="s">
        <v>51</v>
      </c>
      <c r="E527" t="s">
        <v>45</v>
      </c>
      <c r="F527" s="1">
        <v>45198</v>
      </c>
      <c r="G527" s="1">
        <v>45523</v>
      </c>
      <c r="H527">
        <v>5</v>
      </c>
      <c r="I527" t="s">
        <v>28</v>
      </c>
      <c r="J527" t="s">
        <v>29</v>
      </c>
      <c r="K527">
        <v>2</v>
      </c>
      <c r="L527">
        <v>5</v>
      </c>
      <c r="M527">
        <v>5</v>
      </c>
      <c r="N527">
        <v>3</v>
      </c>
      <c r="O527">
        <v>4</v>
      </c>
      <c r="P527">
        <v>5</v>
      </c>
      <c r="Q527">
        <v>2</v>
      </c>
      <c r="R527">
        <v>1</v>
      </c>
      <c r="S527">
        <v>4</v>
      </c>
      <c r="T527">
        <v>5</v>
      </c>
      <c r="U527" t="s">
        <v>37</v>
      </c>
      <c r="V527" t="s">
        <v>54</v>
      </c>
      <c r="W527" t="s">
        <v>56</v>
      </c>
      <c r="X527" t="s">
        <v>44</v>
      </c>
      <c r="Y527">
        <v>30</v>
      </c>
      <c r="Z527" s="1">
        <v>45523</v>
      </c>
      <c r="AA527" t="str" cm="1">
        <f t="array" ref="AA527">_xlfn.IFS(AND(Table2[[#This Row],[Guest_Age]]&gt;=18,Table2[[#This Row],[Guest_Age]]&lt;=25),"Young Adults",AND(Table2[[#This Row],[Guest_Age]]&gt;=26,Table2[[#This Row],[Guest_Age]]&lt;=35),"Adults",AND(Table2[[#This Row],[Guest_Age]]&gt;=36,Table2[[#This Row],[Guest_Age]]&lt;=50),"Middle Aged Adults",Table2[[#This Row],[Guest_Age]]&gt;50,"Senior")</f>
        <v>Adults</v>
      </c>
      <c r="AB5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527" t="str" cm="1">
        <f t="array" ref="AC527">_xlfn.IFS(Table2[[#This Row],[Satification_points]]&gt;=4.5,"GREAT",AND(Table2[[#This Row],[Satification_points]]&gt;=4,Table2[[#This Row],[Satification_points]]&lt;4.5),"GOOD",AND(Table2[[#This Row],[Satification_points]]&gt;=3,Table2[[#This Row],[Satification_points]]&lt;4),"AVERAGE",Table2[[#This Row],[Satification_points]]&lt;3,"POOR")</f>
        <v>AVERAGE</v>
      </c>
    </row>
    <row r="528" spans="1:29" x14ac:dyDescent="0.3">
      <c r="A528">
        <v>527</v>
      </c>
      <c r="B528">
        <v>92928</v>
      </c>
      <c r="C528" t="s">
        <v>583</v>
      </c>
      <c r="D528" t="s">
        <v>51</v>
      </c>
      <c r="E528" t="s">
        <v>35</v>
      </c>
      <c r="F528" s="1">
        <v>45321</v>
      </c>
      <c r="G528" s="1">
        <v>45322</v>
      </c>
      <c r="H528">
        <v>5</v>
      </c>
      <c r="I528" t="s">
        <v>49</v>
      </c>
      <c r="J528" t="s">
        <v>43</v>
      </c>
      <c r="K528">
        <v>2</v>
      </c>
      <c r="L528">
        <v>1</v>
      </c>
      <c r="M528">
        <v>4</v>
      </c>
      <c r="N528">
        <v>3</v>
      </c>
      <c r="O528">
        <v>1</v>
      </c>
      <c r="P528">
        <v>3</v>
      </c>
      <c r="Q528">
        <v>1</v>
      </c>
      <c r="R528">
        <v>3</v>
      </c>
      <c r="S528">
        <v>3</v>
      </c>
      <c r="T528">
        <v>4</v>
      </c>
      <c r="U528" t="s">
        <v>30</v>
      </c>
      <c r="V528" t="s">
        <v>38</v>
      </c>
      <c r="W528" t="s">
        <v>55</v>
      </c>
      <c r="X528" t="s">
        <v>33</v>
      </c>
      <c r="Y528">
        <v>69</v>
      </c>
      <c r="Z528" s="1">
        <v>45461</v>
      </c>
      <c r="AA528" t="str" cm="1">
        <f t="array" ref="AA528">_xlfn.IFS(AND(Table2[[#This Row],[Guest_Age]]&gt;=18,Table2[[#This Row],[Guest_Age]]&lt;=25),"Young Adults",AND(Table2[[#This Row],[Guest_Age]]&gt;=26,Table2[[#This Row],[Guest_Age]]&lt;=35),"Adults",AND(Table2[[#This Row],[Guest_Age]]&gt;=36,Table2[[#This Row],[Guest_Age]]&lt;=50),"Middle Aged Adults",Table2[[#This Row],[Guest_Age]]&gt;50,"Senior")</f>
        <v>Senior</v>
      </c>
      <c r="AB5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28" t="str" cm="1">
        <f t="array" ref="AC528">_xlfn.IFS(Table2[[#This Row],[Satification_points]]&gt;=4.5,"GREAT",AND(Table2[[#This Row],[Satification_points]]&gt;=4,Table2[[#This Row],[Satification_points]]&lt;4.5),"GOOD",AND(Table2[[#This Row],[Satification_points]]&gt;=3,Table2[[#This Row],[Satification_points]]&lt;4),"AVERAGE",Table2[[#This Row],[Satification_points]]&lt;3,"POOR")</f>
        <v>POOR</v>
      </c>
    </row>
    <row r="529" spans="1:29" x14ac:dyDescent="0.3">
      <c r="A529">
        <v>528</v>
      </c>
      <c r="B529">
        <v>53293</v>
      </c>
      <c r="C529" t="s">
        <v>584</v>
      </c>
      <c r="D529" t="s">
        <v>34</v>
      </c>
      <c r="E529" t="s">
        <v>57</v>
      </c>
      <c r="F529" s="1">
        <v>45050</v>
      </c>
      <c r="G529" s="1">
        <v>45582</v>
      </c>
      <c r="H529">
        <v>8</v>
      </c>
      <c r="I529" t="s">
        <v>28</v>
      </c>
      <c r="J529" t="s">
        <v>40</v>
      </c>
      <c r="K529">
        <v>2</v>
      </c>
      <c r="L529">
        <v>2</v>
      </c>
      <c r="M529">
        <v>1</v>
      </c>
      <c r="N529">
        <v>5</v>
      </c>
      <c r="O529">
        <v>3</v>
      </c>
      <c r="P529">
        <v>3</v>
      </c>
      <c r="Q529">
        <v>1</v>
      </c>
      <c r="R529">
        <v>4</v>
      </c>
      <c r="S529">
        <v>4</v>
      </c>
      <c r="T529">
        <v>4</v>
      </c>
      <c r="U529" t="s">
        <v>30</v>
      </c>
      <c r="V529" t="s">
        <v>58</v>
      </c>
      <c r="W529" t="s">
        <v>47</v>
      </c>
      <c r="X529" t="s">
        <v>33</v>
      </c>
      <c r="Y529">
        <v>57</v>
      </c>
      <c r="Z529" s="1">
        <v>45582</v>
      </c>
      <c r="AA529" t="str" cm="1">
        <f t="array" ref="AA529">_xlfn.IFS(AND(Table2[[#This Row],[Guest_Age]]&gt;=18,Table2[[#This Row],[Guest_Age]]&lt;=25),"Young Adults",AND(Table2[[#This Row],[Guest_Age]]&gt;=26,Table2[[#This Row],[Guest_Age]]&lt;=35),"Adults",AND(Table2[[#This Row],[Guest_Age]]&gt;=36,Table2[[#This Row],[Guest_Age]]&lt;=50),"Middle Aged Adults",Table2[[#This Row],[Guest_Age]]&gt;50,"Senior")</f>
        <v>Senior</v>
      </c>
      <c r="AB5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29" t="str" cm="1">
        <f t="array" ref="AC529">_xlfn.IFS(Table2[[#This Row],[Satification_points]]&gt;=4.5,"GREAT",AND(Table2[[#This Row],[Satification_points]]&gt;=4,Table2[[#This Row],[Satification_points]]&lt;4.5),"GOOD",AND(Table2[[#This Row],[Satification_points]]&gt;=3,Table2[[#This Row],[Satification_points]]&lt;4),"AVERAGE",Table2[[#This Row],[Satification_points]]&lt;3,"POOR")</f>
        <v>POOR</v>
      </c>
    </row>
    <row r="530" spans="1:29" x14ac:dyDescent="0.3">
      <c r="A530">
        <v>529</v>
      </c>
      <c r="B530">
        <v>54182</v>
      </c>
      <c r="C530" t="s">
        <v>585</v>
      </c>
      <c r="D530" t="s">
        <v>51</v>
      </c>
      <c r="E530" t="s">
        <v>45</v>
      </c>
      <c r="F530" s="1">
        <v>45121</v>
      </c>
      <c r="G530" s="1">
        <v>45387</v>
      </c>
      <c r="H530">
        <v>14</v>
      </c>
      <c r="I530" t="s">
        <v>50</v>
      </c>
      <c r="J530" t="s">
        <v>43</v>
      </c>
      <c r="K530">
        <v>3</v>
      </c>
      <c r="L530">
        <v>5</v>
      </c>
      <c r="M530">
        <v>5</v>
      </c>
      <c r="N530">
        <v>3</v>
      </c>
      <c r="O530">
        <v>5</v>
      </c>
      <c r="P530">
        <v>3</v>
      </c>
      <c r="Q530">
        <v>3</v>
      </c>
      <c r="R530">
        <v>5</v>
      </c>
      <c r="S530">
        <v>1</v>
      </c>
      <c r="T530">
        <v>4</v>
      </c>
      <c r="U530" t="s">
        <v>30</v>
      </c>
      <c r="V530" t="s">
        <v>38</v>
      </c>
      <c r="W530" t="s">
        <v>39</v>
      </c>
      <c r="X530" t="s">
        <v>44</v>
      </c>
      <c r="Y530">
        <v>29</v>
      </c>
      <c r="Z530" s="1">
        <v>45387</v>
      </c>
      <c r="AA530" t="str" cm="1">
        <f t="array" ref="AA530">_xlfn.IFS(AND(Table2[[#This Row],[Guest_Age]]&gt;=18,Table2[[#This Row],[Guest_Age]]&lt;=25),"Young Adults",AND(Table2[[#This Row],[Guest_Age]]&gt;=26,Table2[[#This Row],[Guest_Age]]&lt;=35),"Adults",AND(Table2[[#This Row],[Guest_Age]]&gt;=36,Table2[[#This Row],[Guest_Age]]&lt;=50),"Middle Aged Adults",Table2[[#This Row],[Guest_Age]]&gt;50,"Senior")</f>
        <v>Adults</v>
      </c>
      <c r="AB5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530" t="str" cm="1">
        <f t="array" ref="AC530">_xlfn.IFS(Table2[[#This Row],[Satification_points]]&gt;=4.5,"GREAT",AND(Table2[[#This Row],[Satification_points]]&gt;=4,Table2[[#This Row],[Satification_points]]&lt;4.5),"GOOD",AND(Table2[[#This Row],[Satification_points]]&gt;=3,Table2[[#This Row],[Satification_points]]&lt;4),"AVERAGE",Table2[[#This Row],[Satification_points]]&lt;3,"POOR")</f>
        <v>AVERAGE</v>
      </c>
    </row>
    <row r="531" spans="1:29" x14ac:dyDescent="0.3">
      <c r="A531">
        <v>530</v>
      </c>
      <c r="B531">
        <v>98153</v>
      </c>
      <c r="C531" t="s">
        <v>586</v>
      </c>
      <c r="D531" t="s">
        <v>41</v>
      </c>
      <c r="E531" t="s">
        <v>52</v>
      </c>
      <c r="F531" s="1">
        <v>45509</v>
      </c>
      <c r="G531" s="1">
        <v>45648</v>
      </c>
      <c r="H531">
        <v>1</v>
      </c>
      <c r="I531" t="s">
        <v>28</v>
      </c>
      <c r="J531" t="s">
        <v>53</v>
      </c>
      <c r="K531">
        <v>4</v>
      </c>
      <c r="L531">
        <v>5</v>
      </c>
      <c r="M531">
        <v>3</v>
      </c>
      <c r="N531">
        <v>1</v>
      </c>
      <c r="O531">
        <v>1</v>
      </c>
      <c r="P531">
        <v>1</v>
      </c>
      <c r="Q531">
        <v>3</v>
      </c>
      <c r="R531">
        <v>2</v>
      </c>
      <c r="S531">
        <v>4</v>
      </c>
      <c r="T531">
        <v>3</v>
      </c>
      <c r="U531" t="s">
        <v>37</v>
      </c>
      <c r="V531" t="s">
        <v>58</v>
      </c>
      <c r="W531" t="s">
        <v>47</v>
      </c>
      <c r="X531" t="s">
        <v>44</v>
      </c>
      <c r="Y531">
        <v>40</v>
      </c>
      <c r="Z531" s="1">
        <v>45648</v>
      </c>
      <c r="AA531" t="str" cm="1">
        <f t="array" ref="AA5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5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31" t="str" cm="1">
        <f t="array" ref="AC531">_xlfn.IFS(Table2[[#This Row],[Satification_points]]&gt;=4.5,"GREAT",AND(Table2[[#This Row],[Satification_points]]&gt;=4,Table2[[#This Row],[Satification_points]]&lt;4.5),"GOOD",AND(Table2[[#This Row],[Satification_points]]&gt;=3,Table2[[#This Row],[Satification_points]]&lt;4),"AVERAGE",Table2[[#This Row],[Satification_points]]&lt;3,"POOR")</f>
        <v>POOR</v>
      </c>
    </row>
    <row r="532" spans="1:29" x14ac:dyDescent="0.3">
      <c r="A532">
        <v>531</v>
      </c>
      <c r="B532">
        <v>86918</v>
      </c>
      <c r="C532" t="s">
        <v>587</v>
      </c>
      <c r="D532" t="s">
        <v>34</v>
      </c>
      <c r="E532" t="s">
        <v>27</v>
      </c>
      <c r="F532" s="1">
        <v>45099</v>
      </c>
      <c r="G532" s="1">
        <v>45100</v>
      </c>
      <c r="H532">
        <v>9</v>
      </c>
      <c r="I532" t="s">
        <v>42</v>
      </c>
      <c r="J532" t="s">
        <v>40</v>
      </c>
      <c r="K532">
        <v>1</v>
      </c>
      <c r="L532">
        <v>2</v>
      </c>
      <c r="M532">
        <v>4</v>
      </c>
      <c r="N532">
        <v>5</v>
      </c>
      <c r="O532">
        <v>4</v>
      </c>
      <c r="P532">
        <v>1</v>
      </c>
      <c r="Q532">
        <v>5</v>
      </c>
      <c r="R532">
        <v>2</v>
      </c>
      <c r="S532">
        <v>3</v>
      </c>
      <c r="T532">
        <v>2</v>
      </c>
      <c r="U532" t="s">
        <v>30</v>
      </c>
      <c r="V532" t="s">
        <v>31</v>
      </c>
      <c r="W532" t="s">
        <v>56</v>
      </c>
      <c r="X532" t="s">
        <v>44</v>
      </c>
      <c r="Y532">
        <v>63</v>
      </c>
      <c r="Z532" s="1">
        <v>45442</v>
      </c>
      <c r="AA532" t="str" cm="1">
        <f t="array" ref="AA532">_xlfn.IFS(AND(Table2[[#This Row],[Guest_Age]]&gt;=18,Table2[[#This Row],[Guest_Age]]&lt;=25),"Young Adults",AND(Table2[[#This Row],[Guest_Age]]&gt;=26,Table2[[#This Row],[Guest_Age]]&lt;=35),"Adults",AND(Table2[[#This Row],[Guest_Age]]&gt;=36,Table2[[#This Row],[Guest_Age]]&lt;=50),"Middle Aged Adults",Table2[[#This Row],[Guest_Age]]&gt;50,"Senior")</f>
        <v>Senior</v>
      </c>
      <c r="AB5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32" t="str" cm="1">
        <f t="array" ref="AC532">_xlfn.IFS(Table2[[#This Row],[Satification_points]]&gt;=4.5,"GREAT",AND(Table2[[#This Row],[Satification_points]]&gt;=4,Table2[[#This Row],[Satification_points]]&lt;4.5),"GOOD",AND(Table2[[#This Row],[Satification_points]]&gt;=3,Table2[[#This Row],[Satification_points]]&lt;4),"AVERAGE",Table2[[#This Row],[Satification_points]]&lt;3,"POOR")</f>
        <v>POOR</v>
      </c>
    </row>
    <row r="533" spans="1:29" x14ac:dyDescent="0.3">
      <c r="A533">
        <v>532</v>
      </c>
      <c r="B533">
        <v>68039</v>
      </c>
      <c r="C533" t="s">
        <v>588</v>
      </c>
      <c r="D533" t="s">
        <v>51</v>
      </c>
      <c r="E533" t="s">
        <v>45</v>
      </c>
      <c r="F533" s="1">
        <v>45129</v>
      </c>
      <c r="G533" s="1">
        <v>45253</v>
      </c>
      <c r="H533">
        <v>6</v>
      </c>
      <c r="I533" t="s">
        <v>50</v>
      </c>
      <c r="J533" t="s">
        <v>40</v>
      </c>
      <c r="K533">
        <v>5</v>
      </c>
      <c r="L533">
        <v>5</v>
      </c>
      <c r="M533">
        <v>1</v>
      </c>
      <c r="N533">
        <v>1</v>
      </c>
      <c r="O533">
        <v>4</v>
      </c>
      <c r="P533">
        <v>1</v>
      </c>
      <c r="Q533">
        <v>4</v>
      </c>
      <c r="R533">
        <v>5</v>
      </c>
      <c r="S533">
        <v>3</v>
      </c>
      <c r="T533">
        <v>4</v>
      </c>
      <c r="U533" t="s">
        <v>30</v>
      </c>
      <c r="V533" t="s">
        <v>46</v>
      </c>
      <c r="W533" t="s">
        <v>56</v>
      </c>
      <c r="X533" t="s">
        <v>44</v>
      </c>
      <c r="Y533">
        <v>33</v>
      </c>
      <c r="Z533" s="1">
        <v>45340</v>
      </c>
      <c r="AA533" t="str" cm="1">
        <f t="array" ref="AA533">_xlfn.IFS(AND(Table2[[#This Row],[Guest_Age]]&gt;=18,Table2[[#This Row],[Guest_Age]]&lt;=25),"Young Adults",AND(Table2[[#This Row],[Guest_Age]]&gt;=26,Table2[[#This Row],[Guest_Age]]&lt;=35),"Adults",AND(Table2[[#This Row],[Guest_Age]]&gt;=36,Table2[[#This Row],[Guest_Age]]&lt;=50),"Middle Aged Adults",Table2[[#This Row],[Guest_Age]]&gt;50,"Senior")</f>
        <v>Adults</v>
      </c>
      <c r="AB5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33" t="str" cm="1">
        <f t="array" ref="AC533">_xlfn.IFS(Table2[[#This Row],[Satification_points]]&gt;=4.5,"GREAT",AND(Table2[[#This Row],[Satification_points]]&gt;=4,Table2[[#This Row],[Satification_points]]&lt;4.5),"GOOD",AND(Table2[[#This Row],[Satification_points]]&gt;=3,Table2[[#This Row],[Satification_points]]&lt;4),"AVERAGE",Table2[[#This Row],[Satification_points]]&lt;3,"POOR")</f>
        <v>AVERAGE</v>
      </c>
    </row>
    <row r="534" spans="1:29" x14ac:dyDescent="0.3">
      <c r="A534">
        <v>533</v>
      </c>
      <c r="B534">
        <v>54807</v>
      </c>
      <c r="C534" t="s">
        <v>589</v>
      </c>
      <c r="D534" t="s">
        <v>48</v>
      </c>
      <c r="E534" t="s">
        <v>45</v>
      </c>
      <c r="F534" s="1">
        <v>44959</v>
      </c>
      <c r="G534" s="1">
        <v>45583</v>
      </c>
      <c r="H534">
        <v>9</v>
      </c>
      <c r="I534" t="s">
        <v>28</v>
      </c>
      <c r="J534" t="s">
        <v>40</v>
      </c>
      <c r="K534">
        <v>4</v>
      </c>
      <c r="L534">
        <v>4</v>
      </c>
      <c r="M534">
        <v>3</v>
      </c>
      <c r="N534">
        <v>5</v>
      </c>
      <c r="O534">
        <v>4</v>
      </c>
      <c r="P534">
        <v>5</v>
      </c>
      <c r="Q534">
        <v>5</v>
      </c>
      <c r="R534">
        <v>5</v>
      </c>
      <c r="S534">
        <v>1</v>
      </c>
      <c r="T534">
        <v>2</v>
      </c>
      <c r="U534" t="s">
        <v>37</v>
      </c>
      <c r="V534" t="s">
        <v>54</v>
      </c>
      <c r="W534" t="s">
        <v>56</v>
      </c>
      <c r="X534" t="s">
        <v>40</v>
      </c>
      <c r="Y534">
        <v>31</v>
      </c>
      <c r="Z534" s="1">
        <v>45583</v>
      </c>
      <c r="AA534" t="str" cm="1">
        <f t="array" ref="AA534">_xlfn.IFS(AND(Table2[[#This Row],[Guest_Age]]&gt;=18,Table2[[#This Row],[Guest_Age]]&lt;=25),"Young Adults",AND(Table2[[#This Row],[Guest_Age]]&gt;=26,Table2[[#This Row],[Guest_Age]]&lt;=35),"Adults",AND(Table2[[#This Row],[Guest_Age]]&gt;=36,Table2[[#This Row],[Guest_Age]]&lt;=50),"Middle Aged Adults",Table2[[#This Row],[Guest_Age]]&gt;50,"Senior")</f>
        <v>Adults</v>
      </c>
      <c r="AB5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534" t="str" cm="1">
        <f t="array" ref="AC534">_xlfn.IFS(Table2[[#This Row],[Satification_points]]&gt;=4.5,"GREAT",AND(Table2[[#This Row],[Satification_points]]&gt;=4,Table2[[#This Row],[Satification_points]]&lt;4.5),"GOOD",AND(Table2[[#This Row],[Satification_points]]&gt;=3,Table2[[#This Row],[Satification_points]]&lt;4),"AVERAGE",Table2[[#This Row],[Satification_points]]&lt;3,"POOR")</f>
        <v>AVERAGE</v>
      </c>
    </row>
    <row r="535" spans="1:29" x14ac:dyDescent="0.3">
      <c r="A535">
        <v>534</v>
      </c>
      <c r="B535">
        <v>37740</v>
      </c>
      <c r="C535" t="s">
        <v>590</v>
      </c>
      <c r="D535" t="s">
        <v>34</v>
      </c>
      <c r="E535" t="s">
        <v>57</v>
      </c>
      <c r="F535" s="1">
        <v>45137</v>
      </c>
      <c r="G535" s="1">
        <v>45138</v>
      </c>
      <c r="H535">
        <v>2</v>
      </c>
      <c r="I535" t="s">
        <v>50</v>
      </c>
      <c r="J535" t="s">
        <v>36</v>
      </c>
      <c r="K535">
        <v>5</v>
      </c>
      <c r="L535">
        <v>5</v>
      </c>
      <c r="M535">
        <v>2</v>
      </c>
      <c r="N535">
        <v>2</v>
      </c>
      <c r="O535">
        <v>4</v>
      </c>
      <c r="P535">
        <v>3</v>
      </c>
      <c r="Q535">
        <v>1</v>
      </c>
      <c r="R535">
        <v>2</v>
      </c>
      <c r="S535">
        <v>2</v>
      </c>
      <c r="T535">
        <v>5</v>
      </c>
      <c r="U535" t="s">
        <v>37</v>
      </c>
      <c r="V535" t="s">
        <v>54</v>
      </c>
      <c r="W535" t="s">
        <v>39</v>
      </c>
      <c r="X535" t="s">
        <v>33</v>
      </c>
      <c r="Y535">
        <v>33</v>
      </c>
      <c r="Z535" s="1">
        <v>45151</v>
      </c>
      <c r="AA535" t="str" cm="1">
        <f t="array" ref="AA535">_xlfn.IFS(AND(Table2[[#This Row],[Guest_Age]]&gt;=18,Table2[[#This Row],[Guest_Age]]&lt;=25),"Young Adults",AND(Table2[[#This Row],[Guest_Age]]&gt;=26,Table2[[#This Row],[Guest_Age]]&lt;=35),"Adults",AND(Table2[[#This Row],[Guest_Age]]&gt;=36,Table2[[#This Row],[Guest_Age]]&lt;=50),"Middle Aged Adults",Table2[[#This Row],[Guest_Age]]&gt;50,"Senior")</f>
        <v>Adults</v>
      </c>
      <c r="AB5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35" t="str" cm="1">
        <f t="array" ref="AC535">_xlfn.IFS(Table2[[#This Row],[Satification_points]]&gt;=4.5,"GREAT",AND(Table2[[#This Row],[Satification_points]]&gt;=4,Table2[[#This Row],[Satification_points]]&lt;4.5),"GOOD",AND(Table2[[#This Row],[Satification_points]]&gt;=3,Table2[[#This Row],[Satification_points]]&lt;4),"AVERAGE",Table2[[#This Row],[Satification_points]]&lt;3,"POOR")</f>
        <v>AVERAGE</v>
      </c>
    </row>
    <row r="536" spans="1:29" x14ac:dyDescent="0.3">
      <c r="A536">
        <v>535</v>
      </c>
      <c r="B536">
        <v>16772</v>
      </c>
      <c r="C536" t="s">
        <v>591</v>
      </c>
      <c r="D536" t="s">
        <v>51</v>
      </c>
      <c r="E536" t="s">
        <v>52</v>
      </c>
      <c r="F536" s="1">
        <v>45620</v>
      </c>
      <c r="G536" s="1">
        <v>45621</v>
      </c>
      <c r="H536">
        <v>3</v>
      </c>
      <c r="I536" t="s">
        <v>50</v>
      </c>
      <c r="J536" t="s">
        <v>40</v>
      </c>
      <c r="K536">
        <v>4</v>
      </c>
      <c r="L536">
        <v>1</v>
      </c>
      <c r="M536">
        <v>5</v>
      </c>
      <c r="N536">
        <v>1</v>
      </c>
      <c r="O536">
        <v>5</v>
      </c>
      <c r="P536">
        <v>1</v>
      </c>
      <c r="Q536">
        <v>1</v>
      </c>
      <c r="R536">
        <v>2</v>
      </c>
      <c r="S536">
        <v>5</v>
      </c>
      <c r="T536">
        <v>4</v>
      </c>
      <c r="U536" t="s">
        <v>30</v>
      </c>
      <c r="V536" t="s">
        <v>38</v>
      </c>
      <c r="W536" t="s">
        <v>47</v>
      </c>
      <c r="X536" t="s">
        <v>40</v>
      </c>
      <c r="Y536">
        <v>23</v>
      </c>
      <c r="Z536" s="1">
        <v>45621</v>
      </c>
      <c r="AA536" t="str" cm="1">
        <f t="array" ref="AA536">_xlfn.IFS(AND(Table2[[#This Row],[Guest_Age]]&gt;=18,Table2[[#This Row],[Guest_Age]]&lt;=25),"Young Adults",AND(Table2[[#This Row],[Guest_Age]]&gt;=26,Table2[[#This Row],[Guest_Age]]&lt;=35),"Adults",AND(Table2[[#This Row],[Guest_Age]]&gt;=36,Table2[[#This Row],[Guest_Age]]&lt;=50),"Middle Aged Adults",Table2[[#This Row],[Guest_Age]]&gt;50,"Senior")</f>
        <v>Young Adults</v>
      </c>
      <c r="AB5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36" t="str" cm="1">
        <f t="array" ref="AC536">_xlfn.IFS(Table2[[#This Row],[Satification_points]]&gt;=4.5,"GREAT",AND(Table2[[#This Row],[Satification_points]]&gt;=4,Table2[[#This Row],[Satification_points]]&lt;4.5),"GOOD",AND(Table2[[#This Row],[Satification_points]]&gt;=3,Table2[[#This Row],[Satification_points]]&lt;4),"AVERAGE",Table2[[#This Row],[Satification_points]]&lt;3,"POOR")</f>
        <v>POOR</v>
      </c>
    </row>
    <row r="537" spans="1:29" x14ac:dyDescent="0.3">
      <c r="A537">
        <v>536</v>
      </c>
      <c r="B537">
        <v>49358</v>
      </c>
      <c r="C537" t="s">
        <v>592</v>
      </c>
      <c r="D537" t="s">
        <v>41</v>
      </c>
      <c r="E537" t="s">
        <v>35</v>
      </c>
      <c r="F537" s="1">
        <v>44977</v>
      </c>
      <c r="G537" s="1">
        <v>45612</v>
      </c>
      <c r="H537">
        <v>1</v>
      </c>
      <c r="I537" t="s">
        <v>50</v>
      </c>
      <c r="J537" t="s">
        <v>36</v>
      </c>
      <c r="K537">
        <v>3</v>
      </c>
      <c r="L537">
        <v>5</v>
      </c>
      <c r="M537">
        <v>5</v>
      </c>
      <c r="N537">
        <v>5</v>
      </c>
      <c r="O537">
        <v>2</v>
      </c>
      <c r="P537">
        <v>4</v>
      </c>
      <c r="Q537">
        <v>4</v>
      </c>
      <c r="R537">
        <v>1</v>
      </c>
      <c r="S537">
        <v>1</v>
      </c>
      <c r="T537">
        <v>1</v>
      </c>
      <c r="U537" t="s">
        <v>37</v>
      </c>
      <c r="V537" t="s">
        <v>54</v>
      </c>
      <c r="W537" t="s">
        <v>55</v>
      </c>
      <c r="X537" t="s">
        <v>44</v>
      </c>
      <c r="Y537">
        <v>53</v>
      </c>
      <c r="Z537" s="1">
        <v>45612</v>
      </c>
      <c r="AA537" t="str" cm="1">
        <f t="array" ref="AA537">_xlfn.IFS(AND(Table2[[#This Row],[Guest_Age]]&gt;=18,Table2[[#This Row],[Guest_Age]]&lt;=25),"Young Adults",AND(Table2[[#This Row],[Guest_Age]]&gt;=26,Table2[[#This Row],[Guest_Age]]&lt;=35),"Adults",AND(Table2[[#This Row],[Guest_Age]]&gt;=36,Table2[[#This Row],[Guest_Age]]&lt;=50),"Middle Aged Adults",Table2[[#This Row],[Guest_Age]]&gt;50,"Senior")</f>
        <v>Senior</v>
      </c>
      <c r="AB5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37" t="str" cm="1">
        <f t="array" ref="AC537">_xlfn.IFS(Table2[[#This Row],[Satification_points]]&gt;=4.5,"GREAT",AND(Table2[[#This Row],[Satification_points]]&gt;=4,Table2[[#This Row],[Satification_points]]&lt;4.5),"GOOD",AND(Table2[[#This Row],[Satification_points]]&gt;=3,Table2[[#This Row],[Satification_points]]&lt;4),"AVERAGE",Table2[[#This Row],[Satification_points]]&lt;3,"POOR")</f>
        <v>AVERAGE</v>
      </c>
    </row>
    <row r="538" spans="1:29" x14ac:dyDescent="0.3">
      <c r="A538">
        <v>537</v>
      </c>
      <c r="B538">
        <v>24647</v>
      </c>
      <c r="C538" t="s">
        <v>593</v>
      </c>
      <c r="D538" t="s">
        <v>26</v>
      </c>
      <c r="E538" t="s">
        <v>52</v>
      </c>
      <c r="F538" s="1">
        <v>45333</v>
      </c>
      <c r="G538" s="1">
        <v>45334</v>
      </c>
      <c r="H538">
        <v>5</v>
      </c>
      <c r="I538" t="s">
        <v>49</v>
      </c>
      <c r="J538" t="s">
        <v>40</v>
      </c>
      <c r="K538">
        <v>1</v>
      </c>
      <c r="L538">
        <v>2</v>
      </c>
      <c r="M538">
        <v>1</v>
      </c>
      <c r="N538">
        <v>4</v>
      </c>
      <c r="O538">
        <v>2</v>
      </c>
      <c r="P538">
        <v>3</v>
      </c>
      <c r="Q538">
        <v>5</v>
      </c>
      <c r="R538">
        <v>2</v>
      </c>
      <c r="S538">
        <v>5</v>
      </c>
      <c r="T538">
        <v>1</v>
      </c>
      <c r="U538" t="s">
        <v>30</v>
      </c>
      <c r="V538" t="s">
        <v>58</v>
      </c>
      <c r="W538" t="s">
        <v>47</v>
      </c>
      <c r="X538" t="s">
        <v>44</v>
      </c>
      <c r="Y538">
        <v>69</v>
      </c>
      <c r="Z538" s="1">
        <v>45456</v>
      </c>
      <c r="AA538" t="str" cm="1">
        <f t="array" ref="AA538">_xlfn.IFS(AND(Table2[[#This Row],[Guest_Age]]&gt;=18,Table2[[#This Row],[Guest_Age]]&lt;=25),"Young Adults",AND(Table2[[#This Row],[Guest_Age]]&gt;=26,Table2[[#This Row],[Guest_Age]]&lt;=35),"Adults",AND(Table2[[#This Row],[Guest_Age]]&gt;=36,Table2[[#This Row],[Guest_Age]]&lt;=50),"Middle Aged Adults",Table2[[#This Row],[Guest_Age]]&gt;50,"Senior")</f>
        <v>Senior</v>
      </c>
      <c r="AB5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38" t="str" cm="1">
        <f t="array" ref="AC538">_xlfn.IFS(Table2[[#This Row],[Satification_points]]&gt;=4.5,"GREAT",AND(Table2[[#This Row],[Satification_points]]&gt;=4,Table2[[#This Row],[Satification_points]]&lt;4.5),"GOOD",AND(Table2[[#This Row],[Satification_points]]&gt;=3,Table2[[#This Row],[Satification_points]]&lt;4),"AVERAGE",Table2[[#This Row],[Satification_points]]&lt;3,"POOR")</f>
        <v>POOR</v>
      </c>
    </row>
    <row r="539" spans="1:29" x14ac:dyDescent="0.3">
      <c r="A539">
        <v>538</v>
      </c>
      <c r="B539">
        <v>26504</v>
      </c>
      <c r="C539" t="s">
        <v>594</v>
      </c>
      <c r="D539" t="s">
        <v>51</v>
      </c>
      <c r="E539" t="s">
        <v>27</v>
      </c>
      <c r="F539" s="1">
        <v>45467</v>
      </c>
      <c r="G539" s="1">
        <v>45468</v>
      </c>
      <c r="H539">
        <v>2</v>
      </c>
      <c r="I539" t="s">
        <v>42</v>
      </c>
      <c r="J539" t="s">
        <v>29</v>
      </c>
      <c r="K539">
        <v>3</v>
      </c>
      <c r="L539">
        <v>4</v>
      </c>
      <c r="M539">
        <v>3</v>
      </c>
      <c r="N539">
        <v>5</v>
      </c>
      <c r="O539">
        <v>3</v>
      </c>
      <c r="P539">
        <v>3</v>
      </c>
      <c r="Q539">
        <v>3</v>
      </c>
      <c r="R539">
        <v>3</v>
      </c>
      <c r="S539">
        <v>1</v>
      </c>
      <c r="T539">
        <v>1</v>
      </c>
      <c r="U539" t="s">
        <v>30</v>
      </c>
      <c r="V539" t="s">
        <v>31</v>
      </c>
      <c r="W539" t="s">
        <v>39</v>
      </c>
      <c r="X539" t="s">
        <v>40</v>
      </c>
      <c r="Y539">
        <v>41</v>
      </c>
      <c r="Z539" s="1">
        <v>45468</v>
      </c>
      <c r="AA539" t="str" cm="1">
        <f t="array" ref="AA5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5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39" t="str" cm="1">
        <f t="array" ref="AC539">_xlfn.IFS(Table2[[#This Row],[Satification_points]]&gt;=4.5,"GREAT",AND(Table2[[#This Row],[Satification_points]]&gt;=4,Table2[[#This Row],[Satification_points]]&lt;4.5),"GOOD",AND(Table2[[#This Row],[Satification_points]]&gt;=3,Table2[[#This Row],[Satification_points]]&lt;4),"AVERAGE",Table2[[#This Row],[Satification_points]]&lt;3,"POOR")</f>
        <v>POOR</v>
      </c>
    </row>
    <row r="540" spans="1:29" x14ac:dyDescent="0.3">
      <c r="A540">
        <v>539</v>
      </c>
      <c r="B540">
        <v>16460</v>
      </c>
      <c r="C540" t="s">
        <v>595</v>
      </c>
      <c r="D540" t="s">
        <v>48</v>
      </c>
      <c r="E540" t="s">
        <v>35</v>
      </c>
      <c r="F540" s="1">
        <v>45444</v>
      </c>
      <c r="G540" s="1">
        <v>45445</v>
      </c>
      <c r="H540">
        <v>11</v>
      </c>
      <c r="I540" t="s">
        <v>50</v>
      </c>
      <c r="J540" t="s">
        <v>53</v>
      </c>
      <c r="K540">
        <v>2</v>
      </c>
      <c r="L540">
        <v>2</v>
      </c>
      <c r="M540">
        <v>4</v>
      </c>
      <c r="N540">
        <v>2</v>
      </c>
      <c r="O540">
        <v>4</v>
      </c>
      <c r="P540">
        <v>3</v>
      </c>
      <c r="Q540">
        <v>4</v>
      </c>
      <c r="R540">
        <v>2</v>
      </c>
      <c r="S540">
        <v>1</v>
      </c>
      <c r="T540">
        <v>1</v>
      </c>
      <c r="U540" t="s">
        <v>30</v>
      </c>
      <c r="V540" t="s">
        <v>31</v>
      </c>
      <c r="W540" t="s">
        <v>32</v>
      </c>
      <c r="X540" t="s">
        <v>40</v>
      </c>
      <c r="Y540">
        <v>68</v>
      </c>
      <c r="Z540" s="1">
        <v>45445</v>
      </c>
      <c r="AA540" t="str" cm="1">
        <f t="array" ref="AA540">_xlfn.IFS(AND(Table2[[#This Row],[Guest_Age]]&gt;=18,Table2[[#This Row],[Guest_Age]]&lt;=25),"Young Adults",AND(Table2[[#This Row],[Guest_Age]]&gt;=26,Table2[[#This Row],[Guest_Age]]&lt;=35),"Adults",AND(Table2[[#This Row],[Guest_Age]]&gt;=36,Table2[[#This Row],[Guest_Age]]&lt;=50),"Middle Aged Adults",Table2[[#This Row],[Guest_Age]]&gt;50,"Senior")</f>
        <v>Senior</v>
      </c>
      <c r="AB5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40" t="str" cm="1">
        <f t="array" ref="AC540">_xlfn.IFS(Table2[[#This Row],[Satification_points]]&gt;=4.5,"GREAT",AND(Table2[[#This Row],[Satification_points]]&gt;=4,Table2[[#This Row],[Satification_points]]&lt;4.5),"GOOD",AND(Table2[[#This Row],[Satification_points]]&gt;=3,Table2[[#This Row],[Satification_points]]&lt;4),"AVERAGE",Table2[[#This Row],[Satification_points]]&lt;3,"POOR")</f>
        <v>POOR</v>
      </c>
    </row>
    <row r="541" spans="1:29" x14ac:dyDescent="0.3">
      <c r="A541">
        <v>540</v>
      </c>
      <c r="B541">
        <v>16281</v>
      </c>
      <c r="C541" t="s">
        <v>596</v>
      </c>
      <c r="D541" t="s">
        <v>41</v>
      </c>
      <c r="E541" t="s">
        <v>52</v>
      </c>
      <c r="F541" s="1">
        <v>45059</v>
      </c>
      <c r="G541" s="1">
        <v>45489</v>
      </c>
      <c r="H541">
        <v>1</v>
      </c>
      <c r="I541" t="s">
        <v>42</v>
      </c>
      <c r="J541" t="s">
        <v>40</v>
      </c>
      <c r="K541">
        <v>1</v>
      </c>
      <c r="L541">
        <v>5</v>
      </c>
      <c r="M541">
        <v>4</v>
      </c>
      <c r="N541">
        <v>5</v>
      </c>
      <c r="O541">
        <v>3</v>
      </c>
      <c r="P541">
        <v>1</v>
      </c>
      <c r="Q541">
        <v>3</v>
      </c>
      <c r="R541">
        <v>2</v>
      </c>
      <c r="S541">
        <v>4</v>
      </c>
      <c r="T541">
        <v>3</v>
      </c>
      <c r="U541" t="s">
        <v>30</v>
      </c>
      <c r="V541" t="s">
        <v>38</v>
      </c>
      <c r="W541" t="s">
        <v>32</v>
      </c>
      <c r="X541" t="s">
        <v>40</v>
      </c>
      <c r="Y541">
        <v>44</v>
      </c>
      <c r="Z541" s="1">
        <v>45564</v>
      </c>
      <c r="AA541" t="str" cm="1">
        <f t="array" ref="AA541">_xlfn.IFS(AND(Table2[[#This Row],[Guest_Age]]&gt;=18,Table2[[#This Row],[Guest_Age]]&lt;=25),"Young Adults",AND(Table2[[#This Row],[Guest_Age]]&gt;=26,Table2[[#This Row],[Guest_Age]]&lt;=35),"Adults",AND(Table2[[#This Row],[Guest_Age]]&gt;=36,Table2[[#This Row],[Guest_Age]]&lt;=50),"Middle Aged Adults",Table2[[#This Row],[Guest_Age]]&gt;50,"Senior")</f>
        <v>Middle Aged Adults</v>
      </c>
      <c r="AB5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41" t="str" cm="1">
        <f t="array" ref="AC541">_xlfn.IFS(Table2[[#This Row],[Satification_points]]&gt;=4.5,"GREAT",AND(Table2[[#This Row],[Satification_points]]&gt;=4,Table2[[#This Row],[Satification_points]]&lt;4.5),"GOOD",AND(Table2[[#This Row],[Satification_points]]&gt;=3,Table2[[#This Row],[Satification_points]]&lt;4),"AVERAGE",Table2[[#This Row],[Satification_points]]&lt;3,"POOR")</f>
        <v>AVERAGE</v>
      </c>
    </row>
    <row r="542" spans="1:29" x14ac:dyDescent="0.3">
      <c r="A542">
        <v>541</v>
      </c>
      <c r="B542">
        <v>32246</v>
      </c>
      <c r="C542" t="s">
        <v>597</v>
      </c>
      <c r="D542" t="s">
        <v>34</v>
      </c>
      <c r="E542" t="s">
        <v>27</v>
      </c>
      <c r="F542" s="1">
        <v>45022</v>
      </c>
      <c r="G542" s="1">
        <v>45360</v>
      </c>
      <c r="H542">
        <v>9</v>
      </c>
      <c r="I542" t="s">
        <v>28</v>
      </c>
      <c r="J542" t="s">
        <v>43</v>
      </c>
      <c r="K542">
        <v>4</v>
      </c>
      <c r="L542">
        <v>5</v>
      </c>
      <c r="M542">
        <v>4</v>
      </c>
      <c r="N542">
        <v>2</v>
      </c>
      <c r="O542">
        <v>5</v>
      </c>
      <c r="P542">
        <v>2</v>
      </c>
      <c r="Q542">
        <v>4</v>
      </c>
      <c r="R542">
        <v>3</v>
      </c>
      <c r="S542">
        <v>4</v>
      </c>
      <c r="T542">
        <v>5</v>
      </c>
      <c r="U542" t="s">
        <v>30</v>
      </c>
      <c r="V542" t="s">
        <v>58</v>
      </c>
      <c r="W542" t="s">
        <v>32</v>
      </c>
      <c r="X542" t="s">
        <v>44</v>
      </c>
      <c r="Y542">
        <v>42</v>
      </c>
      <c r="Z542" s="1">
        <v>45637</v>
      </c>
      <c r="AA542" t="str" cm="1">
        <f t="array" ref="AA5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5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542" t="str" cm="1">
        <f t="array" ref="AC542">_xlfn.IFS(Table2[[#This Row],[Satification_points]]&gt;=4.5,"GREAT",AND(Table2[[#This Row],[Satification_points]]&gt;=4,Table2[[#This Row],[Satification_points]]&lt;4.5),"GOOD",AND(Table2[[#This Row],[Satification_points]]&gt;=3,Table2[[#This Row],[Satification_points]]&lt;4),"AVERAGE",Table2[[#This Row],[Satification_points]]&lt;3,"POOR")</f>
        <v>AVERAGE</v>
      </c>
    </row>
    <row r="543" spans="1:29" x14ac:dyDescent="0.3">
      <c r="A543">
        <v>542</v>
      </c>
      <c r="B543">
        <v>46499</v>
      </c>
      <c r="C543" t="s">
        <v>598</v>
      </c>
      <c r="D543" t="s">
        <v>41</v>
      </c>
      <c r="E543" t="s">
        <v>45</v>
      </c>
      <c r="F543" s="1">
        <v>45350</v>
      </c>
      <c r="G543" s="1">
        <v>45487</v>
      </c>
      <c r="H543">
        <v>11</v>
      </c>
      <c r="I543" t="s">
        <v>50</v>
      </c>
      <c r="J543" t="s">
        <v>29</v>
      </c>
      <c r="K543">
        <v>3</v>
      </c>
      <c r="L543">
        <v>1</v>
      </c>
      <c r="M543">
        <v>4</v>
      </c>
      <c r="N543">
        <v>3</v>
      </c>
      <c r="O543">
        <v>3</v>
      </c>
      <c r="P543">
        <v>4</v>
      </c>
      <c r="Q543">
        <v>3</v>
      </c>
      <c r="R543">
        <v>3</v>
      </c>
      <c r="S543">
        <v>4</v>
      </c>
      <c r="T543">
        <v>4</v>
      </c>
      <c r="U543" t="s">
        <v>30</v>
      </c>
      <c r="V543" t="s">
        <v>54</v>
      </c>
      <c r="W543" t="s">
        <v>55</v>
      </c>
      <c r="X543" t="s">
        <v>33</v>
      </c>
      <c r="Y543">
        <v>57</v>
      </c>
      <c r="Z543" s="1">
        <v>45542</v>
      </c>
      <c r="AA543" t="str" cm="1">
        <f t="array" ref="AA543">_xlfn.IFS(AND(Table2[[#This Row],[Guest_Age]]&gt;=18,Table2[[#This Row],[Guest_Age]]&lt;=25),"Young Adults",AND(Table2[[#This Row],[Guest_Age]]&gt;=26,Table2[[#This Row],[Guest_Age]]&lt;=35),"Adults",AND(Table2[[#This Row],[Guest_Age]]&gt;=36,Table2[[#This Row],[Guest_Age]]&lt;=50),"Middle Aged Adults",Table2[[#This Row],[Guest_Age]]&gt;50,"Senior")</f>
        <v>Senior</v>
      </c>
      <c r="AB5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43" t="str" cm="1">
        <f t="array" ref="AC543">_xlfn.IFS(Table2[[#This Row],[Satification_points]]&gt;=4.5,"GREAT",AND(Table2[[#This Row],[Satification_points]]&gt;=4,Table2[[#This Row],[Satification_points]]&lt;4.5),"GOOD",AND(Table2[[#This Row],[Satification_points]]&gt;=3,Table2[[#This Row],[Satification_points]]&lt;4),"AVERAGE",Table2[[#This Row],[Satification_points]]&lt;3,"POOR")</f>
        <v>AVERAGE</v>
      </c>
    </row>
    <row r="544" spans="1:29" x14ac:dyDescent="0.3">
      <c r="A544">
        <v>543</v>
      </c>
      <c r="B544">
        <v>56733</v>
      </c>
      <c r="C544" t="s">
        <v>599</v>
      </c>
      <c r="D544" t="s">
        <v>51</v>
      </c>
      <c r="E544" t="s">
        <v>45</v>
      </c>
      <c r="F544" s="1">
        <v>45008</v>
      </c>
      <c r="G544" s="1">
        <v>45435</v>
      </c>
      <c r="H544">
        <v>9</v>
      </c>
      <c r="I544" t="s">
        <v>42</v>
      </c>
      <c r="J544" t="s">
        <v>43</v>
      </c>
      <c r="K544">
        <v>5</v>
      </c>
      <c r="L544">
        <v>4</v>
      </c>
      <c r="M544">
        <v>1</v>
      </c>
      <c r="N544">
        <v>1</v>
      </c>
      <c r="O544">
        <v>2</v>
      </c>
      <c r="P544">
        <v>4</v>
      </c>
      <c r="Q544">
        <v>2</v>
      </c>
      <c r="R544">
        <v>5</v>
      </c>
      <c r="S544">
        <v>1</v>
      </c>
      <c r="T544">
        <v>5</v>
      </c>
      <c r="U544" t="s">
        <v>37</v>
      </c>
      <c r="V544" t="s">
        <v>58</v>
      </c>
      <c r="W544" t="s">
        <v>39</v>
      </c>
      <c r="X544" t="s">
        <v>33</v>
      </c>
      <c r="Y544">
        <v>53</v>
      </c>
      <c r="Z544" s="1">
        <v>45435</v>
      </c>
      <c r="AA544" t="str" cm="1">
        <f t="array" ref="AA544">_xlfn.IFS(AND(Table2[[#This Row],[Guest_Age]]&gt;=18,Table2[[#This Row],[Guest_Age]]&lt;=25),"Young Adults",AND(Table2[[#This Row],[Guest_Age]]&gt;=26,Table2[[#This Row],[Guest_Age]]&lt;=35),"Adults",AND(Table2[[#This Row],[Guest_Age]]&gt;=36,Table2[[#This Row],[Guest_Age]]&lt;=50),"Middle Aged Adults",Table2[[#This Row],[Guest_Age]]&gt;50,"Senior")</f>
        <v>Senior</v>
      </c>
      <c r="AB5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44" t="str" cm="1">
        <f t="array" ref="AC544">_xlfn.IFS(Table2[[#This Row],[Satification_points]]&gt;=4.5,"GREAT",AND(Table2[[#This Row],[Satification_points]]&gt;=4,Table2[[#This Row],[Satification_points]]&lt;4.5),"GOOD",AND(Table2[[#This Row],[Satification_points]]&gt;=3,Table2[[#This Row],[Satification_points]]&lt;4),"AVERAGE",Table2[[#This Row],[Satification_points]]&lt;3,"POOR")</f>
        <v>AVERAGE</v>
      </c>
    </row>
    <row r="545" spans="1:29" x14ac:dyDescent="0.3">
      <c r="A545">
        <v>544</v>
      </c>
      <c r="B545">
        <v>38491</v>
      </c>
      <c r="C545" t="s">
        <v>600</v>
      </c>
      <c r="D545" t="s">
        <v>48</v>
      </c>
      <c r="E545" t="s">
        <v>45</v>
      </c>
      <c r="F545" s="1">
        <v>45241</v>
      </c>
      <c r="G545" s="1">
        <v>45242</v>
      </c>
      <c r="H545">
        <v>6</v>
      </c>
      <c r="I545" t="s">
        <v>50</v>
      </c>
      <c r="J545" t="s">
        <v>43</v>
      </c>
      <c r="K545">
        <v>3</v>
      </c>
      <c r="L545">
        <v>5</v>
      </c>
      <c r="M545">
        <v>1</v>
      </c>
      <c r="N545">
        <v>2</v>
      </c>
      <c r="O545">
        <v>2</v>
      </c>
      <c r="P545">
        <v>2</v>
      </c>
      <c r="Q545">
        <v>1</v>
      </c>
      <c r="R545">
        <v>2</v>
      </c>
      <c r="S545">
        <v>4</v>
      </c>
      <c r="T545">
        <v>1</v>
      </c>
      <c r="U545" t="s">
        <v>30</v>
      </c>
      <c r="V545" t="s">
        <v>54</v>
      </c>
      <c r="W545" t="s">
        <v>39</v>
      </c>
      <c r="X545" t="s">
        <v>40</v>
      </c>
      <c r="Y545">
        <v>46</v>
      </c>
      <c r="Z545" s="1">
        <v>45242</v>
      </c>
      <c r="AA545" t="str" cm="1">
        <f t="array" ref="AA5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5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545" t="str" cm="1">
        <f t="array" ref="AC545">_xlfn.IFS(Table2[[#This Row],[Satification_points]]&gt;=4.5,"GREAT",AND(Table2[[#This Row],[Satification_points]]&gt;=4,Table2[[#This Row],[Satification_points]]&lt;4.5),"GOOD",AND(Table2[[#This Row],[Satification_points]]&gt;=3,Table2[[#This Row],[Satification_points]]&lt;4),"AVERAGE",Table2[[#This Row],[Satification_points]]&lt;3,"POOR")</f>
        <v>POOR</v>
      </c>
    </row>
    <row r="546" spans="1:29" x14ac:dyDescent="0.3">
      <c r="A546">
        <v>545</v>
      </c>
      <c r="B546">
        <v>95511</v>
      </c>
      <c r="C546" t="s">
        <v>601</v>
      </c>
      <c r="D546" t="s">
        <v>41</v>
      </c>
      <c r="E546" t="s">
        <v>45</v>
      </c>
      <c r="F546" s="1">
        <v>45655</v>
      </c>
      <c r="G546" s="1">
        <v>45656</v>
      </c>
      <c r="H546">
        <v>11</v>
      </c>
      <c r="I546" t="s">
        <v>49</v>
      </c>
      <c r="J546" t="s">
        <v>36</v>
      </c>
      <c r="K546">
        <v>3</v>
      </c>
      <c r="L546">
        <v>1</v>
      </c>
      <c r="M546">
        <v>5</v>
      </c>
      <c r="N546">
        <v>4</v>
      </c>
      <c r="O546">
        <v>2</v>
      </c>
      <c r="P546">
        <v>4</v>
      </c>
      <c r="Q546">
        <v>4</v>
      </c>
      <c r="R546">
        <v>3</v>
      </c>
      <c r="S546">
        <v>1</v>
      </c>
      <c r="T546">
        <v>5</v>
      </c>
      <c r="U546" t="s">
        <v>37</v>
      </c>
      <c r="V546" t="s">
        <v>58</v>
      </c>
      <c r="W546" t="s">
        <v>32</v>
      </c>
      <c r="X546" t="s">
        <v>40</v>
      </c>
      <c r="Y546">
        <v>48</v>
      </c>
      <c r="Z546" s="1">
        <v>45656</v>
      </c>
      <c r="AA546" t="str" cm="1">
        <f t="array" ref="AA5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5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46" t="str" cm="1">
        <f t="array" ref="AC546">_xlfn.IFS(Table2[[#This Row],[Satification_points]]&gt;=4.5,"GREAT",AND(Table2[[#This Row],[Satification_points]]&gt;=4,Table2[[#This Row],[Satification_points]]&lt;4.5),"GOOD",AND(Table2[[#This Row],[Satification_points]]&gt;=3,Table2[[#This Row],[Satification_points]]&lt;4),"AVERAGE",Table2[[#This Row],[Satification_points]]&lt;3,"POOR")</f>
        <v>AVERAGE</v>
      </c>
    </row>
    <row r="547" spans="1:29" x14ac:dyDescent="0.3">
      <c r="A547">
        <v>546</v>
      </c>
      <c r="B547">
        <v>54536</v>
      </c>
      <c r="C547" t="s">
        <v>602</v>
      </c>
      <c r="D547" t="s">
        <v>41</v>
      </c>
      <c r="E547" t="s">
        <v>35</v>
      </c>
      <c r="F547" s="1">
        <v>45206</v>
      </c>
      <c r="G547" s="1">
        <v>45606</v>
      </c>
      <c r="H547">
        <v>11</v>
      </c>
      <c r="I547" t="s">
        <v>28</v>
      </c>
      <c r="J547" t="s">
        <v>53</v>
      </c>
      <c r="K547">
        <v>4</v>
      </c>
      <c r="L547">
        <v>1</v>
      </c>
      <c r="M547">
        <v>3</v>
      </c>
      <c r="N547">
        <v>1</v>
      </c>
      <c r="O547">
        <v>3</v>
      </c>
      <c r="P547">
        <v>1</v>
      </c>
      <c r="Q547">
        <v>2</v>
      </c>
      <c r="R547">
        <v>1</v>
      </c>
      <c r="S547">
        <v>4</v>
      </c>
      <c r="T547">
        <v>5</v>
      </c>
      <c r="U547" t="s">
        <v>37</v>
      </c>
      <c r="V547" t="s">
        <v>54</v>
      </c>
      <c r="W547" t="s">
        <v>39</v>
      </c>
      <c r="X547" t="s">
        <v>40</v>
      </c>
      <c r="Y547">
        <v>20</v>
      </c>
      <c r="Z547" s="1">
        <v>45606</v>
      </c>
      <c r="AA547" t="str" cm="1">
        <f t="array" ref="AA547">_xlfn.IFS(AND(Table2[[#This Row],[Guest_Age]]&gt;=18,Table2[[#This Row],[Guest_Age]]&lt;=25),"Young Adults",AND(Table2[[#This Row],[Guest_Age]]&gt;=26,Table2[[#This Row],[Guest_Age]]&lt;=35),"Adults",AND(Table2[[#This Row],[Guest_Age]]&gt;=36,Table2[[#This Row],[Guest_Age]]&lt;=50),"Middle Aged Adults",Table2[[#This Row],[Guest_Age]]&gt;50,"Senior")</f>
        <v>Young Adults</v>
      </c>
      <c r="AB5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47" t="str" cm="1">
        <f t="array" ref="AC547">_xlfn.IFS(Table2[[#This Row],[Satification_points]]&gt;=4.5,"GREAT",AND(Table2[[#This Row],[Satification_points]]&gt;=4,Table2[[#This Row],[Satification_points]]&lt;4.5),"GOOD",AND(Table2[[#This Row],[Satification_points]]&gt;=3,Table2[[#This Row],[Satification_points]]&lt;4),"AVERAGE",Table2[[#This Row],[Satification_points]]&lt;3,"POOR")</f>
        <v>POOR</v>
      </c>
    </row>
    <row r="548" spans="1:29" x14ac:dyDescent="0.3">
      <c r="A548">
        <v>547</v>
      </c>
      <c r="B548">
        <v>57872</v>
      </c>
      <c r="C548" t="s">
        <v>603</v>
      </c>
      <c r="D548" t="s">
        <v>26</v>
      </c>
      <c r="E548" t="s">
        <v>45</v>
      </c>
      <c r="F548" s="1">
        <v>45569</v>
      </c>
      <c r="G548" s="1">
        <v>45570</v>
      </c>
      <c r="H548">
        <v>8</v>
      </c>
      <c r="I548" t="s">
        <v>49</v>
      </c>
      <c r="J548" t="s">
        <v>43</v>
      </c>
      <c r="K548">
        <v>4</v>
      </c>
      <c r="L548">
        <v>2</v>
      </c>
      <c r="M548">
        <v>2</v>
      </c>
      <c r="N548">
        <v>5</v>
      </c>
      <c r="O548">
        <v>4</v>
      </c>
      <c r="P548">
        <v>3</v>
      </c>
      <c r="Q548">
        <v>4</v>
      </c>
      <c r="R548">
        <v>4</v>
      </c>
      <c r="S548">
        <v>5</v>
      </c>
      <c r="T548">
        <v>3</v>
      </c>
      <c r="U548" t="s">
        <v>30</v>
      </c>
      <c r="V548" t="s">
        <v>54</v>
      </c>
      <c r="W548" t="s">
        <v>39</v>
      </c>
      <c r="X548" t="s">
        <v>44</v>
      </c>
      <c r="Y548">
        <v>30</v>
      </c>
      <c r="Z548" s="1">
        <v>45570</v>
      </c>
      <c r="AA548" t="str" cm="1">
        <f t="array" ref="AA548">_xlfn.IFS(AND(Table2[[#This Row],[Guest_Age]]&gt;=18,Table2[[#This Row],[Guest_Age]]&lt;=25),"Young Adults",AND(Table2[[#This Row],[Guest_Age]]&gt;=26,Table2[[#This Row],[Guest_Age]]&lt;=35),"Adults",AND(Table2[[#This Row],[Guest_Age]]&gt;=36,Table2[[#This Row],[Guest_Age]]&lt;=50),"Middle Aged Adults",Table2[[#This Row],[Guest_Age]]&gt;50,"Senior")</f>
        <v>Adults</v>
      </c>
      <c r="AB5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548" t="str" cm="1">
        <f t="array" ref="AC548">_xlfn.IFS(Table2[[#This Row],[Satification_points]]&gt;=4.5,"GREAT",AND(Table2[[#This Row],[Satification_points]]&gt;=4,Table2[[#This Row],[Satification_points]]&lt;4.5),"GOOD",AND(Table2[[#This Row],[Satification_points]]&gt;=3,Table2[[#This Row],[Satification_points]]&lt;4),"AVERAGE",Table2[[#This Row],[Satification_points]]&lt;3,"POOR")</f>
        <v>AVERAGE</v>
      </c>
    </row>
    <row r="549" spans="1:29" x14ac:dyDescent="0.3">
      <c r="A549">
        <v>548</v>
      </c>
      <c r="B549">
        <v>61566</v>
      </c>
      <c r="C549" t="s">
        <v>604</v>
      </c>
      <c r="D549" t="s">
        <v>26</v>
      </c>
      <c r="E549" t="s">
        <v>35</v>
      </c>
      <c r="F549" s="1">
        <v>45012</v>
      </c>
      <c r="G549" s="1">
        <v>45521</v>
      </c>
      <c r="H549">
        <v>13</v>
      </c>
      <c r="I549" t="s">
        <v>50</v>
      </c>
      <c r="J549" t="s">
        <v>29</v>
      </c>
      <c r="K549">
        <v>2</v>
      </c>
      <c r="L549">
        <v>4</v>
      </c>
      <c r="M549">
        <v>1</v>
      </c>
      <c r="N549">
        <v>5</v>
      </c>
      <c r="O549">
        <v>1</v>
      </c>
      <c r="P549">
        <v>2</v>
      </c>
      <c r="Q549">
        <v>1</v>
      </c>
      <c r="R549">
        <v>3</v>
      </c>
      <c r="S549">
        <v>2</v>
      </c>
      <c r="T549">
        <v>1</v>
      </c>
      <c r="U549" t="s">
        <v>30</v>
      </c>
      <c r="V549" t="s">
        <v>31</v>
      </c>
      <c r="W549" t="s">
        <v>56</v>
      </c>
      <c r="X549" t="s">
        <v>40</v>
      </c>
      <c r="Y549">
        <v>21</v>
      </c>
      <c r="Z549" s="1">
        <v>45612</v>
      </c>
      <c r="AA549" t="str" cm="1">
        <f t="array" ref="AA549">_xlfn.IFS(AND(Table2[[#This Row],[Guest_Age]]&gt;=18,Table2[[#This Row],[Guest_Age]]&lt;=25),"Young Adults",AND(Table2[[#This Row],[Guest_Age]]&gt;=26,Table2[[#This Row],[Guest_Age]]&lt;=35),"Adults",AND(Table2[[#This Row],[Guest_Age]]&gt;=36,Table2[[#This Row],[Guest_Age]]&lt;=50),"Middle Aged Adults",Table2[[#This Row],[Guest_Age]]&gt;50,"Senior")</f>
        <v>Young Adults</v>
      </c>
      <c r="AB5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549" t="str" cm="1">
        <f t="array" ref="AC549">_xlfn.IFS(Table2[[#This Row],[Satification_points]]&gt;=4.5,"GREAT",AND(Table2[[#This Row],[Satification_points]]&gt;=4,Table2[[#This Row],[Satification_points]]&lt;4.5),"GOOD",AND(Table2[[#This Row],[Satification_points]]&gt;=3,Table2[[#This Row],[Satification_points]]&lt;4),"AVERAGE",Table2[[#This Row],[Satification_points]]&lt;3,"POOR")</f>
        <v>POOR</v>
      </c>
    </row>
    <row r="550" spans="1:29" x14ac:dyDescent="0.3">
      <c r="A550">
        <v>549</v>
      </c>
      <c r="B550">
        <v>35416</v>
      </c>
      <c r="C550" t="s">
        <v>605</v>
      </c>
      <c r="D550" t="s">
        <v>51</v>
      </c>
      <c r="E550" t="s">
        <v>35</v>
      </c>
      <c r="F550" s="1">
        <v>45292</v>
      </c>
      <c r="G550" s="1">
        <v>45502</v>
      </c>
      <c r="H550">
        <v>11</v>
      </c>
      <c r="I550" t="s">
        <v>42</v>
      </c>
      <c r="J550" t="s">
        <v>53</v>
      </c>
      <c r="K550">
        <v>1</v>
      </c>
      <c r="L550">
        <v>3</v>
      </c>
      <c r="M550">
        <v>4</v>
      </c>
      <c r="N550">
        <v>2</v>
      </c>
      <c r="O550">
        <v>2</v>
      </c>
      <c r="P550">
        <v>3</v>
      </c>
      <c r="Q550">
        <v>1</v>
      </c>
      <c r="R550">
        <v>4</v>
      </c>
      <c r="S550">
        <v>4</v>
      </c>
      <c r="T550">
        <v>2</v>
      </c>
      <c r="U550" t="s">
        <v>30</v>
      </c>
      <c r="V550" t="s">
        <v>46</v>
      </c>
      <c r="W550" t="s">
        <v>55</v>
      </c>
      <c r="X550" t="s">
        <v>44</v>
      </c>
      <c r="Y550">
        <v>28</v>
      </c>
      <c r="Z550" s="1">
        <v>45502</v>
      </c>
      <c r="AA550" t="str" cm="1">
        <f t="array" ref="AA550">_xlfn.IFS(AND(Table2[[#This Row],[Guest_Age]]&gt;=18,Table2[[#This Row],[Guest_Age]]&lt;=25),"Young Adults",AND(Table2[[#This Row],[Guest_Age]]&gt;=26,Table2[[#This Row],[Guest_Age]]&lt;=35),"Adults",AND(Table2[[#This Row],[Guest_Age]]&gt;=36,Table2[[#This Row],[Guest_Age]]&lt;=50),"Middle Aged Adults",Table2[[#This Row],[Guest_Age]]&gt;50,"Senior")</f>
        <v>Adults</v>
      </c>
      <c r="AB5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50" t="str" cm="1">
        <f t="array" ref="AC550">_xlfn.IFS(Table2[[#This Row],[Satification_points]]&gt;=4.5,"GREAT",AND(Table2[[#This Row],[Satification_points]]&gt;=4,Table2[[#This Row],[Satification_points]]&lt;4.5),"GOOD",AND(Table2[[#This Row],[Satification_points]]&gt;=3,Table2[[#This Row],[Satification_points]]&lt;4),"AVERAGE",Table2[[#This Row],[Satification_points]]&lt;3,"POOR")</f>
        <v>POOR</v>
      </c>
    </row>
    <row r="551" spans="1:29" x14ac:dyDescent="0.3">
      <c r="A551">
        <v>550</v>
      </c>
      <c r="B551">
        <v>16635</v>
      </c>
      <c r="C551" t="s">
        <v>606</v>
      </c>
      <c r="D551" t="s">
        <v>34</v>
      </c>
      <c r="E551" t="s">
        <v>52</v>
      </c>
      <c r="F551" s="1">
        <v>45292</v>
      </c>
      <c r="G551" s="1">
        <v>45293</v>
      </c>
      <c r="H551">
        <v>12</v>
      </c>
      <c r="I551" t="s">
        <v>50</v>
      </c>
      <c r="J551" t="s">
        <v>29</v>
      </c>
      <c r="K551">
        <v>3</v>
      </c>
      <c r="L551">
        <v>1</v>
      </c>
      <c r="M551">
        <v>2</v>
      </c>
      <c r="N551">
        <v>4</v>
      </c>
      <c r="O551">
        <v>3</v>
      </c>
      <c r="P551">
        <v>4</v>
      </c>
      <c r="Q551">
        <v>3</v>
      </c>
      <c r="R551">
        <v>2</v>
      </c>
      <c r="S551">
        <v>3</v>
      </c>
      <c r="T551">
        <v>5</v>
      </c>
      <c r="U551" t="s">
        <v>30</v>
      </c>
      <c r="V551" t="s">
        <v>46</v>
      </c>
      <c r="W551" t="s">
        <v>39</v>
      </c>
      <c r="X551" t="s">
        <v>33</v>
      </c>
      <c r="Y551">
        <v>65</v>
      </c>
      <c r="Z551" s="1">
        <v>45293</v>
      </c>
      <c r="AA551" t="str" cm="1">
        <f t="array" ref="AA551">_xlfn.IFS(AND(Table2[[#This Row],[Guest_Age]]&gt;=18,Table2[[#This Row],[Guest_Age]]&lt;=25),"Young Adults",AND(Table2[[#This Row],[Guest_Age]]&gt;=26,Table2[[#This Row],[Guest_Age]]&lt;=35),"Adults",AND(Table2[[#This Row],[Guest_Age]]&gt;=36,Table2[[#This Row],[Guest_Age]]&lt;=50),"Middle Aged Adults",Table2[[#This Row],[Guest_Age]]&gt;50,"Senior")</f>
        <v>Senior</v>
      </c>
      <c r="AB5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51" t="str" cm="1">
        <f t="array" ref="AC551">_xlfn.IFS(Table2[[#This Row],[Satification_points]]&gt;=4.5,"GREAT",AND(Table2[[#This Row],[Satification_points]]&gt;=4,Table2[[#This Row],[Satification_points]]&lt;4.5),"GOOD",AND(Table2[[#This Row],[Satification_points]]&gt;=3,Table2[[#This Row],[Satification_points]]&lt;4),"AVERAGE",Table2[[#This Row],[Satification_points]]&lt;3,"POOR")</f>
        <v>AVERAGE</v>
      </c>
    </row>
    <row r="552" spans="1:29" x14ac:dyDescent="0.3">
      <c r="A552">
        <v>551</v>
      </c>
      <c r="B552">
        <v>29189</v>
      </c>
      <c r="C552" t="s">
        <v>607</v>
      </c>
      <c r="D552" t="s">
        <v>34</v>
      </c>
      <c r="E552" t="s">
        <v>45</v>
      </c>
      <c r="F552" s="1">
        <v>45019</v>
      </c>
      <c r="G552" s="1">
        <v>45141</v>
      </c>
      <c r="H552">
        <v>9</v>
      </c>
      <c r="I552" t="s">
        <v>50</v>
      </c>
      <c r="J552" t="s">
        <v>43</v>
      </c>
      <c r="K552">
        <v>5</v>
      </c>
      <c r="L552">
        <v>3</v>
      </c>
      <c r="M552">
        <v>5</v>
      </c>
      <c r="N552">
        <v>2</v>
      </c>
      <c r="O552">
        <v>1</v>
      </c>
      <c r="P552">
        <v>5</v>
      </c>
      <c r="Q552">
        <v>1</v>
      </c>
      <c r="R552">
        <v>1</v>
      </c>
      <c r="S552">
        <v>2</v>
      </c>
      <c r="T552">
        <v>5</v>
      </c>
      <c r="U552" t="s">
        <v>37</v>
      </c>
      <c r="V552" t="s">
        <v>38</v>
      </c>
      <c r="W552" t="s">
        <v>32</v>
      </c>
      <c r="X552" t="s">
        <v>44</v>
      </c>
      <c r="Y552">
        <v>32</v>
      </c>
      <c r="Z552" s="1">
        <v>45165</v>
      </c>
      <c r="AA552" t="str" cm="1">
        <f t="array" ref="AA552">_xlfn.IFS(AND(Table2[[#This Row],[Guest_Age]]&gt;=18,Table2[[#This Row],[Guest_Age]]&lt;=25),"Young Adults",AND(Table2[[#This Row],[Guest_Age]]&gt;=26,Table2[[#This Row],[Guest_Age]]&lt;=35),"Adults",AND(Table2[[#This Row],[Guest_Age]]&gt;=36,Table2[[#This Row],[Guest_Age]]&lt;=50),"Middle Aged Adults",Table2[[#This Row],[Guest_Age]]&gt;50,"Senior")</f>
        <v>Adults</v>
      </c>
      <c r="AB5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52" t="str" cm="1">
        <f t="array" ref="AC552">_xlfn.IFS(Table2[[#This Row],[Satification_points]]&gt;=4.5,"GREAT",AND(Table2[[#This Row],[Satification_points]]&gt;=4,Table2[[#This Row],[Satification_points]]&lt;4.5),"GOOD",AND(Table2[[#This Row],[Satification_points]]&gt;=3,Table2[[#This Row],[Satification_points]]&lt;4),"AVERAGE",Table2[[#This Row],[Satification_points]]&lt;3,"POOR")</f>
        <v>AVERAGE</v>
      </c>
    </row>
    <row r="553" spans="1:29" x14ac:dyDescent="0.3">
      <c r="A553">
        <v>552</v>
      </c>
      <c r="B553">
        <v>72929</v>
      </c>
      <c r="C553" t="s">
        <v>608</v>
      </c>
      <c r="D553" t="s">
        <v>48</v>
      </c>
      <c r="E553" t="s">
        <v>57</v>
      </c>
      <c r="F553" s="1">
        <v>44997</v>
      </c>
      <c r="G553" s="1">
        <v>45569</v>
      </c>
      <c r="H553">
        <v>5</v>
      </c>
      <c r="I553" t="s">
        <v>50</v>
      </c>
      <c r="J553" t="s">
        <v>53</v>
      </c>
      <c r="K553">
        <v>4</v>
      </c>
      <c r="L553">
        <v>2</v>
      </c>
      <c r="M553">
        <v>4</v>
      </c>
      <c r="N553">
        <v>4</v>
      </c>
      <c r="O553">
        <v>2</v>
      </c>
      <c r="P553">
        <v>4</v>
      </c>
      <c r="Q553">
        <v>1</v>
      </c>
      <c r="R553">
        <v>1</v>
      </c>
      <c r="S553">
        <v>3</v>
      </c>
      <c r="T553">
        <v>1</v>
      </c>
      <c r="U553" t="s">
        <v>30</v>
      </c>
      <c r="V553" t="s">
        <v>46</v>
      </c>
      <c r="W553" t="s">
        <v>47</v>
      </c>
      <c r="X553" t="s">
        <v>40</v>
      </c>
      <c r="Y553">
        <v>19</v>
      </c>
      <c r="Z553" s="1">
        <v>45569</v>
      </c>
      <c r="AA553" t="str" cm="1">
        <f t="array" ref="AA553">_xlfn.IFS(AND(Table2[[#This Row],[Guest_Age]]&gt;=18,Table2[[#This Row],[Guest_Age]]&lt;=25),"Young Adults",AND(Table2[[#This Row],[Guest_Age]]&gt;=26,Table2[[#This Row],[Guest_Age]]&lt;=35),"Adults",AND(Table2[[#This Row],[Guest_Age]]&gt;=36,Table2[[#This Row],[Guest_Age]]&lt;=50),"Middle Aged Adults",Table2[[#This Row],[Guest_Age]]&gt;50,"Senior")</f>
        <v>Young Adults</v>
      </c>
      <c r="AB5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53" t="str" cm="1">
        <f t="array" ref="AC553">_xlfn.IFS(Table2[[#This Row],[Satification_points]]&gt;=4.5,"GREAT",AND(Table2[[#This Row],[Satification_points]]&gt;=4,Table2[[#This Row],[Satification_points]]&lt;4.5),"GOOD",AND(Table2[[#This Row],[Satification_points]]&gt;=3,Table2[[#This Row],[Satification_points]]&lt;4),"AVERAGE",Table2[[#This Row],[Satification_points]]&lt;3,"POOR")</f>
        <v>POOR</v>
      </c>
    </row>
    <row r="554" spans="1:29" x14ac:dyDescent="0.3">
      <c r="A554">
        <v>553</v>
      </c>
      <c r="B554">
        <v>21498</v>
      </c>
      <c r="C554" t="s">
        <v>609</v>
      </c>
      <c r="D554" t="s">
        <v>51</v>
      </c>
      <c r="E554" t="s">
        <v>45</v>
      </c>
      <c r="F554" s="1">
        <v>45252</v>
      </c>
      <c r="G554" s="1">
        <v>45253</v>
      </c>
      <c r="H554">
        <v>2</v>
      </c>
      <c r="I554" t="s">
        <v>49</v>
      </c>
      <c r="J554" t="s">
        <v>40</v>
      </c>
      <c r="K554">
        <v>4</v>
      </c>
      <c r="L554">
        <v>1</v>
      </c>
      <c r="M554">
        <v>3</v>
      </c>
      <c r="N554">
        <v>2</v>
      </c>
      <c r="O554">
        <v>2</v>
      </c>
      <c r="P554">
        <v>4</v>
      </c>
      <c r="Q554">
        <v>1</v>
      </c>
      <c r="R554">
        <v>5</v>
      </c>
      <c r="S554">
        <v>2</v>
      </c>
      <c r="T554">
        <v>3</v>
      </c>
      <c r="U554" t="s">
        <v>30</v>
      </c>
      <c r="V554" t="s">
        <v>38</v>
      </c>
      <c r="W554" t="s">
        <v>47</v>
      </c>
      <c r="X554" t="s">
        <v>44</v>
      </c>
      <c r="Y554">
        <v>32</v>
      </c>
      <c r="Z554" s="1">
        <v>45573</v>
      </c>
      <c r="AA554" t="str" cm="1">
        <f t="array" ref="AA554">_xlfn.IFS(AND(Table2[[#This Row],[Guest_Age]]&gt;=18,Table2[[#This Row],[Guest_Age]]&lt;=25),"Young Adults",AND(Table2[[#This Row],[Guest_Age]]&gt;=26,Table2[[#This Row],[Guest_Age]]&lt;=35),"Adults",AND(Table2[[#This Row],[Guest_Age]]&gt;=36,Table2[[#This Row],[Guest_Age]]&lt;=50),"Middle Aged Adults",Table2[[#This Row],[Guest_Age]]&gt;50,"Senior")</f>
        <v>Adults</v>
      </c>
      <c r="AB5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54" t="str" cm="1">
        <f t="array" ref="AC554">_xlfn.IFS(Table2[[#This Row],[Satification_points]]&gt;=4.5,"GREAT",AND(Table2[[#This Row],[Satification_points]]&gt;=4,Table2[[#This Row],[Satification_points]]&lt;4.5),"GOOD",AND(Table2[[#This Row],[Satification_points]]&gt;=3,Table2[[#This Row],[Satification_points]]&lt;4),"AVERAGE",Table2[[#This Row],[Satification_points]]&lt;3,"POOR")</f>
        <v>POOR</v>
      </c>
    </row>
    <row r="555" spans="1:29" x14ac:dyDescent="0.3">
      <c r="A555">
        <v>554</v>
      </c>
      <c r="B555">
        <v>70777</v>
      </c>
      <c r="C555" t="s">
        <v>610</v>
      </c>
      <c r="D555" t="s">
        <v>34</v>
      </c>
      <c r="E555" t="s">
        <v>57</v>
      </c>
      <c r="F555" s="1">
        <v>45433</v>
      </c>
      <c r="G555" s="1">
        <v>45535</v>
      </c>
      <c r="H555">
        <v>4</v>
      </c>
      <c r="I555" t="s">
        <v>49</v>
      </c>
      <c r="J555" t="s">
        <v>43</v>
      </c>
      <c r="K555">
        <v>2</v>
      </c>
      <c r="L555">
        <v>4</v>
      </c>
      <c r="M555">
        <v>2</v>
      </c>
      <c r="N555">
        <v>3</v>
      </c>
      <c r="O555">
        <v>5</v>
      </c>
      <c r="P555">
        <v>2</v>
      </c>
      <c r="Q555">
        <v>5</v>
      </c>
      <c r="R555">
        <v>5</v>
      </c>
      <c r="S555">
        <v>4</v>
      </c>
      <c r="T555">
        <v>4</v>
      </c>
      <c r="U555" t="s">
        <v>37</v>
      </c>
      <c r="V555" t="s">
        <v>31</v>
      </c>
      <c r="W555" t="s">
        <v>55</v>
      </c>
      <c r="X555" t="s">
        <v>44</v>
      </c>
      <c r="Y555">
        <v>23</v>
      </c>
      <c r="Z555" s="1">
        <v>45535</v>
      </c>
      <c r="AA555" t="str" cm="1">
        <f t="array" ref="AA555">_xlfn.IFS(AND(Table2[[#This Row],[Guest_Age]]&gt;=18,Table2[[#This Row],[Guest_Age]]&lt;=25),"Young Adults",AND(Table2[[#This Row],[Guest_Age]]&gt;=26,Table2[[#This Row],[Guest_Age]]&lt;=35),"Adults",AND(Table2[[#This Row],[Guest_Age]]&gt;=36,Table2[[#This Row],[Guest_Age]]&lt;=50),"Middle Aged Adults",Table2[[#This Row],[Guest_Age]]&gt;50,"Senior")</f>
        <v>Young Adults</v>
      </c>
      <c r="AB5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555" t="str" cm="1">
        <f t="array" ref="AC555">_xlfn.IFS(Table2[[#This Row],[Satification_points]]&gt;=4.5,"GREAT",AND(Table2[[#This Row],[Satification_points]]&gt;=4,Table2[[#This Row],[Satification_points]]&lt;4.5),"GOOD",AND(Table2[[#This Row],[Satification_points]]&gt;=3,Table2[[#This Row],[Satification_points]]&lt;4),"AVERAGE",Table2[[#This Row],[Satification_points]]&lt;3,"POOR")</f>
        <v>AVERAGE</v>
      </c>
    </row>
    <row r="556" spans="1:29" x14ac:dyDescent="0.3">
      <c r="A556">
        <v>555</v>
      </c>
      <c r="B556">
        <v>98585</v>
      </c>
      <c r="C556" t="s">
        <v>611</v>
      </c>
      <c r="D556" t="s">
        <v>41</v>
      </c>
      <c r="E556" t="s">
        <v>45</v>
      </c>
      <c r="F556" s="1">
        <v>45252</v>
      </c>
      <c r="G556" s="1">
        <v>45334</v>
      </c>
      <c r="H556">
        <v>3</v>
      </c>
      <c r="I556" t="s">
        <v>42</v>
      </c>
      <c r="J556" t="s">
        <v>43</v>
      </c>
      <c r="K556">
        <v>1</v>
      </c>
      <c r="L556">
        <v>3</v>
      </c>
      <c r="M556">
        <v>5</v>
      </c>
      <c r="N556">
        <v>3</v>
      </c>
      <c r="O556">
        <v>2</v>
      </c>
      <c r="P556">
        <v>3</v>
      </c>
      <c r="Q556">
        <v>5</v>
      </c>
      <c r="R556">
        <v>2</v>
      </c>
      <c r="S556">
        <v>5</v>
      </c>
      <c r="T556">
        <v>1</v>
      </c>
      <c r="U556" t="s">
        <v>30</v>
      </c>
      <c r="V556" t="s">
        <v>38</v>
      </c>
      <c r="W556" t="s">
        <v>39</v>
      </c>
      <c r="X556" t="s">
        <v>44</v>
      </c>
      <c r="Y556">
        <v>64</v>
      </c>
      <c r="Z556" s="1">
        <v>45490</v>
      </c>
      <c r="AA556" t="str" cm="1">
        <f t="array" ref="AA556">_xlfn.IFS(AND(Table2[[#This Row],[Guest_Age]]&gt;=18,Table2[[#This Row],[Guest_Age]]&lt;=25),"Young Adults",AND(Table2[[#This Row],[Guest_Age]]&gt;=26,Table2[[#This Row],[Guest_Age]]&lt;=35),"Adults",AND(Table2[[#This Row],[Guest_Age]]&gt;=36,Table2[[#This Row],[Guest_Age]]&lt;=50),"Middle Aged Adults",Table2[[#This Row],[Guest_Age]]&gt;50,"Senior")</f>
        <v>Senior</v>
      </c>
      <c r="AB5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56" t="str" cm="1">
        <f t="array" ref="AC556">_xlfn.IFS(Table2[[#This Row],[Satification_points]]&gt;=4.5,"GREAT",AND(Table2[[#This Row],[Satification_points]]&gt;=4,Table2[[#This Row],[Satification_points]]&lt;4.5),"GOOD",AND(Table2[[#This Row],[Satification_points]]&gt;=3,Table2[[#This Row],[Satification_points]]&lt;4),"AVERAGE",Table2[[#This Row],[Satification_points]]&lt;3,"POOR")</f>
        <v>AVERAGE</v>
      </c>
    </row>
    <row r="557" spans="1:29" x14ac:dyDescent="0.3">
      <c r="A557">
        <v>556</v>
      </c>
      <c r="B557">
        <v>60617</v>
      </c>
      <c r="C557" t="s">
        <v>612</v>
      </c>
      <c r="D557" t="s">
        <v>51</v>
      </c>
      <c r="E557" t="s">
        <v>35</v>
      </c>
      <c r="F557" s="1">
        <v>45117</v>
      </c>
      <c r="G557" s="1">
        <v>45118</v>
      </c>
      <c r="H557">
        <v>10</v>
      </c>
      <c r="I557" t="s">
        <v>28</v>
      </c>
      <c r="J557" t="s">
        <v>36</v>
      </c>
      <c r="K557">
        <v>2</v>
      </c>
      <c r="L557">
        <v>4</v>
      </c>
      <c r="M557">
        <v>1</v>
      </c>
      <c r="N557">
        <v>3</v>
      </c>
      <c r="O557">
        <v>1</v>
      </c>
      <c r="P557">
        <v>2</v>
      </c>
      <c r="Q557">
        <v>1</v>
      </c>
      <c r="R557">
        <v>3</v>
      </c>
      <c r="S557">
        <v>4</v>
      </c>
      <c r="T557">
        <v>4</v>
      </c>
      <c r="U557" t="s">
        <v>30</v>
      </c>
      <c r="V557" t="s">
        <v>46</v>
      </c>
      <c r="W557" t="s">
        <v>56</v>
      </c>
      <c r="X557" t="s">
        <v>44</v>
      </c>
      <c r="Y557">
        <v>30</v>
      </c>
      <c r="Z557" s="1">
        <v>45364</v>
      </c>
      <c r="AA557" t="str" cm="1">
        <f t="array" ref="AA557">_xlfn.IFS(AND(Table2[[#This Row],[Guest_Age]]&gt;=18,Table2[[#This Row],[Guest_Age]]&lt;=25),"Young Adults",AND(Table2[[#This Row],[Guest_Age]]&gt;=26,Table2[[#This Row],[Guest_Age]]&lt;=35),"Adults",AND(Table2[[#This Row],[Guest_Age]]&gt;=36,Table2[[#This Row],[Guest_Age]]&lt;=50),"Middle Aged Adults",Table2[[#This Row],[Guest_Age]]&gt;50,"Senior")</f>
        <v>Adults</v>
      </c>
      <c r="AB5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57" t="str" cm="1">
        <f t="array" ref="AC557">_xlfn.IFS(Table2[[#This Row],[Satification_points]]&gt;=4.5,"GREAT",AND(Table2[[#This Row],[Satification_points]]&gt;=4,Table2[[#This Row],[Satification_points]]&lt;4.5),"GOOD",AND(Table2[[#This Row],[Satification_points]]&gt;=3,Table2[[#This Row],[Satification_points]]&lt;4),"AVERAGE",Table2[[#This Row],[Satification_points]]&lt;3,"POOR")</f>
        <v>POOR</v>
      </c>
    </row>
    <row r="558" spans="1:29" x14ac:dyDescent="0.3">
      <c r="A558">
        <v>557</v>
      </c>
      <c r="B558">
        <v>69200</v>
      </c>
      <c r="C558" t="s">
        <v>613</v>
      </c>
      <c r="D558" t="s">
        <v>41</v>
      </c>
      <c r="E558" t="s">
        <v>45</v>
      </c>
      <c r="F558" s="1">
        <v>45140</v>
      </c>
      <c r="G558" s="1">
        <v>45394</v>
      </c>
      <c r="H558">
        <v>7</v>
      </c>
      <c r="I558" t="s">
        <v>28</v>
      </c>
      <c r="J558" t="s">
        <v>29</v>
      </c>
      <c r="K558">
        <v>4</v>
      </c>
      <c r="L558">
        <v>3</v>
      </c>
      <c r="M558">
        <v>3</v>
      </c>
      <c r="N558">
        <v>2</v>
      </c>
      <c r="O558">
        <v>1</v>
      </c>
      <c r="P558">
        <v>1</v>
      </c>
      <c r="Q558">
        <v>5</v>
      </c>
      <c r="R558">
        <v>1</v>
      </c>
      <c r="S558">
        <v>1</v>
      </c>
      <c r="T558">
        <v>2</v>
      </c>
      <c r="U558" t="s">
        <v>30</v>
      </c>
      <c r="V558" t="s">
        <v>54</v>
      </c>
      <c r="W558" t="s">
        <v>39</v>
      </c>
      <c r="X558" t="s">
        <v>44</v>
      </c>
      <c r="Y558">
        <v>52</v>
      </c>
      <c r="Z558" s="1">
        <v>45394</v>
      </c>
      <c r="AA558" t="str" cm="1">
        <f t="array" ref="AA558">_xlfn.IFS(AND(Table2[[#This Row],[Guest_Age]]&gt;=18,Table2[[#This Row],[Guest_Age]]&lt;=25),"Young Adults",AND(Table2[[#This Row],[Guest_Age]]&gt;=26,Table2[[#This Row],[Guest_Age]]&lt;=35),"Adults",AND(Table2[[#This Row],[Guest_Age]]&gt;=36,Table2[[#This Row],[Guest_Age]]&lt;=50),"Middle Aged Adults",Table2[[#This Row],[Guest_Age]]&gt;50,"Senior")</f>
        <v>Senior</v>
      </c>
      <c r="AB5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558" t="str" cm="1">
        <f t="array" ref="AC558">_xlfn.IFS(Table2[[#This Row],[Satification_points]]&gt;=4.5,"GREAT",AND(Table2[[#This Row],[Satification_points]]&gt;=4,Table2[[#This Row],[Satification_points]]&lt;4.5),"GOOD",AND(Table2[[#This Row],[Satification_points]]&gt;=3,Table2[[#This Row],[Satification_points]]&lt;4),"AVERAGE",Table2[[#This Row],[Satification_points]]&lt;3,"POOR")</f>
        <v>POOR</v>
      </c>
    </row>
    <row r="559" spans="1:29" x14ac:dyDescent="0.3">
      <c r="A559">
        <v>558</v>
      </c>
      <c r="B559">
        <v>20427</v>
      </c>
      <c r="C559" t="s">
        <v>614</v>
      </c>
      <c r="D559" t="s">
        <v>48</v>
      </c>
      <c r="E559" t="s">
        <v>45</v>
      </c>
      <c r="F559" s="1">
        <v>44973</v>
      </c>
      <c r="G559" s="1">
        <v>45271</v>
      </c>
      <c r="H559">
        <v>10</v>
      </c>
      <c r="I559" t="s">
        <v>42</v>
      </c>
      <c r="J559" t="s">
        <v>40</v>
      </c>
      <c r="K559">
        <v>5</v>
      </c>
      <c r="L559">
        <v>2</v>
      </c>
      <c r="M559">
        <v>4</v>
      </c>
      <c r="N559">
        <v>1</v>
      </c>
      <c r="O559">
        <v>4</v>
      </c>
      <c r="P559">
        <v>3</v>
      </c>
      <c r="Q559">
        <v>4</v>
      </c>
      <c r="R559">
        <v>2</v>
      </c>
      <c r="S559">
        <v>3</v>
      </c>
      <c r="T559">
        <v>4</v>
      </c>
      <c r="U559" t="s">
        <v>37</v>
      </c>
      <c r="V559" t="s">
        <v>38</v>
      </c>
      <c r="W559" t="s">
        <v>32</v>
      </c>
      <c r="X559" t="s">
        <v>44</v>
      </c>
      <c r="Y559">
        <v>68</v>
      </c>
      <c r="Z559" s="1">
        <v>45501</v>
      </c>
      <c r="AA559" t="str" cm="1">
        <f t="array" ref="AA559">_xlfn.IFS(AND(Table2[[#This Row],[Guest_Age]]&gt;=18,Table2[[#This Row],[Guest_Age]]&lt;=25),"Young Adults",AND(Table2[[#This Row],[Guest_Age]]&gt;=26,Table2[[#This Row],[Guest_Age]]&lt;=35),"Adults",AND(Table2[[#This Row],[Guest_Age]]&gt;=36,Table2[[#This Row],[Guest_Age]]&lt;=50),"Middle Aged Adults",Table2[[#This Row],[Guest_Age]]&gt;50,"Senior")</f>
        <v>Senior</v>
      </c>
      <c r="AB5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59" t="str" cm="1">
        <f t="array" ref="AC559">_xlfn.IFS(Table2[[#This Row],[Satification_points]]&gt;=4.5,"GREAT",AND(Table2[[#This Row],[Satification_points]]&gt;=4,Table2[[#This Row],[Satification_points]]&lt;4.5),"GOOD",AND(Table2[[#This Row],[Satification_points]]&gt;=3,Table2[[#This Row],[Satification_points]]&lt;4),"AVERAGE",Table2[[#This Row],[Satification_points]]&lt;3,"POOR")</f>
        <v>AVERAGE</v>
      </c>
    </row>
    <row r="560" spans="1:29" x14ac:dyDescent="0.3">
      <c r="A560">
        <v>559</v>
      </c>
      <c r="B560">
        <v>59555</v>
      </c>
      <c r="C560" t="s">
        <v>615</v>
      </c>
      <c r="D560" t="s">
        <v>51</v>
      </c>
      <c r="E560" t="s">
        <v>45</v>
      </c>
      <c r="F560" s="1">
        <v>45656</v>
      </c>
      <c r="G560" s="1">
        <v>45657</v>
      </c>
      <c r="H560">
        <v>10</v>
      </c>
      <c r="I560" t="s">
        <v>50</v>
      </c>
      <c r="J560" t="s">
        <v>53</v>
      </c>
      <c r="K560">
        <v>2</v>
      </c>
      <c r="L560">
        <v>1</v>
      </c>
      <c r="M560">
        <v>2</v>
      </c>
      <c r="N560">
        <v>5</v>
      </c>
      <c r="O560">
        <v>1</v>
      </c>
      <c r="P560">
        <v>1</v>
      </c>
      <c r="Q560">
        <v>2</v>
      </c>
      <c r="R560">
        <v>2</v>
      </c>
      <c r="S560">
        <v>2</v>
      </c>
      <c r="T560">
        <v>5</v>
      </c>
      <c r="U560" t="s">
        <v>30</v>
      </c>
      <c r="V560" t="s">
        <v>46</v>
      </c>
      <c r="W560" t="s">
        <v>39</v>
      </c>
      <c r="X560" t="s">
        <v>33</v>
      </c>
      <c r="Y560">
        <v>61</v>
      </c>
      <c r="Z560" s="1">
        <v>45657</v>
      </c>
      <c r="AA560" t="str" cm="1">
        <f t="array" ref="AA560">_xlfn.IFS(AND(Table2[[#This Row],[Guest_Age]]&gt;=18,Table2[[#This Row],[Guest_Age]]&lt;=25),"Young Adults",AND(Table2[[#This Row],[Guest_Age]]&gt;=26,Table2[[#This Row],[Guest_Age]]&lt;=35),"Adults",AND(Table2[[#This Row],[Guest_Age]]&gt;=36,Table2[[#This Row],[Guest_Age]]&lt;=50),"Middle Aged Adults",Table2[[#This Row],[Guest_Age]]&gt;50,"Senior")</f>
        <v>Senior</v>
      </c>
      <c r="AB5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560" t="str" cm="1">
        <f t="array" ref="AC560">_xlfn.IFS(Table2[[#This Row],[Satification_points]]&gt;=4.5,"GREAT",AND(Table2[[#This Row],[Satification_points]]&gt;=4,Table2[[#This Row],[Satification_points]]&lt;4.5),"GOOD",AND(Table2[[#This Row],[Satification_points]]&gt;=3,Table2[[#This Row],[Satification_points]]&lt;4),"AVERAGE",Table2[[#This Row],[Satification_points]]&lt;3,"POOR")</f>
        <v>POOR</v>
      </c>
    </row>
    <row r="561" spans="1:29" x14ac:dyDescent="0.3">
      <c r="A561">
        <v>560</v>
      </c>
      <c r="B561">
        <v>16570</v>
      </c>
      <c r="C561" t="s">
        <v>616</v>
      </c>
      <c r="D561" t="s">
        <v>48</v>
      </c>
      <c r="E561" t="s">
        <v>45</v>
      </c>
      <c r="F561" s="1">
        <v>45015</v>
      </c>
      <c r="G561" s="1">
        <v>45173</v>
      </c>
      <c r="H561">
        <v>10</v>
      </c>
      <c r="I561" t="s">
        <v>28</v>
      </c>
      <c r="J561" t="s">
        <v>43</v>
      </c>
      <c r="K561">
        <v>3</v>
      </c>
      <c r="L561">
        <v>1</v>
      </c>
      <c r="M561">
        <v>5</v>
      </c>
      <c r="N561">
        <v>1</v>
      </c>
      <c r="O561">
        <v>3</v>
      </c>
      <c r="P561">
        <v>1</v>
      </c>
      <c r="Q561">
        <v>2</v>
      </c>
      <c r="R561">
        <v>3</v>
      </c>
      <c r="S561">
        <v>5</v>
      </c>
      <c r="T561">
        <v>3</v>
      </c>
      <c r="U561" t="s">
        <v>37</v>
      </c>
      <c r="V561" t="s">
        <v>46</v>
      </c>
      <c r="W561" t="s">
        <v>47</v>
      </c>
      <c r="X561" t="s">
        <v>33</v>
      </c>
      <c r="Y561">
        <v>61</v>
      </c>
      <c r="Z561" s="1">
        <v>45173</v>
      </c>
      <c r="AA561" t="str" cm="1">
        <f t="array" ref="AA561">_xlfn.IFS(AND(Table2[[#This Row],[Guest_Age]]&gt;=18,Table2[[#This Row],[Guest_Age]]&lt;=25),"Young Adults",AND(Table2[[#This Row],[Guest_Age]]&gt;=26,Table2[[#This Row],[Guest_Age]]&lt;=35),"Adults",AND(Table2[[#This Row],[Guest_Age]]&gt;=36,Table2[[#This Row],[Guest_Age]]&lt;=50),"Middle Aged Adults",Table2[[#This Row],[Guest_Age]]&gt;50,"Senior")</f>
        <v>Senior</v>
      </c>
      <c r="AB5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61" t="str" cm="1">
        <f t="array" ref="AC561">_xlfn.IFS(Table2[[#This Row],[Satification_points]]&gt;=4.5,"GREAT",AND(Table2[[#This Row],[Satification_points]]&gt;=4,Table2[[#This Row],[Satification_points]]&lt;4.5),"GOOD",AND(Table2[[#This Row],[Satification_points]]&gt;=3,Table2[[#This Row],[Satification_points]]&lt;4),"AVERAGE",Table2[[#This Row],[Satification_points]]&lt;3,"POOR")</f>
        <v>POOR</v>
      </c>
    </row>
    <row r="562" spans="1:29" x14ac:dyDescent="0.3">
      <c r="A562">
        <v>561</v>
      </c>
      <c r="B562">
        <v>34988</v>
      </c>
      <c r="C562" t="s">
        <v>617</v>
      </c>
      <c r="D562" t="s">
        <v>26</v>
      </c>
      <c r="E562" t="s">
        <v>52</v>
      </c>
      <c r="F562" s="1">
        <v>45153</v>
      </c>
      <c r="G562" s="1">
        <v>45154</v>
      </c>
      <c r="H562">
        <v>8</v>
      </c>
      <c r="I562" t="s">
        <v>49</v>
      </c>
      <c r="J562" t="s">
        <v>43</v>
      </c>
      <c r="K562">
        <v>4</v>
      </c>
      <c r="L562">
        <v>2</v>
      </c>
      <c r="M562">
        <v>2</v>
      </c>
      <c r="N562">
        <v>5</v>
      </c>
      <c r="O562">
        <v>3</v>
      </c>
      <c r="P562">
        <v>2</v>
      </c>
      <c r="Q562">
        <v>5</v>
      </c>
      <c r="R562">
        <v>1</v>
      </c>
      <c r="S562">
        <v>3</v>
      </c>
      <c r="T562">
        <v>2</v>
      </c>
      <c r="U562" t="s">
        <v>30</v>
      </c>
      <c r="V562" t="s">
        <v>54</v>
      </c>
      <c r="W562" t="s">
        <v>47</v>
      </c>
      <c r="X562" t="s">
        <v>33</v>
      </c>
      <c r="Y562">
        <v>66</v>
      </c>
      <c r="Z562" s="1">
        <v>45640</v>
      </c>
      <c r="AA562" t="str" cm="1">
        <f t="array" ref="AA562">_xlfn.IFS(AND(Table2[[#This Row],[Guest_Age]]&gt;=18,Table2[[#This Row],[Guest_Age]]&lt;=25),"Young Adults",AND(Table2[[#This Row],[Guest_Age]]&gt;=26,Table2[[#This Row],[Guest_Age]]&lt;=35),"Adults",AND(Table2[[#This Row],[Guest_Age]]&gt;=36,Table2[[#This Row],[Guest_Age]]&lt;=50),"Middle Aged Adults",Table2[[#This Row],[Guest_Age]]&gt;50,"Senior")</f>
        <v>Senior</v>
      </c>
      <c r="AB5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62" t="str" cm="1">
        <f t="array" ref="AC562">_xlfn.IFS(Table2[[#This Row],[Satification_points]]&gt;=4.5,"GREAT",AND(Table2[[#This Row],[Satification_points]]&gt;=4,Table2[[#This Row],[Satification_points]]&lt;4.5),"GOOD",AND(Table2[[#This Row],[Satification_points]]&gt;=3,Table2[[#This Row],[Satification_points]]&lt;4),"AVERAGE",Table2[[#This Row],[Satification_points]]&lt;3,"POOR")</f>
        <v>POOR</v>
      </c>
    </row>
    <row r="563" spans="1:29" x14ac:dyDescent="0.3">
      <c r="A563">
        <v>562</v>
      </c>
      <c r="B563">
        <v>68881</v>
      </c>
      <c r="C563" t="s">
        <v>618</v>
      </c>
      <c r="D563" t="s">
        <v>48</v>
      </c>
      <c r="E563" t="s">
        <v>52</v>
      </c>
      <c r="F563" s="1">
        <v>45323</v>
      </c>
      <c r="G563" s="1">
        <v>45421</v>
      </c>
      <c r="H563">
        <v>13</v>
      </c>
      <c r="I563" t="s">
        <v>42</v>
      </c>
      <c r="J563" t="s">
        <v>40</v>
      </c>
      <c r="K563">
        <v>4</v>
      </c>
      <c r="L563">
        <v>5</v>
      </c>
      <c r="M563">
        <v>3</v>
      </c>
      <c r="N563">
        <v>4</v>
      </c>
      <c r="O563">
        <v>2</v>
      </c>
      <c r="P563">
        <v>4</v>
      </c>
      <c r="Q563">
        <v>2</v>
      </c>
      <c r="R563">
        <v>1</v>
      </c>
      <c r="S563">
        <v>5</v>
      </c>
      <c r="T563">
        <v>3</v>
      </c>
      <c r="U563" t="s">
        <v>30</v>
      </c>
      <c r="V563" t="s">
        <v>58</v>
      </c>
      <c r="W563" t="s">
        <v>55</v>
      </c>
      <c r="X563" t="s">
        <v>40</v>
      </c>
      <c r="Y563">
        <v>57</v>
      </c>
      <c r="Z563" s="1">
        <v>45566</v>
      </c>
      <c r="AA563" t="str" cm="1">
        <f t="array" ref="AA563">_xlfn.IFS(AND(Table2[[#This Row],[Guest_Age]]&gt;=18,Table2[[#This Row],[Guest_Age]]&lt;=25),"Young Adults",AND(Table2[[#This Row],[Guest_Age]]&gt;=26,Table2[[#This Row],[Guest_Age]]&lt;=35),"Adults",AND(Table2[[#This Row],[Guest_Age]]&gt;=36,Table2[[#This Row],[Guest_Age]]&lt;=50),"Middle Aged Adults",Table2[[#This Row],[Guest_Age]]&gt;50,"Senior")</f>
        <v>Senior</v>
      </c>
      <c r="AB5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63" t="str" cm="1">
        <f t="array" ref="AC563">_xlfn.IFS(Table2[[#This Row],[Satification_points]]&gt;=4.5,"GREAT",AND(Table2[[#This Row],[Satification_points]]&gt;=4,Table2[[#This Row],[Satification_points]]&lt;4.5),"GOOD",AND(Table2[[#This Row],[Satification_points]]&gt;=3,Table2[[#This Row],[Satification_points]]&lt;4),"AVERAGE",Table2[[#This Row],[Satification_points]]&lt;3,"POOR")</f>
        <v>AVERAGE</v>
      </c>
    </row>
    <row r="564" spans="1:29" x14ac:dyDescent="0.3">
      <c r="A564">
        <v>563</v>
      </c>
      <c r="B564">
        <v>63401</v>
      </c>
      <c r="C564" t="s">
        <v>619</v>
      </c>
      <c r="D564" t="s">
        <v>26</v>
      </c>
      <c r="E564" t="s">
        <v>35</v>
      </c>
      <c r="F564" s="1">
        <v>45143</v>
      </c>
      <c r="G564" s="1">
        <v>45569</v>
      </c>
      <c r="H564">
        <v>5</v>
      </c>
      <c r="I564" t="s">
        <v>42</v>
      </c>
      <c r="J564" t="s">
        <v>43</v>
      </c>
      <c r="K564">
        <v>2</v>
      </c>
      <c r="L564">
        <v>3</v>
      </c>
      <c r="M564">
        <v>1</v>
      </c>
      <c r="N564">
        <v>3</v>
      </c>
      <c r="O564">
        <v>4</v>
      </c>
      <c r="P564">
        <v>5</v>
      </c>
      <c r="Q564">
        <v>5</v>
      </c>
      <c r="R564">
        <v>1</v>
      </c>
      <c r="S564">
        <v>3</v>
      </c>
      <c r="T564">
        <v>3</v>
      </c>
      <c r="U564" t="s">
        <v>37</v>
      </c>
      <c r="V564" t="s">
        <v>46</v>
      </c>
      <c r="W564" t="s">
        <v>32</v>
      </c>
      <c r="X564" t="s">
        <v>33</v>
      </c>
      <c r="Y564">
        <v>30</v>
      </c>
      <c r="Z564" s="1">
        <v>45569</v>
      </c>
      <c r="AA564" t="str" cm="1">
        <f t="array" ref="AA564">_xlfn.IFS(AND(Table2[[#This Row],[Guest_Age]]&gt;=18,Table2[[#This Row],[Guest_Age]]&lt;=25),"Young Adults",AND(Table2[[#This Row],[Guest_Age]]&gt;=26,Table2[[#This Row],[Guest_Age]]&lt;=35),"Adults",AND(Table2[[#This Row],[Guest_Age]]&gt;=36,Table2[[#This Row],[Guest_Age]]&lt;=50),"Middle Aged Adults",Table2[[#This Row],[Guest_Age]]&gt;50,"Senior")</f>
        <v>Adults</v>
      </c>
      <c r="AB5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564" t="str" cm="1">
        <f t="array" ref="AC564">_xlfn.IFS(Table2[[#This Row],[Satification_points]]&gt;=4.5,"GREAT",AND(Table2[[#This Row],[Satification_points]]&gt;=4,Table2[[#This Row],[Satification_points]]&lt;4.5),"GOOD",AND(Table2[[#This Row],[Satification_points]]&gt;=3,Table2[[#This Row],[Satification_points]]&lt;4),"AVERAGE",Table2[[#This Row],[Satification_points]]&lt;3,"POOR")</f>
        <v>AVERAGE</v>
      </c>
    </row>
    <row r="565" spans="1:29" x14ac:dyDescent="0.3">
      <c r="A565">
        <v>564</v>
      </c>
      <c r="B565">
        <v>49114</v>
      </c>
      <c r="C565" t="s">
        <v>620</v>
      </c>
      <c r="D565" t="s">
        <v>51</v>
      </c>
      <c r="E565" t="s">
        <v>35</v>
      </c>
      <c r="F565" s="1">
        <v>45227</v>
      </c>
      <c r="G565" s="1">
        <v>45228</v>
      </c>
      <c r="H565">
        <v>2</v>
      </c>
      <c r="I565" t="s">
        <v>50</v>
      </c>
      <c r="J565" t="s">
        <v>29</v>
      </c>
      <c r="K565">
        <v>5</v>
      </c>
      <c r="L565">
        <v>3</v>
      </c>
      <c r="M565">
        <v>1</v>
      </c>
      <c r="N565">
        <v>3</v>
      </c>
      <c r="O565">
        <v>2</v>
      </c>
      <c r="P565">
        <v>4</v>
      </c>
      <c r="Q565">
        <v>3</v>
      </c>
      <c r="R565">
        <v>5</v>
      </c>
      <c r="S565">
        <v>4</v>
      </c>
      <c r="T565">
        <v>4</v>
      </c>
      <c r="U565" t="s">
        <v>30</v>
      </c>
      <c r="V565" t="s">
        <v>31</v>
      </c>
      <c r="W565" t="s">
        <v>55</v>
      </c>
      <c r="X565" t="s">
        <v>40</v>
      </c>
      <c r="Y565">
        <v>29</v>
      </c>
      <c r="Z565" s="1">
        <v>45560</v>
      </c>
      <c r="AA565" t="str" cm="1">
        <f t="array" ref="AA565">_xlfn.IFS(AND(Table2[[#This Row],[Guest_Age]]&gt;=18,Table2[[#This Row],[Guest_Age]]&lt;=25),"Young Adults",AND(Table2[[#This Row],[Guest_Age]]&gt;=26,Table2[[#This Row],[Guest_Age]]&lt;=35),"Adults",AND(Table2[[#This Row],[Guest_Age]]&gt;=36,Table2[[#This Row],[Guest_Age]]&lt;=50),"Middle Aged Adults",Table2[[#This Row],[Guest_Age]]&gt;50,"Senior")</f>
        <v>Adults</v>
      </c>
      <c r="AB5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65" t="str" cm="1">
        <f t="array" ref="AC565">_xlfn.IFS(Table2[[#This Row],[Satification_points]]&gt;=4.5,"GREAT",AND(Table2[[#This Row],[Satification_points]]&gt;=4,Table2[[#This Row],[Satification_points]]&lt;4.5),"GOOD",AND(Table2[[#This Row],[Satification_points]]&gt;=3,Table2[[#This Row],[Satification_points]]&lt;4),"AVERAGE",Table2[[#This Row],[Satification_points]]&lt;3,"POOR")</f>
        <v>AVERAGE</v>
      </c>
    </row>
    <row r="566" spans="1:29" x14ac:dyDescent="0.3">
      <c r="A566">
        <v>565</v>
      </c>
      <c r="B566">
        <v>18408</v>
      </c>
      <c r="C566" t="s">
        <v>621</v>
      </c>
      <c r="D566" t="s">
        <v>41</v>
      </c>
      <c r="E566" t="s">
        <v>57</v>
      </c>
      <c r="F566" s="1">
        <v>45342</v>
      </c>
      <c r="G566" s="1">
        <v>45605</v>
      </c>
      <c r="H566">
        <v>12</v>
      </c>
      <c r="I566" t="s">
        <v>28</v>
      </c>
      <c r="J566" t="s">
        <v>53</v>
      </c>
      <c r="K566">
        <v>2</v>
      </c>
      <c r="L566">
        <v>5</v>
      </c>
      <c r="M566">
        <v>3</v>
      </c>
      <c r="N566">
        <v>5</v>
      </c>
      <c r="O566">
        <v>4</v>
      </c>
      <c r="P566">
        <v>4</v>
      </c>
      <c r="Q566">
        <v>1</v>
      </c>
      <c r="R566">
        <v>1</v>
      </c>
      <c r="S566">
        <v>1</v>
      </c>
      <c r="T566">
        <v>3</v>
      </c>
      <c r="U566" t="s">
        <v>30</v>
      </c>
      <c r="V566" t="s">
        <v>54</v>
      </c>
      <c r="W566" t="s">
        <v>39</v>
      </c>
      <c r="X566" t="s">
        <v>33</v>
      </c>
      <c r="Y566">
        <v>33</v>
      </c>
      <c r="Z566" s="1">
        <v>45605</v>
      </c>
      <c r="AA566" t="str" cm="1">
        <f t="array" ref="AA566">_xlfn.IFS(AND(Table2[[#This Row],[Guest_Age]]&gt;=18,Table2[[#This Row],[Guest_Age]]&lt;=25),"Young Adults",AND(Table2[[#This Row],[Guest_Age]]&gt;=26,Table2[[#This Row],[Guest_Age]]&lt;=35),"Adults",AND(Table2[[#This Row],[Guest_Age]]&gt;=36,Table2[[#This Row],[Guest_Age]]&lt;=50),"Middle Aged Adults",Table2[[#This Row],[Guest_Age]]&gt;50,"Senior")</f>
        <v>Adults</v>
      </c>
      <c r="AB5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66" t="str" cm="1">
        <f t="array" ref="AC566">_xlfn.IFS(Table2[[#This Row],[Satification_points]]&gt;=4.5,"GREAT",AND(Table2[[#This Row],[Satification_points]]&gt;=4,Table2[[#This Row],[Satification_points]]&lt;4.5),"GOOD",AND(Table2[[#This Row],[Satification_points]]&gt;=3,Table2[[#This Row],[Satification_points]]&lt;4),"AVERAGE",Table2[[#This Row],[Satification_points]]&lt;3,"POOR")</f>
        <v>POOR</v>
      </c>
    </row>
    <row r="567" spans="1:29" x14ac:dyDescent="0.3">
      <c r="A567">
        <v>566</v>
      </c>
      <c r="B567">
        <v>91210</v>
      </c>
      <c r="C567" t="s">
        <v>622</v>
      </c>
      <c r="D567" t="s">
        <v>41</v>
      </c>
      <c r="E567" t="s">
        <v>35</v>
      </c>
      <c r="F567" s="1">
        <v>45096</v>
      </c>
      <c r="G567" s="1">
        <v>45607</v>
      </c>
      <c r="H567">
        <v>9</v>
      </c>
      <c r="I567" t="s">
        <v>28</v>
      </c>
      <c r="J567" t="s">
        <v>40</v>
      </c>
      <c r="K567">
        <v>5</v>
      </c>
      <c r="L567">
        <v>2</v>
      </c>
      <c r="M567">
        <v>4</v>
      </c>
      <c r="N567">
        <v>3</v>
      </c>
      <c r="O567">
        <v>5</v>
      </c>
      <c r="P567">
        <v>3</v>
      </c>
      <c r="Q567">
        <v>2</v>
      </c>
      <c r="R567">
        <v>4</v>
      </c>
      <c r="S567">
        <v>3</v>
      </c>
      <c r="T567">
        <v>2</v>
      </c>
      <c r="U567" t="s">
        <v>30</v>
      </c>
      <c r="V567" t="s">
        <v>58</v>
      </c>
      <c r="W567" t="s">
        <v>56</v>
      </c>
      <c r="X567" t="s">
        <v>44</v>
      </c>
      <c r="Y567">
        <v>60</v>
      </c>
      <c r="Z567" s="1">
        <v>45607</v>
      </c>
      <c r="AA567" t="str" cm="1">
        <f t="array" ref="AA567">_xlfn.IFS(AND(Table2[[#This Row],[Guest_Age]]&gt;=18,Table2[[#This Row],[Guest_Age]]&lt;=25),"Young Adults",AND(Table2[[#This Row],[Guest_Age]]&gt;=26,Table2[[#This Row],[Guest_Age]]&lt;=35),"Adults",AND(Table2[[#This Row],[Guest_Age]]&gt;=36,Table2[[#This Row],[Guest_Age]]&lt;=50),"Middle Aged Adults",Table2[[#This Row],[Guest_Age]]&gt;50,"Senior")</f>
        <v>Senior</v>
      </c>
      <c r="AB5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67" t="str" cm="1">
        <f t="array" ref="AC567">_xlfn.IFS(Table2[[#This Row],[Satification_points]]&gt;=4.5,"GREAT",AND(Table2[[#This Row],[Satification_points]]&gt;=4,Table2[[#This Row],[Satification_points]]&lt;4.5),"GOOD",AND(Table2[[#This Row],[Satification_points]]&gt;=3,Table2[[#This Row],[Satification_points]]&lt;4),"AVERAGE",Table2[[#This Row],[Satification_points]]&lt;3,"POOR")</f>
        <v>AVERAGE</v>
      </c>
    </row>
    <row r="568" spans="1:29" x14ac:dyDescent="0.3">
      <c r="A568">
        <v>567</v>
      </c>
      <c r="B568">
        <v>94733</v>
      </c>
      <c r="C568" t="s">
        <v>623</v>
      </c>
      <c r="D568" t="s">
        <v>41</v>
      </c>
      <c r="E568" t="s">
        <v>52</v>
      </c>
      <c r="F568" s="1">
        <v>45291</v>
      </c>
      <c r="G568" s="1">
        <v>45292</v>
      </c>
      <c r="H568">
        <v>14</v>
      </c>
      <c r="I568" t="s">
        <v>50</v>
      </c>
      <c r="J568" t="s">
        <v>40</v>
      </c>
      <c r="K568">
        <v>4</v>
      </c>
      <c r="L568">
        <v>4</v>
      </c>
      <c r="M568">
        <v>2</v>
      </c>
      <c r="N568">
        <v>1</v>
      </c>
      <c r="O568">
        <v>4</v>
      </c>
      <c r="P568">
        <v>2</v>
      </c>
      <c r="Q568">
        <v>1</v>
      </c>
      <c r="R568">
        <v>3</v>
      </c>
      <c r="S568">
        <v>5</v>
      </c>
      <c r="T568">
        <v>3</v>
      </c>
      <c r="U568" t="s">
        <v>37</v>
      </c>
      <c r="V568" t="s">
        <v>54</v>
      </c>
      <c r="W568" t="s">
        <v>55</v>
      </c>
      <c r="X568" t="s">
        <v>44</v>
      </c>
      <c r="Y568">
        <v>69</v>
      </c>
      <c r="Z568" s="1">
        <v>45346</v>
      </c>
      <c r="AA568" t="str" cm="1">
        <f t="array" ref="AA568">_xlfn.IFS(AND(Table2[[#This Row],[Guest_Age]]&gt;=18,Table2[[#This Row],[Guest_Age]]&lt;=25),"Young Adults",AND(Table2[[#This Row],[Guest_Age]]&gt;=26,Table2[[#This Row],[Guest_Age]]&lt;=35),"Adults",AND(Table2[[#This Row],[Guest_Age]]&gt;=36,Table2[[#This Row],[Guest_Age]]&lt;=50),"Middle Aged Adults",Table2[[#This Row],[Guest_Age]]&gt;50,"Senior")</f>
        <v>Senior</v>
      </c>
      <c r="AB5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68" t="str" cm="1">
        <f t="array" ref="AC568">_xlfn.IFS(Table2[[#This Row],[Satification_points]]&gt;=4.5,"GREAT",AND(Table2[[#This Row],[Satification_points]]&gt;=4,Table2[[#This Row],[Satification_points]]&lt;4.5),"GOOD",AND(Table2[[#This Row],[Satification_points]]&gt;=3,Table2[[#This Row],[Satification_points]]&lt;4),"AVERAGE",Table2[[#This Row],[Satification_points]]&lt;3,"POOR")</f>
        <v>POOR</v>
      </c>
    </row>
    <row r="569" spans="1:29" x14ac:dyDescent="0.3">
      <c r="A569">
        <v>568</v>
      </c>
      <c r="B569">
        <v>57606</v>
      </c>
      <c r="C569" t="s">
        <v>417</v>
      </c>
      <c r="D569" t="s">
        <v>48</v>
      </c>
      <c r="E569" t="s">
        <v>35</v>
      </c>
      <c r="F569" s="1">
        <v>45158</v>
      </c>
      <c r="G569" s="1">
        <v>45310</v>
      </c>
      <c r="H569">
        <v>1</v>
      </c>
      <c r="I569" t="s">
        <v>42</v>
      </c>
      <c r="J569" t="s">
        <v>36</v>
      </c>
      <c r="K569">
        <v>2</v>
      </c>
      <c r="L569">
        <v>4</v>
      </c>
      <c r="M569">
        <v>4</v>
      </c>
      <c r="N569">
        <v>2</v>
      </c>
      <c r="O569">
        <v>5</v>
      </c>
      <c r="P569">
        <v>3</v>
      </c>
      <c r="Q569">
        <v>2</v>
      </c>
      <c r="R569">
        <v>1</v>
      </c>
      <c r="S569">
        <v>4</v>
      </c>
      <c r="T569">
        <v>2</v>
      </c>
      <c r="U569" t="s">
        <v>37</v>
      </c>
      <c r="V569" t="s">
        <v>38</v>
      </c>
      <c r="W569" t="s">
        <v>47</v>
      </c>
      <c r="X569" t="s">
        <v>33</v>
      </c>
      <c r="Y569">
        <v>58</v>
      </c>
      <c r="Z569" s="1">
        <v>45310</v>
      </c>
      <c r="AA569" t="str" cm="1">
        <f t="array" ref="AA569">_xlfn.IFS(AND(Table2[[#This Row],[Guest_Age]]&gt;=18,Table2[[#This Row],[Guest_Age]]&lt;=25),"Young Adults",AND(Table2[[#This Row],[Guest_Age]]&gt;=26,Table2[[#This Row],[Guest_Age]]&lt;=35),"Adults",AND(Table2[[#This Row],[Guest_Age]]&gt;=36,Table2[[#This Row],[Guest_Age]]&lt;=50),"Middle Aged Adults",Table2[[#This Row],[Guest_Age]]&gt;50,"Senior")</f>
        <v>Senior</v>
      </c>
      <c r="AB5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69" t="str" cm="1">
        <f t="array" ref="AC569">_xlfn.IFS(Table2[[#This Row],[Satification_points]]&gt;=4.5,"GREAT",AND(Table2[[#This Row],[Satification_points]]&gt;=4,Table2[[#This Row],[Satification_points]]&lt;4.5),"GOOD",AND(Table2[[#This Row],[Satification_points]]&gt;=3,Table2[[#This Row],[Satification_points]]&lt;4),"AVERAGE",Table2[[#This Row],[Satification_points]]&lt;3,"POOR")</f>
        <v>POOR</v>
      </c>
    </row>
    <row r="570" spans="1:29" x14ac:dyDescent="0.3">
      <c r="A570">
        <v>569</v>
      </c>
      <c r="B570">
        <v>55854</v>
      </c>
      <c r="C570" t="s">
        <v>624</v>
      </c>
      <c r="D570" t="s">
        <v>51</v>
      </c>
      <c r="E570" t="s">
        <v>57</v>
      </c>
      <c r="F570" s="1">
        <v>45546</v>
      </c>
      <c r="G570" s="1">
        <v>45547</v>
      </c>
      <c r="H570">
        <v>5</v>
      </c>
      <c r="I570" t="s">
        <v>42</v>
      </c>
      <c r="J570" t="s">
        <v>53</v>
      </c>
      <c r="K570">
        <v>1</v>
      </c>
      <c r="L570">
        <v>2</v>
      </c>
      <c r="M570">
        <v>5</v>
      </c>
      <c r="N570">
        <v>3</v>
      </c>
      <c r="O570">
        <v>5</v>
      </c>
      <c r="P570">
        <v>5</v>
      </c>
      <c r="Q570">
        <v>4</v>
      </c>
      <c r="R570">
        <v>3</v>
      </c>
      <c r="S570">
        <v>2</v>
      </c>
      <c r="T570">
        <v>5</v>
      </c>
      <c r="U570" t="s">
        <v>30</v>
      </c>
      <c r="V570" t="s">
        <v>46</v>
      </c>
      <c r="W570" t="s">
        <v>32</v>
      </c>
      <c r="X570" t="s">
        <v>33</v>
      </c>
      <c r="Y570">
        <v>68</v>
      </c>
      <c r="Z570" s="1">
        <v>45547</v>
      </c>
      <c r="AA570" t="str" cm="1">
        <f t="array" ref="AA570">_xlfn.IFS(AND(Table2[[#This Row],[Guest_Age]]&gt;=18,Table2[[#This Row],[Guest_Age]]&lt;=25),"Young Adults",AND(Table2[[#This Row],[Guest_Age]]&gt;=26,Table2[[#This Row],[Guest_Age]]&lt;=35),"Adults",AND(Table2[[#This Row],[Guest_Age]]&gt;=36,Table2[[#This Row],[Guest_Age]]&lt;=50),"Middle Aged Adults",Table2[[#This Row],[Guest_Age]]&gt;50,"Senior")</f>
        <v>Senior</v>
      </c>
      <c r="AB5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570" t="str" cm="1">
        <f t="array" ref="AC570">_xlfn.IFS(Table2[[#This Row],[Satification_points]]&gt;=4.5,"GREAT",AND(Table2[[#This Row],[Satification_points]]&gt;=4,Table2[[#This Row],[Satification_points]]&lt;4.5),"GOOD",AND(Table2[[#This Row],[Satification_points]]&gt;=3,Table2[[#This Row],[Satification_points]]&lt;4),"AVERAGE",Table2[[#This Row],[Satification_points]]&lt;3,"POOR")</f>
        <v>AVERAGE</v>
      </c>
    </row>
    <row r="571" spans="1:29" x14ac:dyDescent="0.3">
      <c r="A571">
        <v>570</v>
      </c>
      <c r="B571">
        <v>43573</v>
      </c>
      <c r="C571" t="s">
        <v>625</v>
      </c>
      <c r="D571" t="s">
        <v>51</v>
      </c>
      <c r="E571" t="s">
        <v>57</v>
      </c>
      <c r="F571" s="1">
        <v>45254</v>
      </c>
      <c r="G571" s="1">
        <v>45503</v>
      </c>
      <c r="H571">
        <v>12</v>
      </c>
      <c r="I571" t="s">
        <v>42</v>
      </c>
      <c r="J571" t="s">
        <v>40</v>
      </c>
      <c r="K571">
        <v>2</v>
      </c>
      <c r="L571">
        <v>4</v>
      </c>
      <c r="M571">
        <v>4</v>
      </c>
      <c r="N571">
        <v>3</v>
      </c>
      <c r="O571">
        <v>2</v>
      </c>
      <c r="P571">
        <v>2</v>
      </c>
      <c r="Q571">
        <v>4</v>
      </c>
      <c r="R571">
        <v>3</v>
      </c>
      <c r="S571">
        <v>2</v>
      </c>
      <c r="T571">
        <v>5</v>
      </c>
      <c r="U571" t="s">
        <v>30</v>
      </c>
      <c r="V571" t="s">
        <v>46</v>
      </c>
      <c r="W571" t="s">
        <v>39</v>
      </c>
      <c r="X571" t="s">
        <v>40</v>
      </c>
      <c r="Y571">
        <v>37</v>
      </c>
      <c r="Z571" s="1">
        <v>45547</v>
      </c>
      <c r="AA571" t="str" cm="1">
        <f t="array" ref="AA5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5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571" t="str" cm="1">
        <f t="array" ref="AC571">_xlfn.IFS(Table2[[#This Row],[Satification_points]]&gt;=4.5,"GREAT",AND(Table2[[#This Row],[Satification_points]]&gt;=4,Table2[[#This Row],[Satification_points]]&lt;4.5),"GOOD",AND(Table2[[#This Row],[Satification_points]]&gt;=3,Table2[[#This Row],[Satification_points]]&lt;4),"AVERAGE",Table2[[#This Row],[Satification_points]]&lt;3,"POOR")</f>
        <v>AVERAGE</v>
      </c>
    </row>
    <row r="572" spans="1:29" x14ac:dyDescent="0.3">
      <c r="A572">
        <v>571</v>
      </c>
      <c r="B572">
        <v>61968</v>
      </c>
      <c r="C572" t="s">
        <v>626</v>
      </c>
      <c r="D572" t="s">
        <v>26</v>
      </c>
      <c r="E572" t="s">
        <v>52</v>
      </c>
      <c r="F572" s="1">
        <v>45159</v>
      </c>
      <c r="G572" s="1">
        <v>45472</v>
      </c>
      <c r="H572">
        <v>12</v>
      </c>
      <c r="I572" t="s">
        <v>42</v>
      </c>
      <c r="J572" t="s">
        <v>43</v>
      </c>
      <c r="K572">
        <v>2</v>
      </c>
      <c r="L572">
        <v>2</v>
      </c>
      <c r="M572">
        <v>3</v>
      </c>
      <c r="N572">
        <v>4</v>
      </c>
      <c r="O572">
        <v>3</v>
      </c>
      <c r="P572">
        <v>4</v>
      </c>
      <c r="Q572">
        <v>5</v>
      </c>
      <c r="R572">
        <v>4</v>
      </c>
      <c r="S572">
        <v>4</v>
      </c>
      <c r="T572">
        <v>4</v>
      </c>
      <c r="U572" t="s">
        <v>37</v>
      </c>
      <c r="V572" t="s">
        <v>54</v>
      </c>
      <c r="W572" t="s">
        <v>32</v>
      </c>
      <c r="X572" t="s">
        <v>40</v>
      </c>
      <c r="Y572">
        <v>57</v>
      </c>
      <c r="Z572" s="1">
        <v>45472</v>
      </c>
      <c r="AA572" t="str" cm="1">
        <f t="array" ref="AA572">_xlfn.IFS(AND(Table2[[#This Row],[Guest_Age]]&gt;=18,Table2[[#This Row],[Guest_Age]]&lt;=25),"Young Adults",AND(Table2[[#This Row],[Guest_Age]]&gt;=26,Table2[[#This Row],[Guest_Age]]&lt;=35),"Adults",AND(Table2[[#This Row],[Guest_Age]]&gt;=36,Table2[[#This Row],[Guest_Age]]&lt;=50),"Middle Aged Adults",Table2[[#This Row],[Guest_Age]]&gt;50,"Senior")</f>
        <v>Senior</v>
      </c>
      <c r="AB5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572" t="str" cm="1">
        <f t="array" ref="AC572">_xlfn.IFS(Table2[[#This Row],[Satification_points]]&gt;=4.5,"GREAT",AND(Table2[[#This Row],[Satification_points]]&gt;=4,Table2[[#This Row],[Satification_points]]&lt;4.5),"GOOD",AND(Table2[[#This Row],[Satification_points]]&gt;=3,Table2[[#This Row],[Satification_points]]&lt;4),"AVERAGE",Table2[[#This Row],[Satification_points]]&lt;3,"POOR")</f>
        <v>AVERAGE</v>
      </c>
    </row>
    <row r="573" spans="1:29" x14ac:dyDescent="0.3">
      <c r="A573">
        <v>572</v>
      </c>
      <c r="B573">
        <v>37385</v>
      </c>
      <c r="C573" t="s">
        <v>627</v>
      </c>
      <c r="D573" t="s">
        <v>51</v>
      </c>
      <c r="E573" t="s">
        <v>35</v>
      </c>
      <c r="F573" s="1">
        <v>45608</v>
      </c>
      <c r="G573" s="1">
        <v>45609</v>
      </c>
      <c r="H573">
        <v>3</v>
      </c>
      <c r="I573" t="s">
        <v>49</v>
      </c>
      <c r="J573" t="s">
        <v>53</v>
      </c>
      <c r="K573">
        <v>1</v>
      </c>
      <c r="L573">
        <v>3</v>
      </c>
      <c r="M573">
        <v>1</v>
      </c>
      <c r="N573">
        <v>2</v>
      </c>
      <c r="O573">
        <v>4</v>
      </c>
      <c r="P573">
        <v>1</v>
      </c>
      <c r="Q573">
        <v>1</v>
      </c>
      <c r="R573">
        <v>1</v>
      </c>
      <c r="S573">
        <v>2</v>
      </c>
      <c r="T573">
        <v>1</v>
      </c>
      <c r="U573" t="s">
        <v>30</v>
      </c>
      <c r="V573" t="s">
        <v>38</v>
      </c>
      <c r="W573" t="s">
        <v>32</v>
      </c>
      <c r="X573" t="s">
        <v>40</v>
      </c>
      <c r="Y573">
        <v>30</v>
      </c>
      <c r="Z573" s="1">
        <v>45609</v>
      </c>
      <c r="AA573" t="str" cm="1">
        <f t="array" ref="AA573">_xlfn.IFS(AND(Table2[[#This Row],[Guest_Age]]&gt;=18,Table2[[#This Row],[Guest_Age]]&lt;=25),"Young Adults",AND(Table2[[#This Row],[Guest_Age]]&gt;=26,Table2[[#This Row],[Guest_Age]]&lt;=35),"Adults",AND(Table2[[#This Row],[Guest_Age]]&gt;=36,Table2[[#This Row],[Guest_Age]]&lt;=50),"Middle Aged Adults",Table2[[#This Row],[Guest_Age]]&gt;50,"Senior")</f>
        <v>Adults</v>
      </c>
      <c r="AB5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1.7</v>
      </c>
      <c r="AC573" t="str" cm="1">
        <f t="array" ref="AC573">_xlfn.IFS(Table2[[#This Row],[Satification_points]]&gt;=4.5,"GREAT",AND(Table2[[#This Row],[Satification_points]]&gt;=4,Table2[[#This Row],[Satification_points]]&lt;4.5),"GOOD",AND(Table2[[#This Row],[Satification_points]]&gt;=3,Table2[[#This Row],[Satification_points]]&lt;4),"AVERAGE",Table2[[#This Row],[Satification_points]]&lt;3,"POOR")</f>
        <v>POOR</v>
      </c>
    </row>
    <row r="574" spans="1:29" x14ac:dyDescent="0.3">
      <c r="A574">
        <v>573</v>
      </c>
      <c r="B574">
        <v>35842</v>
      </c>
      <c r="C574" t="s">
        <v>628</v>
      </c>
      <c r="D574" t="s">
        <v>41</v>
      </c>
      <c r="E574" t="s">
        <v>57</v>
      </c>
      <c r="F574" s="1">
        <v>45573</v>
      </c>
      <c r="G574" s="1">
        <v>45574</v>
      </c>
      <c r="H574">
        <v>8</v>
      </c>
      <c r="I574" t="s">
        <v>49</v>
      </c>
      <c r="J574" t="s">
        <v>29</v>
      </c>
      <c r="K574">
        <v>1</v>
      </c>
      <c r="L574">
        <v>3</v>
      </c>
      <c r="M574">
        <v>3</v>
      </c>
      <c r="N574">
        <v>5</v>
      </c>
      <c r="O574">
        <v>2</v>
      </c>
      <c r="P574">
        <v>4</v>
      </c>
      <c r="Q574">
        <v>5</v>
      </c>
      <c r="R574">
        <v>3</v>
      </c>
      <c r="S574">
        <v>5</v>
      </c>
      <c r="T574">
        <v>5</v>
      </c>
      <c r="U574" t="s">
        <v>37</v>
      </c>
      <c r="V574" t="s">
        <v>54</v>
      </c>
      <c r="W574" t="s">
        <v>32</v>
      </c>
      <c r="X574" t="s">
        <v>44</v>
      </c>
      <c r="Y574">
        <v>51</v>
      </c>
      <c r="Z574" s="1">
        <v>45574</v>
      </c>
      <c r="AA574" t="str" cm="1">
        <f t="array" ref="AA574">_xlfn.IFS(AND(Table2[[#This Row],[Guest_Age]]&gt;=18,Table2[[#This Row],[Guest_Age]]&lt;=25),"Young Adults",AND(Table2[[#This Row],[Guest_Age]]&gt;=26,Table2[[#This Row],[Guest_Age]]&lt;=35),"Adults",AND(Table2[[#This Row],[Guest_Age]]&gt;=36,Table2[[#This Row],[Guest_Age]]&lt;=50),"Middle Aged Adults",Table2[[#This Row],[Guest_Age]]&gt;50,"Senior")</f>
        <v>Senior</v>
      </c>
      <c r="AB5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574" t="str" cm="1">
        <f t="array" ref="AC574">_xlfn.IFS(Table2[[#This Row],[Satification_points]]&gt;=4.5,"GREAT",AND(Table2[[#This Row],[Satification_points]]&gt;=4,Table2[[#This Row],[Satification_points]]&lt;4.5),"GOOD",AND(Table2[[#This Row],[Satification_points]]&gt;=3,Table2[[#This Row],[Satification_points]]&lt;4),"AVERAGE",Table2[[#This Row],[Satification_points]]&lt;3,"POOR")</f>
        <v>AVERAGE</v>
      </c>
    </row>
    <row r="575" spans="1:29" x14ac:dyDescent="0.3">
      <c r="A575">
        <v>574</v>
      </c>
      <c r="B575">
        <v>65383</v>
      </c>
      <c r="C575" t="s">
        <v>629</v>
      </c>
      <c r="D575" t="s">
        <v>51</v>
      </c>
      <c r="E575" t="s">
        <v>35</v>
      </c>
      <c r="F575" s="1">
        <v>45569</v>
      </c>
      <c r="G575" s="1">
        <v>45570</v>
      </c>
      <c r="H575">
        <v>8</v>
      </c>
      <c r="I575" t="s">
        <v>42</v>
      </c>
      <c r="J575" t="s">
        <v>40</v>
      </c>
      <c r="K575">
        <v>3</v>
      </c>
      <c r="L575">
        <v>5</v>
      </c>
      <c r="M575">
        <v>3</v>
      </c>
      <c r="N575">
        <v>2</v>
      </c>
      <c r="O575">
        <v>5</v>
      </c>
      <c r="P575">
        <v>4</v>
      </c>
      <c r="Q575">
        <v>3</v>
      </c>
      <c r="R575">
        <v>1</v>
      </c>
      <c r="S575">
        <v>1</v>
      </c>
      <c r="T575">
        <v>1</v>
      </c>
      <c r="U575" t="s">
        <v>30</v>
      </c>
      <c r="V575" t="s">
        <v>31</v>
      </c>
      <c r="W575" t="s">
        <v>47</v>
      </c>
      <c r="X575" t="s">
        <v>33</v>
      </c>
      <c r="Y575">
        <v>36</v>
      </c>
      <c r="Z575" s="1">
        <v>45570</v>
      </c>
      <c r="AA575" t="str" cm="1">
        <f t="array" ref="AA575">_xlfn.IFS(AND(Table2[[#This Row],[Guest_Age]]&gt;=18,Table2[[#This Row],[Guest_Age]]&lt;=25),"Young Adults",AND(Table2[[#This Row],[Guest_Age]]&gt;=26,Table2[[#This Row],[Guest_Age]]&lt;=35),"Adults",AND(Table2[[#This Row],[Guest_Age]]&gt;=36,Table2[[#This Row],[Guest_Age]]&lt;=50),"Middle Aged Adults",Table2[[#This Row],[Guest_Age]]&gt;50,"Senior")</f>
        <v>Middle Aged Adults</v>
      </c>
      <c r="AB5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75" t="str" cm="1">
        <f t="array" ref="AC575">_xlfn.IFS(Table2[[#This Row],[Satification_points]]&gt;=4.5,"GREAT",AND(Table2[[#This Row],[Satification_points]]&gt;=4,Table2[[#This Row],[Satification_points]]&lt;4.5),"GOOD",AND(Table2[[#This Row],[Satification_points]]&gt;=3,Table2[[#This Row],[Satification_points]]&lt;4),"AVERAGE",Table2[[#This Row],[Satification_points]]&lt;3,"POOR")</f>
        <v>POOR</v>
      </c>
    </row>
    <row r="576" spans="1:29" x14ac:dyDescent="0.3">
      <c r="A576">
        <v>575</v>
      </c>
      <c r="B576">
        <v>17420</v>
      </c>
      <c r="C576" t="s">
        <v>630</v>
      </c>
      <c r="D576" t="s">
        <v>26</v>
      </c>
      <c r="E576" t="s">
        <v>35</v>
      </c>
      <c r="F576" s="1">
        <v>44963</v>
      </c>
      <c r="G576" s="1">
        <v>44988</v>
      </c>
      <c r="H576">
        <v>13</v>
      </c>
      <c r="I576" t="s">
        <v>42</v>
      </c>
      <c r="J576" t="s">
        <v>29</v>
      </c>
      <c r="K576">
        <v>1</v>
      </c>
      <c r="L576">
        <v>2</v>
      </c>
      <c r="M576">
        <v>2</v>
      </c>
      <c r="N576">
        <v>2</v>
      </c>
      <c r="O576">
        <v>5</v>
      </c>
      <c r="P576">
        <v>2</v>
      </c>
      <c r="Q576">
        <v>5</v>
      </c>
      <c r="R576">
        <v>4</v>
      </c>
      <c r="S576">
        <v>4</v>
      </c>
      <c r="T576">
        <v>2</v>
      </c>
      <c r="U576" t="s">
        <v>37</v>
      </c>
      <c r="V576" t="s">
        <v>46</v>
      </c>
      <c r="W576" t="s">
        <v>56</v>
      </c>
      <c r="X576" t="s">
        <v>40</v>
      </c>
      <c r="Y576">
        <v>62</v>
      </c>
      <c r="Z576" s="1">
        <v>45274</v>
      </c>
      <c r="AA576" t="str" cm="1">
        <f t="array" ref="AA576">_xlfn.IFS(AND(Table2[[#This Row],[Guest_Age]]&gt;=18,Table2[[#This Row],[Guest_Age]]&lt;=25),"Young Adults",AND(Table2[[#This Row],[Guest_Age]]&gt;=26,Table2[[#This Row],[Guest_Age]]&lt;=35),"Adults",AND(Table2[[#This Row],[Guest_Age]]&gt;=36,Table2[[#This Row],[Guest_Age]]&lt;=50),"Middle Aged Adults",Table2[[#This Row],[Guest_Age]]&gt;50,"Senior")</f>
        <v>Senior</v>
      </c>
      <c r="AB5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576" t="str" cm="1">
        <f t="array" ref="AC576">_xlfn.IFS(Table2[[#This Row],[Satification_points]]&gt;=4.5,"GREAT",AND(Table2[[#This Row],[Satification_points]]&gt;=4,Table2[[#This Row],[Satification_points]]&lt;4.5),"GOOD",AND(Table2[[#This Row],[Satification_points]]&gt;=3,Table2[[#This Row],[Satification_points]]&lt;4),"AVERAGE",Table2[[#This Row],[Satification_points]]&lt;3,"POOR")</f>
        <v>POOR</v>
      </c>
    </row>
    <row r="577" spans="1:29" x14ac:dyDescent="0.3">
      <c r="A577">
        <v>576</v>
      </c>
      <c r="B577">
        <v>52147</v>
      </c>
      <c r="C577" t="s">
        <v>631</v>
      </c>
      <c r="D577" t="s">
        <v>51</v>
      </c>
      <c r="E577" t="s">
        <v>52</v>
      </c>
      <c r="F577" s="1">
        <v>45328</v>
      </c>
      <c r="G577" s="1">
        <v>45329</v>
      </c>
      <c r="H577">
        <v>12</v>
      </c>
      <c r="I577" t="s">
        <v>42</v>
      </c>
      <c r="J577" t="s">
        <v>40</v>
      </c>
      <c r="K577">
        <v>5</v>
      </c>
      <c r="L577">
        <v>4</v>
      </c>
      <c r="M577">
        <v>3</v>
      </c>
      <c r="N577">
        <v>5</v>
      </c>
      <c r="O577">
        <v>1</v>
      </c>
      <c r="P577">
        <v>4</v>
      </c>
      <c r="Q577">
        <v>5</v>
      </c>
      <c r="R577">
        <v>5</v>
      </c>
      <c r="S577">
        <v>1</v>
      </c>
      <c r="T577">
        <v>1</v>
      </c>
      <c r="U577" t="s">
        <v>30</v>
      </c>
      <c r="V577" t="s">
        <v>46</v>
      </c>
      <c r="W577" t="s">
        <v>55</v>
      </c>
      <c r="X577" t="s">
        <v>33</v>
      </c>
      <c r="Y577">
        <v>44</v>
      </c>
      <c r="Z577" s="1">
        <v>45329</v>
      </c>
      <c r="AA577" t="str" cm="1">
        <f t="array" ref="AA577">_xlfn.IFS(AND(Table2[[#This Row],[Guest_Age]]&gt;=18,Table2[[#This Row],[Guest_Age]]&lt;=25),"Young Adults",AND(Table2[[#This Row],[Guest_Age]]&gt;=26,Table2[[#This Row],[Guest_Age]]&lt;=35),"Adults",AND(Table2[[#This Row],[Guest_Age]]&gt;=36,Table2[[#This Row],[Guest_Age]]&lt;=50),"Middle Aged Adults",Table2[[#This Row],[Guest_Age]]&gt;50,"Senior")</f>
        <v>Middle Aged Adults</v>
      </c>
      <c r="AB5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77" t="str" cm="1">
        <f t="array" ref="AC577">_xlfn.IFS(Table2[[#This Row],[Satification_points]]&gt;=4.5,"GREAT",AND(Table2[[#This Row],[Satification_points]]&gt;=4,Table2[[#This Row],[Satification_points]]&lt;4.5),"GOOD",AND(Table2[[#This Row],[Satification_points]]&gt;=3,Table2[[#This Row],[Satification_points]]&lt;4),"AVERAGE",Table2[[#This Row],[Satification_points]]&lt;3,"POOR")</f>
        <v>AVERAGE</v>
      </c>
    </row>
    <row r="578" spans="1:29" x14ac:dyDescent="0.3">
      <c r="A578">
        <v>577</v>
      </c>
      <c r="B578">
        <v>23806</v>
      </c>
      <c r="C578" t="s">
        <v>632</v>
      </c>
      <c r="D578" t="s">
        <v>51</v>
      </c>
      <c r="E578" t="s">
        <v>52</v>
      </c>
      <c r="F578" s="1">
        <v>45562</v>
      </c>
      <c r="G578" s="1">
        <v>45563</v>
      </c>
      <c r="H578">
        <v>12</v>
      </c>
      <c r="I578" t="s">
        <v>49</v>
      </c>
      <c r="J578" t="s">
        <v>43</v>
      </c>
      <c r="K578">
        <v>3</v>
      </c>
      <c r="L578">
        <v>2</v>
      </c>
      <c r="M578">
        <v>5</v>
      </c>
      <c r="N578">
        <v>2</v>
      </c>
      <c r="O578">
        <v>1</v>
      </c>
      <c r="P578">
        <v>5</v>
      </c>
      <c r="Q578">
        <v>5</v>
      </c>
      <c r="R578">
        <v>5</v>
      </c>
      <c r="S578">
        <v>1</v>
      </c>
      <c r="T578">
        <v>3</v>
      </c>
      <c r="U578" t="s">
        <v>37</v>
      </c>
      <c r="V578" t="s">
        <v>31</v>
      </c>
      <c r="W578" t="s">
        <v>47</v>
      </c>
      <c r="X578" t="s">
        <v>33</v>
      </c>
      <c r="Y578">
        <v>46</v>
      </c>
      <c r="Z578" s="1">
        <v>45563</v>
      </c>
      <c r="AA578" t="str" cm="1">
        <f t="array" ref="AA578">_xlfn.IFS(AND(Table2[[#This Row],[Guest_Age]]&gt;=18,Table2[[#This Row],[Guest_Age]]&lt;=25),"Young Adults",AND(Table2[[#This Row],[Guest_Age]]&gt;=26,Table2[[#This Row],[Guest_Age]]&lt;=35),"Adults",AND(Table2[[#This Row],[Guest_Age]]&gt;=36,Table2[[#This Row],[Guest_Age]]&lt;=50),"Middle Aged Adults",Table2[[#This Row],[Guest_Age]]&gt;50,"Senior")</f>
        <v>Middle Aged Adults</v>
      </c>
      <c r="AB5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78" t="str" cm="1">
        <f t="array" ref="AC578">_xlfn.IFS(Table2[[#This Row],[Satification_points]]&gt;=4.5,"GREAT",AND(Table2[[#This Row],[Satification_points]]&gt;=4,Table2[[#This Row],[Satification_points]]&lt;4.5),"GOOD",AND(Table2[[#This Row],[Satification_points]]&gt;=3,Table2[[#This Row],[Satification_points]]&lt;4),"AVERAGE",Table2[[#This Row],[Satification_points]]&lt;3,"POOR")</f>
        <v>AVERAGE</v>
      </c>
    </row>
    <row r="579" spans="1:29" x14ac:dyDescent="0.3">
      <c r="A579">
        <v>578</v>
      </c>
      <c r="B579">
        <v>14257</v>
      </c>
      <c r="C579" t="s">
        <v>633</v>
      </c>
      <c r="D579" t="s">
        <v>41</v>
      </c>
      <c r="E579" t="s">
        <v>35</v>
      </c>
      <c r="F579" s="1">
        <v>45352</v>
      </c>
      <c r="G579" s="1">
        <v>45353</v>
      </c>
      <c r="H579">
        <v>1</v>
      </c>
      <c r="I579" t="s">
        <v>50</v>
      </c>
      <c r="J579" t="s">
        <v>36</v>
      </c>
      <c r="K579">
        <v>5</v>
      </c>
      <c r="L579">
        <v>1</v>
      </c>
      <c r="M579">
        <v>2</v>
      </c>
      <c r="N579">
        <v>4</v>
      </c>
      <c r="O579">
        <v>4</v>
      </c>
      <c r="P579">
        <v>4</v>
      </c>
      <c r="Q579">
        <v>2</v>
      </c>
      <c r="R579">
        <v>5</v>
      </c>
      <c r="S579">
        <v>4</v>
      </c>
      <c r="T579">
        <v>2</v>
      </c>
      <c r="U579" t="s">
        <v>30</v>
      </c>
      <c r="V579" t="s">
        <v>58</v>
      </c>
      <c r="W579" t="s">
        <v>56</v>
      </c>
      <c r="X579" t="s">
        <v>33</v>
      </c>
      <c r="Y579">
        <v>36</v>
      </c>
      <c r="Z579" s="1">
        <v>45353</v>
      </c>
      <c r="AA579" t="str" cm="1">
        <f t="array" ref="AA579">_xlfn.IFS(AND(Table2[[#This Row],[Guest_Age]]&gt;=18,Table2[[#This Row],[Guest_Age]]&lt;=25),"Young Adults",AND(Table2[[#This Row],[Guest_Age]]&gt;=26,Table2[[#This Row],[Guest_Age]]&lt;=35),"Adults",AND(Table2[[#This Row],[Guest_Age]]&gt;=36,Table2[[#This Row],[Guest_Age]]&lt;=50),"Middle Aged Adults",Table2[[#This Row],[Guest_Age]]&gt;50,"Senior")</f>
        <v>Middle Aged Adults</v>
      </c>
      <c r="AB5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79" t="str" cm="1">
        <f t="array" ref="AC579">_xlfn.IFS(Table2[[#This Row],[Satification_points]]&gt;=4.5,"GREAT",AND(Table2[[#This Row],[Satification_points]]&gt;=4,Table2[[#This Row],[Satification_points]]&lt;4.5),"GOOD",AND(Table2[[#This Row],[Satification_points]]&gt;=3,Table2[[#This Row],[Satification_points]]&lt;4),"AVERAGE",Table2[[#This Row],[Satification_points]]&lt;3,"POOR")</f>
        <v>AVERAGE</v>
      </c>
    </row>
    <row r="580" spans="1:29" x14ac:dyDescent="0.3">
      <c r="A580">
        <v>579</v>
      </c>
      <c r="B580">
        <v>28696</v>
      </c>
      <c r="C580" t="s">
        <v>634</v>
      </c>
      <c r="D580" t="s">
        <v>51</v>
      </c>
      <c r="E580" t="s">
        <v>45</v>
      </c>
      <c r="F580" s="1">
        <v>45334</v>
      </c>
      <c r="G580" s="1">
        <v>45335</v>
      </c>
      <c r="H580">
        <v>4</v>
      </c>
      <c r="I580" t="s">
        <v>28</v>
      </c>
      <c r="J580" t="s">
        <v>43</v>
      </c>
      <c r="K580">
        <v>3</v>
      </c>
      <c r="L580">
        <v>5</v>
      </c>
      <c r="M580">
        <v>2</v>
      </c>
      <c r="N580">
        <v>1</v>
      </c>
      <c r="O580">
        <v>3</v>
      </c>
      <c r="P580">
        <v>1</v>
      </c>
      <c r="Q580">
        <v>2</v>
      </c>
      <c r="R580">
        <v>5</v>
      </c>
      <c r="S580">
        <v>3</v>
      </c>
      <c r="T580">
        <v>3</v>
      </c>
      <c r="U580" t="s">
        <v>30</v>
      </c>
      <c r="V580" t="s">
        <v>46</v>
      </c>
      <c r="W580" t="s">
        <v>39</v>
      </c>
      <c r="X580" t="s">
        <v>44</v>
      </c>
      <c r="Y580">
        <v>60</v>
      </c>
      <c r="Z580" s="1">
        <v>45335</v>
      </c>
      <c r="AA580" t="str" cm="1">
        <f t="array" ref="AA580">_xlfn.IFS(AND(Table2[[#This Row],[Guest_Age]]&gt;=18,Table2[[#This Row],[Guest_Age]]&lt;=25),"Young Adults",AND(Table2[[#This Row],[Guest_Age]]&gt;=26,Table2[[#This Row],[Guest_Age]]&lt;=35),"Adults",AND(Table2[[#This Row],[Guest_Age]]&gt;=36,Table2[[#This Row],[Guest_Age]]&lt;=50),"Middle Aged Adults",Table2[[#This Row],[Guest_Age]]&gt;50,"Senior")</f>
        <v>Senior</v>
      </c>
      <c r="AB5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80" t="str" cm="1">
        <f t="array" ref="AC580">_xlfn.IFS(Table2[[#This Row],[Satification_points]]&gt;=4.5,"GREAT",AND(Table2[[#This Row],[Satification_points]]&gt;=4,Table2[[#This Row],[Satification_points]]&lt;4.5),"GOOD",AND(Table2[[#This Row],[Satification_points]]&gt;=3,Table2[[#This Row],[Satification_points]]&lt;4),"AVERAGE",Table2[[#This Row],[Satification_points]]&lt;3,"POOR")</f>
        <v>POOR</v>
      </c>
    </row>
    <row r="581" spans="1:29" x14ac:dyDescent="0.3">
      <c r="A581">
        <v>580</v>
      </c>
      <c r="B581">
        <v>44763</v>
      </c>
      <c r="C581" t="s">
        <v>635</v>
      </c>
      <c r="D581" t="s">
        <v>48</v>
      </c>
      <c r="E581" t="s">
        <v>45</v>
      </c>
      <c r="F581" s="1">
        <v>45143</v>
      </c>
      <c r="G581" s="1">
        <v>45144</v>
      </c>
      <c r="H581">
        <v>12</v>
      </c>
      <c r="I581" t="s">
        <v>49</v>
      </c>
      <c r="J581" t="s">
        <v>29</v>
      </c>
      <c r="K581">
        <v>3</v>
      </c>
      <c r="L581">
        <v>1</v>
      </c>
      <c r="M581">
        <v>4</v>
      </c>
      <c r="N581">
        <v>2</v>
      </c>
      <c r="O581">
        <v>1</v>
      </c>
      <c r="P581">
        <v>2</v>
      </c>
      <c r="Q581">
        <v>3</v>
      </c>
      <c r="R581">
        <v>2</v>
      </c>
      <c r="S581">
        <v>5</v>
      </c>
      <c r="T581">
        <v>1</v>
      </c>
      <c r="U581" t="s">
        <v>37</v>
      </c>
      <c r="V581" t="s">
        <v>54</v>
      </c>
      <c r="W581" t="s">
        <v>55</v>
      </c>
      <c r="X581" t="s">
        <v>44</v>
      </c>
      <c r="Y581">
        <v>44</v>
      </c>
      <c r="Z581" s="1">
        <v>45144</v>
      </c>
      <c r="AA581" t="str" cm="1">
        <f t="array" ref="AA5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5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581" t="str" cm="1">
        <f t="array" ref="AC581">_xlfn.IFS(Table2[[#This Row],[Satification_points]]&gt;=4.5,"GREAT",AND(Table2[[#This Row],[Satification_points]]&gt;=4,Table2[[#This Row],[Satification_points]]&lt;4.5),"GOOD",AND(Table2[[#This Row],[Satification_points]]&gt;=3,Table2[[#This Row],[Satification_points]]&lt;4),"AVERAGE",Table2[[#This Row],[Satification_points]]&lt;3,"POOR")</f>
        <v>POOR</v>
      </c>
    </row>
    <row r="582" spans="1:29" x14ac:dyDescent="0.3">
      <c r="A582">
        <v>581</v>
      </c>
      <c r="B582">
        <v>80531</v>
      </c>
      <c r="C582" t="s">
        <v>636</v>
      </c>
      <c r="D582" t="s">
        <v>26</v>
      </c>
      <c r="E582" t="s">
        <v>27</v>
      </c>
      <c r="F582" s="1">
        <v>45096</v>
      </c>
      <c r="G582" s="1">
        <v>45559</v>
      </c>
      <c r="H582">
        <v>10</v>
      </c>
      <c r="I582" t="s">
        <v>42</v>
      </c>
      <c r="J582" t="s">
        <v>53</v>
      </c>
      <c r="K582">
        <v>5</v>
      </c>
      <c r="L582">
        <v>5</v>
      </c>
      <c r="M582">
        <v>3</v>
      </c>
      <c r="N582">
        <v>1</v>
      </c>
      <c r="O582">
        <v>5</v>
      </c>
      <c r="P582">
        <v>5</v>
      </c>
      <c r="Q582">
        <v>1</v>
      </c>
      <c r="R582">
        <v>3</v>
      </c>
      <c r="S582">
        <v>4</v>
      </c>
      <c r="T582">
        <v>3</v>
      </c>
      <c r="U582" t="s">
        <v>37</v>
      </c>
      <c r="V582" t="s">
        <v>58</v>
      </c>
      <c r="W582" t="s">
        <v>56</v>
      </c>
      <c r="X582" t="s">
        <v>40</v>
      </c>
      <c r="Y582">
        <v>19</v>
      </c>
      <c r="Z582" s="1">
        <v>45559</v>
      </c>
      <c r="AA582" t="str" cm="1">
        <f t="array" ref="AA582">_xlfn.IFS(AND(Table2[[#This Row],[Guest_Age]]&gt;=18,Table2[[#This Row],[Guest_Age]]&lt;=25),"Young Adults",AND(Table2[[#This Row],[Guest_Age]]&gt;=26,Table2[[#This Row],[Guest_Age]]&lt;=35),"Adults",AND(Table2[[#This Row],[Guest_Age]]&gt;=36,Table2[[#This Row],[Guest_Age]]&lt;=50),"Middle Aged Adults",Table2[[#This Row],[Guest_Age]]&gt;50,"Senior")</f>
        <v>Young Adults</v>
      </c>
      <c r="AB5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582" t="str" cm="1">
        <f t="array" ref="AC582">_xlfn.IFS(Table2[[#This Row],[Satification_points]]&gt;=4.5,"GREAT",AND(Table2[[#This Row],[Satification_points]]&gt;=4,Table2[[#This Row],[Satification_points]]&lt;4.5),"GOOD",AND(Table2[[#This Row],[Satification_points]]&gt;=3,Table2[[#This Row],[Satification_points]]&lt;4),"AVERAGE",Table2[[#This Row],[Satification_points]]&lt;3,"POOR")</f>
        <v>AVERAGE</v>
      </c>
    </row>
    <row r="583" spans="1:29" x14ac:dyDescent="0.3">
      <c r="A583">
        <v>582</v>
      </c>
      <c r="B583">
        <v>28126</v>
      </c>
      <c r="C583" t="s">
        <v>637</v>
      </c>
      <c r="D583" t="s">
        <v>26</v>
      </c>
      <c r="E583" t="s">
        <v>27</v>
      </c>
      <c r="F583" s="1">
        <v>45536</v>
      </c>
      <c r="G583" s="1">
        <v>45537</v>
      </c>
      <c r="H583">
        <v>8</v>
      </c>
      <c r="I583" t="s">
        <v>42</v>
      </c>
      <c r="J583" t="s">
        <v>29</v>
      </c>
      <c r="K583">
        <v>4</v>
      </c>
      <c r="L583">
        <v>5</v>
      </c>
      <c r="M583">
        <v>4</v>
      </c>
      <c r="N583">
        <v>4</v>
      </c>
      <c r="O583">
        <v>2</v>
      </c>
      <c r="P583">
        <v>2</v>
      </c>
      <c r="Q583">
        <v>4</v>
      </c>
      <c r="R583">
        <v>2</v>
      </c>
      <c r="S583">
        <v>5</v>
      </c>
      <c r="T583">
        <v>2</v>
      </c>
      <c r="U583" t="s">
        <v>30</v>
      </c>
      <c r="V583" t="s">
        <v>58</v>
      </c>
      <c r="W583" t="s">
        <v>39</v>
      </c>
      <c r="X583" t="s">
        <v>33</v>
      </c>
      <c r="Y583">
        <v>57</v>
      </c>
      <c r="Z583" s="1">
        <v>45537</v>
      </c>
      <c r="AA583" t="str" cm="1">
        <f t="array" ref="AA583">_xlfn.IFS(AND(Table2[[#This Row],[Guest_Age]]&gt;=18,Table2[[#This Row],[Guest_Age]]&lt;=25),"Young Adults",AND(Table2[[#This Row],[Guest_Age]]&gt;=26,Table2[[#This Row],[Guest_Age]]&lt;=35),"Adults",AND(Table2[[#This Row],[Guest_Age]]&gt;=36,Table2[[#This Row],[Guest_Age]]&lt;=50),"Middle Aged Adults",Table2[[#This Row],[Guest_Age]]&gt;50,"Senior")</f>
        <v>Senior</v>
      </c>
      <c r="AB5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83" t="str" cm="1">
        <f t="array" ref="AC583">_xlfn.IFS(Table2[[#This Row],[Satification_points]]&gt;=4.5,"GREAT",AND(Table2[[#This Row],[Satification_points]]&gt;=4,Table2[[#This Row],[Satification_points]]&lt;4.5),"GOOD",AND(Table2[[#This Row],[Satification_points]]&gt;=3,Table2[[#This Row],[Satification_points]]&lt;4),"AVERAGE",Table2[[#This Row],[Satification_points]]&lt;3,"POOR")</f>
        <v>AVERAGE</v>
      </c>
    </row>
    <row r="584" spans="1:29" x14ac:dyDescent="0.3">
      <c r="A584">
        <v>583</v>
      </c>
      <c r="B584">
        <v>43923</v>
      </c>
      <c r="C584" t="s">
        <v>638</v>
      </c>
      <c r="D584" t="s">
        <v>26</v>
      </c>
      <c r="E584" t="s">
        <v>27</v>
      </c>
      <c r="F584" s="1">
        <v>45284</v>
      </c>
      <c r="G584" s="1">
        <v>45631</v>
      </c>
      <c r="H584">
        <v>9</v>
      </c>
      <c r="I584" t="s">
        <v>42</v>
      </c>
      <c r="J584" t="s">
        <v>36</v>
      </c>
      <c r="K584">
        <v>4</v>
      </c>
      <c r="L584">
        <v>5</v>
      </c>
      <c r="M584">
        <v>4</v>
      </c>
      <c r="N584">
        <v>4</v>
      </c>
      <c r="O584">
        <v>3</v>
      </c>
      <c r="P584">
        <v>1</v>
      </c>
      <c r="Q584">
        <v>1</v>
      </c>
      <c r="R584">
        <v>1</v>
      </c>
      <c r="S584">
        <v>1</v>
      </c>
      <c r="T584">
        <v>3</v>
      </c>
      <c r="U584" t="s">
        <v>30</v>
      </c>
      <c r="V584" t="s">
        <v>54</v>
      </c>
      <c r="W584" t="s">
        <v>55</v>
      </c>
      <c r="X584" t="s">
        <v>40</v>
      </c>
      <c r="Y584">
        <v>56</v>
      </c>
      <c r="Z584" s="1">
        <v>45631</v>
      </c>
      <c r="AA584" t="str" cm="1">
        <f t="array" ref="AA584">_xlfn.IFS(AND(Table2[[#This Row],[Guest_Age]]&gt;=18,Table2[[#This Row],[Guest_Age]]&lt;=25),"Young Adults",AND(Table2[[#This Row],[Guest_Age]]&gt;=26,Table2[[#This Row],[Guest_Age]]&lt;=35),"Adults",AND(Table2[[#This Row],[Guest_Age]]&gt;=36,Table2[[#This Row],[Guest_Age]]&lt;=50),"Middle Aged Adults",Table2[[#This Row],[Guest_Age]]&gt;50,"Senior")</f>
        <v>Senior</v>
      </c>
      <c r="AB5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84" t="str" cm="1">
        <f t="array" ref="AC584">_xlfn.IFS(Table2[[#This Row],[Satification_points]]&gt;=4.5,"GREAT",AND(Table2[[#This Row],[Satification_points]]&gt;=4,Table2[[#This Row],[Satification_points]]&lt;4.5),"GOOD",AND(Table2[[#This Row],[Satification_points]]&gt;=3,Table2[[#This Row],[Satification_points]]&lt;4),"AVERAGE",Table2[[#This Row],[Satification_points]]&lt;3,"POOR")</f>
        <v>POOR</v>
      </c>
    </row>
    <row r="585" spans="1:29" x14ac:dyDescent="0.3">
      <c r="A585">
        <v>584</v>
      </c>
      <c r="B585">
        <v>51353</v>
      </c>
      <c r="C585" t="s">
        <v>639</v>
      </c>
      <c r="D585" t="s">
        <v>51</v>
      </c>
      <c r="E585" t="s">
        <v>52</v>
      </c>
      <c r="F585" s="1">
        <v>45112</v>
      </c>
      <c r="G585" s="1">
        <v>45114</v>
      </c>
      <c r="H585">
        <v>9</v>
      </c>
      <c r="I585" t="s">
        <v>42</v>
      </c>
      <c r="J585" t="s">
        <v>40</v>
      </c>
      <c r="K585">
        <v>2</v>
      </c>
      <c r="L585">
        <v>1</v>
      </c>
      <c r="M585">
        <v>2</v>
      </c>
      <c r="N585">
        <v>2</v>
      </c>
      <c r="O585">
        <v>4</v>
      </c>
      <c r="P585">
        <v>3</v>
      </c>
      <c r="Q585">
        <v>4</v>
      </c>
      <c r="R585">
        <v>5</v>
      </c>
      <c r="S585">
        <v>1</v>
      </c>
      <c r="T585">
        <v>1</v>
      </c>
      <c r="U585" t="s">
        <v>37</v>
      </c>
      <c r="V585" t="s">
        <v>31</v>
      </c>
      <c r="W585" t="s">
        <v>39</v>
      </c>
      <c r="X585" t="s">
        <v>33</v>
      </c>
      <c r="Y585">
        <v>18</v>
      </c>
      <c r="Z585" s="1">
        <v>45200</v>
      </c>
      <c r="AA585" t="str" cm="1">
        <f t="array" ref="AA585">_xlfn.IFS(AND(Table2[[#This Row],[Guest_Age]]&gt;=18,Table2[[#This Row],[Guest_Age]]&lt;=25),"Young Adults",AND(Table2[[#This Row],[Guest_Age]]&gt;=26,Table2[[#This Row],[Guest_Age]]&lt;=35),"Adults",AND(Table2[[#This Row],[Guest_Age]]&gt;=36,Table2[[#This Row],[Guest_Age]]&lt;=50),"Middle Aged Adults",Table2[[#This Row],[Guest_Age]]&gt;50,"Senior")</f>
        <v>Young Adults</v>
      </c>
      <c r="AB5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85" t="str" cm="1">
        <f t="array" ref="AC585">_xlfn.IFS(Table2[[#This Row],[Satification_points]]&gt;=4.5,"GREAT",AND(Table2[[#This Row],[Satification_points]]&gt;=4,Table2[[#This Row],[Satification_points]]&lt;4.5),"GOOD",AND(Table2[[#This Row],[Satification_points]]&gt;=3,Table2[[#This Row],[Satification_points]]&lt;4),"AVERAGE",Table2[[#This Row],[Satification_points]]&lt;3,"POOR")</f>
        <v>POOR</v>
      </c>
    </row>
    <row r="586" spans="1:29" x14ac:dyDescent="0.3">
      <c r="A586">
        <v>585</v>
      </c>
      <c r="B586">
        <v>98683</v>
      </c>
      <c r="C586" t="s">
        <v>640</v>
      </c>
      <c r="D586" t="s">
        <v>48</v>
      </c>
      <c r="E586" t="s">
        <v>35</v>
      </c>
      <c r="F586" s="1">
        <v>45651</v>
      </c>
      <c r="G586" s="1">
        <v>45652</v>
      </c>
      <c r="H586">
        <v>2</v>
      </c>
      <c r="I586" t="s">
        <v>50</v>
      </c>
      <c r="J586" t="s">
        <v>40</v>
      </c>
      <c r="K586">
        <v>4</v>
      </c>
      <c r="L586">
        <v>5</v>
      </c>
      <c r="M586">
        <v>4</v>
      </c>
      <c r="N586">
        <v>3</v>
      </c>
      <c r="O586">
        <v>2</v>
      </c>
      <c r="P586">
        <v>5</v>
      </c>
      <c r="Q586">
        <v>2</v>
      </c>
      <c r="R586">
        <v>1</v>
      </c>
      <c r="S586">
        <v>3</v>
      </c>
      <c r="T586">
        <v>3</v>
      </c>
      <c r="U586" t="s">
        <v>30</v>
      </c>
      <c r="V586" t="s">
        <v>58</v>
      </c>
      <c r="W586" t="s">
        <v>47</v>
      </c>
      <c r="X586" t="s">
        <v>33</v>
      </c>
      <c r="Y586">
        <v>31</v>
      </c>
      <c r="Z586" s="1">
        <v>45652</v>
      </c>
      <c r="AA586" t="str" cm="1">
        <f t="array" ref="AA586">_xlfn.IFS(AND(Table2[[#This Row],[Guest_Age]]&gt;=18,Table2[[#This Row],[Guest_Age]]&lt;=25),"Young Adults",AND(Table2[[#This Row],[Guest_Age]]&gt;=26,Table2[[#This Row],[Guest_Age]]&lt;=35),"Adults",AND(Table2[[#This Row],[Guest_Age]]&gt;=36,Table2[[#This Row],[Guest_Age]]&lt;=50),"Middle Aged Adults",Table2[[#This Row],[Guest_Age]]&gt;50,"Senior")</f>
        <v>Adults</v>
      </c>
      <c r="AB5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86" t="str" cm="1">
        <f t="array" ref="AC586">_xlfn.IFS(Table2[[#This Row],[Satification_points]]&gt;=4.5,"GREAT",AND(Table2[[#This Row],[Satification_points]]&gt;=4,Table2[[#This Row],[Satification_points]]&lt;4.5),"GOOD",AND(Table2[[#This Row],[Satification_points]]&gt;=3,Table2[[#This Row],[Satification_points]]&lt;4),"AVERAGE",Table2[[#This Row],[Satification_points]]&lt;3,"POOR")</f>
        <v>AVERAGE</v>
      </c>
    </row>
    <row r="587" spans="1:29" x14ac:dyDescent="0.3">
      <c r="A587">
        <v>586</v>
      </c>
      <c r="B587">
        <v>90423</v>
      </c>
      <c r="C587" t="s">
        <v>641</v>
      </c>
      <c r="D587" t="s">
        <v>26</v>
      </c>
      <c r="E587" t="s">
        <v>57</v>
      </c>
      <c r="F587" s="1">
        <v>45605</v>
      </c>
      <c r="G587" s="1">
        <v>45606</v>
      </c>
      <c r="H587">
        <v>9</v>
      </c>
      <c r="I587" t="s">
        <v>49</v>
      </c>
      <c r="J587" t="s">
        <v>29</v>
      </c>
      <c r="K587">
        <v>2</v>
      </c>
      <c r="L587">
        <v>2</v>
      </c>
      <c r="M587">
        <v>4</v>
      </c>
      <c r="N587">
        <v>2</v>
      </c>
      <c r="O587">
        <v>4</v>
      </c>
      <c r="P587">
        <v>1</v>
      </c>
      <c r="Q587">
        <v>5</v>
      </c>
      <c r="R587">
        <v>4</v>
      </c>
      <c r="S587">
        <v>1</v>
      </c>
      <c r="T587">
        <v>3</v>
      </c>
      <c r="U587" t="s">
        <v>30</v>
      </c>
      <c r="V587" t="s">
        <v>46</v>
      </c>
      <c r="W587" t="s">
        <v>39</v>
      </c>
      <c r="X587" t="s">
        <v>33</v>
      </c>
      <c r="Y587">
        <v>25</v>
      </c>
      <c r="Z587" s="1">
        <v>45657</v>
      </c>
      <c r="AA587" t="str" cm="1">
        <f t="array" ref="AA587">_xlfn.IFS(AND(Table2[[#This Row],[Guest_Age]]&gt;=18,Table2[[#This Row],[Guest_Age]]&lt;=25),"Young Adults",AND(Table2[[#This Row],[Guest_Age]]&gt;=26,Table2[[#This Row],[Guest_Age]]&lt;=35),"Adults",AND(Table2[[#This Row],[Guest_Age]]&gt;=36,Table2[[#This Row],[Guest_Age]]&lt;=50),"Middle Aged Adults",Table2[[#This Row],[Guest_Age]]&gt;50,"Senior")</f>
        <v>Young Adults</v>
      </c>
      <c r="AB5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87" t="str" cm="1">
        <f t="array" ref="AC587">_xlfn.IFS(Table2[[#This Row],[Satification_points]]&gt;=4.5,"GREAT",AND(Table2[[#This Row],[Satification_points]]&gt;=4,Table2[[#This Row],[Satification_points]]&lt;4.5),"GOOD",AND(Table2[[#This Row],[Satification_points]]&gt;=3,Table2[[#This Row],[Satification_points]]&lt;4),"AVERAGE",Table2[[#This Row],[Satification_points]]&lt;3,"POOR")</f>
        <v>POOR</v>
      </c>
    </row>
    <row r="588" spans="1:29" x14ac:dyDescent="0.3">
      <c r="A588">
        <v>587</v>
      </c>
      <c r="B588">
        <v>98867</v>
      </c>
      <c r="C588" t="s">
        <v>642</v>
      </c>
      <c r="D588" t="s">
        <v>34</v>
      </c>
      <c r="E588" t="s">
        <v>35</v>
      </c>
      <c r="F588" s="1">
        <v>45087</v>
      </c>
      <c r="G588" s="1">
        <v>45119</v>
      </c>
      <c r="H588">
        <v>8</v>
      </c>
      <c r="I588" t="s">
        <v>28</v>
      </c>
      <c r="J588" t="s">
        <v>53</v>
      </c>
      <c r="K588">
        <v>4</v>
      </c>
      <c r="L588">
        <v>2</v>
      </c>
      <c r="M588">
        <v>2</v>
      </c>
      <c r="N588">
        <v>1</v>
      </c>
      <c r="O588">
        <v>2</v>
      </c>
      <c r="P588">
        <v>3</v>
      </c>
      <c r="Q588">
        <v>3</v>
      </c>
      <c r="R588">
        <v>3</v>
      </c>
      <c r="S588">
        <v>4</v>
      </c>
      <c r="T588">
        <v>4</v>
      </c>
      <c r="U588" t="s">
        <v>30</v>
      </c>
      <c r="V588" t="s">
        <v>38</v>
      </c>
      <c r="W588" t="s">
        <v>32</v>
      </c>
      <c r="X588" t="s">
        <v>44</v>
      </c>
      <c r="Y588">
        <v>44</v>
      </c>
      <c r="Z588" s="1">
        <v>45119</v>
      </c>
      <c r="AA588" t="str" cm="1">
        <f t="array" ref="AA5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5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88" t="str" cm="1">
        <f t="array" ref="AC588">_xlfn.IFS(Table2[[#This Row],[Satification_points]]&gt;=4.5,"GREAT",AND(Table2[[#This Row],[Satification_points]]&gt;=4,Table2[[#This Row],[Satification_points]]&lt;4.5),"GOOD",AND(Table2[[#This Row],[Satification_points]]&gt;=3,Table2[[#This Row],[Satification_points]]&lt;4),"AVERAGE",Table2[[#This Row],[Satification_points]]&lt;3,"POOR")</f>
        <v>POOR</v>
      </c>
    </row>
    <row r="589" spans="1:29" x14ac:dyDescent="0.3">
      <c r="A589">
        <v>588</v>
      </c>
      <c r="B589">
        <v>17202</v>
      </c>
      <c r="C589" t="s">
        <v>643</v>
      </c>
      <c r="D589" t="s">
        <v>41</v>
      </c>
      <c r="E589" t="s">
        <v>35</v>
      </c>
      <c r="F589" s="1">
        <v>45210</v>
      </c>
      <c r="G589" s="1">
        <v>45533</v>
      </c>
      <c r="H589">
        <v>11</v>
      </c>
      <c r="I589" t="s">
        <v>42</v>
      </c>
      <c r="J589" t="s">
        <v>40</v>
      </c>
      <c r="K589">
        <v>2</v>
      </c>
      <c r="L589">
        <v>1</v>
      </c>
      <c r="M589">
        <v>2</v>
      </c>
      <c r="N589">
        <v>4</v>
      </c>
      <c r="O589">
        <v>2</v>
      </c>
      <c r="P589">
        <v>1</v>
      </c>
      <c r="Q589">
        <v>3</v>
      </c>
      <c r="R589">
        <v>4</v>
      </c>
      <c r="S589">
        <v>5</v>
      </c>
      <c r="T589">
        <v>2</v>
      </c>
      <c r="U589" t="s">
        <v>37</v>
      </c>
      <c r="V589" t="s">
        <v>58</v>
      </c>
      <c r="W589" t="s">
        <v>47</v>
      </c>
      <c r="X589" t="s">
        <v>44</v>
      </c>
      <c r="Y589">
        <v>50</v>
      </c>
      <c r="Z589" s="1">
        <v>45533</v>
      </c>
      <c r="AA589" t="str" cm="1">
        <f t="array" ref="AA5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5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89" t="str" cm="1">
        <f t="array" ref="AC589">_xlfn.IFS(Table2[[#This Row],[Satification_points]]&gt;=4.5,"GREAT",AND(Table2[[#This Row],[Satification_points]]&gt;=4,Table2[[#This Row],[Satification_points]]&lt;4.5),"GOOD",AND(Table2[[#This Row],[Satification_points]]&gt;=3,Table2[[#This Row],[Satification_points]]&lt;4),"AVERAGE",Table2[[#This Row],[Satification_points]]&lt;3,"POOR")</f>
        <v>POOR</v>
      </c>
    </row>
    <row r="590" spans="1:29" x14ac:dyDescent="0.3">
      <c r="A590">
        <v>589</v>
      </c>
      <c r="B590">
        <v>73168</v>
      </c>
      <c r="C590" t="s">
        <v>644</v>
      </c>
      <c r="D590" t="s">
        <v>34</v>
      </c>
      <c r="E590" t="s">
        <v>27</v>
      </c>
      <c r="F590" s="1">
        <v>45110</v>
      </c>
      <c r="G590" s="1">
        <v>45111</v>
      </c>
      <c r="H590">
        <v>14</v>
      </c>
      <c r="I590" t="s">
        <v>50</v>
      </c>
      <c r="J590" t="s">
        <v>40</v>
      </c>
      <c r="K590">
        <v>2</v>
      </c>
      <c r="L590">
        <v>3</v>
      </c>
      <c r="M590">
        <v>1</v>
      </c>
      <c r="N590">
        <v>1</v>
      </c>
      <c r="O590">
        <v>3</v>
      </c>
      <c r="P590">
        <v>3</v>
      </c>
      <c r="Q590">
        <v>3</v>
      </c>
      <c r="R590">
        <v>3</v>
      </c>
      <c r="S590">
        <v>3</v>
      </c>
      <c r="T590">
        <v>4</v>
      </c>
      <c r="U590" t="s">
        <v>37</v>
      </c>
      <c r="V590" t="s">
        <v>31</v>
      </c>
      <c r="W590" t="s">
        <v>39</v>
      </c>
      <c r="X590" t="s">
        <v>33</v>
      </c>
      <c r="Y590">
        <v>48</v>
      </c>
      <c r="Z590" s="1">
        <v>45111</v>
      </c>
      <c r="AA590" t="str" cm="1">
        <f t="array" ref="AA5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5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590" t="str" cm="1">
        <f t="array" ref="AC590">_xlfn.IFS(Table2[[#This Row],[Satification_points]]&gt;=4.5,"GREAT",AND(Table2[[#This Row],[Satification_points]]&gt;=4,Table2[[#This Row],[Satification_points]]&lt;4.5),"GOOD",AND(Table2[[#This Row],[Satification_points]]&gt;=3,Table2[[#This Row],[Satification_points]]&lt;4),"AVERAGE",Table2[[#This Row],[Satification_points]]&lt;3,"POOR")</f>
        <v>POOR</v>
      </c>
    </row>
    <row r="591" spans="1:29" x14ac:dyDescent="0.3">
      <c r="A591">
        <v>590</v>
      </c>
      <c r="B591">
        <v>72835</v>
      </c>
      <c r="C591" t="s">
        <v>645</v>
      </c>
      <c r="D591" t="s">
        <v>34</v>
      </c>
      <c r="E591" t="s">
        <v>35</v>
      </c>
      <c r="F591" s="1">
        <v>45463</v>
      </c>
      <c r="G591" s="1">
        <v>45464</v>
      </c>
      <c r="H591">
        <v>11</v>
      </c>
      <c r="I591" t="s">
        <v>50</v>
      </c>
      <c r="J591" t="s">
        <v>36</v>
      </c>
      <c r="K591">
        <v>1</v>
      </c>
      <c r="L591">
        <v>3</v>
      </c>
      <c r="M591">
        <v>3</v>
      </c>
      <c r="N591">
        <v>1</v>
      </c>
      <c r="O591">
        <v>4</v>
      </c>
      <c r="P591">
        <v>3</v>
      </c>
      <c r="Q591">
        <v>1</v>
      </c>
      <c r="R591">
        <v>4</v>
      </c>
      <c r="S591">
        <v>4</v>
      </c>
      <c r="T591">
        <v>1</v>
      </c>
      <c r="U591" t="s">
        <v>37</v>
      </c>
      <c r="V591" t="s">
        <v>54</v>
      </c>
      <c r="W591" t="s">
        <v>47</v>
      </c>
      <c r="X591" t="s">
        <v>40</v>
      </c>
      <c r="Y591">
        <v>47</v>
      </c>
      <c r="Z591" s="1">
        <v>45592</v>
      </c>
      <c r="AA591" t="str" cm="1">
        <f t="array" ref="AA5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5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591" t="str" cm="1">
        <f t="array" ref="AC591">_xlfn.IFS(Table2[[#This Row],[Satification_points]]&gt;=4.5,"GREAT",AND(Table2[[#This Row],[Satification_points]]&gt;=4,Table2[[#This Row],[Satification_points]]&lt;4.5),"GOOD",AND(Table2[[#This Row],[Satification_points]]&gt;=3,Table2[[#This Row],[Satification_points]]&lt;4),"AVERAGE",Table2[[#This Row],[Satification_points]]&lt;3,"POOR")</f>
        <v>POOR</v>
      </c>
    </row>
    <row r="592" spans="1:29" x14ac:dyDescent="0.3">
      <c r="A592">
        <v>591</v>
      </c>
      <c r="B592">
        <v>93960</v>
      </c>
      <c r="C592" t="s">
        <v>646</v>
      </c>
      <c r="D592" t="s">
        <v>26</v>
      </c>
      <c r="E592" t="s">
        <v>27</v>
      </c>
      <c r="F592" s="1">
        <v>45068</v>
      </c>
      <c r="G592" s="1">
        <v>45069</v>
      </c>
      <c r="H592">
        <v>13</v>
      </c>
      <c r="I592" t="s">
        <v>42</v>
      </c>
      <c r="J592" t="s">
        <v>36</v>
      </c>
      <c r="K592">
        <v>2</v>
      </c>
      <c r="L592">
        <v>1</v>
      </c>
      <c r="M592">
        <v>1</v>
      </c>
      <c r="N592">
        <v>5</v>
      </c>
      <c r="O592">
        <v>1</v>
      </c>
      <c r="P592">
        <v>2</v>
      </c>
      <c r="Q592">
        <v>2</v>
      </c>
      <c r="R592">
        <v>4</v>
      </c>
      <c r="S592">
        <v>5</v>
      </c>
      <c r="T592">
        <v>5</v>
      </c>
      <c r="U592" t="s">
        <v>37</v>
      </c>
      <c r="V592" t="s">
        <v>46</v>
      </c>
      <c r="W592" t="s">
        <v>55</v>
      </c>
      <c r="X592" t="s">
        <v>40</v>
      </c>
      <c r="Y592">
        <v>42</v>
      </c>
      <c r="Z592" s="1">
        <v>45385</v>
      </c>
      <c r="AA592" t="str" cm="1">
        <f t="array" ref="AA592">_xlfn.IFS(AND(Table2[[#This Row],[Guest_Age]]&gt;=18,Table2[[#This Row],[Guest_Age]]&lt;=25),"Young Adults",AND(Table2[[#This Row],[Guest_Age]]&gt;=26,Table2[[#This Row],[Guest_Age]]&lt;=35),"Adults",AND(Table2[[#This Row],[Guest_Age]]&gt;=36,Table2[[#This Row],[Guest_Age]]&lt;=50),"Middle Aged Adults",Table2[[#This Row],[Guest_Age]]&gt;50,"Senior")</f>
        <v>Middle Aged Adults</v>
      </c>
      <c r="AB5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592" t="str" cm="1">
        <f t="array" ref="AC592">_xlfn.IFS(Table2[[#This Row],[Satification_points]]&gt;=4.5,"GREAT",AND(Table2[[#This Row],[Satification_points]]&gt;=4,Table2[[#This Row],[Satification_points]]&lt;4.5),"GOOD",AND(Table2[[#This Row],[Satification_points]]&gt;=3,Table2[[#This Row],[Satification_points]]&lt;4),"AVERAGE",Table2[[#This Row],[Satification_points]]&lt;3,"POOR")</f>
        <v>POOR</v>
      </c>
    </row>
    <row r="593" spans="1:29" x14ac:dyDescent="0.3">
      <c r="A593">
        <v>592</v>
      </c>
      <c r="B593">
        <v>58809</v>
      </c>
      <c r="C593" t="s">
        <v>647</v>
      </c>
      <c r="D593" t="s">
        <v>34</v>
      </c>
      <c r="E593" t="s">
        <v>35</v>
      </c>
      <c r="F593" s="1">
        <v>45621</v>
      </c>
      <c r="G593" s="1">
        <v>45622</v>
      </c>
      <c r="H593">
        <v>14</v>
      </c>
      <c r="I593" t="s">
        <v>42</v>
      </c>
      <c r="J593" t="s">
        <v>53</v>
      </c>
      <c r="K593">
        <v>5</v>
      </c>
      <c r="L593">
        <v>5</v>
      </c>
      <c r="M593">
        <v>2</v>
      </c>
      <c r="N593">
        <v>4</v>
      </c>
      <c r="O593">
        <v>2</v>
      </c>
      <c r="P593">
        <v>4</v>
      </c>
      <c r="Q593">
        <v>2</v>
      </c>
      <c r="R593">
        <v>3</v>
      </c>
      <c r="S593">
        <v>5</v>
      </c>
      <c r="T593">
        <v>1</v>
      </c>
      <c r="U593" t="s">
        <v>37</v>
      </c>
      <c r="V593" t="s">
        <v>38</v>
      </c>
      <c r="W593" t="s">
        <v>32</v>
      </c>
      <c r="X593" t="s">
        <v>44</v>
      </c>
      <c r="Y593">
        <v>66</v>
      </c>
      <c r="Z593" s="1">
        <v>45622</v>
      </c>
      <c r="AA593" t="str" cm="1">
        <f t="array" ref="AA593">_xlfn.IFS(AND(Table2[[#This Row],[Guest_Age]]&gt;=18,Table2[[#This Row],[Guest_Age]]&lt;=25),"Young Adults",AND(Table2[[#This Row],[Guest_Age]]&gt;=26,Table2[[#This Row],[Guest_Age]]&lt;=35),"Adults",AND(Table2[[#This Row],[Guest_Age]]&gt;=36,Table2[[#This Row],[Guest_Age]]&lt;=50),"Middle Aged Adults",Table2[[#This Row],[Guest_Age]]&gt;50,"Senior")</f>
        <v>Senior</v>
      </c>
      <c r="AB5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93" t="str" cm="1">
        <f t="array" ref="AC593">_xlfn.IFS(Table2[[#This Row],[Satification_points]]&gt;=4.5,"GREAT",AND(Table2[[#This Row],[Satification_points]]&gt;=4,Table2[[#This Row],[Satification_points]]&lt;4.5),"GOOD",AND(Table2[[#This Row],[Satification_points]]&gt;=3,Table2[[#This Row],[Satification_points]]&lt;4),"AVERAGE",Table2[[#This Row],[Satification_points]]&lt;3,"POOR")</f>
        <v>AVERAGE</v>
      </c>
    </row>
    <row r="594" spans="1:29" x14ac:dyDescent="0.3">
      <c r="A594">
        <v>593</v>
      </c>
      <c r="B594">
        <v>23341</v>
      </c>
      <c r="C594" t="s">
        <v>648</v>
      </c>
      <c r="D594" t="s">
        <v>34</v>
      </c>
      <c r="E594" t="s">
        <v>57</v>
      </c>
      <c r="F594" s="1">
        <v>45522</v>
      </c>
      <c r="G594" s="1">
        <v>45523</v>
      </c>
      <c r="H594">
        <v>9</v>
      </c>
      <c r="I594" t="s">
        <v>28</v>
      </c>
      <c r="J594" t="s">
        <v>40</v>
      </c>
      <c r="K594">
        <v>5</v>
      </c>
      <c r="L594">
        <v>5</v>
      </c>
      <c r="M594">
        <v>5</v>
      </c>
      <c r="N594">
        <v>4</v>
      </c>
      <c r="O594">
        <v>2</v>
      </c>
      <c r="P594">
        <v>4</v>
      </c>
      <c r="Q594">
        <v>5</v>
      </c>
      <c r="R594">
        <v>1</v>
      </c>
      <c r="S594">
        <v>2</v>
      </c>
      <c r="T594">
        <v>1</v>
      </c>
      <c r="U594" t="s">
        <v>30</v>
      </c>
      <c r="V594" t="s">
        <v>58</v>
      </c>
      <c r="W594" t="s">
        <v>32</v>
      </c>
      <c r="X594" t="s">
        <v>33</v>
      </c>
      <c r="Y594">
        <v>53</v>
      </c>
      <c r="Z594" s="1">
        <v>45523</v>
      </c>
      <c r="AA594" t="str" cm="1">
        <f t="array" ref="AA594">_xlfn.IFS(AND(Table2[[#This Row],[Guest_Age]]&gt;=18,Table2[[#This Row],[Guest_Age]]&lt;=25),"Young Adults",AND(Table2[[#This Row],[Guest_Age]]&gt;=26,Table2[[#This Row],[Guest_Age]]&lt;=35),"Adults",AND(Table2[[#This Row],[Guest_Age]]&gt;=36,Table2[[#This Row],[Guest_Age]]&lt;=50),"Middle Aged Adults",Table2[[#This Row],[Guest_Age]]&gt;50,"Senior")</f>
        <v>Senior</v>
      </c>
      <c r="AB5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94" t="str" cm="1">
        <f t="array" ref="AC594">_xlfn.IFS(Table2[[#This Row],[Satification_points]]&gt;=4.5,"GREAT",AND(Table2[[#This Row],[Satification_points]]&gt;=4,Table2[[#This Row],[Satification_points]]&lt;4.5),"GOOD",AND(Table2[[#This Row],[Satification_points]]&gt;=3,Table2[[#This Row],[Satification_points]]&lt;4),"AVERAGE",Table2[[#This Row],[Satification_points]]&lt;3,"POOR")</f>
        <v>AVERAGE</v>
      </c>
    </row>
    <row r="595" spans="1:29" x14ac:dyDescent="0.3">
      <c r="A595">
        <v>594</v>
      </c>
      <c r="B595">
        <v>75410</v>
      </c>
      <c r="C595" t="s">
        <v>649</v>
      </c>
      <c r="D595" t="s">
        <v>48</v>
      </c>
      <c r="E595" t="s">
        <v>45</v>
      </c>
      <c r="F595" s="1">
        <v>45157</v>
      </c>
      <c r="G595" s="1">
        <v>45158</v>
      </c>
      <c r="H595">
        <v>9</v>
      </c>
      <c r="I595" t="s">
        <v>49</v>
      </c>
      <c r="J595" t="s">
        <v>43</v>
      </c>
      <c r="K595">
        <v>2</v>
      </c>
      <c r="L595">
        <v>5</v>
      </c>
      <c r="M595">
        <v>4</v>
      </c>
      <c r="N595">
        <v>1</v>
      </c>
      <c r="O595">
        <v>1</v>
      </c>
      <c r="P595">
        <v>1</v>
      </c>
      <c r="Q595">
        <v>1</v>
      </c>
      <c r="R595">
        <v>4</v>
      </c>
      <c r="S595">
        <v>2</v>
      </c>
      <c r="T595">
        <v>1</v>
      </c>
      <c r="U595" t="s">
        <v>30</v>
      </c>
      <c r="V595" t="s">
        <v>31</v>
      </c>
      <c r="W595" t="s">
        <v>39</v>
      </c>
      <c r="X595" t="s">
        <v>44</v>
      </c>
      <c r="Y595">
        <v>55</v>
      </c>
      <c r="Z595" s="1">
        <v>45615</v>
      </c>
      <c r="AA595" t="str" cm="1">
        <f t="array" ref="AA595">_xlfn.IFS(AND(Table2[[#This Row],[Guest_Age]]&gt;=18,Table2[[#This Row],[Guest_Age]]&lt;=25),"Young Adults",AND(Table2[[#This Row],[Guest_Age]]&gt;=26,Table2[[#This Row],[Guest_Age]]&lt;=35),"Adults",AND(Table2[[#This Row],[Guest_Age]]&gt;=36,Table2[[#This Row],[Guest_Age]]&lt;=50),"Middle Aged Adults",Table2[[#This Row],[Guest_Age]]&gt;50,"Senior")</f>
        <v>Senior</v>
      </c>
      <c r="AB5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595" t="str" cm="1">
        <f t="array" ref="AC595">_xlfn.IFS(Table2[[#This Row],[Satification_points]]&gt;=4.5,"GREAT",AND(Table2[[#This Row],[Satification_points]]&gt;=4,Table2[[#This Row],[Satification_points]]&lt;4.5),"GOOD",AND(Table2[[#This Row],[Satification_points]]&gt;=3,Table2[[#This Row],[Satification_points]]&lt;4),"AVERAGE",Table2[[#This Row],[Satification_points]]&lt;3,"POOR")</f>
        <v>POOR</v>
      </c>
    </row>
    <row r="596" spans="1:29" x14ac:dyDescent="0.3">
      <c r="A596">
        <v>595</v>
      </c>
      <c r="B596">
        <v>30640</v>
      </c>
      <c r="C596" t="s">
        <v>650</v>
      </c>
      <c r="D596" t="s">
        <v>41</v>
      </c>
      <c r="E596" t="s">
        <v>45</v>
      </c>
      <c r="F596" s="1">
        <v>45394</v>
      </c>
      <c r="G596" s="1">
        <v>45556</v>
      </c>
      <c r="H596">
        <v>3</v>
      </c>
      <c r="I596" t="s">
        <v>28</v>
      </c>
      <c r="J596" t="s">
        <v>29</v>
      </c>
      <c r="K596">
        <v>5</v>
      </c>
      <c r="L596">
        <v>1</v>
      </c>
      <c r="M596">
        <v>4</v>
      </c>
      <c r="N596">
        <v>4</v>
      </c>
      <c r="O596">
        <v>3</v>
      </c>
      <c r="P596">
        <v>3</v>
      </c>
      <c r="Q596">
        <v>5</v>
      </c>
      <c r="R596">
        <v>3</v>
      </c>
      <c r="S596">
        <v>4</v>
      </c>
      <c r="T596">
        <v>1</v>
      </c>
      <c r="U596" t="s">
        <v>30</v>
      </c>
      <c r="V596" t="s">
        <v>38</v>
      </c>
      <c r="W596" t="s">
        <v>55</v>
      </c>
      <c r="X596" t="s">
        <v>40</v>
      </c>
      <c r="Y596">
        <v>18</v>
      </c>
      <c r="Z596" s="1">
        <v>45556</v>
      </c>
      <c r="AA596" t="str" cm="1">
        <f t="array" ref="AA596">_xlfn.IFS(AND(Table2[[#This Row],[Guest_Age]]&gt;=18,Table2[[#This Row],[Guest_Age]]&lt;=25),"Young Adults",AND(Table2[[#This Row],[Guest_Age]]&gt;=26,Table2[[#This Row],[Guest_Age]]&lt;=35),"Adults",AND(Table2[[#This Row],[Guest_Age]]&gt;=36,Table2[[#This Row],[Guest_Age]]&lt;=50),"Middle Aged Adults",Table2[[#This Row],[Guest_Age]]&gt;50,"Senior")</f>
        <v>Young Adults</v>
      </c>
      <c r="AB5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596" t="str" cm="1">
        <f t="array" ref="AC596">_xlfn.IFS(Table2[[#This Row],[Satification_points]]&gt;=4.5,"GREAT",AND(Table2[[#This Row],[Satification_points]]&gt;=4,Table2[[#This Row],[Satification_points]]&lt;4.5),"GOOD",AND(Table2[[#This Row],[Satification_points]]&gt;=3,Table2[[#This Row],[Satification_points]]&lt;4),"AVERAGE",Table2[[#This Row],[Satification_points]]&lt;3,"POOR")</f>
        <v>AVERAGE</v>
      </c>
    </row>
    <row r="597" spans="1:29" x14ac:dyDescent="0.3">
      <c r="A597">
        <v>596</v>
      </c>
      <c r="B597">
        <v>35905</v>
      </c>
      <c r="C597" t="s">
        <v>651</v>
      </c>
      <c r="D597" t="s">
        <v>51</v>
      </c>
      <c r="E597" t="s">
        <v>52</v>
      </c>
      <c r="F597" s="1">
        <v>45314</v>
      </c>
      <c r="G597" s="1">
        <v>45315</v>
      </c>
      <c r="H597">
        <v>5</v>
      </c>
      <c r="I597" t="s">
        <v>49</v>
      </c>
      <c r="J597" t="s">
        <v>40</v>
      </c>
      <c r="K597">
        <v>4</v>
      </c>
      <c r="L597">
        <v>5</v>
      </c>
      <c r="M597">
        <v>2</v>
      </c>
      <c r="N597">
        <v>2</v>
      </c>
      <c r="O597">
        <v>3</v>
      </c>
      <c r="P597">
        <v>4</v>
      </c>
      <c r="Q597">
        <v>4</v>
      </c>
      <c r="R597">
        <v>3</v>
      </c>
      <c r="S597">
        <v>3</v>
      </c>
      <c r="T597">
        <v>4</v>
      </c>
      <c r="U597" t="s">
        <v>37</v>
      </c>
      <c r="V597" t="s">
        <v>38</v>
      </c>
      <c r="W597" t="s">
        <v>47</v>
      </c>
      <c r="X597" t="s">
        <v>40</v>
      </c>
      <c r="Y597">
        <v>48</v>
      </c>
      <c r="Z597" s="1">
        <v>45315</v>
      </c>
      <c r="AA597" t="str" cm="1">
        <f t="array" ref="AA5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5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597" t="str" cm="1">
        <f t="array" ref="AC597">_xlfn.IFS(Table2[[#This Row],[Satification_points]]&gt;=4.5,"GREAT",AND(Table2[[#This Row],[Satification_points]]&gt;=4,Table2[[#This Row],[Satification_points]]&lt;4.5),"GOOD",AND(Table2[[#This Row],[Satification_points]]&gt;=3,Table2[[#This Row],[Satification_points]]&lt;4),"AVERAGE",Table2[[#This Row],[Satification_points]]&lt;3,"POOR")</f>
        <v>AVERAGE</v>
      </c>
    </row>
    <row r="598" spans="1:29" x14ac:dyDescent="0.3">
      <c r="A598">
        <v>597</v>
      </c>
      <c r="B598">
        <v>19838</v>
      </c>
      <c r="C598" t="s">
        <v>652</v>
      </c>
      <c r="D598" t="s">
        <v>26</v>
      </c>
      <c r="E598" t="s">
        <v>57</v>
      </c>
      <c r="F598" s="1">
        <v>45084</v>
      </c>
      <c r="G598" s="1">
        <v>45360</v>
      </c>
      <c r="H598">
        <v>13</v>
      </c>
      <c r="I598" t="s">
        <v>50</v>
      </c>
      <c r="J598" t="s">
        <v>29</v>
      </c>
      <c r="K598">
        <v>5</v>
      </c>
      <c r="L598">
        <v>2</v>
      </c>
      <c r="M598">
        <v>4</v>
      </c>
      <c r="N598">
        <v>5</v>
      </c>
      <c r="O598">
        <v>3</v>
      </c>
      <c r="P598">
        <v>1</v>
      </c>
      <c r="Q598">
        <v>2</v>
      </c>
      <c r="R598">
        <v>4</v>
      </c>
      <c r="S598">
        <v>5</v>
      </c>
      <c r="T598">
        <v>1</v>
      </c>
      <c r="U598" t="s">
        <v>30</v>
      </c>
      <c r="V598" t="s">
        <v>46</v>
      </c>
      <c r="W598" t="s">
        <v>39</v>
      </c>
      <c r="X598" t="s">
        <v>44</v>
      </c>
      <c r="Y598">
        <v>52</v>
      </c>
      <c r="Z598" s="1">
        <v>45409</v>
      </c>
      <c r="AA598" t="str" cm="1">
        <f t="array" ref="AA598">_xlfn.IFS(AND(Table2[[#This Row],[Guest_Age]]&gt;=18,Table2[[#This Row],[Guest_Age]]&lt;=25),"Young Adults",AND(Table2[[#This Row],[Guest_Age]]&gt;=26,Table2[[#This Row],[Guest_Age]]&lt;=35),"Adults",AND(Table2[[#This Row],[Guest_Age]]&gt;=36,Table2[[#This Row],[Guest_Age]]&lt;=50),"Middle Aged Adults",Table2[[#This Row],[Guest_Age]]&gt;50,"Senior")</f>
        <v>Senior</v>
      </c>
      <c r="AB5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598" t="str" cm="1">
        <f t="array" ref="AC598">_xlfn.IFS(Table2[[#This Row],[Satification_points]]&gt;=4.5,"GREAT",AND(Table2[[#This Row],[Satification_points]]&gt;=4,Table2[[#This Row],[Satification_points]]&lt;4.5),"GOOD",AND(Table2[[#This Row],[Satification_points]]&gt;=3,Table2[[#This Row],[Satification_points]]&lt;4),"AVERAGE",Table2[[#This Row],[Satification_points]]&lt;3,"POOR")</f>
        <v>AVERAGE</v>
      </c>
    </row>
    <row r="599" spans="1:29" x14ac:dyDescent="0.3">
      <c r="A599">
        <v>598</v>
      </c>
      <c r="B599">
        <v>34275</v>
      </c>
      <c r="C599" t="s">
        <v>653</v>
      </c>
      <c r="D599" t="s">
        <v>26</v>
      </c>
      <c r="E599" t="s">
        <v>35</v>
      </c>
      <c r="F599" s="1">
        <v>45244</v>
      </c>
      <c r="G599" s="1">
        <v>45538</v>
      </c>
      <c r="H599">
        <v>11</v>
      </c>
      <c r="I599" t="s">
        <v>50</v>
      </c>
      <c r="J599" t="s">
        <v>40</v>
      </c>
      <c r="K599">
        <v>1</v>
      </c>
      <c r="L599">
        <v>5</v>
      </c>
      <c r="M599">
        <v>1</v>
      </c>
      <c r="N599">
        <v>2</v>
      </c>
      <c r="O599">
        <v>5</v>
      </c>
      <c r="P599">
        <v>1</v>
      </c>
      <c r="Q599">
        <v>3</v>
      </c>
      <c r="R599">
        <v>1</v>
      </c>
      <c r="S599">
        <v>5</v>
      </c>
      <c r="T599">
        <v>3</v>
      </c>
      <c r="U599" t="s">
        <v>37</v>
      </c>
      <c r="V599" t="s">
        <v>46</v>
      </c>
      <c r="W599" t="s">
        <v>56</v>
      </c>
      <c r="X599" t="s">
        <v>33</v>
      </c>
      <c r="Y599">
        <v>38</v>
      </c>
      <c r="Z599" s="1">
        <v>45538</v>
      </c>
      <c r="AA599" t="str" cm="1">
        <f t="array" ref="AA5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5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599" t="str" cm="1">
        <f t="array" ref="AC599">_xlfn.IFS(Table2[[#This Row],[Satification_points]]&gt;=4.5,"GREAT",AND(Table2[[#This Row],[Satification_points]]&gt;=4,Table2[[#This Row],[Satification_points]]&lt;4.5),"GOOD",AND(Table2[[#This Row],[Satification_points]]&gt;=3,Table2[[#This Row],[Satification_points]]&lt;4),"AVERAGE",Table2[[#This Row],[Satification_points]]&lt;3,"POOR")</f>
        <v>POOR</v>
      </c>
    </row>
    <row r="600" spans="1:29" x14ac:dyDescent="0.3">
      <c r="A600">
        <v>599</v>
      </c>
      <c r="B600">
        <v>16339</v>
      </c>
      <c r="C600" t="s">
        <v>564</v>
      </c>
      <c r="D600" t="s">
        <v>34</v>
      </c>
      <c r="E600" t="s">
        <v>57</v>
      </c>
      <c r="F600" s="1">
        <v>45111</v>
      </c>
      <c r="G600" s="1">
        <v>45414</v>
      </c>
      <c r="H600">
        <v>3</v>
      </c>
      <c r="I600" t="s">
        <v>42</v>
      </c>
      <c r="J600" t="s">
        <v>36</v>
      </c>
      <c r="K600">
        <v>5</v>
      </c>
      <c r="L600">
        <v>1</v>
      </c>
      <c r="M600">
        <v>4</v>
      </c>
      <c r="N600">
        <v>3</v>
      </c>
      <c r="O600">
        <v>5</v>
      </c>
      <c r="P600">
        <v>5</v>
      </c>
      <c r="Q600">
        <v>5</v>
      </c>
      <c r="R600">
        <v>5</v>
      </c>
      <c r="S600">
        <v>4</v>
      </c>
      <c r="T600">
        <v>1</v>
      </c>
      <c r="U600" t="s">
        <v>30</v>
      </c>
      <c r="V600" t="s">
        <v>58</v>
      </c>
      <c r="W600" t="s">
        <v>39</v>
      </c>
      <c r="X600" t="s">
        <v>44</v>
      </c>
      <c r="Y600">
        <v>51</v>
      </c>
      <c r="Z600" s="1">
        <v>45414</v>
      </c>
      <c r="AA600" t="str" cm="1">
        <f t="array" ref="AA600">_xlfn.IFS(AND(Table2[[#This Row],[Guest_Age]]&gt;=18,Table2[[#This Row],[Guest_Age]]&lt;=25),"Young Adults",AND(Table2[[#This Row],[Guest_Age]]&gt;=26,Table2[[#This Row],[Guest_Age]]&lt;=35),"Adults",AND(Table2[[#This Row],[Guest_Age]]&gt;=36,Table2[[#This Row],[Guest_Age]]&lt;=50),"Middle Aged Adults",Table2[[#This Row],[Guest_Age]]&gt;50,"Senior")</f>
        <v>Senior</v>
      </c>
      <c r="AB6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600" t="str" cm="1">
        <f t="array" ref="AC600">_xlfn.IFS(Table2[[#This Row],[Satification_points]]&gt;=4.5,"GREAT",AND(Table2[[#This Row],[Satification_points]]&gt;=4,Table2[[#This Row],[Satification_points]]&lt;4.5),"GOOD",AND(Table2[[#This Row],[Satification_points]]&gt;=3,Table2[[#This Row],[Satification_points]]&lt;4),"AVERAGE",Table2[[#This Row],[Satification_points]]&lt;3,"POOR")</f>
        <v>AVERAGE</v>
      </c>
    </row>
    <row r="601" spans="1:29" x14ac:dyDescent="0.3">
      <c r="A601">
        <v>600</v>
      </c>
      <c r="B601">
        <v>69999</v>
      </c>
      <c r="C601" t="s">
        <v>654</v>
      </c>
      <c r="D601" t="s">
        <v>51</v>
      </c>
      <c r="E601" t="s">
        <v>35</v>
      </c>
      <c r="F601" s="1">
        <v>45347</v>
      </c>
      <c r="G601" s="1">
        <v>45348</v>
      </c>
      <c r="H601">
        <v>6</v>
      </c>
      <c r="I601" t="s">
        <v>28</v>
      </c>
      <c r="J601" t="s">
        <v>53</v>
      </c>
      <c r="K601">
        <v>4</v>
      </c>
      <c r="L601">
        <v>5</v>
      </c>
      <c r="M601">
        <v>5</v>
      </c>
      <c r="N601">
        <v>3</v>
      </c>
      <c r="O601">
        <v>3</v>
      </c>
      <c r="P601">
        <v>2</v>
      </c>
      <c r="Q601">
        <v>4</v>
      </c>
      <c r="R601">
        <v>2</v>
      </c>
      <c r="S601">
        <v>3</v>
      </c>
      <c r="T601">
        <v>5</v>
      </c>
      <c r="U601" t="s">
        <v>30</v>
      </c>
      <c r="V601" t="s">
        <v>58</v>
      </c>
      <c r="W601" t="s">
        <v>56</v>
      </c>
      <c r="X601" t="s">
        <v>44</v>
      </c>
      <c r="Y601">
        <v>34</v>
      </c>
      <c r="Z601" s="1">
        <v>45348</v>
      </c>
      <c r="AA601" t="str" cm="1">
        <f t="array" ref="AA601">_xlfn.IFS(AND(Table2[[#This Row],[Guest_Age]]&gt;=18,Table2[[#This Row],[Guest_Age]]&lt;=25),"Young Adults",AND(Table2[[#This Row],[Guest_Age]]&gt;=26,Table2[[#This Row],[Guest_Age]]&lt;=35),"Adults",AND(Table2[[#This Row],[Guest_Age]]&gt;=36,Table2[[#This Row],[Guest_Age]]&lt;=50),"Middle Aged Adults",Table2[[#This Row],[Guest_Age]]&gt;50,"Senior")</f>
        <v>Adults</v>
      </c>
      <c r="AB6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601" t="str" cm="1">
        <f t="array" ref="AC601">_xlfn.IFS(Table2[[#This Row],[Satification_points]]&gt;=4.5,"GREAT",AND(Table2[[#This Row],[Satification_points]]&gt;=4,Table2[[#This Row],[Satification_points]]&lt;4.5),"GOOD",AND(Table2[[#This Row],[Satification_points]]&gt;=3,Table2[[#This Row],[Satification_points]]&lt;4),"AVERAGE",Table2[[#This Row],[Satification_points]]&lt;3,"POOR")</f>
        <v>AVERAGE</v>
      </c>
    </row>
    <row r="602" spans="1:29" x14ac:dyDescent="0.3">
      <c r="A602">
        <v>601</v>
      </c>
      <c r="B602">
        <v>23449</v>
      </c>
      <c r="C602" t="s">
        <v>655</v>
      </c>
      <c r="D602" t="s">
        <v>51</v>
      </c>
      <c r="E602" t="s">
        <v>57</v>
      </c>
      <c r="F602" s="1">
        <v>45109</v>
      </c>
      <c r="G602" s="1">
        <v>45594</v>
      </c>
      <c r="H602">
        <v>10</v>
      </c>
      <c r="I602" t="s">
        <v>28</v>
      </c>
      <c r="J602" t="s">
        <v>43</v>
      </c>
      <c r="K602">
        <v>4</v>
      </c>
      <c r="L602">
        <v>2</v>
      </c>
      <c r="M602">
        <v>3</v>
      </c>
      <c r="N602">
        <v>1</v>
      </c>
      <c r="O602">
        <v>3</v>
      </c>
      <c r="P602">
        <v>2</v>
      </c>
      <c r="Q602">
        <v>3</v>
      </c>
      <c r="R602">
        <v>5</v>
      </c>
      <c r="S602">
        <v>1</v>
      </c>
      <c r="T602">
        <v>2</v>
      </c>
      <c r="U602" t="s">
        <v>30</v>
      </c>
      <c r="V602" t="s">
        <v>38</v>
      </c>
      <c r="W602" t="s">
        <v>32</v>
      </c>
      <c r="X602" t="s">
        <v>44</v>
      </c>
      <c r="Y602">
        <v>26</v>
      </c>
      <c r="Z602" s="1">
        <v>45594</v>
      </c>
      <c r="AA602" t="str" cm="1">
        <f t="array" ref="AA602">_xlfn.IFS(AND(Table2[[#This Row],[Guest_Age]]&gt;=18,Table2[[#This Row],[Guest_Age]]&lt;=25),"Young Adults",AND(Table2[[#This Row],[Guest_Age]]&gt;=26,Table2[[#This Row],[Guest_Age]]&lt;=35),"Adults",AND(Table2[[#This Row],[Guest_Age]]&gt;=36,Table2[[#This Row],[Guest_Age]]&lt;=50),"Middle Aged Adults",Table2[[#This Row],[Guest_Age]]&gt;50,"Senior")</f>
        <v>Adults</v>
      </c>
      <c r="AB6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02" t="str" cm="1">
        <f t="array" ref="AC602">_xlfn.IFS(Table2[[#This Row],[Satification_points]]&gt;=4.5,"GREAT",AND(Table2[[#This Row],[Satification_points]]&gt;=4,Table2[[#This Row],[Satification_points]]&lt;4.5),"GOOD",AND(Table2[[#This Row],[Satification_points]]&gt;=3,Table2[[#This Row],[Satification_points]]&lt;4),"AVERAGE",Table2[[#This Row],[Satification_points]]&lt;3,"POOR")</f>
        <v>POOR</v>
      </c>
    </row>
    <row r="603" spans="1:29" x14ac:dyDescent="0.3">
      <c r="A603">
        <v>602</v>
      </c>
      <c r="B603">
        <v>86565</v>
      </c>
      <c r="C603" t="s">
        <v>656</v>
      </c>
      <c r="D603" t="s">
        <v>51</v>
      </c>
      <c r="E603" t="s">
        <v>57</v>
      </c>
      <c r="F603" s="1">
        <v>45523</v>
      </c>
      <c r="G603" s="1">
        <v>45524</v>
      </c>
      <c r="H603">
        <v>13</v>
      </c>
      <c r="I603" t="s">
        <v>42</v>
      </c>
      <c r="J603" t="s">
        <v>36</v>
      </c>
      <c r="K603">
        <v>2</v>
      </c>
      <c r="L603">
        <v>1</v>
      </c>
      <c r="M603">
        <v>1</v>
      </c>
      <c r="N603">
        <v>3</v>
      </c>
      <c r="O603">
        <v>1</v>
      </c>
      <c r="P603">
        <v>3</v>
      </c>
      <c r="Q603">
        <v>3</v>
      </c>
      <c r="R603">
        <v>4</v>
      </c>
      <c r="S603">
        <v>3</v>
      </c>
      <c r="T603">
        <v>4</v>
      </c>
      <c r="U603" t="s">
        <v>37</v>
      </c>
      <c r="V603" t="s">
        <v>31</v>
      </c>
      <c r="W603" t="s">
        <v>39</v>
      </c>
      <c r="X603" t="s">
        <v>33</v>
      </c>
      <c r="Y603">
        <v>46</v>
      </c>
      <c r="Z603" s="1">
        <v>45535</v>
      </c>
      <c r="AA603" t="str" cm="1">
        <f t="array" ref="AA6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6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03" t="str" cm="1">
        <f t="array" ref="AC603">_xlfn.IFS(Table2[[#This Row],[Satification_points]]&gt;=4.5,"GREAT",AND(Table2[[#This Row],[Satification_points]]&gt;=4,Table2[[#This Row],[Satification_points]]&lt;4.5),"GOOD",AND(Table2[[#This Row],[Satification_points]]&gt;=3,Table2[[#This Row],[Satification_points]]&lt;4),"AVERAGE",Table2[[#This Row],[Satification_points]]&lt;3,"POOR")</f>
        <v>POOR</v>
      </c>
    </row>
    <row r="604" spans="1:29" x14ac:dyDescent="0.3">
      <c r="A604">
        <v>603</v>
      </c>
      <c r="B604">
        <v>57550</v>
      </c>
      <c r="C604" t="s">
        <v>657</v>
      </c>
      <c r="D604" t="s">
        <v>26</v>
      </c>
      <c r="E604" t="s">
        <v>45</v>
      </c>
      <c r="F604" s="1">
        <v>45503</v>
      </c>
      <c r="G604" s="1">
        <v>45504</v>
      </c>
      <c r="H604">
        <v>5</v>
      </c>
      <c r="I604" t="s">
        <v>28</v>
      </c>
      <c r="J604" t="s">
        <v>53</v>
      </c>
      <c r="K604">
        <v>3</v>
      </c>
      <c r="L604">
        <v>3</v>
      </c>
      <c r="M604">
        <v>3</v>
      </c>
      <c r="N604">
        <v>2</v>
      </c>
      <c r="O604">
        <v>5</v>
      </c>
      <c r="P604">
        <v>4</v>
      </c>
      <c r="Q604">
        <v>5</v>
      </c>
      <c r="R604">
        <v>4</v>
      </c>
      <c r="S604">
        <v>1</v>
      </c>
      <c r="T604">
        <v>4</v>
      </c>
      <c r="U604" t="s">
        <v>37</v>
      </c>
      <c r="V604" t="s">
        <v>38</v>
      </c>
      <c r="W604" t="s">
        <v>39</v>
      </c>
      <c r="X604" t="s">
        <v>33</v>
      </c>
      <c r="Y604">
        <v>25</v>
      </c>
      <c r="Z604" s="1">
        <v>45504</v>
      </c>
      <c r="AA604" t="str" cm="1">
        <f t="array" ref="AA604">_xlfn.IFS(AND(Table2[[#This Row],[Guest_Age]]&gt;=18,Table2[[#This Row],[Guest_Age]]&lt;=25),"Young Adults",AND(Table2[[#This Row],[Guest_Age]]&gt;=26,Table2[[#This Row],[Guest_Age]]&lt;=35),"Adults",AND(Table2[[#This Row],[Guest_Age]]&gt;=36,Table2[[#This Row],[Guest_Age]]&lt;=50),"Middle Aged Adults",Table2[[#This Row],[Guest_Age]]&gt;50,"Senior")</f>
        <v>Young Adults</v>
      </c>
      <c r="AB6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604" t="str" cm="1">
        <f t="array" ref="AC604">_xlfn.IFS(Table2[[#This Row],[Satification_points]]&gt;=4.5,"GREAT",AND(Table2[[#This Row],[Satification_points]]&gt;=4,Table2[[#This Row],[Satification_points]]&lt;4.5),"GOOD",AND(Table2[[#This Row],[Satification_points]]&gt;=3,Table2[[#This Row],[Satification_points]]&lt;4),"AVERAGE",Table2[[#This Row],[Satification_points]]&lt;3,"POOR")</f>
        <v>AVERAGE</v>
      </c>
    </row>
    <row r="605" spans="1:29" x14ac:dyDescent="0.3">
      <c r="A605">
        <v>604</v>
      </c>
      <c r="B605">
        <v>31813</v>
      </c>
      <c r="C605" t="s">
        <v>658</v>
      </c>
      <c r="D605" t="s">
        <v>26</v>
      </c>
      <c r="E605" t="s">
        <v>57</v>
      </c>
      <c r="F605" s="1">
        <v>44978</v>
      </c>
      <c r="G605" s="1">
        <v>45262</v>
      </c>
      <c r="H605">
        <v>2</v>
      </c>
      <c r="I605" t="s">
        <v>50</v>
      </c>
      <c r="J605" t="s">
        <v>36</v>
      </c>
      <c r="K605">
        <v>4</v>
      </c>
      <c r="L605">
        <v>1</v>
      </c>
      <c r="M605">
        <v>3</v>
      </c>
      <c r="N605">
        <v>3</v>
      </c>
      <c r="O605">
        <v>4</v>
      </c>
      <c r="P605">
        <v>3</v>
      </c>
      <c r="Q605">
        <v>5</v>
      </c>
      <c r="R605">
        <v>3</v>
      </c>
      <c r="S605">
        <v>5</v>
      </c>
      <c r="T605">
        <v>4</v>
      </c>
      <c r="U605" t="s">
        <v>30</v>
      </c>
      <c r="V605" t="s">
        <v>31</v>
      </c>
      <c r="W605" t="s">
        <v>32</v>
      </c>
      <c r="X605" t="s">
        <v>40</v>
      </c>
      <c r="Y605">
        <v>36</v>
      </c>
      <c r="Z605" s="1">
        <v>45262</v>
      </c>
      <c r="AA605" t="str" cm="1">
        <f t="array" ref="AA6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6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605" t="str" cm="1">
        <f t="array" ref="AC605">_xlfn.IFS(Table2[[#This Row],[Satification_points]]&gt;=4.5,"GREAT",AND(Table2[[#This Row],[Satification_points]]&gt;=4,Table2[[#This Row],[Satification_points]]&lt;4.5),"GOOD",AND(Table2[[#This Row],[Satification_points]]&gt;=3,Table2[[#This Row],[Satification_points]]&lt;4),"AVERAGE",Table2[[#This Row],[Satification_points]]&lt;3,"POOR")</f>
        <v>AVERAGE</v>
      </c>
    </row>
    <row r="606" spans="1:29" x14ac:dyDescent="0.3">
      <c r="A606">
        <v>605</v>
      </c>
      <c r="B606">
        <v>88160</v>
      </c>
      <c r="C606" t="s">
        <v>659</v>
      </c>
      <c r="D606" t="s">
        <v>48</v>
      </c>
      <c r="E606" t="s">
        <v>52</v>
      </c>
      <c r="F606" s="1">
        <v>44929</v>
      </c>
      <c r="G606" s="1">
        <v>45433</v>
      </c>
      <c r="H606">
        <v>3</v>
      </c>
      <c r="I606" t="s">
        <v>50</v>
      </c>
      <c r="J606" t="s">
        <v>29</v>
      </c>
      <c r="K606">
        <v>2</v>
      </c>
      <c r="L606">
        <v>4</v>
      </c>
      <c r="M606">
        <v>5</v>
      </c>
      <c r="N606">
        <v>1</v>
      </c>
      <c r="O606">
        <v>3</v>
      </c>
      <c r="P606">
        <v>4</v>
      </c>
      <c r="Q606">
        <v>5</v>
      </c>
      <c r="R606">
        <v>1</v>
      </c>
      <c r="S606">
        <v>2</v>
      </c>
      <c r="T606">
        <v>4</v>
      </c>
      <c r="U606" t="s">
        <v>37</v>
      </c>
      <c r="V606" t="s">
        <v>46</v>
      </c>
      <c r="W606" t="s">
        <v>47</v>
      </c>
      <c r="X606" t="s">
        <v>33</v>
      </c>
      <c r="Y606">
        <v>64</v>
      </c>
      <c r="Z606" s="1">
        <v>45435</v>
      </c>
      <c r="AA606" t="str" cm="1">
        <f t="array" ref="AA606">_xlfn.IFS(AND(Table2[[#This Row],[Guest_Age]]&gt;=18,Table2[[#This Row],[Guest_Age]]&lt;=25),"Young Adults",AND(Table2[[#This Row],[Guest_Age]]&gt;=26,Table2[[#This Row],[Guest_Age]]&lt;=35),"Adults",AND(Table2[[#This Row],[Guest_Age]]&gt;=36,Table2[[#This Row],[Guest_Age]]&lt;=50),"Middle Aged Adults",Table2[[#This Row],[Guest_Age]]&gt;50,"Senior")</f>
        <v>Senior</v>
      </c>
      <c r="AB6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06" t="str" cm="1">
        <f t="array" ref="AC606">_xlfn.IFS(Table2[[#This Row],[Satification_points]]&gt;=4.5,"GREAT",AND(Table2[[#This Row],[Satification_points]]&gt;=4,Table2[[#This Row],[Satification_points]]&lt;4.5),"GOOD",AND(Table2[[#This Row],[Satification_points]]&gt;=3,Table2[[#This Row],[Satification_points]]&lt;4),"AVERAGE",Table2[[#This Row],[Satification_points]]&lt;3,"POOR")</f>
        <v>AVERAGE</v>
      </c>
    </row>
    <row r="607" spans="1:29" x14ac:dyDescent="0.3">
      <c r="A607">
        <v>606</v>
      </c>
      <c r="B607">
        <v>32659</v>
      </c>
      <c r="C607" t="s">
        <v>660</v>
      </c>
      <c r="D607" t="s">
        <v>26</v>
      </c>
      <c r="E607" t="s">
        <v>35</v>
      </c>
      <c r="F607" s="1">
        <v>45003</v>
      </c>
      <c r="G607" s="1">
        <v>45390</v>
      </c>
      <c r="H607">
        <v>7</v>
      </c>
      <c r="I607" t="s">
        <v>42</v>
      </c>
      <c r="J607" t="s">
        <v>40</v>
      </c>
      <c r="K607">
        <v>2</v>
      </c>
      <c r="L607">
        <v>3</v>
      </c>
      <c r="M607">
        <v>5</v>
      </c>
      <c r="N607">
        <v>4</v>
      </c>
      <c r="O607">
        <v>3</v>
      </c>
      <c r="P607">
        <v>4</v>
      </c>
      <c r="Q607">
        <v>2</v>
      </c>
      <c r="R607">
        <v>1</v>
      </c>
      <c r="S607">
        <v>2</v>
      </c>
      <c r="T607">
        <v>1</v>
      </c>
      <c r="U607" t="s">
        <v>37</v>
      </c>
      <c r="V607" t="s">
        <v>31</v>
      </c>
      <c r="W607" t="s">
        <v>39</v>
      </c>
      <c r="X607" t="s">
        <v>33</v>
      </c>
      <c r="Y607">
        <v>23</v>
      </c>
      <c r="Z607" s="1">
        <v>45390</v>
      </c>
      <c r="AA607" t="str" cm="1">
        <f t="array" ref="AA607">_xlfn.IFS(AND(Table2[[#This Row],[Guest_Age]]&gt;=18,Table2[[#This Row],[Guest_Age]]&lt;=25),"Young Adults",AND(Table2[[#This Row],[Guest_Age]]&gt;=26,Table2[[#This Row],[Guest_Age]]&lt;=35),"Adults",AND(Table2[[#This Row],[Guest_Age]]&gt;=36,Table2[[#This Row],[Guest_Age]]&lt;=50),"Middle Aged Adults",Table2[[#This Row],[Guest_Age]]&gt;50,"Senior")</f>
        <v>Young Adults</v>
      </c>
      <c r="AB6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07" t="str" cm="1">
        <f t="array" ref="AC607">_xlfn.IFS(Table2[[#This Row],[Satification_points]]&gt;=4.5,"GREAT",AND(Table2[[#This Row],[Satification_points]]&gt;=4,Table2[[#This Row],[Satification_points]]&lt;4.5),"GOOD",AND(Table2[[#This Row],[Satification_points]]&gt;=3,Table2[[#This Row],[Satification_points]]&lt;4),"AVERAGE",Table2[[#This Row],[Satification_points]]&lt;3,"POOR")</f>
        <v>POOR</v>
      </c>
    </row>
    <row r="608" spans="1:29" x14ac:dyDescent="0.3">
      <c r="A608">
        <v>607</v>
      </c>
      <c r="B608">
        <v>98312</v>
      </c>
      <c r="C608" t="s">
        <v>661</v>
      </c>
      <c r="D608" t="s">
        <v>26</v>
      </c>
      <c r="E608" t="s">
        <v>27</v>
      </c>
      <c r="F608" s="1">
        <v>45573</v>
      </c>
      <c r="G608" s="1">
        <v>45574</v>
      </c>
      <c r="H608">
        <v>10</v>
      </c>
      <c r="I608" t="s">
        <v>42</v>
      </c>
      <c r="J608" t="s">
        <v>36</v>
      </c>
      <c r="K608">
        <v>5</v>
      </c>
      <c r="L608">
        <v>3</v>
      </c>
      <c r="M608">
        <v>5</v>
      </c>
      <c r="N608">
        <v>5</v>
      </c>
      <c r="O608">
        <v>3</v>
      </c>
      <c r="P608">
        <v>4</v>
      </c>
      <c r="Q608">
        <v>1</v>
      </c>
      <c r="R608">
        <v>4</v>
      </c>
      <c r="S608">
        <v>4</v>
      </c>
      <c r="T608">
        <v>5</v>
      </c>
      <c r="U608" t="s">
        <v>30</v>
      </c>
      <c r="V608" t="s">
        <v>31</v>
      </c>
      <c r="W608" t="s">
        <v>55</v>
      </c>
      <c r="X608" t="s">
        <v>33</v>
      </c>
      <c r="Y608">
        <v>41</v>
      </c>
      <c r="Z608" s="1">
        <v>45574</v>
      </c>
      <c r="AA608" t="str" cm="1">
        <f t="array" ref="AA6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6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608" t="str" cm="1">
        <f t="array" ref="AC608">_xlfn.IFS(Table2[[#This Row],[Satification_points]]&gt;=4.5,"GREAT",AND(Table2[[#This Row],[Satification_points]]&gt;=4,Table2[[#This Row],[Satification_points]]&lt;4.5),"GOOD",AND(Table2[[#This Row],[Satification_points]]&gt;=3,Table2[[#This Row],[Satification_points]]&lt;4),"AVERAGE",Table2[[#This Row],[Satification_points]]&lt;3,"POOR")</f>
        <v>AVERAGE</v>
      </c>
    </row>
    <row r="609" spans="1:29" x14ac:dyDescent="0.3">
      <c r="A609">
        <v>608</v>
      </c>
      <c r="B609">
        <v>22068</v>
      </c>
      <c r="C609" t="s">
        <v>662</v>
      </c>
      <c r="D609" t="s">
        <v>48</v>
      </c>
      <c r="E609" t="s">
        <v>57</v>
      </c>
      <c r="F609" s="1">
        <v>45508</v>
      </c>
      <c r="G609" s="1">
        <v>45596</v>
      </c>
      <c r="H609">
        <v>10</v>
      </c>
      <c r="I609" t="s">
        <v>49</v>
      </c>
      <c r="J609" t="s">
        <v>53</v>
      </c>
      <c r="K609">
        <v>5</v>
      </c>
      <c r="L609">
        <v>1</v>
      </c>
      <c r="M609">
        <v>5</v>
      </c>
      <c r="N609">
        <v>1</v>
      </c>
      <c r="O609">
        <v>2</v>
      </c>
      <c r="P609">
        <v>4</v>
      </c>
      <c r="Q609">
        <v>5</v>
      </c>
      <c r="R609">
        <v>1</v>
      </c>
      <c r="S609">
        <v>3</v>
      </c>
      <c r="T609">
        <v>1</v>
      </c>
      <c r="U609" t="s">
        <v>37</v>
      </c>
      <c r="V609" t="s">
        <v>46</v>
      </c>
      <c r="W609" t="s">
        <v>32</v>
      </c>
      <c r="X609" t="s">
        <v>44</v>
      </c>
      <c r="Y609">
        <v>23</v>
      </c>
      <c r="Z609" s="1">
        <v>45596</v>
      </c>
      <c r="AA609" t="str" cm="1">
        <f t="array" ref="AA609">_xlfn.IFS(AND(Table2[[#This Row],[Guest_Age]]&gt;=18,Table2[[#This Row],[Guest_Age]]&lt;=25),"Young Adults",AND(Table2[[#This Row],[Guest_Age]]&gt;=26,Table2[[#This Row],[Guest_Age]]&lt;=35),"Adults",AND(Table2[[#This Row],[Guest_Age]]&gt;=36,Table2[[#This Row],[Guest_Age]]&lt;=50),"Middle Aged Adults",Table2[[#This Row],[Guest_Age]]&gt;50,"Senior")</f>
        <v>Young Adults</v>
      </c>
      <c r="AB6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09" t="str" cm="1">
        <f t="array" ref="AC609">_xlfn.IFS(Table2[[#This Row],[Satification_points]]&gt;=4.5,"GREAT",AND(Table2[[#This Row],[Satification_points]]&gt;=4,Table2[[#This Row],[Satification_points]]&lt;4.5),"GOOD",AND(Table2[[#This Row],[Satification_points]]&gt;=3,Table2[[#This Row],[Satification_points]]&lt;4),"AVERAGE",Table2[[#This Row],[Satification_points]]&lt;3,"POOR")</f>
        <v>POOR</v>
      </c>
    </row>
    <row r="610" spans="1:29" x14ac:dyDescent="0.3">
      <c r="A610">
        <v>609</v>
      </c>
      <c r="B610">
        <v>98562</v>
      </c>
      <c r="C610" t="s">
        <v>663</v>
      </c>
      <c r="D610" t="s">
        <v>26</v>
      </c>
      <c r="E610" t="s">
        <v>27</v>
      </c>
      <c r="F610" s="1">
        <v>45600</v>
      </c>
      <c r="G610" s="1">
        <v>45601</v>
      </c>
      <c r="H610">
        <v>12</v>
      </c>
      <c r="I610" t="s">
        <v>50</v>
      </c>
      <c r="J610" t="s">
        <v>40</v>
      </c>
      <c r="K610">
        <v>2</v>
      </c>
      <c r="L610">
        <v>4</v>
      </c>
      <c r="M610">
        <v>1</v>
      </c>
      <c r="N610">
        <v>1</v>
      </c>
      <c r="O610">
        <v>5</v>
      </c>
      <c r="P610">
        <v>4</v>
      </c>
      <c r="Q610">
        <v>2</v>
      </c>
      <c r="R610">
        <v>2</v>
      </c>
      <c r="S610">
        <v>3</v>
      </c>
      <c r="T610">
        <v>2</v>
      </c>
      <c r="U610" t="s">
        <v>37</v>
      </c>
      <c r="V610" t="s">
        <v>54</v>
      </c>
      <c r="W610" t="s">
        <v>47</v>
      </c>
      <c r="X610" t="s">
        <v>40</v>
      </c>
      <c r="Y610">
        <v>57</v>
      </c>
      <c r="Z610" s="1">
        <v>45601</v>
      </c>
      <c r="AA610" t="str" cm="1">
        <f t="array" ref="AA610">_xlfn.IFS(AND(Table2[[#This Row],[Guest_Age]]&gt;=18,Table2[[#This Row],[Guest_Age]]&lt;=25),"Young Adults",AND(Table2[[#This Row],[Guest_Age]]&gt;=26,Table2[[#This Row],[Guest_Age]]&lt;=35),"Adults",AND(Table2[[#This Row],[Guest_Age]]&gt;=36,Table2[[#This Row],[Guest_Age]]&lt;=50),"Middle Aged Adults",Table2[[#This Row],[Guest_Age]]&gt;50,"Senior")</f>
        <v>Senior</v>
      </c>
      <c r="AB6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10" t="str" cm="1">
        <f t="array" ref="AC610">_xlfn.IFS(Table2[[#This Row],[Satification_points]]&gt;=4.5,"GREAT",AND(Table2[[#This Row],[Satification_points]]&gt;=4,Table2[[#This Row],[Satification_points]]&lt;4.5),"GOOD",AND(Table2[[#This Row],[Satification_points]]&gt;=3,Table2[[#This Row],[Satification_points]]&lt;4),"AVERAGE",Table2[[#This Row],[Satification_points]]&lt;3,"POOR")</f>
        <v>POOR</v>
      </c>
    </row>
    <row r="611" spans="1:29" x14ac:dyDescent="0.3">
      <c r="A611">
        <v>610</v>
      </c>
      <c r="B611">
        <v>87886</v>
      </c>
      <c r="C611" t="s">
        <v>664</v>
      </c>
      <c r="D611" t="s">
        <v>34</v>
      </c>
      <c r="E611" t="s">
        <v>45</v>
      </c>
      <c r="F611" s="1">
        <v>45534</v>
      </c>
      <c r="G611" s="1">
        <v>45535</v>
      </c>
      <c r="H611">
        <v>5</v>
      </c>
      <c r="I611" t="s">
        <v>50</v>
      </c>
      <c r="J611" t="s">
        <v>29</v>
      </c>
      <c r="K611">
        <v>1</v>
      </c>
      <c r="L611">
        <v>3</v>
      </c>
      <c r="M611">
        <v>5</v>
      </c>
      <c r="N611">
        <v>1</v>
      </c>
      <c r="O611">
        <v>4</v>
      </c>
      <c r="P611">
        <v>5</v>
      </c>
      <c r="Q611">
        <v>1</v>
      </c>
      <c r="R611">
        <v>1</v>
      </c>
      <c r="S611">
        <v>1</v>
      </c>
      <c r="T611">
        <v>2</v>
      </c>
      <c r="U611" t="s">
        <v>30</v>
      </c>
      <c r="V611" t="s">
        <v>38</v>
      </c>
      <c r="W611" t="s">
        <v>32</v>
      </c>
      <c r="X611" t="s">
        <v>40</v>
      </c>
      <c r="Y611">
        <v>20</v>
      </c>
      <c r="Z611" s="1">
        <v>45535</v>
      </c>
      <c r="AA611" t="str" cm="1">
        <f t="array" ref="AA611">_xlfn.IFS(AND(Table2[[#This Row],[Guest_Age]]&gt;=18,Table2[[#This Row],[Guest_Age]]&lt;=25),"Young Adults",AND(Table2[[#This Row],[Guest_Age]]&gt;=26,Table2[[#This Row],[Guest_Age]]&lt;=35),"Adults",AND(Table2[[#This Row],[Guest_Age]]&gt;=36,Table2[[#This Row],[Guest_Age]]&lt;=50),"Middle Aged Adults",Table2[[#This Row],[Guest_Age]]&gt;50,"Senior")</f>
        <v>Young Adults</v>
      </c>
      <c r="AB6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11" t="str" cm="1">
        <f t="array" ref="AC611">_xlfn.IFS(Table2[[#This Row],[Satification_points]]&gt;=4.5,"GREAT",AND(Table2[[#This Row],[Satification_points]]&gt;=4,Table2[[#This Row],[Satification_points]]&lt;4.5),"GOOD",AND(Table2[[#This Row],[Satification_points]]&gt;=3,Table2[[#This Row],[Satification_points]]&lt;4),"AVERAGE",Table2[[#This Row],[Satification_points]]&lt;3,"POOR")</f>
        <v>POOR</v>
      </c>
    </row>
    <row r="612" spans="1:29" x14ac:dyDescent="0.3">
      <c r="A612">
        <v>611</v>
      </c>
      <c r="B612">
        <v>56471</v>
      </c>
      <c r="C612" t="s">
        <v>665</v>
      </c>
      <c r="D612" t="s">
        <v>34</v>
      </c>
      <c r="E612" t="s">
        <v>27</v>
      </c>
      <c r="F612" s="1">
        <v>44942</v>
      </c>
      <c r="G612" s="1">
        <v>45460</v>
      </c>
      <c r="H612">
        <v>3</v>
      </c>
      <c r="I612" t="s">
        <v>50</v>
      </c>
      <c r="J612" t="s">
        <v>29</v>
      </c>
      <c r="K612">
        <v>2</v>
      </c>
      <c r="L612">
        <v>5</v>
      </c>
      <c r="M612">
        <v>1</v>
      </c>
      <c r="N612">
        <v>2</v>
      </c>
      <c r="O612">
        <v>2</v>
      </c>
      <c r="P612">
        <v>5</v>
      </c>
      <c r="Q612">
        <v>4</v>
      </c>
      <c r="R612">
        <v>1</v>
      </c>
      <c r="S612">
        <v>4</v>
      </c>
      <c r="T612">
        <v>1</v>
      </c>
      <c r="U612" t="s">
        <v>37</v>
      </c>
      <c r="V612" t="s">
        <v>58</v>
      </c>
      <c r="W612" t="s">
        <v>32</v>
      </c>
      <c r="X612" t="s">
        <v>44</v>
      </c>
      <c r="Y612">
        <v>48</v>
      </c>
      <c r="Z612" s="1">
        <v>45460</v>
      </c>
      <c r="AA612" t="str" cm="1">
        <f t="array" ref="AA612">_xlfn.IFS(AND(Table2[[#This Row],[Guest_Age]]&gt;=18,Table2[[#This Row],[Guest_Age]]&lt;=25),"Young Adults",AND(Table2[[#This Row],[Guest_Age]]&gt;=26,Table2[[#This Row],[Guest_Age]]&lt;=35),"Adults",AND(Table2[[#This Row],[Guest_Age]]&gt;=36,Table2[[#This Row],[Guest_Age]]&lt;=50),"Middle Aged Adults",Table2[[#This Row],[Guest_Age]]&gt;50,"Senior")</f>
        <v>Middle Aged Adults</v>
      </c>
      <c r="AB6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12" t="str" cm="1">
        <f t="array" ref="AC612">_xlfn.IFS(Table2[[#This Row],[Satification_points]]&gt;=4.5,"GREAT",AND(Table2[[#This Row],[Satification_points]]&gt;=4,Table2[[#This Row],[Satification_points]]&lt;4.5),"GOOD",AND(Table2[[#This Row],[Satification_points]]&gt;=3,Table2[[#This Row],[Satification_points]]&lt;4),"AVERAGE",Table2[[#This Row],[Satification_points]]&lt;3,"POOR")</f>
        <v>POOR</v>
      </c>
    </row>
    <row r="613" spans="1:29" x14ac:dyDescent="0.3">
      <c r="A613">
        <v>612</v>
      </c>
      <c r="B613">
        <v>36880</v>
      </c>
      <c r="C613" t="s">
        <v>666</v>
      </c>
      <c r="D613" t="s">
        <v>48</v>
      </c>
      <c r="E613" t="s">
        <v>52</v>
      </c>
      <c r="F613" s="1">
        <v>45156</v>
      </c>
      <c r="G613" s="1">
        <v>45225</v>
      </c>
      <c r="H613">
        <v>4</v>
      </c>
      <c r="I613" t="s">
        <v>50</v>
      </c>
      <c r="J613" t="s">
        <v>43</v>
      </c>
      <c r="K613">
        <v>5</v>
      </c>
      <c r="L613">
        <v>4</v>
      </c>
      <c r="M613">
        <v>4</v>
      </c>
      <c r="N613">
        <v>4</v>
      </c>
      <c r="O613">
        <v>2</v>
      </c>
      <c r="P613">
        <v>4</v>
      </c>
      <c r="Q613">
        <v>1</v>
      </c>
      <c r="R613">
        <v>3</v>
      </c>
      <c r="S613">
        <v>3</v>
      </c>
      <c r="T613">
        <v>1</v>
      </c>
      <c r="U613" t="s">
        <v>30</v>
      </c>
      <c r="V613" t="s">
        <v>31</v>
      </c>
      <c r="W613" t="s">
        <v>47</v>
      </c>
      <c r="X613" t="s">
        <v>40</v>
      </c>
      <c r="Y613">
        <v>48</v>
      </c>
      <c r="Z613" s="1">
        <v>45225</v>
      </c>
      <c r="AA613" t="str" cm="1">
        <f t="array" ref="AA6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6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13" t="str" cm="1">
        <f t="array" ref="AC613">_xlfn.IFS(Table2[[#This Row],[Satification_points]]&gt;=4.5,"GREAT",AND(Table2[[#This Row],[Satification_points]]&gt;=4,Table2[[#This Row],[Satification_points]]&lt;4.5),"GOOD",AND(Table2[[#This Row],[Satification_points]]&gt;=3,Table2[[#This Row],[Satification_points]]&lt;4),"AVERAGE",Table2[[#This Row],[Satification_points]]&lt;3,"POOR")</f>
        <v>AVERAGE</v>
      </c>
    </row>
    <row r="614" spans="1:29" x14ac:dyDescent="0.3">
      <c r="A614">
        <v>613</v>
      </c>
      <c r="B614">
        <v>35847</v>
      </c>
      <c r="C614" t="s">
        <v>667</v>
      </c>
      <c r="D614" t="s">
        <v>48</v>
      </c>
      <c r="E614" t="s">
        <v>52</v>
      </c>
      <c r="F614" s="1">
        <v>45193</v>
      </c>
      <c r="G614" s="1">
        <v>45194</v>
      </c>
      <c r="H614">
        <v>6</v>
      </c>
      <c r="I614" t="s">
        <v>50</v>
      </c>
      <c r="J614" t="s">
        <v>40</v>
      </c>
      <c r="K614">
        <v>4</v>
      </c>
      <c r="L614">
        <v>4</v>
      </c>
      <c r="M614">
        <v>3</v>
      </c>
      <c r="N614">
        <v>1</v>
      </c>
      <c r="O614">
        <v>4</v>
      </c>
      <c r="P614">
        <v>1</v>
      </c>
      <c r="Q614">
        <v>2</v>
      </c>
      <c r="R614">
        <v>4</v>
      </c>
      <c r="S614">
        <v>4</v>
      </c>
      <c r="T614">
        <v>1</v>
      </c>
      <c r="U614" t="s">
        <v>30</v>
      </c>
      <c r="V614" t="s">
        <v>58</v>
      </c>
      <c r="W614" t="s">
        <v>47</v>
      </c>
      <c r="X614" t="s">
        <v>44</v>
      </c>
      <c r="Y614">
        <v>29</v>
      </c>
      <c r="Z614" s="1">
        <v>45194</v>
      </c>
      <c r="AA614" t="str" cm="1">
        <f t="array" ref="AA614">_xlfn.IFS(AND(Table2[[#This Row],[Guest_Age]]&gt;=18,Table2[[#This Row],[Guest_Age]]&lt;=25),"Young Adults",AND(Table2[[#This Row],[Guest_Age]]&gt;=26,Table2[[#This Row],[Guest_Age]]&lt;=35),"Adults",AND(Table2[[#This Row],[Guest_Age]]&gt;=36,Table2[[#This Row],[Guest_Age]]&lt;=50),"Middle Aged Adults",Table2[[#This Row],[Guest_Age]]&gt;50,"Senior")</f>
        <v>Adults</v>
      </c>
      <c r="AB6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14" t="str" cm="1">
        <f t="array" ref="AC614">_xlfn.IFS(Table2[[#This Row],[Satification_points]]&gt;=4.5,"GREAT",AND(Table2[[#This Row],[Satification_points]]&gt;=4,Table2[[#This Row],[Satification_points]]&lt;4.5),"GOOD",AND(Table2[[#This Row],[Satification_points]]&gt;=3,Table2[[#This Row],[Satification_points]]&lt;4),"AVERAGE",Table2[[#This Row],[Satification_points]]&lt;3,"POOR")</f>
        <v>POOR</v>
      </c>
    </row>
    <row r="615" spans="1:29" x14ac:dyDescent="0.3">
      <c r="A615">
        <v>614</v>
      </c>
      <c r="B615">
        <v>44055</v>
      </c>
      <c r="C615" t="s">
        <v>668</v>
      </c>
      <c r="D615" t="s">
        <v>34</v>
      </c>
      <c r="E615" t="s">
        <v>45</v>
      </c>
      <c r="F615" s="1">
        <v>45232</v>
      </c>
      <c r="G615" s="1">
        <v>45569</v>
      </c>
      <c r="H615">
        <v>8</v>
      </c>
      <c r="I615" t="s">
        <v>49</v>
      </c>
      <c r="J615" t="s">
        <v>29</v>
      </c>
      <c r="K615">
        <v>1</v>
      </c>
      <c r="L615">
        <v>1</v>
      </c>
      <c r="M615">
        <v>4</v>
      </c>
      <c r="N615">
        <v>4</v>
      </c>
      <c r="O615">
        <v>4</v>
      </c>
      <c r="P615">
        <v>1</v>
      </c>
      <c r="Q615">
        <v>2</v>
      </c>
      <c r="R615">
        <v>1</v>
      </c>
      <c r="S615">
        <v>1</v>
      </c>
      <c r="T615">
        <v>5</v>
      </c>
      <c r="U615" t="s">
        <v>37</v>
      </c>
      <c r="V615" t="s">
        <v>58</v>
      </c>
      <c r="W615" t="s">
        <v>47</v>
      </c>
      <c r="X615" t="s">
        <v>44</v>
      </c>
      <c r="Y615">
        <v>69</v>
      </c>
      <c r="Z615" s="1">
        <v>45569</v>
      </c>
      <c r="AA615" t="str" cm="1">
        <f t="array" ref="AA615">_xlfn.IFS(AND(Table2[[#This Row],[Guest_Age]]&gt;=18,Table2[[#This Row],[Guest_Age]]&lt;=25),"Young Adults",AND(Table2[[#This Row],[Guest_Age]]&gt;=26,Table2[[#This Row],[Guest_Age]]&lt;=35),"Adults",AND(Table2[[#This Row],[Guest_Age]]&gt;=36,Table2[[#This Row],[Guest_Age]]&lt;=50),"Middle Aged Adults",Table2[[#This Row],[Guest_Age]]&gt;50,"Senior")</f>
        <v>Senior</v>
      </c>
      <c r="AB6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15" t="str" cm="1">
        <f t="array" ref="AC615">_xlfn.IFS(Table2[[#This Row],[Satification_points]]&gt;=4.5,"GREAT",AND(Table2[[#This Row],[Satification_points]]&gt;=4,Table2[[#This Row],[Satification_points]]&lt;4.5),"GOOD",AND(Table2[[#This Row],[Satification_points]]&gt;=3,Table2[[#This Row],[Satification_points]]&lt;4),"AVERAGE",Table2[[#This Row],[Satification_points]]&lt;3,"POOR")</f>
        <v>POOR</v>
      </c>
    </row>
    <row r="616" spans="1:29" x14ac:dyDescent="0.3">
      <c r="A616">
        <v>615</v>
      </c>
      <c r="B616">
        <v>24802</v>
      </c>
      <c r="C616" t="s">
        <v>669</v>
      </c>
      <c r="D616" t="s">
        <v>51</v>
      </c>
      <c r="E616" t="s">
        <v>52</v>
      </c>
      <c r="F616" s="1">
        <v>44932</v>
      </c>
      <c r="G616" s="1">
        <v>45133</v>
      </c>
      <c r="H616">
        <v>12</v>
      </c>
      <c r="I616" t="s">
        <v>42</v>
      </c>
      <c r="J616" t="s">
        <v>36</v>
      </c>
      <c r="K616">
        <v>3</v>
      </c>
      <c r="L616">
        <v>1</v>
      </c>
      <c r="M616">
        <v>4</v>
      </c>
      <c r="N616">
        <v>1</v>
      </c>
      <c r="O616">
        <v>4</v>
      </c>
      <c r="P616">
        <v>2</v>
      </c>
      <c r="Q616">
        <v>1</v>
      </c>
      <c r="R616">
        <v>4</v>
      </c>
      <c r="S616">
        <v>5</v>
      </c>
      <c r="T616">
        <v>4</v>
      </c>
      <c r="U616" t="s">
        <v>30</v>
      </c>
      <c r="V616" t="s">
        <v>38</v>
      </c>
      <c r="W616" t="s">
        <v>55</v>
      </c>
      <c r="X616" t="s">
        <v>33</v>
      </c>
      <c r="Y616">
        <v>25</v>
      </c>
      <c r="Z616" s="1">
        <v>45546</v>
      </c>
      <c r="AA616" t="str" cm="1">
        <f t="array" ref="AA616">_xlfn.IFS(AND(Table2[[#This Row],[Guest_Age]]&gt;=18,Table2[[#This Row],[Guest_Age]]&lt;=25),"Young Adults",AND(Table2[[#This Row],[Guest_Age]]&gt;=26,Table2[[#This Row],[Guest_Age]]&lt;=35),"Adults",AND(Table2[[#This Row],[Guest_Age]]&gt;=36,Table2[[#This Row],[Guest_Age]]&lt;=50),"Middle Aged Adults",Table2[[#This Row],[Guest_Age]]&gt;50,"Senior")</f>
        <v>Young Adults</v>
      </c>
      <c r="AB6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616" t="str" cm="1">
        <f t="array" ref="AC616">_xlfn.IFS(Table2[[#This Row],[Satification_points]]&gt;=4.5,"GREAT",AND(Table2[[#This Row],[Satification_points]]&gt;=4,Table2[[#This Row],[Satification_points]]&lt;4.5),"GOOD",AND(Table2[[#This Row],[Satification_points]]&gt;=3,Table2[[#This Row],[Satification_points]]&lt;4),"AVERAGE",Table2[[#This Row],[Satification_points]]&lt;3,"POOR")</f>
        <v>POOR</v>
      </c>
    </row>
    <row r="617" spans="1:29" x14ac:dyDescent="0.3">
      <c r="A617">
        <v>616</v>
      </c>
      <c r="B617">
        <v>14944</v>
      </c>
      <c r="C617" t="s">
        <v>670</v>
      </c>
      <c r="D617" t="s">
        <v>26</v>
      </c>
      <c r="E617" t="s">
        <v>35</v>
      </c>
      <c r="F617" s="1">
        <v>45036</v>
      </c>
      <c r="G617" s="1">
        <v>45636</v>
      </c>
      <c r="H617">
        <v>7</v>
      </c>
      <c r="I617" t="s">
        <v>42</v>
      </c>
      <c r="J617" t="s">
        <v>29</v>
      </c>
      <c r="K617">
        <v>4</v>
      </c>
      <c r="L617">
        <v>1</v>
      </c>
      <c r="M617">
        <v>2</v>
      </c>
      <c r="N617">
        <v>2</v>
      </c>
      <c r="O617">
        <v>4</v>
      </c>
      <c r="P617">
        <v>4</v>
      </c>
      <c r="Q617">
        <v>1</v>
      </c>
      <c r="R617">
        <v>1</v>
      </c>
      <c r="S617">
        <v>4</v>
      </c>
      <c r="T617">
        <v>2</v>
      </c>
      <c r="U617" t="s">
        <v>30</v>
      </c>
      <c r="V617" t="s">
        <v>54</v>
      </c>
      <c r="W617" t="s">
        <v>56</v>
      </c>
      <c r="X617" t="s">
        <v>33</v>
      </c>
      <c r="Y617">
        <v>60</v>
      </c>
      <c r="Z617" s="1">
        <v>45636</v>
      </c>
      <c r="AA617" t="str" cm="1">
        <f t="array" ref="AA617">_xlfn.IFS(AND(Table2[[#This Row],[Guest_Age]]&gt;=18,Table2[[#This Row],[Guest_Age]]&lt;=25),"Young Adults",AND(Table2[[#This Row],[Guest_Age]]&gt;=26,Table2[[#This Row],[Guest_Age]]&lt;=35),"Adults",AND(Table2[[#This Row],[Guest_Age]]&gt;=36,Table2[[#This Row],[Guest_Age]]&lt;=50),"Middle Aged Adults",Table2[[#This Row],[Guest_Age]]&gt;50,"Senior")</f>
        <v>Senior</v>
      </c>
      <c r="AB6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17" t="str" cm="1">
        <f t="array" ref="AC617">_xlfn.IFS(Table2[[#This Row],[Satification_points]]&gt;=4.5,"GREAT",AND(Table2[[#This Row],[Satification_points]]&gt;=4,Table2[[#This Row],[Satification_points]]&lt;4.5),"GOOD",AND(Table2[[#This Row],[Satification_points]]&gt;=3,Table2[[#This Row],[Satification_points]]&lt;4),"AVERAGE",Table2[[#This Row],[Satification_points]]&lt;3,"POOR")</f>
        <v>POOR</v>
      </c>
    </row>
    <row r="618" spans="1:29" x14ac:dyDescent="0.3">
      <c r="A618">
        <v>617</v>
      </c>
      <c r="B618">
        <v>10360</v>
      </c>
      <c r="C618" t="s">
        <v>671</v>
      </c>
      <c r="D618" t="s">
        <v>41</v>
      </c>
      <c r="E618" t="s">
        <v>52</v>
      </c>
      <c r="F618" s="1">
        <v>45069</v>
      </c>
      <c r="G618" s="1">
        <v>45070</v>
      </c>
      <c r="H618">
        <v>12</v>
      </c>
      <c r="I618" t="s">
        <v>28</v>
      </c>
      <c r="J618" t="s">
        <v>29</v>
      </c>
      <c r="K618">
        <v>5</v>
      </c>
      <c r="L618">
        <v>4</v>
      </c>
      <c r="M618">
        <v>4</v>
      </c>
      <c r="N618">
        <v>1</v>
      </c>
      <c r="O618">
        <v>4</v>
      </c>
      <c r="P618">
        <v>1</v>
      </c>
      <c r="Q618">
        <v>2</v>
      </c>
      <c r="R618">
        <v>1</v>
      </c>
      <c r="S618">
        <v>2</v>
      </c>
      <c r="T618">
        <v>2</v>
      </c>
      <c r="U618" t="s">
        <v>30</v>
      </c>
      <c r="V618" t="s">
        <v>54</v>
      </c>
      <c r="W618" t="s">
        <v>32</v>
      </c>
      <c r="X618" t="s">
        <v>33</v>
      </c>
      <c r="Y618">
        <v>43</v>
      </c>
      <c r="Z618" s="1">
        <v>45636</v>
      </c>
      <c r="AA618" t="str" cm="1">
        <f t="array" ref="AA618">_xlfn.IFS(AND(Table2[[#This Row],[Guest_Age]]&gt;=18,Table2[[#This Row],[Guest_Age]]&lt;=25),"Young Adults",AND(Table2[[#This Row],[Guest_Age]]&gt;=26,Table2[[#This Row],[Guest_Age]]&lt;=35),"Adults",AND(Table2[[#This Row],[Guest_Age]]&gt;=36,Table2[[#This Row],[Guest_Age]]&lt;=50),"Middle Aged Adults",Table2[[#This Row],[Guest_Age]]&gt;50,"Senior")</f>
        <v>Middle Aged Adults</v>
      </c>
      <c r="AB6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18" t="str" cm="1">
        <f t="array" ref="AC618">_xlfn.IFS(Table2[[#This Row],[Satification_points]]&gt;=4.5,"GREAT",AND(Table2[[#This Row],[Satification_points]]&gt;=4,Table2[[#This Row],[Satification_points]]&lt;4.5),"GOOD",AND(Table2[[#This Row],[Satification_points]]&gt;=3,Table2[[#This Row],[Satification_points]]&lt;4),"AVERAGE",Table2[[#This Row],[Satification_points]]&lt;3,"POOR")</f>
        <v>POOR</v>
      </c>
    </row>
    <row r="619" spans="1:29" x14ac:dyDescent="0.3">
      <c r="A619">
        <v>618</v>
      </c>
      <c r="B619">
        <v>73475</v>
      </c>
      <c r="C619" t="s">
        <v>672</v>
      </c>
      <c r="D619" t="s">
        <v>41</v>
      </c>
      <c r="E619" t="s">
        <v>57</v>
      </c>
      <c r="F619" s="1">
        <v>45593</v>
      </c>
      <c r="G619" s="1">
        <v>45594</v>
      </c>
      <c r="H619">
        <v>3</v>
      </c>
      <c r="I619" t="s">
        <v>50</v>
      </c>
      <c r="J619" t="s">
        <v>29</v>
      </c>
      <c r="K619">
        <v>4</v>
      </c>
      <c r="L619">
        <v>2</v>
      </c>
      <c r="M619">
        <v>4</v>
      </c>
      <c r="N619">
        <v>3</v>
      </c>
      <c r="O619">
        <v>3</v>
      </c>
      <c r="P619">
        <v>2</v>
      </c>
      <c r="Q619">
        <v>2</v>
      </c>
      <c r="R619">
        <v>1</v>
      </c>
      <c r="S619">
        <v>5</v>
      </c>
      <c r="T619">
        <v>4</v>
      </c>
      <c r="U619" t="s">
        <v>37</v>
      </c>
      <c r="V619" t="s">
        <v>54</v>
      </c>
      <c r="W619" t="s">
        <v>39</v>
      </c>
      <c r="X619" t="s">
        <v>40</v>
      </c>
      <c r="Y619">
        <v>43</v>
      </c>
      <c r="Z619" s="1">
        <v>45594</v>
      </c>
      <c r="AA619" t="str" cm="1">
        <f t="array" ref="AA6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6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19" t="str" cm="1">
        <f t="array" ref="AC619">_xlfn.IFS(Table2[[#This Row],[Satification_points]]&gt;=4.5,"GREAT",AND(Table2[[#This Row],[Satification_points]]&gt;=4,Table2[[#This Row],[Satification_points]]&lt;4.5),"GOOD",AND(Table2[[#This Row],[Satification_points]]&gt;=3,Table2[[#This Row],[Satification_points]]&lt;4),"AVERAGE",Table2[[#This Row],[Satification_points]]&lt;3,"POOR")</f>
        <v>AVERAGE</v>
      </c>
    </row>
    <row r="620" spans="1:29" x14ac:dyDescent="0.3">
      <c r="A620">
        <v>619</v>
      </c>
      <c r="B620">
        <v>93894</v>
      </c>
      <c r="C620" t="s">
        <v>673</v>
      </c>
      <c r="D620" t="s">
        <v>48</v>
      </c>
      <c r="E620" t="s">
        <v>52</v>
      </c>
      <c r="F620" s="1">
        <v>45133</v>
      </c>
      <c r="G620" s="1">
        <v>45134</v>
      </c>
      <c r="H620">
        <v>2</v>
      </c>
      <c r="I620" t="s">
        <v>50</v>
      </c>
      <c r="J620" t="s">
        <v>43</v>
      </c>
      <c r="K620">
        <v>4</v>
      </c>
      <c r="L620">
        <v>1</v>
      </c>
      <c r="M620">
        <v>2</v>
      </c>
      <c r="N620">
        <v>2</v>
      </c>
      <c r="O620">
        <v>4</v>
      </c>
      <c r="P620">
        <v>1</v>
      </c>
      <c r="Q620">
        <v>4</v>
      </c>
      <c r="R620">
        <v>3</v>
      </c>
      <c r="S620">
        <v>3</v>
      </c>
      <c r="T620">
        <v>4</v>
      </c>
      <c r="U620" t="s">
        <v>30</v>
      </c>
      <c r="V620" t="s">
        <v>54</v>
      </c>
      <c r="W620" t="s">
        <v>56</v>
      </c>
      <c r="X620" t="s">
        <v>33</v>
      </c>
      <c r="Y620">
        <v>32</v>
      </c>
      <c r="Z620" s="1">
        <v>45134</v>
      </c>
      <c r="AA620" t="str" cm="1">
        <f t="array" ref="AA620">_xlfn.IFS(AND(Table2[[#This Row],[Guest_Age]]&gt;=18,Table2[[#This Row],[Guest_Age]]&lt;=25),"Young Adults",AND(Table2[[#This Row],[Guest_Age]]&gt;=26,Table2[[#This Row],[Guest_Age]]&lt;=35),"Adults",AND(Table2[[#This Row],[Guest_Age]]&gt;=36,Table2[[#This Row],[Guest_Age]]&lt;=50),"Middle Aged Adults",Table2[[#This Row],[Guest_Age]]&gt;50,"Senior")</f>
        <v>Adults</v>
      </c>
      <c r="AB6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20" t="str" cm="1">
        <f t="array" ref="AC620">_xlfn.IFS(Table2[[#This Row],[Satification_points]]&gt;=4.5,"GREAT",AND(Table2[[#This Row],[Satification_points]]&gt;=4,Table2[[#This Row],[Satification_points]]&lt;4.5),"GOOD",AND(Table2[[#This Row],[Satification_points]]&gt;=3,Table2[[#This Row],[Satification_points]]&lt;4),"AVERAGE",Table2[[#This Row],[Satification_points]]&lt;3,"POOR")</f>
        <v>POOR</v>
      </c>
    </row>
    <row r="621" spans="1:29" x14ac:dyDescent="0.3">
      <c r="A621">
        <v>620</v>
      </c>
      <c r="B621">
        <v>13464</v>
      </c>
      <c r="C621" t="s">
        <v>674</v>
      </c>
      <c r="D621" t="s">
        <v>41</v>
      </c>
      <c r="E621" t="s">
        <v>35</v>
      </c>
      <c r="F621" s="1">
        <v>45355</v>
      </c>
      <c r="G621" s="1">
        <v>45356</v>
      </c>
      <c r="H621">
        <v>3</v>
      </c>
      <c r="I621" t="s">
        <v>42</v>
      </c>
      <c r="J621" t="s">
        <v>53</v>
      </c>
      <c r="K621">
        <v>5</v>
      </c>
      <c r="L621">
        <v>2</v>
      </c>
      <c r="M621">
        <v>4</v>
      </c>
      <c r="N621">
        <v>1</v>
      </c>
      <c r="O621">
        <v>4</v>
      </c>
      <c r="P621">
        <v>2</v>
      </c>
      <c r="Q621">
        <v>2</v>
      </c>
      <c r="R621">
        <v>1</v>
      </c>
      <c r="S621">
        <v>1</v>
      </c>
      <c r="T621">
        <v>2</v>
      </c>
      <c r="U621" t="s">
        <v>30</v>
      </c>
      <c r="V621" t="s">
        <v>46</v>
      </c>
      <c r="W621" t="s">
        <v>39</v>
      </c>
      <c r="X621" t="s">
        <v>40</v>
      </c>
      <c r="Y621">
        <v>30</v>
      </c>
      <c r="Z621" s="1">
        <v>45356</v>
      </c>
      <c r="AA621" t="str" cm="1">
        <f t="array" ref="AA621">_xlfn.IFS(AND(Table2[[#This Row],[Guest_Age]]&gt;=18,Table2[[#This Row],[Guest_Age]]&lt;=25),"Young Adults",AND(Table2[[#This Row],[Guest_Age]]&gt;=26,Table2[[#This Row],[Guest_Age]]&lt;=35),"Adults",AND(Table2[[#This Row],[Guest_Age]]&gt;=36,Table2[[#This Row],[Guest_Age]]&lt;=50),"Middle Aged Adults",Table2[[#This Row],[Guest_Age]]&gt;50,"Senior")</f>
        <v>Adults</v>
      </c>
      <c r="AB6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21" t="str" cm="1">
        <f t="array" ref="AC621">_xlfn.IFS(Table2[[#This Row],[Satification_points]]&gt;=4.5,"GREAT",AND(Table2[[#This Row],[Satification_points]]&gt;=4,Table2[[#This Row],[Satification_points]]&lt;4.5),"GOOD",AND(Table2[[#This Row],[Satification_points]]&gt;=3,Table2[[#This Row],[Satification_points]]&lt;4),"AVERAGE",Table2[[#This Row],[Satification_points]]&lt;3,"POOR")</f>
        <v>POOR</v>
      </c>
    </row>
    <row r="622" spans="1:29" x14ac:dyDescent="0.3">
      <c r="A622">
        <v>621</v>
      </c>
      <c r="B622">
        <v>28610</v>
      </c>
      <c r="C622" t="s">
        <v>675</v>
      </c>
      <c r="D622" t="s">
        <v>51</v>
      </c>
      <c r="E622" t="s">
        <v>45</v>
      </c>
      <c r="F622" s="1">
        <v>45092</v>
      </c>
      <c r="G622" s="1">
        <v>45355</v>
      </c>
      <c r="H622">
        <v>5</v>
      </c>
      <c r="I622" t="s">
        <v>50</v>
      </c>
      <c r="J622" t="s">
        <v>29</v>
      </c>
      <c r="K622">
        <v>4</v>
      </c>
      <c r="L622">
        <v>3</v>
      </c>
      <c r="M622">
        <v>2</v>
      </c>
      <c r="N622">
        <v>1</v>
      </c>
      <c r="O622">
        <v>5</v>
      </c>
      <c r="P622">
        <v>3</v>
      </c>
      <c r="Q622">
        <v>2</v>
      </c>
      <c r="R622">
        <v>5</v>
      </c>
      <c r="S622">
        <v>1</v>
      </c>
      <c r="T622">
        <v>2</v>
      </c>
      <c r="U622" t="s">
        <v>37</v>
      </c>
      <c r="V622" t="s">
        <v>58</v>
      </c>
      <c r="W622" t="s">
        <v>39</v>
      </c>
      <c r="X622" t="s">
        <v>33</v>
      </c>
      <c r="Y622">
        <v>39</v>
      </c>
      <c r="Z622" s="1">
        <v>45503</v>
      </c>
      <c r="AA622" t="str" cm="1">
        <f t="array" ref="AA622">_xlfn.IFS(AND(Table2[[#This Row],[Guest_Age]]&gt;=18,Table2[[#This Row],[Guest_Age]]&lt;=25),"Young Adults",AND(Table2[[#This Row],[Guest_Age]]&gt;=26,Table2[[#This Row],[Guest_Age]]&lt;=35),"Adults",AND(Table2[[#This Row],[Guest_Age]]&gt;=36,Table2[[#This Row],[Guest_Age]]&lt;=50),"Middle Aged Adults",Table2[[#This Row],[Guest_Age]]&gt;50,"Senior")</f>
        <v>Middle Aged Adults</v>
      </c>
      <c r="AB6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22" t="str" cm="1">
        <f t="array" ref="AC622">_xlfn.IFS(Table2[[#This Row],[Satification_points]]&gt;=4.5,"GREAT",AND(Table2[[#This Row],[Satification_points]]&gt;=4,Table2[[#This Row],[Satification_points]]&lt;4.5),"GOOD",AND(Table2[[#This Row],[Satification_points]]&gt;=3,Table2[[#This Row],[Satification_points]]&lt;4),"AVERAGE",Table2[[#This Row],[Satification_points]]&lt;3,"POOR")</f>
        <v>POOR</v>
      </c>
    </row>
    <row r="623" spans="1:29" x14ac:dyDescent="0.3">
      <c r="A623">
        <v>622</v>
      </c>
      <c r="B623">
        <v>40607</v>
      </c>
      <c r="C623" t="s">
        <v>676</v>
      </c>
      <c r="D623" t="s">
        <v>41</v>
      </c>
      <c r="E623" t="s">
        <v>52</v>
      </c>
      <c r="F623" s="1">
        <v>45186</v>
      </c>
      <c r="G623" s="1">
        <v>45187</v>
      </c>
      <c r="H623">
        <v>14</v>
      </c>
      <c r="I623" t="s">
        <v>50</v>
      </c>
      <c r="J623" t="s">
        <v>53</v>
      </c>
      <c r="K623">
        <v>2</v>
      </c>
      <c r="L623">
        <v>5</v>
      </c>
      <c r="M623">
        <v>1</v>
      </c>
      <c r="N623">
        <v>1</v>
      </c>
      <c r="O623">
        <v>3</v>
      </c>
      <c r="P623">
        <v>1</v>
      </c>
      <c r="Q623">
        <v>3</v>
      </c>
      <c r="R623">
        <v>2</v>
      </c>
      <c r="S623">
        <v>2</v>
      </c>
      <c r="T623">
        <v>5</v>
      </c>
      <c r="U623" t="s">
        <v>30</v>
      </c>
      <c r="V623" t="s">
        <v>58</v>
      </c>
      <c r="W623" t="s">
        <v>39</v>
      </c>
      <c r="X623" t="s">
        <v>33</v>
      </c>
      <c r="Y623">
        <v>30</v>
      </c>
      <c r="Z623" s="1">
        <v>45518</v>
      </c>
      <c r="AA623" t="str" cm="1">
        <f t="array" ref="AA623">_xlfn.IFS(AND(Table2[[#This Row],[Guest_Age]]&gt;=18,Table2[[#This Row],[Guest_Age]]&lt;=25),"Young Adults",AND(Table2[[#This Row],[Guest_Age]]&gt;=26,Table2[[#This Row],[Guest_Age]]&lt;=35),"Adults",AND(Table2[[#This Row],[Guest_Age]]&gt;=36,Table2[[#This Row],[Guest_Age]]&lt;=50),"Middle Aged Adults",Table2[[#This Row],[Guest_Age]]&gt;50,"Senior")</f>
        <v>Adults</v>
      </c>
      <c r="AB6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23" t="str" cm="1">
        <f t="array" ref="AC623">_xlfn.IFS(Table2[[#This Row],[Satification_points]]&gt;=4.5,"GREAT",AND(Table2[[#This Row],[Satification_points]]&gt;=4,Table2[[#This Row],[Satification_points]]&lt;4.5),"GOOD",AND(Table2[[#This Row],[Satification_points]]&gt;=3,Table2[[#This Row],[Satification_points]]&lt;4),"AVERAGE",Table2[[#This Row],[Satification_points]]&lt;3,"POOR")</f>
        <v>POOR</v>
      </c>
    </row>
    <row r="624" spans="1:29" x14ac:dyDescent="0.3">
      <c r="A624">
        <v>623</v>
      </c>
      <c r="B624">
        <v>15044</v>
      </c>
      <c r="C624" t="s">
        <v>677</v>
      </c>
      <c r="D624" t="s">
        <v>34</v>
      </c>
      <c r="E624" t="s">
        <v>35</v>
      </c>
      <c r="F624" s="1">
        <v>45611</v>
      </c>
      <c r="G624" s="1">
        <v>45612</v>
      </c>
      <c r="H624">
        <v>7</v>
      </c>
      <c r="I624" t="s">
        <v>50</v>
      </c>
      <c r="J624" t="s">
        <v>40</v>
      </c>
      <c r="K624">
        <v>1</v>
      </c>
      <c r="L624">
        <v>5</v>
      </c>
      <c r="M624">
        <v>3</v>
      </c>
      <c r="N624">
        <v>3</v>
      </c>
      <c r="O624">
        <v>2</v>
      </c>
      <c r="P624">
        <v>4</v>
      </c>
      <c r="Q624">
        <v>3</v>
      </c>
      <c r="R624">
        <v>1</v>
      </c>
      <c r="S624">
        <v>4</v>
      </c>
      <c r="T624">
        <v>2</v>
      </c>
      <c r="U624" t="s">
        <v>30</v>
      </c>
      <c r="V624" t="s">
        <v>46</v>
      </c>
      <c r="W624" t="s">
        <v>55</v>
      </c>
      <c r="X624" t="s">
        <v>40</v>
      </c>
      <c r="Y624">
        <v>63</v>
      </c>
      <c r="Z624" s="1">
        <v>45612</v>
      </c>
      <c r="AA624" t="str" cm="1">
        <f t="array" ref="AA624">_xlfn.IFS(AND(Table2[[#This Row],[Guest_Age]]&gt;=18,Table2[[#This Row],[Guest_Age]]&lt;=25),"Young Adults",AND(Table2[[#This Row],[Guest_Age]]&gt;=26,Table2[[#This Row],[Guest_Age]]&lt;=35),"Adults",AND(Table2[[#This Row],[Guest_Age]]&gt;=36,Table2[[#This Row],[Guest_Age]]&lt;=50),"Middle Aged Adults",Table2[[#This Row],[Guest_Age]]&gt;50,"Senior")</f>
        <v>Senior</v>
      </c>
      <c r="AB6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24" t="str" cm="1">
        <f t="array" ref="AC624">_xlfn.IFS(Table2[[#This Row],[Satification_points]]&gt;=4.5,"GREAT",AND(Table2[[#This Row],[Satification_points]]&gt;=4,Table2[[#This Row],[Satification_points]]&lt;4.5),"GOOD",AND(Table2[[#This Row],[Satification_points]]&gt;=3,Table2[[#This Row],[Satification_points]]&lt;4),"AVERAGE",Table2[[#This Row],[Satification_points]]&lt;3,"POOR")</f>
        <v>POOR</v>
      </c>
    </row>
    <row r="625" spans="1:29" x14ac:dyDescent="0.3">
      <c r="A625">
        <v>624</v>
      </c>
      <c r="B625">
        <v>97545</v>
      </c>
      <c r="C625" t="s">
        <v>678</v>
      </c>
      <c r="D625" t="s">
        <v>48</v>
      </c>
      <c r="E625" t="s">
        <v>57</v>
      </c>
      <c r="F625" s="1">
        <v>45320</v>
      </c>
      <c r="G625" s="1">
        <v>45321</v>
      </c>
      <c r="H625">
        <v>14</v>
      </c>
      <c r="I625" t="s">
        <v>42</v>
      </c>
      <c r="J625" t="s">
        <v>53</v>
      </c>
      <c r="K625">
        <v>5</v>
      </c>
      <c r="L625">
        <v>2</v>
      </c>
      <c r="M625">
        <v>5</v>
      </c>
      <c r="N625">
        <v>3</v>
      </c>
      <c r="O625">
        <v>3</v>
      </c>
      <c r="P625">
        <v>4</v>
      </c>
      <c r="Q625">
        <v>3</v>
      </c>
      <c r="R625">
        <v>5</v>
      </c>
      <c r="S625">
        <v>2</v>
      </c>
      <c r="T625">
        <v>1</v>
      </c>
      <c r="U625" t="s">
        <v>37</v>
      </c>
      <c r="V625" t="s">
        <v>38</v>
      </c>
      <c r="W625" t="s">
        <v>55</v>
      </c>
      <c r="X625" t="s">
        <v>40</v>
      </c>
      <c r="Y625">
        <v>26</v>
      </c>
      <c r="Z625" s="1">
        <v>45483</v>
      </c>
      <c r="AA625" t="str" cm="1">
        <f t="array" ref="AA625">_xlfn.IFS(AND(Table2[[#This Row],[Guest_Age]]&gt;=18,Table2[[#This Row],[Guest_Age]]&lt;=25),"Young Adults",AND(Table2[[#This Row],[Guest_Age]]&gt;=26,Table2[[#This Row],[Guest_Age]]&lt;=35),"Adults",AND(Table2[[#This Row],[Guest_Age]]&gt;=36,Table2[[#This Row],[Guest_Age]]&lt;=50),"Middle Aged Adults",Table2[[#This Row],[Guest_Age]]&gt;50,"Senior")</f>
        <v>Adults</v>
      </c>
      <c r="AB6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25" t="str" cm="1">
        <f t="array" ref="AC625">_xlfn.IFS(Table2[[#This Row],[Satification_points]]&gt;=4.5,"GREAT",AND(Table2[[#This Row],[Satification_points]]&gt;=4,Table2[[#This Row],[Satification_points]]&lt;4.5),"GOOD",AND(Table2[[#This Row],[Satification_points]]&gt;=3,Table2[[#This Row],[Satification_points]]&lt;4),"AVERAGE",Table2[[#This Row],[Satification_points]]&lt;3,"POOR")</f>
        <v>AVERAGE</v>
      </c>
    </row>
    <row r="626" spans="1:29" x14ac:dyDescent="0.3">
      <c r="A626">
        <v>625</v>
      </c>
      <c r="B626">
        <v>48700</v>
      </c>
      <c r="C626" t="s">
        <v>679</v>
      </c>
      <c r="D626" t="s">
        <v>41</v>
      </c>
      <c r="E626" t="s">
        <v>27</v>
      </c>
      <c r="F626" s="1">
        <v>45047</v>
      </c>
      <c r="G626" s="1">
        <v>45135</v>
      </c>
      <c r="H626">
        <v>8</v>
      </c>
      <c r="I626" t="s">
        <v>28</v>
      </c>
      <c r="J626" t="s">
        <v>40</v>
      </c>
      <c r="K626">
        <v>1</v>
      </c>
      <c r="L626">
        <v>4</v>
      </c>
      <c r="M626">
        <v>4</v>
      </c>
      <c r="N626">
        <v>1</v>
      </c>
      <c r="O626">
        <v>1</v>
      </c>
      <c r="P626">
        <v>5</v>
      </c>
      <c r="Q626">
        <v>5</v>
      </c>
      <c r="R626">
        <v>4</v>
      </c>
      <c r="S626">
        <v>4</v>
      </c>
      <c r="T626">
        <v>1</v>
      </c>
      <c r="U626" t="s">
        <v>30</v>
      </c>
      <c r="V626" t="s">
        <v>31</v>
      </c>
      <c r="W626" t="s">
        <v>56</v>
      </c>
      <c r="X626" t="s">
        <v>33</v>
      </c>
      <c r="Y626">
        <v>41</v>
      </c>
      <c r="Z626" s="1">
        <v>45399</v>
      </c>
      <c r="AA626" t="str" cm="1">
        <f t="array" ref="AA626">_xlfn.IFS(AND(Table2[[#This Row],[Guest_Age]]&gt;=18,Table2[[#This Row],[Guest_Age]]&lt;=25),"Young Adults",AND(Table2[[#This Row],[Guest_Age]]&gt;=26,Table2[[#This Row],[Guest_Age]]&lt;=35),"Adults",AND(Table2[[#This Row],[Guest_Age]]&gt;=36,Table2[[#This Row],[Guest_Age]]&lt;=50),"Middle Aged Adults",Table2[[#This Row],[Guest_Age]]&gt;50,"Senior")</f>
        <v>Middle Aged Adults</v>
      </c>
      <c r="AB6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26" t="str" cm="1">
        <f t="array" ref="AC626">_xlfn.IFS(Table2[[#This Row],[Satification_points]]&gt;=4.5,"GREAT",AND(Table2[[#This Row],[Satification_points]]&gt;=4,Table2[[#This Row],[Satification_points]]&lt;4.5),"GOOD",AND(Table2[[#This Row],[Satification_points]]&gt;=3,Table2[[#This Row],[Satification_points]]&lt;4),"AVERAGE",Table2[[#This Row],[Satification_points]]&lt;3,"POOR")</f>
        <v>AVERAGE</v>
      </c>
    </row>
    <row r="627" spans="1:29" x14ac:dyDescent="0.3">
      <c r="A627">
        <v>626</v>
      </c>
      <c r="B627">
        <v>69890</v>
      </c>
      <c r="C627" t="s">
        <v>680</v>
      </c>
      <c r="D627" t="s">
        <v>26</v>
      </c>
      <c r="E627" t="s">
        <v>27</v>
      </c>
      <c r="F627" s="1">
        <v>45339</v>
      </c>
      <c r="G627" s="1">
        <v>45568</v>
      </c>
      <c r="H627">
        <v>6</v>
      </c>
      <c r="I627" t="s">
        <v>42</v>
      </c>
      <c r="J627" t="s">
        <v>43</v>
      </c>
      <c r="K627">
        <v>2</v>
      </c>
      <c r="L627">
        <v>5</v>
      </c>
      <c r="M627">
        <v>1</v>
      </c>
      <c r="N627">
        <v>3</v>
      </c>
      <c r="O627">
        <v>4</v>
      </c>
      <c r="P627">
        <v>3</v>
      </c>
      <c r="Q627">
        <v>5</v>
      </c>
      <c r="R627">
        <v>3</v>
      </c>
      <c r="S627">
        <v>2</v>
      </c>
      <c r="T627">
        <v>4</v>
      </c>
      <c r="U627" t="s">
        <v>37</v>
      </c>
      <c r="V627" t="s">
        <v>54</v>
      </c>
      <c r="W627" t="s">
        <v>47</v>
      </c>
      <c r="X627" t="s">
        <v>44</v>
      </c>
      <c r="Y627">
        <v>20</v>
      </c>
      <c r="Z627" s="1">
        <v>45568</v>
      </c>
      <c r="AA627" t="str" cm="1">
        <f t="array" ref="AA627">_xlfn.IFS(AND(Table2[[#This Row],[Guest_Age]]&gt;=18,Table2[[#This Row],[Guest_Age]]&lt;=25),"Young Adults",AND(Table2[[#This Row],[Guest_Age]]&gt;=26,Table2[[#This Row],[Guest_Age]]&lt;=35),"Adults",AND(Table2[[#This Row],[Guest_Age]]&gt;=36,Table2[[#This Row],[Guest_Age]]&lt;=50),"Middle Aged Adults",Table2[[#This Row],[Guest_Age]]&gt;50,"Senior")</f>
        <v>Young Adults</v>
      </c>
      <c r="AB6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27" t="str" cm="1">
        <f t="array" ref="AC627">_xlfn.IFS(Table2[[#This Row],[Satification_points]]&gt;=4.5,"GREAT",AND(Table2[[#This Row],[Satification_points]]&gt;=4,Table2[[#This Row],[Satification_points]]&lt;4.5),"GOOD",AND(Table2[[#This Row],[Satification_points]]&gt;=3,Table2[[#This Row],[Satification_points]]&lt;4),"AVERAGE",Table2[[#This Row],[Satification_points]]&lt;3,"POOR")</f>
        <v>AVERAGE</v>
      </c>
    </row>
    <row r="628" spans="1:29" x14ac:dyDescent="0.3">
      <c r="A628">
        <v>627</v>
      </c>
      <c r="B628">
        <v>20916</v>
      </c>
      <c r="C628" t="s">
        <v>681</v>
      </c>
      <c r="D628" t="s">
        <v>48</v>
      </c>
      <c r="E628" t="s">
        <v>45</v>
      </c>
      <c r="F628" s="1">
        <v>45066</v>
      </c>
      <c r="G628" s="1">
        <v>45502</v>
      </c>
      <c r="H628">
        <v>13</v>
      </c>
      <c r="I628" t="s">
        <v>50</v>
      </c>
      <c r="J628" t="s">
        <v>40</v>
      </c>
      <c r="K628">
        <v>5</v>
      </c>
      <c r="L628">
        <v>2</v>
      </c>
      <c r="M628">
        <v>3</v>
      </c>
      <c r="N628">
        <v>1</v>
      </c>
      <c r="O628">
        <v>2</v>
      </c>
      <c r="P628">
        <v>3</v>
      </c>
      <c r="Q628">
        <v>2</v>
      </c>
      <c r="R628">
        <v>4</v>
      </c>
      <c r="S628">
        <v>2</v>
      </c>
      <c r="T628">
        <v>4</v>
      </c>
      <c r="U628" t="s">
        <v>30</v>
      </c>
      <c r="V628" t="s">
        <v>54</v>
      </c>
      <c r="W628" t="s">
        <v>55</v>
      </c>
      <c r="X628" t="s">
        <v>40</v>
      </c>
      <c r="Y628">
        <v>40</v>
      </c>
      <c r="Z628" s="1">
        <v>45577</v>
      </c>
      <c r="AA628" t="str" cm="1">
        <f t="array" ref="AA6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6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28" t="str" cm="1">
        <f t="array" ref="AC628">_xlfn.IFS(Table2[[#This Row],[Satification_points]]&gt;=4.5,"GREAT",AND(Table2[[#This Row],[Satification_points]]&gt;=4,Table2[[#This Row],[Satification_points]]&lt;4.5),"GOOD",AND(Table2[[#This Row],[Satification_points]]&gt;=3,Table2[[#This Row],[Satification_points]]&lt;4),"AVERAGE",Table2[[#This Row],[Satification_points]]&lt;3,"POOR")</f>
        <v>POOR</v>
      </c>
    </row>
    <row r="629" spans="1:29" x14ac:dyDescent="0.3">
      <c r="A629">
        <v>628</v>
      </c>
      <c r="B629">
        <v>95825</v>
      </c>
      <c r="C629" t="s">
        <v>682</v>
      </c>
      <c r="D629" t="s">
        <v>51</v>
      </c>
      <c r="E629" t="s">
        <v>45</v>
      </c>
      <c r="F629" s="1">
        <v>45094</v>
      </c>
      <c r="G629" s="1">
        <v>45366</v>
      </c>
      <c r="H629">
        <v>2</v>
      </c>
      <c r="I629" t="s">
        <v>42</v>
      </c>
      <c r="J629" t="s">
        <v>40</v>
      </c>
      <c r="K629">
        <v>2</v>
      </c>
      <c r="L629">
        <v>1</v>
      </c>
      <c r="M629">
        <v>1</v>
      </c>
      <c r="N629">
        <v>3</v>
      </c>
      <c r="O629">
        <v>1</v>
      </c>
      <c r="P629">
        <v>1</v>
      </c>
      <c r="Q629">
        <v>3</v>
      </c>
      <c r="R629">
        <v>3</v>
      </c>
      <c r="S629">
        <v>1</v>
      </c>
      <c r="T629">
        <v>1</v>
      </c>
      <c r="U629" t="s">
        <v>37</v>
      </c>
      <c r="V629" t="s">
        <v>46</v>
      </c>
      <c r="W629" t="s">
        <v>32</v>
      </c>
      <c r="X629" t="s">
        <v>40</v>
      </c>
      <c r="Y629">
        <v>29</v>
      </c>
      <c r="Z629" s="1">
        <v>45495</v>
      </c>
      <c r="AA629" t="str" cm="1">
        <f t="array" ref="AA629">_xlfn.IFS(AND(Table2[[#This Row],[Guest_Age]]&gt;=18,Table2[[#This Row],[Guest_Age]]&lt;=25),"Young Adults",AND(Table2[[#This Row],[Guest_Age]]&gt;=26,Table2[[#This Row],[Guest_Age]]&lt;=35),"Adults",AND(Table2[[#This Row],[Guest_Age]]&gt;=36,Table2[[#This Row],[Guest_Age]]&lt;=50),"Middle Aged Adults",Table2[[#This Row],[Guest_Age]]&gt;50,"Senior")</f>
        <v>Adults</v>
      </c>
      <c r="AB6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1.7</v>
      </c>
      <c r="AC629" t="str" cm="1">
        <f t="array" ref="AC629">_xlfn.IFS(Table2[[#This Row],[Satification_points]]&gt;=4.5,"GREAT",AND(Table2[[#This Row],[Satification_points]]&gt;=4,Table2[[#This Row],[Satification_points]]&lt;4.5),"GOOD",AND(Table2[[#This Row],[Satification_points]]&gt;=3,Table2[[#This Row],[Satification_points]]&lt;4),"AVERAGE",Table2[[#This Row],[Satification_points]]&lt;3,"POOR")</f>
        <v>POOR</v>
      </c>
    </row>
    <row r="630" spans="1:29" x14ac:dyDescent="0.3">
      <c r="A630">
        <v>629</v>
      </c>
      <c r="B630">
        <v>79311</v>
      </c>
      <c r="C630" t="s">
        <v>683</v>
      </c>
      <c r="D630" t="s">
        <v>34</v>
      </c>
      <c r="E630" t="s">
        <v>27</v>
      </c>
      <c r="F630" s="1">
        <v>45010</v>
      </c>
      <c r="G630" s="1">
        <v>45269</v>
      </c>
      <c r="H630">
        <v>11</v>
      </c>
      <c r="I630" t="s">
        <v>49</v>
      </c>
      <c r="J630" t="s">
        <v>36</v>
      </c>
      <c r="K630">
        <v>3</v>
      </c>
      <c r="L630">
        <v>2</v>
      </c>
      <c r="M630">
        <v>2</v>
      </c>
      <c r="N630">
        <v>4</v>
      </c>
      <c r="O630">
        <v>2</v>
      </c>
      <c r="P630">
        <v>2</v>
      </c>
      <c r="Q630">
        <v>4</v>
      </c>
      <c r="R630">
        <v>4</v>
      </c>
      <c r="S630">
        <v>4</v>
      </c>
      <c r="T630">
        <v>4</v>
      </c>
      <c r="U630" t="s">
        <v>30</v>
      </c>
      <c r="V630" t="s">
        <v>54</v>
      </c>
      <c r="W630" t="s">
        <v>56</v>
      </c>
      <c r="X630" t="s">
        <v>33</v>
      </c>
      <c r="Y630">
        <v>58</v>
      </c>
      <c r="Z630" s="1">
        <v>45269</v>
      </c>
      <c r="AA630" t="str" cm="1">
        <f t="array" ref="AA630">_xlfn.IFS(AND(Table2[[#This Row],[Guest_Age]]&gt;=18,Table2[[#This Row],[Guest_Age]]&lt;=25),"Young Adults",AND(Table2[[#This Row],[Guest_Age]]&gt;=26,Table2[[#This Row],[Guest_Age]]&lt;=35),"Adults",AND(Table2[[#This Row],[Guest_Age]]&gt;=36,Table2[[#This Row],[Guest_Age]]&lt;=50),"Middle Aged Adults",Table2[[#This Row],[Guest_Age]]&gt;50,"Senior")</f>
        <v>Senior</v>
      </c>
      <c r="AB6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30" t="str" cm="1">
        <f t="array" ref="AC630">_xlfn.IFS(Table2[[#This Row],[Satification_points]]&gt;=4.5,"GREAT",AND(Table2[[#This Row],[Satification_points]]&gt;=4,Table2[[#This Row],[Satification_points]]&lt;4.5),"GOOD",AND(Table2[[#This Row],[Satification_points]]&gt;=3,Table2[[#This Row],[Satification_points]]&lt;4),"AVERAGE",Table2[[#This Row],[Satification_points]]&lt;3,"POOR")</f>
        <v>AVERAGE</v>
      </c>
    </row>
    <row r="631" spans="1:29" x14ac:dyDescent="0.3">
      <c r="A631">
        <v>630</v>
      </c>
      <c r="B631">
        <v>55347</v>
      </c>
      <c r="C631" t="s">
        <v>684</v>
      </c>
      <c r="D631" t="s">
        <v>41</v>
      </c>
      <c r="E631" t="s">
        <v>27</v>
      </c>
      <c r="F631" s="1">
        <v>45347</v>
      </c>
      <c r="G631" s="1">
        <v>45516</v>
      </c>
      <c r="H631">
        <v>2</v>
      </c>
      <c r="I631" t="s">
        <v>50</v>
      </c>
      <c r="J631" t="s">
        <v>43</v>
      </c>
      <c r="K631">
        <v>3</v>
      </c>
      <c r="L631">
        <v>3</v>
      </c>
      <c r="M631">
        <v>1</v>
      </c>
      <c r="N631">
        <v>1</v>
      </c>
      <c r="O631">
        <v>3</v>
      </c>
      <c r="P631">
        <v>5</v>
      </c>
      <c r="Q631">
        <v>4</v>
      </c>
      <c r="R631">
        <v>4</v>
      </c>
      <c r="S631">
        <v>2</v>
      </c>
      <c r="T631">
        <v>1</v>
      </c>
      <c r="U631" t="s">
        <v>37</v>
      </c>
      <c r="V631" t="s">
        <v>46</v>
      </c>
      <c r="W631" t="s">
        <v>32</v>
      </c>
      <c r="X631" t="s">
        <v>33</v>
      </c>
      <c r="Y631">
        <v>61</v>
      </c>
      <c r="Z631" s="1">
        <v>45516</v>
      </c>
      <c r="AA631" t="str" cm="1">
        <f t="array" ref="AA631">_xlfn.IFS(AND(Table2[[#This Row],[Guest_Age]]&gt;=18,Table2[[#This Row],[Guest_Age]]&lt;=25),"Young Adults",AND(Table2[[#This Row],[Guest_Age]]&gt;=26,Table2[[#This Row],[Guest_Age]]&lt;=35),"Adults",AND(Table2[[#This Row],[Guest_Age]]&gt;=36,Table2[[#This Row],[Guest_Age]]&lt;=50),"Middle Aged Adults",Table2[[#This Row],[Guest_Age]]&gt;50,"Senior")</f>
        <v>Senior</v>
      </c>
      <c r="AB6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31" t="str" cm="1">
        <f t="array" ref="AC631">_xlfn.IFS(Table2[[#This Row],[Satification_points]]&gt;=4.5,"GREAT",AND(Table2[[#This Row],[Satification_points]]&gt;=4,Table2[[#This Row],[Satification_points]]&lt;4.5),"GOOD",AND(Table2[[#This Row],[Satification_points]]&gt;=3,Table2[[#This Row],[Satification_points]]&lt;4),"AVERAGE",Table2[[#This Row],[Satification_points]]&lt;3,"POOR")</f>
        <v>POOR</v>
      </c>
    </row>
    <row r="632" spans="1:29" x14ac:dyDescent="0.3">
      <c r="A632">
        <v>631</v>
      </c>
      <c r="B632">
        <v>10817</v>
      </c>
      <c r="C632" t="s">
        <v>685</v>
      </c>
      <c r="D632" t="s">
        <v>34</v>
      </c>
      <c r="E632" t="s">
        <v>45</v>
      </c>
      <c r="F632" s="1">
        <v>45632</v>
      </c>
      <c r="G632" s="1">
        <v>45633</v>
      </c>
      <c r="H632">
        <v>10</v>
      </c>
      <c r="I632" t="s">
        <v>42</v>
      </c>
      <c r="J632" t="s">
        <v>29</v>
      </c>
      <c r="K632">
        <v>3</v>
      </c>
      <c r="L632">
        <v>2</v>
      </c>
      <c r="M632">
        <v>4</v>
      </c>
      <c r="N632">
        <v>1</v>
      </c>
      <c r="O632">
        <v>1</v>
      </c>
      <c r="P632">
        <v>3</v>
      </c>
      <c r="Q632">
        <v>4</v>
      </c>
      <c r="R632">
        <v>2</v>
      </c>
      <c r="S632">
        <v>3</v>
      </c>
      <c r="T632">
        <v>5</v>
      </c>
      <c r="U632" t="s">
        <v>37</v>
      </c>
      <c r="V632" t="s">
        <v>31</v>
      </c>
      <c r="W632" t="s">
        <v>39</v>
      </c>
      <c r="X632" t="s">
        <v>40</v>
      </c>
      <c r="Y632">
        <v>28</v>
      </c>
      <c r="Z632" s="1">
        <v>45633</v>
      </c>
      <c r="AA632" t="str" cm="1">
        <f t="array" ref="AA632">_xlfn.IFS(AND(Table2[[#This Row],[Guest_Age]]&gt;=18,Table2[[#This Row],[Guest_Age]]&lt;=25),"Young Adults",AND(Table2[[#This Row],[Guest_Age]]&gt;=26,Table2[[#This Row],[Guest_Age]]&lt;=35),"Adults",AND(Table2[[#This Row],[Guest_Age]]&gt;=36,Table2[[#This Row],[Guest_Age]]&lt;=50),"Middle Aged Adults",Table2[[#This Row],[Guest_Age]]&gt;50,"Senior")</f>
        <v>Adults</v>
      </c>
      <c r="AB6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32" t="str" cm="1">
        <f t="array" ref="AC632">_xlfn.IFS(Table2[[#This Row],[Satification_points]]&gt;=4.5,"GREAT",AND(Table2[[#This Row],[Satification_points]]&gt;=4,Table2[[#This Row],[Satification_points]]&lt;4.5),"GOOD",AND(Table2[[#This Row],[Satification_points]]&gt;=3,Table2[[#This Row],[Satification_points]]&lt;4),"AVERAGE",Table2[[#This Row],[Satification_points]]&lt;3,"POOR")</f>
        <v>POOR</v>
      </c>
    </row>
    <row r="633" spans="1:29" x14ac:dyDescent="0.3">
      <c r="A633">
        <v>632</v>
      </c>
      <c r="B633">
        <v>12146</v>
      </c>
      <c r="C633" t="s">
        <v>686</v>
      </c>
      <c r="D633" t="s">
        <v>51</v>
      </c>
      <c r="E633" t="s">
        <v>27</v>
      </c>
      <c r="F633" s="1">
        <v>45194</v>
      </c>
      <c r="G633" s="1">
        <v>45338</v>
      </c>
      <c r="H633">
        <v>11</v>
      </c>
      <c r="I633" t="s">
        <v>42</v>
      </c>
      <c r="J633" t="s">
        <v>43</v>
      </c>
      <c r="K633">
        <v>1</v>
      </c>
      <c r="L633">
        <v>1</v>
      </c>
      <c r="M633">
        <v>4</v>
      </c>
      <c r="N633">
        <v>5</v>
      </c>
      <c r="O633">
        <v>4</v>
      </c>
      <c r="P633">
        <v>3</v>
      </c>
      <c r="Q633">
        <v>2</v>
      </c>
      <c r="R633">
        <v>2</v>
      </c>
      <c r="S633">
        <v>1</v>
      </c>
      <c r="T633">
        <v>4</v>
      </c>
      <c r="U633" t="s">
        <v>37</v>
      </c>
      <c r="V633" t="s">
        <v>58</v>
      </c>
      <c r="W633" t="s">
        <v>32</v>
      </c>
      <c r="X633" t="s">
        <v>33</v>
      </c>
      <c r="Y633">
        <v>36</v>
      </c>
      <c r="Z633" s="1">
        <v>45338</v>
      </c>
      <c r="AA633" t="str" cm="1">
        <f t="array" ref="AA6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6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33" t="str" cm="1">
        <f t="array" ref="AC633">_xlfn.IFS(Table2[[#This Row],[Satification_points]]&gt;=4.5,"GREAT",AND(Table2[[#This Row],[Satification_points]]&gt;=4,Table2[[#This Row],[Satification_points]]&lt;4.5),"GOOD",AND(Table2[[#This Row],[Satification_points]]&gt;=3,Table2[[#This Row],[Satification_points]]&lt;4),"AVERAGE",Table2[[#This Row],[Satification_points]]&lt;3,"POOR")</f>
        <v>POOR</v>
      </c>
    </row>
    <row r="634" spans="1:29" x14ac:dyDescent="0.3">
      <c r="A634">
        <v>633</v>
      </c>
      <c r="B634">
        <v>99694</v>
      </c>
      <c r="C634" t="s">
        <v>687</v>
      </c>
      <c r="D634" t="s">
        <v>41</v>
      </c>
      <c r="E634" t="s">
        <v>52</v>
      </c>
      <c r="F634" s="1">
        <v>44964</v>
      </c>
      <c r="G634" s="1">
        <v>45454</v>
      </c>
      <c r="H634">
        <v>5</v>
      </c>
      <c r="I634" t="s">
        <v>28</v>
      </c>
      <c r="J634" t="s">
        <v>36</v>
      </c>
      <c r="K634">
        <v>3</v>
      </c>
      <c r="L634">
        <v>2</v>
      </c>
      <c r="M634">
        <v>5</v>
      </c>
      <c r="N634">
        <v>5</v>
      </c>
      <c r="O634">
        <v>4</v>
      </c>
      <c r="P634">
        <v>4</v>
      </c>
      <c r="Q634">
        <v>3</v>
      </c>
      <c r="R634">
        <v>2</v>
      </c>
      <c r="S634">
        <v>1</v>
      </c>
      <c r="T634">
        <v>3</v>
      </c>
      <c r="U634" t="s">
        <v>30</v>
      </c>
      <c r="V634" t="s">
        <v>54</v>
      </c>
      <c r="W634" t="s">
        <v>55</v>
      </c>
      <c r="X634" t="s">
        <v>44</v>
      </c>
      <c r="Y634">
        <v>26</v>
      </c>
      <c r="Z634" s="1">
        <v>45476</v>
      </c>
      <c r="AA634" t="str" cm="1">
        <f t="array" ref="AA634">_xlfn.IFS(AND(Table2[[#This Row],[Guest_Age]]&gt;=18,Table2[[#This Row],[Guest_Age]]&lt;=25),"Young Adults",AND(Table2[[#This Row],[Guest_Age]]&gt;=26,Table2[[#This Row],[Guest_Age]]&lt;=35),"Adults",AND(Table2[[#This Row],[Guest_Age]]&gt;=36,Table2[[#This Row],[Guest_Age]]&lt;=50),"Middle Aged Adults",Table2[[#This Row],[Guest_Age]]&gt;50,"Senior")</f>
        <v>Adults</v>
      </c>
      <c r="AB6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34" t="str" cm="1">
        <f t="array" ref="AC634">_xlfn.IFS(Table2[[#This Row],[Satification_points]]&gt;=4.5,"GREAT",AND(Table2[[#This Row],[Satification_points]]&gt;=4,Table2[[#This Row],[Satification_points]]&lt;4.5),"GOOD",AND(Table2[[#This Row],[Satification_points]]&gt;=3,Table2[[#This Row],[Satification_points]]&lt;4),"AVERAGE",Table2[[#This Row],[Satification_points]]&lt;3,"POOR")</f>
        <v>AVERAGE</v>
      </c>
    </row>
    <row r="635" spans="1:29" x14ac:dyDescent="0.3">
      <c r="A635">
        <v>634</v>
      </c>
      <c r="B635">
        <v>33480</v>
      </c>
      <c r="C635" t="s">
        <v>688</v>
      </c>
      <c r="D635" t="s">
        <v>48</v>
      </c>
      <c r="E635" t="s">
        <v>35</v>
      </c>
      <c r="F635" s="1">
        <v>45229</v>
      </c>
      <c r="G635" s="1">
        <v>45310</v>
      </c>
      <c r="H635">
        <v>11</v>
      </c>
      <c r="I635" t="s">
        <v>50</v>
      </c>
      <c r="J635" t="s">
        <v>40</v>
      </c>
      <c r="K635">
        <v>3</v>
      </c>
      <c r="L635">
        <v>1</v>
      </c>
      <c r="M635">
        <v>5</v>
      </c>
      <c r="N635">
        <v>2</v>
      </c>
      <c r="O635">
        <v>1</v>
      </c>
      <c r="P635">
        <v>4</v>
      </c>
      <c r="Q635">
        <v>2</v>
      </c>
      <c r="R635">
        <v>4</v>
      </c>
      <c r="S635">
        <v>1</v>
      </c>
      <c r="T635">
        <v>2</v>
      </c>
      <c r="U635" t="s">
        <v>37</v>
      </c>
      <c r="V635" t="s">
        <v>38</v>
      </c>
      <c r="W635" t="s">
        <v>32</v>
      </c>
      <c r="X635" t="s">
        <v>40</v>
      </c>
      <c r="Y635">
        <v>54</v>
      </c>
      <c r="Z635" s="1">
        <v>45310</v>
      </c>
      <c r="AA635" t="str" cm="1">
        <f t="array" ref="AA635">_xlfn.IFS(AND(Table2[[#This Row],[Guest_Age]]&gt;=18,Table2[[#This Row],[Guest_Age]]&lt;=25),"Young Adults",AND(Table2[[#This Row],[Guest_Age]]&gt;=26,Table2[[#This Row],[Guest_Age]]&lt;=35),"Adults",AND(Table2[[#This Row],[Guest_Age]]&gt;=36,Table2[[#This Row],[Guest_Age]]&lt;=50),"Middle Aged Adults",Table2[[#This Row],[Guest_Age]]&gt;50,"Senior")</f>
        <v>Senior</v>
      </c>
      <c r="AB6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35" t="str" cm="1">
        <f t="array" ref="AC635">_xlfn.IFS(Table2[[#This Row],[Satification_points]]&gt;=4.5,"GREAT",AND(Table2[[#This Row],[Satification_points]]&gt;=4,Table2[[#This Row],[Satification_points]]&lt;4.5),"GOOD",AND(Table2[[#This Row],[Satification_points]]&gt;=3,Table2[[#This Row],[Satification_points]]&lt;4),"AVERAGE",Table2[[#This Row],[Satification_points]]&lt;3,"POOR")</f>
        <v>POOR</v>
      </c>
    </row>
    <row r="636" spans="1:29" x14ac:dyDescent="0.3">
      <c r="A636">
        <v>635</v>
      </c>
      <c r="B636">
        <v>42146</v>
      </c>
      <c r="C636" t="s">
        <v>689</v>
      </c>
      <c r="D636" t="s">
        <v>48</v>
      </c>
      <c r="E636" t="s">
        <v>45</v>
      </c>
      <c r="F636" s="1">
        <v>45264</v>
      </c>
      <c r="G636" s="1">
        <v>45392</v>
      </c>
      <c r="H636">
        <v>14</v>
      </c>
      <c r="I636" t="s">
        <v>49</v>
      </c>
      <c r="J636" t="s">
        <v>43</v>
      </c>
      <c r="K636">
        <v>2</v>
      </c>
      <c r="L636">
        <v>1</v>
      </c>
      <c r="M636">
        <v>4</v>
      </c>
      <c r="N636">
        <v>4</v>
      </c>
      <c r="O636">
        <v>3</v>
      </c>
      <c r="P636">
        <v>2</v>
      </c>
      <c r="Q636">
        <v>2</v>
      </c>
      <c r="R636">
        <v>3</v>
      </c>
      <c r="S636">
        <v>1</v>
      </c>
      <c r="T636">
        <v>1</v>
      </c>
      <c r="U636" t="s">
        <v>37</v>
      </c>
      <c r="V636" t="s">
        <v>46</v>
      </c>
      <c r="W636" t="s">
        <v>39</v>
      </c>
      <c r="X636" t="s">
        <v>44</v>
      </c>
      <c r="Y636">
        <v>27</v>
      </c>
      <c r="Z636" s="1">
        <v>45489</v>
      </c>
      <c r="AA636" t="str" cm="1">
        <f t="array" ref="AA636">_xlfn.IFS(AND(Table2[[#This Row],[Guest_Age]]&gt;=18,Table2[[#This Row],[Guest_Age]]&lt;=25),"Young Adults",AND(Table2[[#This Row],[Guest_Age]]&gt;=26,Table2[[#This Row],[Guest_Age]]&lt;=35),"Adults",AND(Table2[[#This Row],[Guest_Age]]&gt;=36,Table2[[#This Row],[Guest_Age]]&lt;=50),"Middle Aged Adults",Table2[[#This Row],[Guest_Age]]&gt;50,"Senior")</f>
        <v>Adults</v>
      </c>
      <c r="AB6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636" t="str" cm="1">
        <f t="array" ref="AC636">_xlfn.IFS(Table2[[#This Row],[Satification_points]]&gt;=4.5,"GREAT",AND(Table2[[#This Row],[Satification_points]]&gt;=4,Table2[[#This Row],[Satification_points]]&lt;4.5),"GOOD",AND(Table2[[#This Row],[Satification_points]]&gt;=3,Table2[[#This Row],[Satification_points]]&lt;4),"AVERAGE",Table2[[#This Row],[Satification_points]]&lt;3,"POOR")</f>
        <v>POOR</v>
      </c>
    </row>
    <row r="637" spans="1:29" x14ac:dyDescent="0.3">
      <c r="A637">
        <v>636</v>
      </c>
      <c r="B637">
        <v>42612</v>
      </c>
      <c r="C637" t="s">
        <v>690</v>
      </c>
      <c r="D637" t="s">
        <v>26</v>
      </c>
      <c r="E637" t="s">
        <v>35</v>
      </c>
      <c r="F637" s="1">
        <v>45256</v>
      </c>
      <c r="G637" s="1">
        <v>45320</v>
      </c>
      <c r="H637">
        <v>5</v>
      </c>
      <c r="I637" t="s">
        <v>49</v>
      </c>
      <c r="J637" t="s">
        <v>36</v>
      </c>
      <c r="K637">
        <v>4</v>
      </c>
      <c r="L637">
        <v>3</v>
      </c>
      <c r="M637">
        <v>1</v>
      </c>
      <c r="N637">
        <v>4</v>
      </c>
      <c r="O637">
        <v>1</v>
      </c>
      <c r="P637">
        <v>1</v>
      </c>
      <c r="Q637">
        <v>4</v>
      </c>
      <c r="R637">
        <v>2</v>
      </c>
      <c r="S637">
        <v>2</v>
      </c>
      <c r="T637">
        <v>2</v>
      </c>
      <c r="U637" t="s">
        <v>30</v>
      </c>
      <c r="V637" t="s">
        <v>31</v>
      </c>
      <c r="W637" t="s">
        <v>39</v>
      </c>
      <c r="X637" t="s">
        <v>40</v>
      </c>
      <c r="Y637">
        <v>26</v>
      </c>
      <c r="Z637" s="1">
        <v>45328</v>
      </c>
      <c r="AA637" t="str" cm="1">
        <f t="array" ref="AA637">_xlfn.IFS(AND(Table2[[#This Row],[Guest_Age]]&gt;=18,Table2[[#This Row],[Guest_Age]]&lt;=25),"Young Adults",AND(Table2[[#This Row],[Guest_Age]]&gt;=26,Table2[[#This Row],[Guest_Age]]&lt;=35),"Adults",AND(Table2[[#This Row],[Guest_Age]]&gt;=36,Table2[[#This Row],[Guest_Age]]&lt;=50),"Middle Aged Adults",Table2[[#This Row],[Guest_Age]]&gt;50,"Senior")</f>
        <v>Adults</v>
      </c>
      <c r="AB6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37" t="str" cm="1">
        <f t="array" ref="AC637">_xlfn.IFS(Table2[[#This Row],[Satification_points]]&gt;=4.5,"GREAT",AND(Table2[[#This Row],[Satification_points]]&gt;=4,Table2[[#This Row],[Satification_points]]&lt;4.5),"GOOD",AND(Table2[[#This Row],[Satification_points]]&gt;=3,Table2[[#This Row],[Satification_points]]&lt;4),"AVERAGE",Table2[[#This Row],[Satification_points]]&lt;3,"POOR")</f>
        <v>POOR</v>
      </c>
    </row>
    <row r="638" spans="1:29" x14ac:dyDescent="0.3">
      <c r="A638">
        <v>637</v>
      </c>
      <c r="B638">
        <v>97875</v>
      </c>
      <c r="C638" t="s">
        <v>691</v>
      </c>
      <c r="D638" t="s">
        <v>51</v>
      </c>
      <c r="E638" t="s">
        <v>57</v>
      </c>
      <c r="F638" s="1">
        <v>45125</v>
      </c>
      <c r="G638" s="1">
        <v>45498</v>
      </c>
      <c r="H638">
        <v>1</v>
      </c>
      <c r="I638" t="s">
        <v>50</v>
      </c>
      <c r="J638" t="s">
        <v>29</v>
      </c>
      <c r="K638">
        <v>4</v>
      </c>
      <c r="L638">
        <v>3</v>
      </c>
      <c r="M638">
        <v>4</v>
      </c>
      <c r="N638">
        <v>2</v>
      </c>
      <c r="O638">
        <v>3</v>
      </c>
      <c r="P638">
        <v>2</v>
      </c>
      <c r="Q638">
        <v>3</v>
      </c>
      <c r="R638">
        <v>3</v>
      </c>
      <c r="S638">
        <v>2</v>
      </c>
      <c r="T638">
        <v>2</v>
      </c>
      <c r="U638" t="s">
        <v>30</v>
      </c>
      <c r="V638" t="s">
        <v>38</v>
      </c>
      <c r="W638" t="s">
        <v>55</v>
      </c>
      <c r="X638" t="s">
        <v>44</v>
      </c>
      <c r="Y638">
        <v>50</v>
      </c>
      <c r="Z638" s="1">
        <v>45498</v>
      </c>
      <c r="AA638" t="str" cm="1">
        <f t="array" ref="AA6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6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38" t="str" cm="1">
        <f t="array" ref="AC638">_xlfn.IFS(Table2[[#This Row],[Satification_points]]&gt;=4.5,"GREAT",AND(Table2[[#This Row],[Satification_points]]&gt;=4,Table2[[#This Row],[Satification_points]]&lt;4.5),"GOOD",AND(Table2[[#This Row],[Satification_points]]&gt;=3,Table2[[#This Row],[Satification_points]]&lt;4),"AVERAGE",Table2[[#This Row],[Satification_points]]&lt;3,"POOR")</f>
        <v>POOR</v>
      </c>
    </row>
    <row r="639" spans="1:29" x14ac:dyDescent="0.3">
      <c r="A639">
        <v>638</v>
      </c>
      <c r="B639">
        <v>96639</v>
      </c>
      <c r="C639" t="s">
        <v>692</v>
      </c>
      <c r="D639" t="s">
        <v>41</v>
      </c>
      <c r="E639" t="s">
        <v>57</v>
      </c>
      <c r="F639" s="1">
        <v>44931</v>
      </c>
      <c r="G639" s="1">
        <v>45078</v>
      </c>
      <c r="H639">
        <v>1</v>
      </c>
      <c r="I639" t="s">
        <v>42</v>
      </c>
      <c r="J639" t="s">
        <v>40</v>
      </c>
      <c r="K639">
        <v>3</v>
      </c>
      <c r="L639">
        <v>5</v>
      </c>
      <c r="M639">
        <v>1</v>
      </c>
      <c r="N639">
        <v>5</v>
      </c>
      <c r="O639">
        <v>2</v>
      </c>
      <c r="P639">
        <v>1</v>
      </c>
      <c r="Q639">
        <v>5</v>
      </c>
      <c r="R639">
        <v>3</v>
      </c>
      <c r="S639">
        <v>1</v>
      </c>
      <c r="T639">
        <v>4</v>
      </c>
      <c r="U639" t="s">
        <v>37</v>
      </c>
      <c r="V639" t="s">
        <v>58</v>
      </c>
      <c r="W639" t="s">
        <v>56</v>
      </c>
      <c r="X639" t="s">
        <v>33</v>
      </c>
      <c r="Y639">
        <v>30</v>
      </c>
      <c r="Z639" s="1">
        <v>45592</v>
      </c>
      <c r="AA639" t="str" cm="1">
        <f t="array" ref="AA639">_xlfn.IFS(AND(Table2[[#This Row],[Guest_Age]]&gt;=18,Table2[[#This Row],[Guest_Age]]&lt;=25),"Young Adults",AND(Table2[[#This Row],[Guest_Age]]&gt;=26,Table2[[#This Row],[Guest_Age]]&lt;=35),"Adults",AND(Table2[[#This Row],[Guest_Age]]&gt;=36,Table2[[#This Row],[Guest_Age]]&lt;=50),"Middle Aged Adults",Table2[[#This Row],[Guest_Age]]&gt;50,"Senior")</f>
        <v>Adults</v>
      </c>
      <c r="AB6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39" t="str" cm="1">
        <f t="array" ref="AC639">_xlfn.IFS(Table2[[#This Row],[Satification_points]]&gt;=4.5,"GREAT",AND(Table2[[#This Row],[Satification_points]]&gt;=4,Table2[[#This Row],[Satification_points]]&lt;4.5),"GOOD",AND(Table2[[#This Row],[Satification_points]]&gt;=3,Table2[[#This Row],[Satification_points]]&lt;4),"AVERAGE",Table2[[#This Row],[Satification_points]]&lt;3,"POOR")</f>
        <v>AVERAGE</v>
      </c>
    </row>
    <row r="640" spans="1:29" x14ac:dyDescent="0.3">
      <c r="A640">
        <v>639</v>
      </c>
      <c r="B640">
        <v>34234</v>
      </c>
      <c r="C640" t="s">
        <v>693</v>
      </c>
      <c r="D640" t="s">
        <v>34</v>
      </c>
      <c r="E640" t="s">
        <v>52</v>
      </c>
      <c r="F640" s="1">
        <v>45358</v>
      </c>
      <c r="G640" s="1">
        <v>45547</v>
      </c>
      <c r="H640">
        <v>9</v>
      </c>
      <c r="I640" t="s">
        <v>49</v>
      </c>
      <c r="J640" t="s">
        <v>43</v>
      </c>
      <c r="K640">
        <v>4</v>
      </c>
      <c r="L640">
        <v>1</v>
      </c>
      <c r="M640">
        <v>4</v>
      </c>
      <c r="N640">
        <v>2</v>
      </c>
      <c r="O640">
        <v>3</v>
      </c>
      <c r="P640">
        <v>5</v>
      </c>
      <c r="Q640">
        <v>1</v>
      </c>
      <c r="R640">
        <v>1</v>
      </c>
      <c r="S640">
        <v>2</v>
      </c>
      <c r="T640">
        <v>2</v>
      </c>
      <c r="U640" t="s">
        <v>30</v>
      </c>
      <c r="V640" t="s">
        <v>38</v>
      </c>
      <c r="W640" t="s">
        <v>47</v>
      </c>
      <c r="X640" t="s">
        <v>33</v>
      </c>
      <c r="Y640">
        <v>37</v>
      </c>
      <c r="Z640" s="1">
        <v>45547</v>
      </c>
      <c r="AA640" t="str" cm="1">
        <f t="array" ref="AA6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6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40" t="str" cm="1">
        <f t="array" ref="AC640">_xlfn.IFS(Table2[[#This Row],[Satification_points]]&gt;=4.5,"GREAT",AND(Table2[[#This Row],[Satification_points]]&gt;=4,Table2[[#This Row],[Satification_points]]&lt;4.5),"GOOD",AND(Table2[[#This Row],[Satification_points]]&gt;=3,Table2[[#This Row],[Satification_points]]&lt;4),"AVERAGE",Table2[[#This Row],[Satification_points]]&lt;3,"POOR")</f>
        <v>POOR</v>
      </c>
    </row>
    <row r="641" spans="1:29" x14ac:dyDescent="0.3">
      <c r="A641">
        <v>640</v>
      </c>
      <c r="B641">
        <v>14958</v>
      </c>
      <c r="C641" t="s">
        <v>694</v>
      </c>
      <c r="D641" t="s">
        <v>34</v>
      </c>
      <c r="E641" t="s">
        <v>57</v>
      </c>
      <c r="F641" s="1">
        <v>45297</v>
      </c>
      <c r="G641" s="1">
        <v>45298</v>
      </c>
      <c r="H641">
        <v>14</v>
      </c>
      <c r="I641" t="s">
        <v>50</v>
      </c>
      <c r="J641" t="s">
        <v>43</v>
      </c>
      <c r="K641">
        <v>3</v>
      </c>
      <c r="L641">
        <v>1</v>
      </c>
      <c r="M641">
        <v>3</v>
      </c>
      <c r="N641">
        <v>5</v>
      </c>
      <c r="O641">
        <v>1</v>
      </c>
      <c r="P641">
        <v>3</v>
      </c>
      <c r="Q641">
        <v>2</v>
      </c>
      <c r="R641">
        <v>5</v>
      </c>
      <c r="S641">
        <v>2</v>
      </c>
      <c r="T641">
        <v>3</v>
      </c>
      <c r="U641" t="s">
        <v>37</v>
      </c>
      <c r="V641" t="s">
        <v>46</v>
      </c>
      <c r="W641" t="s">
        <v>56</v>
      </c>
      <c r="X641" t="s">
        <v>40</v>
      </c>
      <c r="Y641">
        <v>61</v>
      </c>
      <c r="Z641" s="1">
        <v>45405</v>
      </c>
      <c r="AA641" t="str" cm="1">
        <f t="array" ref="AA641">_xlfn.IFS(AND(Table2[[#This Row],[Guest_Age]]&gt;=18,Table2[[#This Row],[Guest_Age]]&lt;=25),"Young Adults",AND(Table2[[#This Row],[Guest_Age]]&gt;=26,Table2[[#This Row],[Guest_Age]]&lt;=35),"Adults",AND(Table2[[#This Row],[Guest_Age]]&gt;=36,Table2[[#This Row],[Guest_Age]]&lt;=50),"Middle Aged Adults",Table2[[#This Row],[Guest_Age]]&gt;50,"Senior")</f>
        <v>Senior</v>
      </c>
      <c r="AB6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41" t="str" cm="1">
        <f t="array" ref="AC641">_xlfn.IFS(Table2[[#This Row],[Satification_points]]&gt;=4.5,"GREAT",AND(Table2[[#This Row],[Satification_points]]&gt;=4,Table2[[#This Row],[Satification_points]]&lt;4.5),"GOOD",AND(Table2[[#This Row],[Satification_points]]&gt;=3,Table2[[#This Row],[Satification_points]]&lt;4),"AVERAGE",Table2[[#This Row],[Satification_points]]&lt;3,"POOR")</f>
        <v>POOR</v>
      </c>
    </row>
    <row r="642" spans="1:29" x14ac:dyDescent="0.3">
      <c r="A642">
        <v>641</v>
      </c>
      <c r="B642">
        <v>65412</v>
      </c>
      <c r="C642" t="s">
        <v>695</v>
      </c>
      <c r="D642" t="s">
        <v>41</v>
      </c>
      <c r="E642" t="s">
        <v>45</v>
      </c>
      <c r="F642" s="1">
        <v>45029</v>
      </c>
      <c r="G642" s="1">
        <v>45034</v>
      </c>
      <c r="H642">
        <v>7</v>
      </c>
      <c r="I642" t="s">
        <v>49</v>
      </c>
      <c r="J642" t="s">
        <v>40</v>
      </c>
      <c r="K642">
        <v>3</v>
      </c>
      <c r="L642">
        <v>1</v>
      </c>
      <c r="M642">
        <v>1</v>
      </c>
      <c r="N642">
        <v>1</v>
      </c>
      <c r="O642">
        <v>1</v>
      </c>
      <c r="P642">
        <v>2</v>
      </c>
      <c r="Q642">
        <v>3</v>
      </c>
      <c r="R642">
        <v>4</v>
      </c>
      <c r="S642">
        <v>4</v>
      </c>
      <c r="T642">
        <v>4</v>
      </c>
      <c r="U642" t="s">
        <v>37</v>
      </c>
      <c r="V642" t="s">
        <v>54</v>
      </c>
      <c r="W642" t="s">
        <v>47</v>
      </c>
      <c r="X642" t="s">
        <v>40</v>
      </c>
      <c r="Y642">
        <v>28</v>
      </c>
      <c r="Z642" s="1">
        <v>45136</v>
      </c>
      <c r="AA642" t="str" cm="1">
        <f t="array" ref="AA642">_xlfn.IFS(AND(Table2[[#This Row],[Guest_Age]]&gt;=18,Table2[[#This Row],[Guest_Age]]&lt;=25),"Young Adults",AND(Table2[[#This Row],[Guest_Age]]&gt;=26,Table2[[#This Row],[Guest_Age]]&lt;=35),"Adults",AND(Table2[[#This Row],[Guest_Age]]&gt;=36,Table2[[#This Row],[Guest_Age]]&lt;=50),"Middle Aged Adults",Table2[[#This Row],[Guest_Age]]&gt;50,"Senior")</f>
        <v>Adults</v>
      </c>
      <c r="AB6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42" t="str" cm="1">
        <f t="array" ref="AC642">_xlfn.IFS(Table2[[#This Row],[Satification_points]]&gt;=4.5,"GREAT",AND(Table2[[#This Row],[Satification_points]]&gt;=4,Table2[[#This Row],[Satification_points]]&lt;4.5),"GOOD",AND(Table2[[#This Row],[Satification_points]]&gt;=3,Table2[[#This Row],[Satification_points]]&lt;4),"AVERAGE",Table2[[#This Row],[Satification_points]]&lt;3,"POOR")</f>
        <v>POOR</v>
      </c>
    </row>
    <row r="643" spans="1:29" x14ac:dyDescent="0.3">
      <c r="A643">
        <v>642</v>
      </c>
      <c r="B643">
        <v>26825</v>
      </c>
      <c r="C643" t="s">
        <v>696</v>
      </c>
      <c r="D643" t="s">
        <v>51</v>
      </c>
      <c r="E643" t="s">
        <v>52</v>
      </c>
      <c r="F643" s="1">
        <v>45361</v>
      </c>
      <c r="G643" s="1">
        <v>45362</v>
      </c>
      <c r="H643">
        <v>8</v>
      </c>
      <c r="I643" t="s">
        <v>50</v>
      </c>
      <c r="J643" t="s">
        <v>43</v>
      </c>
      <c r="K643">
        <v>1</v>
      </c>
      <c r="L643">
        <v>5</v>
      </c>
      <c r="M643">
        <v>2</v>
      </c>
      <c r="N643">
        <v>2</v>
      </c>
      <c r="O643">
        <v>2</v>
      </c>
      <c r="P643">
        <v>1</v>
      </c>
      <c r="Q643">
        <v>1</v>
      </c>
      <c r="R643">
        <v>5</v>
      </c>
      <c r="S643">
        <v>3</v>
      </c>
      <c r="T643">
        <v>1</v>
      </c>
      <c r="U643" t="s">
        <v>37</v>
      </c>
      <c r="V643" t="s">
        <v>58</v>
      </c>
      <c r="W643" t="s">
        <v>55</v>
      </c>
      <c r="X643" t="s">
        <v>44</v>
      </c>
      <c r="Y643">
        <v>58</v>
      </c>
      <c r="Z643" s="1">
        <v>45390</v>
      </c>
      <c r="AA643" t="str" cm="1">
        <f t="array" ref="AA643">_xlfn.IFS(AND(Table2[[#This Row],[Guest_Age]]&gt;=18,Table2[[#This Row],[Guest_Age]]&lt;=25),"Young Adults",AND(Table2[[#This Row],[Guest_Age]]&gt;=26,Table2[[#This Row],[Guest_Age]]&lt;=35),"Adults",AND(Table2[[#This Row],[Guest_Age]]&gt;=36,Table2[[#This Row],[Guest_Age]]&lt;=50),"Middle Aged Adults",Table2[[#This Row],[Guest_Age]]&gt;50,"Senior")</f>
        <v>Senior</v>
      </c>
      <c r="AB6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643" t="str" cm="1">
        <f t="array" ref="AC643">_xlfn.IFS(Table2[[#This Row],[Satification_points]]&gt;=4.5,"GREAT",AND(Table2[[#This Row],[Satification_points]]&gt;=4,Table2[[#This Row],[Satification_points]]&lt;4.5),"GOOD",AND(Table2[[#This Row],[Satification_points]]&gt;=3,Table2[[#This Row],[Satification_points]]&lt;4),"AVERAGE",Table2[[#This Row],[Satification_points]]&lt;3,"POOR")</f>
        <v>POOR</v>
      </c>
    </row>
    <row r="644" spans="1:29" x14ac:dyDescent="0.3">
      <c r="A644">
        <v>643</v>
      </c>
      <c r="B644">
        <v>67036</v>
      </c>
      <c r="C644" t="s">
        <v>697</v>
      </c>
      <c r="D644" t="s">
        <v>51</v>
      </c>
      <c r="E644" t="s">
        <v>52</v>
      </c>
      <c r="F644" s="1">
        <v>45576</v>
      </c>
      <c r="G644" s="1">
        <v>45577</v>
      </c>
      <c r="H644">
        <v>12</v>
      </c>
      <c r="I644" t="s">
        <v>49</v>
      </c>
      <c r="J644" t="s">
        <v>40</v>
      </c>
      <c r="K644">
        <v>5</v>
      </c>
      <c r="L644">
        <v>4</v>
      </c>
      <c r="M644">
        <v>2</v>
      </c>
      <c r="N644">
        <v>3</v>
      </c>
      <c r="O644">
        <v>1</v>
      </c>
      <c r="P644">
        <v>5</v>
      </c>
      <c r="Q644">
        <v>1</v>
      </c>
      <c r="R644">
        <v>4</v>
      </c>
      <c r="S644">
        <v>4</v>
      </c>
      <c r="T644">
        <v>2</v>
      </c>
      <c r="U644" t="s">
        <v>37</v>
      </c>
      <c r="V644" t="s">
        <v>46</v>
      </c>
      <c r="W644" t="s">
        <v>55</v>
      </c>
      <c r="X644" t="s">
        <v>33</v>
      </c>
      <c r="Y644">
        <v>46</v>
      </c>
      <c r="Z644" s="1">
        <v>45577</v>
      </c>
      <c r="AA644" t="str" cm="1">
        <f t="array" ref="AA6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6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44" t="str" cm="1">
        <f t="array" ref="AC644">_xlfn.IFS(Table2[[#This Row],[Satification_points]]&gt;=4.5,"GREAT",AND(Table2[[#This Row],[Satification_points]]&gt;=4,Table2[[#This Row],[Satification_points]]&lt;4.5),"GOOD",AND(Table2[[#This Row],[Satification_points]]&gt;=3,Table2[[#This Row],[Satification_points]]&lt;4),"AVERAGE",Table2[[#This Row],[Satification_points]]&lt;3,"POOR")</f>
        <v>AVERAGE</v>
      </c>
    </row>
    <row r="645" spans="1:29" x14ac:dyDescent="0.3">
      <c r="A645">
        <v>644</v>
      </c>
      <c r="B645">
        <v>69006</v>
      </c>
      <c r="C645" t="s">
        <v>698</v>
      </c>
      <c r="D645" t="s">
        <v>34</v>
      </c>
      <c r="E645" t="s">
        <v>45</v>
      </c>
      <c r="F645" s="1">
        <v>45307</v>
      </c>
      <c r="G645" s="1">
        <v>45308</v>
      </c>
      <c r="H645">
        <v>13</v>
      </c>
      <c r="I645" t="s">
        <v>28</v>
      </c>
      <c r="J645" t="s">
        <v>36</v>
      </c>
      <c r="K645">
        <v>4</v>
      </c>
      <c r="L645">
        <v>3</v>
      </c>
      <c r="M645">
        <v>5</v>
      </c>
      <c r="N645">
        <v>5</v>
      </c>
      <c r="O645">
        <v>5</v>
      </c>
      <c r="P645">
        <v>2</v>
      </c>
      <c r="Q645">
        <v>5</v>
      </c>
      <c r="R645">
        <v>3</v>
      </c>
      <c r="S645">
        <v>5</v>
      </c>
      <c r="T645">
        <v>2</v>
      </c>
      <c r="U645" t="s">
        <v>37</v>
      </c>
      <c r="V645" t="s">
        <v>31</v>
      </c>
      <c r="W645" t="s">
        <v>55</v>
      </c>
      <c r="X645" t="s">
        <v>33</v>
      </c>
      <c r="Y645">
        <v>64</v>
      </c>
      <c r="Z645" s="1">
        <v>45355</v>
      </c>
      <c r="AA645" t="str" cm="1">
        <f t="array" ref="AA645">_xlfn.IFS(AND(Table2[[#This Row],[Guest_Age]]&gt;=18,Table2[[#This Row],[Guest_Age]]&lt;=25),"Young Adults",AND(Table2[[#This Row],[Guest_Age]]&gt;=26,Table2[[#This Row],[Guest_Age]]&lt;=35),"Adults",AND(Table2[[#This Row],[Guest_Age]]&gt;=36,Table2[[#This Row],[Guest_Age]]&lt;=50),"Middle Aged Adults",Table2[[#This Row],[Guest_Age]]&gt;50,"Senior")</f>
        <v>Senior</v>
      </c>
      <c r="AB6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645" t="str" cm="1">
        <f t="array" ref="AC645">_xlfn.IFS(Table2[[#This Row],[Satification_points]]&gt;=4.5,"GREAT",AND(Table2[[#This Row],[Satification_points]]&gt;=4,Table2[[#This Row],[Satification_points]]&lt;4.5),"GOOD",AND(Table2[[#This Row],[Satification_points]]&gt;=3,Table2[[#This Row],[Satification_points]]&lt;4),"AVERAGE",Table2[[#This Row],[Satification_points]]&lt;3,"POOR")</f>
        <v>AVERAGE</v>
      </c>
    </row>
    <row r="646" spans="1:29" x14ac:dyDescent="0.3">
      <c r="A646">
        <v>645</v>
      </c>
      <c r="B646">
        <v>68214</v>
      </c>
      <c r="C646" t="s">
        <v>699</v>
      </c>
      <c r="D646" t="s">
        <v>41</v>
      </c>
      <c r="E646" t="s">
        <v>27</v>
      </c>
      <c r="F646" s="1">
        <v>44992</v>
      </c>
      <c r="G646" s="1">
        <v>45550</v>
      </c>
      <c r="H646">
        <v>5</v>
      </c>
      <c r="I646" t="s">
        <v>50</v>
      </c>
      <c r="J646" t="s">
        <v>40</v>
      </c>
      <c r="K646">
        <v>3</v>
      </c>
      <c r="L646">
        <v>3</v>
      </c>
      <c r="M646">
        <v>3</v>
      </c>
      <c r="N646">
        <v>1</v>
      </c>
      <c r="O646">
        <v>1</v>
      </c>
      <c r="P646">
        <v>3</v>
      </c>
      <c r="Q646">
        <v>5</v>
      </c>
      <c r="R646">
        <v>5</v>
      </c>
      <c r="S646">
        <v>4</v>
      </c>
      <c r="T646">
        <v>5</v>
      </c>
      <c r="U646" t="s">
        <v>30</v>
      </c>
      <c r="V646" t="s">
        <v>38</v>
      </c>
      <c r="W646" t="s">
        <v>39</v>
      </c>
      <c r="X646" t="s">
        <v>44</v>
      </c>
      <c r="Y646">
        <v>30</v>
      </c>
      <c r="Z646" s="1">
        <v>45550</v>
      </c>
      <c r="AA646" t="str" cm="1">
        <f t="array" ref="AA646">_xlfn.IFS(AND(Table2[[#This Row],[Guest_Age]]&gt;=18,Table2[[#This Row],[Guest_Age]]&lt;=25),"Young Adults",AND(Table2[[#This Row],[Guest_Age]]&gt;=26,Table2[[#This Row],[Guest_Age]]&lt;=35),"Adults",AND(Table2[[#This Row],[Guest_Age]]&gt;=36,Table2[[#This Row],[Guest_Age]]&lt;=50),"Middle Aged Adults",Table2[[#This Row],[Guest_Age]]&gt;50,"Senior")</f>
        <v>Adults</v>
      </c>
      <c r="AB6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46" t="str" cm="1">
        <f t="array" ref="AC646">_xlfn.IFS(Table2[[#This Row],[Satification_points]]&gt;=4.5,"GREAT",AND(Table2[[#This Row],[Satification_points]]&gt;=4,Table2[[#This Row],[Satification_points]]&lt;4.5),"GOOD",AND(Table2[[#This Row],[Satification_points]]&gt;=3,Table2[[#This Row],[Satification_points]]&lt;4),"AVERAGE",Table2[[#This Row],[Satification_points]]&lt;3,"POOR")</f>
        <v>AVERAGE</v>
      </c>
    </row>
    <row r="647" spans="1:29" x14ac:dyDescent="0.3">
      <c r="A647">
        <v>646</v>
      </c>
      <c r="B647">
        <v>37450</v>
      </c>
      <c r="C647" t="s">
        <v>700</v>
      </c>
      <c r="D647" t="s">
        <v>41</v>
      </c>
      <c r="E647" t="s">
        <v>35</v>
      </c>
      <c r="F647" s="1">
        <v>45505</v>
      </c>
      <c r="G647" s="1">
        <v>45506</v>
      </c>
      <c r="H647">
        <v>3</v>
      </c>
      <c r="I647" t="s">
        <v>28</v>
      </c>
      <c r="J647" t="s">
        <v>29</v>
      </c>
      <c r="K647">
        <v>4</v>
      </c>
      <c r="L647">
        <v>1</v>
      </c>
      <c r="M647">
        <v>2</v>
      </c>
      <c r="N647">
        <v>3</v>
      </c>
      <c r="O647">
        <v>5</v>
      </c>
      <c r="P647">
        <v>5</v>
      </c>
      <c r="Q647">
        <v>2</v>
      </c>
      <c r="R647">
        <v>1</v>
      </c>
      <c r="S647">
        <v>3</v>
      </c>
      <c r="T647">
        <v>1</v>
      </c>
      <c r="U647" t="s">
        <v>37</v>
      </c>
      <c r="V647" t="s">
        <v>38</v>
      </c>
      <c r="W647" t="s">
        <v>56</v>
      </c>
      <c r="X647" t="s">
        <v>40</v>
      </c>
      <c r="Y647">
        <v>61</v>
      </c>
      <c r="Z647" s="1">
        <v>45506</v>
      </c>
      <c r="AA647" t="str" cm="1">
        <f t="array" ref="AA647">_xlfn.IFS(AND(Table2[[#This Row],[Guest_Age]]&gt;=18,Table2[[#This Row],[Guest_Age]]&lt;=25),"Young Adults",AND(Table2[[#This Row],[Guest_Age]]&gt;=26,Table2[[#This Row],[Guest_Age]]&lt;=35),"Adults",AND(Table2[[#This Row],[Guest_Age]]&gt;=36,Table2[[#This Row],[Guest_Age]]&lt;=50),"Middle Aged Adults",Table2[[#This Row],[Guest_Age]]&gt;50,"Senior")</f>
        <v>Senior</v>
      </c>
      <c r="AB6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47" t="str" cm="1">
        <f t="array" ref="AC647">_xlfn.IFS(Table2[[#This Row],[Satification_points]]&gt;=4.5,"GREAT",AND(Table2[[#This Row],[Satification_points]]&gt;=4,Table2[[#This Row],[Satification_points]]&lt;4.5),"GOOD",AND(Table2[[#This Row],[Satification_points]]&gt;=3,Table2[[#This Row],[Satification_points]]&lt;4),"AVERAGE",Table2[[#This Row],[Satification_points]]&lt;3,"POOR")</f>
        <v>POOR</v>
      </c>
    </row>
    <row r="648" spans="1:29" x14ac:dyDescent="0.3">
      <c r="A648">
        <v>647</v>
      </c>
      <c r="B648">
        <v>74557</v>
      </c>
      <c r="C648" t="s">
        <v>701</v>
      </c>
      <c r="D648" t="s">
        <v>34</v>
      </c>
      <c r="E648" t="s">
        <v>45</v>
      </c>
      <c r="F648" s="1">
        <v>45196</v>
      </c>
      <c r="G648" s="1">
        <v>45665</v>
      </c>
      <c r="H648">
        <v>13</v>
      </c>
      <c r="I648" t="s">
        <v>50</v>
      </c>
      <c r="J648" t="s">
        <v>40</v>
      </c>
      <c r="K648">
        <v>1</v>
      </c>
      <c r="L648">
        <v>5</v>
      </c>
      <c r="M648">
        <v>4</v>
      </c>
      <c r="N648">
        <v>3</v>
      </c>
      <c r="O648">
        <v>1</v>
      </c>
      <c r="P648">
        <v>4</v>
      </c>
      <c r="Q648">
        <v>2</v>
      </c>
      <c r="R648">
        <v>5</v>
      </c>
      <c r="S648">
        <v>3</v>
      </c>
      <c r="T648">
        <v>5</v>
      </c>
      <c r="U648" t="s">
        <v>30</v>
      </c>
      <c r="V648" t="s">
        <v>58</v>
      </c>
      <c r="W648" t="s">
        <v>47</v>
      </c>
      <c r="X648" t="s">
        <v>44</v>
      </c>
      <c r="Y648">
        <v>31</v>
      </c>
      <c r="Z648" s="1">
        <v>45665</v>
      </c>
      <c r="AA648" t="str" cm="1">
        <f t="array" ref="AA648">_xlfn.IFS(AND(Table2[[#This Row],[Guest_Age]]&gt;=18,Table2[[#This Row],[Guest_Age]]&lt;=25),"Young Adults",AND(Table2[[#This Row],[Guest_Age]]&gt;=26,Table2[[#This Row],[Guest_Age]]&lt;=35),"Adults",AND(Table2[[#This Row],[Guest_Age]]&gt;=36,Table2[[#This Row],[Guest_Age]]&lt;=50),"Middle Aged Adults",Table2[[#This Row],[Guest_Age]]&gt;50,"Senior")</f>
        <v>Adults</v>
      </c>
      <c r="AB6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48" t="str" cm="1">
        <f t="array" ref="AC648">_xlfn.IFS(Table2[[#This Row],[Satification_points]]&gt;=4.5,"GREAT",AND(Table2[[#This Row],[Satification_points]]&gt;=4,Table2[[#This Row],[Satification_points]]&lt;4.5),"GOOD",AND(Table2[[#This Row],[Satification_points]]&gt;=3,Table2[[#This Row],[Satification_points]]&lt;4),"AVERAGE",Table2[[#This Row],[Satification_points]]&lt;3,"POOR")</f>
        <v>AVERAGE</v>
      </c>
    </row>
    <row r="649" spans="1:29" x14ac:dyDescent="0.3">
      <c r="A649">
        <v>648</v>
      </c>
      <c r="B649">
        <v>86227</v>
      </c>
      <c r="C649" t="s">
        <v>702</v>
      </c>
      <c r="D649" t="s">
        <v>41</v>
      </c>
      <c r="E649" t="s">
        <v>27</v>
      </c>
      <c r="F649" s="1">
        <v>44973</v>
      </c>
      <c r="G649" s="1">
        <v>45033</v>
      </c>
      <c r="H649">
        <v>3</v>
      </c>
      <c r="I649" t="s">
        <v>49</v>
      </c>
      <c r="J649" t="s">
        <v>43</v>
      </c>
      <c r="K649">
        <v>1</v>
      </c>
      <c r="L649">
        <v>1</v>
      </c>
      <c r="M649">
        <v>2</v>
      </c>
      <c r="N649">
        <v>4</v>
      </c>
      <c r="O649">
        <v>1</v>
      </c>
      <c r="P649">
        <v>3</v>
      </c>
      <c r="Q649">
        <v>3</v>
      </c>
      <c r="R649">
        <v>5</v>
      </c>
      <c r="S649">
        <v>4</v>
      </c>
      <c r="T649">
        <v>1</v>
      </c>
      <c r="U649" t="s">
        <v>37</v>
      </c>
      <c r="V649" t="s">
        <v>58</v>
      </c>
      <c r="W649" t="s">
        <v>56</v>
      </c>
      <c r="X649" t="s">
        <v>44</v>
      </c>
      <c r="Y649">
        <v>26</v>
      </c>
      <c r="Z649" s="1">
        <v>45317</v>
      </c>
      <c r="AA649" t="str" cm="1">
        <f t="array" ref="AA649">_xlfn.IFS(AND(Table2[[#This Row],[Guest_Age]]&gt;=18,Table2[[#This Row],[Guest_Age]]&lt;=25),"Young Adults",AND(Table2[[#This Row],[Guest_Age]]&gt;=26,Table2[[#This Row],[Guest_Age]]&lt;=35),"Adults",AND(Table2[[#This Row],[Guest_Age]]&gt;=36,Table2[[#This Row],[Guest_Age]]&lt;=50),"Middle Aged Adults",Table2[[#This Row],[Guest_Age]]&gt;50,"Senior")</f>
        <v>Adults</v>
      </c>
      <c r="AB6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49" t="str" cm="1">
        <f t="array" ref="AC649">_xlfn.IFS(Table2[[#This Row],[Satification_points]]&gt;=4.5,"GREAT",AND(Table2[[#This Row],[Satification_points]]&gt;=4,Table2[[#This Row],[Satification_points]]&lt;4.5),"GOOD",AND(Table2[[#This Row],[Satification_points]]&gt;=3,Table2[[#This Row],[Satification_points]]&lt;4),"AVERAGE",Table2[[#This Row],[Satification_points]]&lt;3,"POOR")</f>
        <v>POOR</v>
      </c>
    </row>
    <row r="650" spans="1:29" x14ac:dyDescent="0.3">
      <c r="A650">
        <v>649</v>
      </c>
      <c r="B650">
        <v>90167</v>
      </c>
      <c r="C650" t="s">
        <v>703</v>
      </c>
      <c r="D650" t="s">
        <v>41</v>
      </c>
      <c r="E650" t="s">
        <v>27</v>
      </c>
      <c r="F650" s="1">
        <v>45291</v>
      </c>
      <c r="G650" s="1">
        <v>45428</v>
      </c>
      <c r="H650">
        <v>12</v>
      </c>
      <c r="I650" t="s">
        <v>49</v>
      </c>
      <c r="J650" t="s">
        <v>40</v>
      </c>
      <c r="K650">
        <v>3</v>
      </c>
      <c r="L650">
        <v>3</v>
      </c>
      <c r="M650">
        <v>4</v>
      </c>
      <c r="N650">
        <v>5</v>
      </c>
      <c r="O650">
        <v>2</v>
      </c>
      <c r="P650">
        <v>4</v>
      </c>
      <c r="Q650">
        <v>5</v>
      </c>
      <c r="R650">
        <v>1</v>
      </c>
      <c r="S650">
        <v>4</v>
      </c>
      <c r="T650">
        <v>2</v>
      </c>
      <c r="U650" t="s">
        <v>37</v>
      </c>
      <c r="V650" t="s">
        <v>31</v>
      </c>
      <c r="W650" t="s">
        <v>47</v>
      </c>
      <c r="X650" t="s">
        <v>44</v>
      </c>
      <c r="Y650">
        <v>59</v>
      </c>
      <c r="Z650" s="1">
        <v>45604</v>
      </c>
      <c r="AA650" t="str" cm="1">
        <f t="array" ref="AA650">_xlfn.IFS(AND(Table2[[#This Row],[Guest_Age]]&gt;=18,Table2[[#This Row],[Guest_Age]]&lt;=25),"Young Adults",AND(Table2[[#This Row],[Guest_Age]]&gt;=26,Table2[[#This Row],[Guest_Age]]&lt;=35),"Adults",AND(Table2[[#This Row],[Guest_Age]]&gt;=36,Table2[[#This Row],[Guest_Age]]&lt;=50),"Middle Aged Adults",Table2[[#This Row],[Guest_Age]]&gt;50,"Senior")</f>
        <v>Senior</v>
      </c>
      <c r="AB6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50" t="str" cm="1">
        <f t="array" ref="AC650">_xlfn.IFS(Table2[[#This Row],[Satification_points]]&gt;=4.5,"GREAT",AND(Table2[[#This Row],[Satification_points]]&gt;=4,Table2[[#This Row],[Satification_points]]&lt;4.5),"GOOD",AND(Table2[[#This Row],[Satification_points]]&gt;=3,Table2[[#This Row],[Satification_points]]&lt;4),"AVERAGE",Table2[[#This Row],[Satification_points]]&lt;3,"POOR")</f>
        <v>AVERAGE</v>
      </c>
    </row>
    <row r="651" spans="1:29" x14ac:dyDescent="0.3">
      <c r="A651">
        <v>650</v>
      </c>
      <c r="B651">
        <v>73211</v>
      </c>
      <c r="C651" t="s">
        <v>704</v>
      </c>
      <c r="D651" t="s">
        <v>48</v>
      </c>
      <c r="E651" t="s">
        <v>57</v>
      </c>
      <c r="F651" s="1">
        <v>45106</v>
      </c>
      <c r="G651" s="1">
        <v>45107</v>
      </c>
      <c r="H651">
        <v>3</v>
      </c>
      <c r="I651" t="s">
        <v>42</v>
      </c>
      <c r="J651" t="s">
        <v>40</v>
      </c>
      <c r="K651">
        <v>4</v>
      </c>
      <c r="L651">
        <v>5</v>
      </c>
      <c r="M651">
        <v>3</v>
      </c>
      <c r="N651">
        <v>1</v>
      </c>
      <c r="O651">
        <v>5</v>
      </c>
      <c r="P651">
        <v>5</v>
      </c>
      <c r="Q651">
        <v>5</v>
      </c>
      <c r="R651">
        <v>1</v>
      </c>
      <c r="S651">
        <v>5</v>
      </c>
      <c r="T651">
        <v>2</v>
      </c>
      <c r="U651" t="s">
        <v>37</v>
      </c>
      <c r="V651" t="s">
        <v>31</v>
      </c>
      <c r="W651" t="s">
        <v>32</v>
      </c>
      <c r="X651" t="s">
        <v>44</v>
      </c>
      <c r="Y651">
        <v>55</v>
      </c>
      <c r="Z651" s="1">
        <v>45107</v>
      </c>
      <c r="AA651" t="str" cm="1">
        <f t="array" ref="AA651">_xlfn.IFS(AND(Table2[[#This Row],[Guest_Age]]&gt;=18,Table2[[#This Row],[Guest_Age]]&lt;=25),"Young Adults",AND(Table2[[#This Row],[Guest_Age]]&gt;=26,Table2[[#This Row],[Guest_Age]]&lt;=35),"Adults",AND(Table2[[#This Row],[Guest_Age]]&gt;=36,Table2[[#This Row],[Guest_Age]]&lt;=50),"Middle Aged Adults",Table2[[#This Row],[Guest_Age]]&gt;50,"Senior")</f>
        <v>Senior</v>
      </c>
      <c r="AB6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651" t="str" cm="1">
        <f t="array" ref="AC651">_xlfn.IFS(Table2[[#This Row],[Satification_points]]&gt;=4.5,"GREAT",AND(Table2[[#This Row],[Satification_points]]&gt;=4,Table2[[#This Row],[Satification_points]]&lt;4.5),"GOOD",AND(Table2[[#This Row],[Satification_points]]&gt;=3,Table2[[#This Row],[Satification_points]]&lt;4),"AVERAGE",Table2[[#This Row],[Satification_points]]&lt;3,"POOR")</f>
        <v>AVERAGE</v>
      </c>
    </row>
    <row r="652" spans="1:29" x14ac:dyDescent="0.3">
      <c r="A652">
        <v>651</v>
      </c>
      <c r="B652">
        <v>29596</v>
      </c>
      <c r="C652" t="s">
        <v>705</v>
      </c>
      <c r="D652" t="s">
        <v>48</v>
      </c>
      <c r="E652" t="s">
        <v>52</v>
      </c>
      <c r="F652" s="1">
        <v>44994</v>
      </c>
      <c r="G652" s="1">
        <v>45077</v>
      </c>
      <c r="H652">
        <v>1</v>
      </c>
      <c r="I652" t="s">
        <v>49</v>
      </c>
      <c r="J652" t="s">
        <v>40</v>
      </c>
      <c r="K652">
        <v>4</v>
      </c>
      <c r="L652">
        <v>2</v>
      </c>
      <c r="M652">
        <v>5</v>
      </c>
      <c r="N652">
        <v>5</v>
      </c>
      <c r="O652">
        <v>2</v>
      </c>
      <c r="P652">
        <v>5</v>
      </c>
      <c r="Q652">
        <v>3</v>
      </c>
      <c r="R652">
        <v>2</v>
      </c>
      <c r="S652">
        <v>1</v>
      </c>
      <c r="T652">
        <v>3</v>
      </c>
      <c r="U652" t="s">
        <v>37</v>
      </c>
      <c r="V652" t="s">
        <v>58</v>
      </c>
      <c r="W652" t="s">
        <v>56</v>
      </c>
      <c r="X652" t="s">
        <v>40</v>
      </c>
      <c r="Y652">
        <v>36</v>
      </c>
      <c r="Z652" s="1">
        <v>45077</v>
      </c>
      <c r="AA652" t="str" cm="1">
        <f t="array" ref="AA6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6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52" t="str" cm="1">
        <f t="array" ref="AC652">_xlfn.IFS(Table2[[#This Row],[Satification_points]]&gt;=4.5,"GREAT",AND(Table2[[#This Row],[Satification_points]]&gt;=4,Table2[[#This Row],[Satification_points]]&lt;4.5),"GOOD",AND(Table2[[#This Row],[Satification_points]]&gt;=3,Table2[[#This Row],[Satification_points]]&lt;4),"AVERAGE",Table2[[#This Row],[Satification_points]]&lt;3,"POOR")</f>
        <v>AVERAGE</v>
      </c>
    </row>
    <row r="653" spans="1:29" x14ac:dyDescent="0.3">
      <c r="A653">
        <v>652</v>
      </c>
      <c r="B653">
        <v>69000</v>
      </c>
      <c r="C653" t="s">
        <v>706</v>
      </c>
      <c r="D653" t="s">
        <v>26</v>
      </c>
      <c r="E653" t="s">
        <v>52</v>
      </c>
      <c r="F653" s="1">
        <v>45041</v>
      </c>
      <c r="G653" s="1">
        <v>45042</v>
      </c>
      <c r="H653">
        <v>11</v>
      </c>
      <c r="I653" t="s">
        <v>28</v>
      </c>
      <c r="J653" t="s">
        <v>29</v>
      </c>
      <c r="K653">
        <v>4</v>
      </c>
      <c r="L653">
        <v>3</v>
      </c>
      <c r="M653">
        <v>2</v>
      </c>
      <c r="N653">
        <v>1</v>
      </c>
      <c r="O653">
        <v>5</v>
      </c>
      <c r="P653">
        <v>4</v>
      </c>
      <c r="Q653">
        <v>5</v>
      </c>
      <c r="R653">
        <v>4</v>
      </c>
      <c r="S653">
        <v>3</v>
      </c>
      <c r="T653">
        <v>4</v>
      </c>
      <c r="U653" t="s">
        <v>30</v>
      </c>
      <c r="V653" t="s">
        <v>46</v>
      </c>
      <c r="W653" t="s">
        <v>32</v>
      </c>
      <c r="X653" t="s">
        <v>44</v>
      </c>
      <c r="Y653">
        <v>59</v>
      </c>
      <c r="Z653" s="1">
        <v>45211</v>
      </c>
      <c r="AA653" t="str" cm="1">
        <f t="array" ref="AA653">_xlfn.IFS(AND(Table2[[#This Row],[Guest_Age]]&gt;=18,Table2[[#This Row],[Guest_Age]]&lt;=25),"Young Adults",AND(Table2[[#This Row],[Guest_Age]]&gt;=26,Table2[[#This Row],[Guest_Age]]&lt;=35),"Adults",AND(Table2[[#This Row],[Guest_Age]]&gt;=36,Table2[[#This Row],[Guest_Age]]&lt;=50),"Middle Aged Adults",Table2[[#This Row],[Guest_Age]]&gt;50,"Senior")</f>
        <v>Senior</v>
      </c>
      <c r="AB6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653" t="str" cm="1">
        <f t="array" ref="AC653">_xlfn.IFS(Table2[[#This Row],[Satification_points]]&gt;=4.5,"GREAT",AND(Table2[[#This Row],[Satification_points]]&gt;=4,Table2[[#This Row],[Satification_points]]&lt;4.5),"GOOD",AND(Table2[[#This Row],[Satification_points]]&gt;=3,Table2[[#This Row],[Satification_points]]&lt;4),"AVERAGE",Table2[[#This Row],[Satification_points]]&lt;3,"POOR")</f>
        <v>AVERAGE</v>
      </c>
    </row>
    <row r="654" spans="1:29" x14ac:dyDescent="0.3">
      <c r="A654">
        <v>653</v>
      </c>
      <c r="B654">
        <v>77432</v>
      </c>
      <c r="C654" t="s">
        <v>707</v>
      </c>
      <c r="D654" t="s">
        <v>26</v>
      </c>
      <c r="E654" t="s">
        <v>57</v>
      </c>
      <c r="F654" s="1">
        <v>44952</v>
      </c>
      <c r="G654" s="1">
        <v>44953</v>
      </c>
      <c r="H654">
        <v>11</v>
      </c>
      <c r="I654" t="s">
        <v>42</v>
      </c>
      <c r="J654" t="s">
        <v>29</v>
      </c>
      <c r="K654">
        <v>1</v>
      </c>
      <c r="L654">
        <v>2</v>
      </c>
      <c r="M654">
        <v>5</v>
      </c>
      <c r="N654">
        <v>5</v>
      </c>
      <c r="O654">
        <v>5</v>
      </c>
      <c r="P654">
        <v>1</v>
      </c>
      <c r="Q654">
        <v>4</v>
      </c>
      <c r="R654">
        <v>3</v>
      </c>
      <c r="S654">
        <v>1</v>
      </c>
      <c r="T654">
        <v>3</v>
      </c>
      <c r="U654" t="s">
        <v>37</v>
      </c>
      <c r="V654" t="s">
        <v>46</v>
      </c>
      <c r="W654" t="s">
        <v>55</v>
      </c>
      <c r="X654" t="s">
        <v>33</v>
      </c>
      <c r="Y654">
        <v>64</v>
      </c>
      <c r="Z654" s="1">
        <v>45013</v>
      </c>
      <c r="AA654" t="str" cm="1">
        <f t="array" ref="AA654">_xlfn.IFS(AND(Table2[[#This Row],[Guest_Age]]&gt;=18,Table2[[#This Row],[Guest_Age]]&lt;=25),"Young Adults",AND(Table2[[#This Row],[Guest_Age]]&gt;=26,Table2[[#This Row],[Guest_Age]]&lt;=35),"Adults",AND(Table2[[#This Row],[Guest_Age]]&gt;=36,Table2[[#This Row],[Guest_Age]]&lt;=50),"Middle Aged Adults",Table2[[#This Row],[Guest_Age]]&gt;50,"Senior")</f>
        <v>Senior</v>
      </c>
      <c r="AB6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54" t="str" cm="1">
        <f t="array" ref="AC654">_xlfn.IFS(Table2[[#This Row],[Satification_points]]&gt;=4.5,"GREAT",AND(Table2[[#This Row],[Satification_points]]&gt;=4,Table2[[#This Row],[Satification_points]]&lt;4.5),"GOOD",AND(Table2[[#This Row],[Satification_points]]&gt;=3,Table2[[#This Row],[Satification_points]]&lt;4),"AVERAGE",Table2[[#This Row],[Satification_points]]&lt;3,"POOR")</f>
        <v>AVERAGE</v>
      </c>
    </row>
    <row r="655" spans="1:29" x14ac:dyDescent="0.3">
      <c r="A655">
        <v>654</v>
      </c>
      <c r="B655">
        <v>43857</v>
      </c>
      <c r="C655" t="s">
        <v>708</v>
      </c>
      <c r="D655" t="s">
        <v>51</v>
      </c>
      <c r="E655" t="s">
        <v>57</v>
      </c>
      <c r="F655" s="1">
        <v>45485</v>
      </c>
      <c r="G655" s="1">
        <v>45566</v>
      </c>
      <c r="H655">
        <v>3</v>
      </c>
      <c r="I655" t="s">
        <v>28</v>
      </c>
      <c r="J655" t="s">
        <v>43</v>
      </c>
      <c r="K655">
        <v>2</v>
      </c>
      <c r="L655">
        <v>4</v>
      </c>
      <c r="M655">
        <v>3</v>
      </c>
      <c r="N655">
        <v>3</v>
      </c>
      <c r="O655">
        <v>4</v>
      </c>
      <c r="P655">
        <v>5</v>
      </c>
      <c r="Q655">
        <v>1</v>
      </c>
      <c r="R655">
        <v>5</v>
      </c>
      <c r="S655">
        <v>5</v>
      </c>
      <c r="T655">
        <v>1</v>
      </c>
      <c r="U655" t="s">
        <v>30</v>
      </c>
      <c r="V655" t="s">
        <v>58</v>
      </c>
      <c r="W655" t="s">
        <v>39</v>
      </c>
      <c r="X655" t="s">
        <v>40</v>
      </c>
      <c r="Y655">
        <v>25</v>
      </c>
      <c r="Z655" s="1">
        <v>45566</v>
      </c>
      <c r="AA655" t="str" cm="1">
        <f t="array" ref="AA655">_xlfn.IFS(AND(Table2[[#This Row],[Guest_Age]]&gt;=18,Table2[[#This Row],[Guest_Age]]&lt;=25),"Young Adults",AND(Table2[[#This Row],[Guest_Age]]&gt;=26,Table2[[#This Row],[Guest_Age]]&lt;=35),"Adults",AND(Table2[[#This Row],[Guest_Age]]&gt;=36,Table2[[#This Row],[Guest_Age]]&lt;=50),"Middle Aged Adults",Table2[[#This Row],[Guest_Age]]&gt;50,"Senior")</f>
        <v>Young Adults</v>
      </c>
      <c r="AB6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55" t="str" cm="1">
        <f t="array" ref="AC655">_xlfn.IFS(Table2[[#This Row],[Satification_points]]&gt;=4.5,"GREAT",AND(Table2[[#This Row],[Satification_points]]&gt;=4,Table2[[#This Row],[Satification_points]]&lt;4.5),"GOOD",AND(Table2[[#This Row],[Satification_points]]&gt;=3,Table2[[#This Row],[Satification_points]]&lt;4),"AVERAGE",Table2[[#This Row],[Satification_points]]&lt;3,"POOR")</f>
        <v>AVERAGE</v>
      </c>
    </row>
    <row r="656" spans="1:29" x14ac:dyDescent="0.3">
      <c r="A656">
        <v>655</v>
      </c>
      <c r="B656">
        <v>10308</v>
      </c>
      <c r="C656" t="s">
        <v>709</v>
      </c>
      <c r="D656" t="s">
        <v>48</v>
      </c>
      <c r="E656" t="s">
        <v>52</v>
      </c>
      <c r="F656" s="1">
        <v>45133</v>
      </c>
      <c r="G656" s="1">
        <v>45200</v>
      </c>
      <c r="H656">
        <v>13</v>
      </c>
      <c r="I656" t="s">
        <v>28</v>
      </c>
      <c r="J656" t="s">
        <v>43</v>
      </c>
      <c r="K656">
        <v>2</v>
      </c>
      <c r="L656">
        <v>2</v>
      </c>
      <c r="M656">
        <v>1</v>
      </c>
      <c r="N656">
        <v>4</v>
      </c>
      <c r="O656">
        <v>5</v>
      </c>
      <c r="P656">
        <v>2</v>
      </c>
      <c r="Q656">
        <v>4</v>
      </c>
      <c r="R656">
        <v>5</v>
      </c>
      <c r="S656">
        <v>2</v>
      </c>
      <c r="T656">
        <v>1</v>
      </c>
      <c r="U656" t="s">
        <v>30</v>
      </c>
      <c r="V656" t="s">
        <v>38</v>
      </c>
      <c r="W656" t="s">
        <v>39</v>
      </c>
      <c r="X656" t="s">
        <v>44</v>
      </c>
      <c r="Y656">
        <v>35</v>
      </c>
      <c r="Z656" s="1">
        <v>45200</v>
      </c>
      <c r="AA656" t="str" cm="1">
        <f t="array" ref="AA656">_xlfn.IFS(AND(Table2[[#This Row],[Guest_Age]]&gt;=18,Table2[[#This Row],[Guest_Age]]&lt;=25),"Young Adults",AND(Table2[[#This Row],[Guest_Age]]&gt;=26,Table2[[#This Row],[Guest_Age]]&lt;=35),"Adults",AND(Table2[[#This Row],[Guest_Age]]&gt;=36,Table2[[#This Row],[Guest_Age]]&lt;=50),"Middle Aged Adults",Table2[[#This Row],[Guest_Age]]&gt;50,"Senior")</f>
        <v>Adults</v>
      </c>
      <c r="AB6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56" t="str" cm="1">
        <f t="array" ref="AC656">_xlfn.IFS(Table2[[#This Row],[Satification_points]]&gt;=4.5,"GREAT",AND(Table2[[#This Row],[Satification_points]]&gt;=4,Table2[[#This Row],[Satification_points]]&lt;4.5),"GOOD",AND(Table2[[#This Row],[Satification_points]]&gt;=3,Table2[[#This Row],[Satification_points]]&lt;4),"AVERAGE",Table2[[#This Row],[Satification_points]]&lt;3,"POOR")</f>
        <v>POOR</v>
      </c>
    </row>
    <row r="657" spans="1:29" x14ac:dyDescent="0.3">
      <c r="A657">
        <v>656</v>
      </c>
      <c r="B657">
        <v>35168</v>
      </c>
      <c r="C657" t="s">
        <v>710</v>
      </c>
      <c r="D657" t="s">
        <v>48</v>
      </c>
      <c r="E657" t="s">
        <v>45</v>
      </c>
      <c r="F657" s="1">
        <v>44999</v>
      </c>
      <c r="G657" s="1">
        <v>45265</v>
      </c>
      <c r="H657">
        <v>2</v>
      </c>
      <c r="I657" t="s">
        <v>28</v>
      </c>
      <c r="J657" t="s">
        <v>40</v>
      </c>
      <c r="K657">
        <v>4</v>
      </c>
      <c r="L657">
        <v>5</v>
      </c>
      <c r="M657">
        <v>3</v>
      </c>
      <c r="N657">
        <v>2</v>
      </c>
      <c r="O657">
        <v>2</v>
      </c>
      <c r="P657">
        <v>2</v>
      </c>
      <c r="Q657">
        <v>1</v>
      </c>
      <c r="R657">
        <v>3</v>
      </c>
      <c r="S657">
        <v>2</v>
      </c>
      <c r="T657">
        <v>1</v>
      </c>
      <c r="U657" t="s">
        <v>30</v>
      </c>
      <c r="V657" t="s">
        <v>54</v>
      </c>
      <c r="W657" t="s">
        <v>56</v>
      </c>
      <c r="X657" t="s">
        <v>44</v>
      </c>
      <c r="Y657">
        <v>51</v>
      </c>
      <c r="Z657" s="1">
        <v>45551</v>
      </c>
      <c r="AA657" t="str" cm="1">
        <f t="array" ref="AA657">_xlfn.IFS(AND(Table2[[#This Row],[Guest_Age]]&gt;=18,Table2[[#This Row],[Guest_Age]]&lt;=25),"Young Adults",AND(Table2[[#This Row],[Guest_Age]]&gt;=26,Table2[[#This Row],[Guest_Age]]&lt;=35),"Adults",AND(Table2[[#This Row],[Guest_Age]]&gt;=36,Table2[[#This Row],[Guest_Age]]&lt;=50),"Middle Aged Adults",Table2[[#This Row],[Guest_Age]]&gt;50,"Senior")</f>
        <v>Senior</v>
      </c>
      <c r="AB6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57" t="str" cm="1">
        <f t="array" ref="AC657">_xlfn.IFS(Table2[[#This Row],[Satification_points]]&gt;=4.5,"GREAT",AND(Table2[[#This Row],[Satification_points]]&gt;=4,Table2[[#This Row],[Satification_points]]&lt;4.5),"GOOD",AND(Table2[[#This Row],[Satification_points]]&gt;=3,Table2[[#This Row],[Satification_points]]&lt;4),"AVERAGE",Table2[[#This Row],[Satification_points]]&lt;3,"POOR")</f>
        <v>POOR</v>
      </c>
    </row>
    <row r="658" spans="1:29" x14ac:dyDescent="0.3">
      <c r="A658">
        <v>657</v>
      </c>
      <c r="B658">
        <v>38419</v>
      </c>
      <c r="C658" t="s">
        <v>711</v>
      </c>
      <c r="D658" t="s">
        <v>48</v>
      </c>
      <c r="E658" t="s">
        <v>45</v>
      </c>
      <c r="F658" s="1">
        <v>45185</v>
      </c>
      <c r="G658" s="1">
        <v>45186</v>
      </c>
      <c r="H658">
        <v>8</v>
      </c>
      <c r="I658" t="s">
        <v>28</v>
      </c>
      <c r="J658" t="s">
        <v>53</v>
      </c>
      <c r="K658">
        <v>4</v>
      </c>
      <c r="L658">
        <v>2</v>
      </c>
      <c r="M658">
        <v>3</v>
      </c>
      <c r="N658">
        <v>5</v>
      </c>
      <c r="O658">
        <v>2</v>
      </c>
      <c r="P658">
        <v>5</v>
      </c>
      <c r="Q658">
        <v>3</v>
      </c>
      <c r="R658">
        <v>1</v>
      </c>
      <c r="S658">
        <v>1</v>
      </c>
      <c r="T658">
        <v>1</v>
      </c>
      <c r="U658" t="s">
        <v>37</v>
      </c>
      <c r="V658" t="s">
        <v>31</v>
      </c>
      <c r="W658" t="s">
        <v>32</v>
      </c>
      <c r="X658" t="s">
        <v>33</v>
      </c>
      <c r="Y658">
        <v>53</v>
      </c>
      <c r="Z658" s="1">
        <v>45186</v>
      </c>
      <c r="AA658" t="str" cm="1">
        <f t="array" ref="AA658">_xlfn.IFS(AND(Table2[[#This Row],[Guest_Age]]&gt;=18,Table2[[#This Row],[Guest_Age]]&lt;=25),"Young Adults",AND(Table2[[#This Row],[Guest_Age]]&gt;=26,Table2[[#This Row],[Guest_Age]]&lt;=35),"Adults",AND(Table2[[#This Row],[Guest_Age]]&gt;=36,Table2[[#This Row],[Guest_Age]]&lt;=50),"Middle Aged Adults",Table2[[#This Row],[Guest_Age]]&gt;50,"Senior")</f>
        <v>Senior</v>
      </c>
      <c r="AB6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58" t="str" cm="1">
        <f t="array" ref="AC658">_xlfn.IFS(Table2[[#This Row],[Satification_points]]&gt;=4.5,"GREAT",AND(Table2[[#This Row],[Satification_points]]&gt;=4,Table2[[#This Row],[Satification_points]]&lt;4.5),"GOOD",AND(Table2[[#This Row],[Satification_points]]&gt;=3,Table2[[#This Row],[Satification_points]]&lt;4),"AVERAGE",Table2[[#This Row],[Satification_points]]&lt;3,"POOR")</f>
        <v>POOR</v>
      </c>
    </row>
    <row r="659" spans="1:29" x14ac:dyDescent="0.3">
      <c r="A659">
        <v>658</v>
      </c>
      <c r="B659">
        <v>80029</v>
      </c>
      <c r="C659" t="s">
        <v>712</v>
      </c>
      <c r="D659" t="s">
        <v>48</v>
      </c>
      <c r="E659" t="s">
        <v>45</v>
      </c>
      <c r="F659" s="1">
        <v>45312</v>
      </c>
      <c r="G659" s="1">
        <v>45313</v>
      </c>
      <c r="H659">
        <v>10</v>
      </c>
      <c r="I659" t="s">
        <v>28</v>
      </c>
      <c r="J659" t="s">
        <v>36</v>
      </c>
      <c r="K659">
        <v>5</v>
      </c>
      <c r="L659">
        <v>4</v>
      </c>
      <c r="M659">
        <v>3</v>
      </c>
      <c r="N659">
        <v>3</v>
      </c>
      <c r="O659">
        <v>3</v>
      </c>
      <c r="P659">
        <v>4</v>
      </c>
      <c r="Q659">
        <v>3</v>
      </c>
      <c r="R659">
        <v>1</v>
      </c>
      <c r="S659">
        <v>4</v>
      </c>
      <c r="T659">
        <v>4</v>
      </c>
      <c r="U659" t="s">
        <v>30</v>
      </c>
      <c r="V659" t="s">
        <v>46</v>
      </c>
      <c r="W659" t="s">
        <v>32</v>
      </c>
      <c r="X659" t="s">
        <v>44</v>
      </c>
      <c r="Y659">
        <v>26</v>
      </c>
      <c r="Z659" s="1">
        <v>45313</v>
      </c>
      <c r="AA659" t="str" cm="1">
        <f t="array" ref="AA659">_xlfn.IFS(AND(Table2[[#This Row],[Guest_Age]]&gt;=18,Table2[[#This Row],[Guest_Age]]&lt;=25),"Young Adults",AND(Table2[[#This Row],[Guest_Age]]&gt;=26,Table2[[#This Row],[Guest_Age]]&lt;=35),"Adults",AND(Table2[[#This Row],[Guest_Age]]&gt;=36,Table2[[#This Row],[Guest_Age]]&lt;=50),"Middle Aged Adults",Table2[[#This Row],[Guest_Age]]&gt;50,"Senior")</f>
        <v>Adults</v>
      </c>
      <c r="AB6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659" t="str" cm="1">
        <f t="array" ref="AC659">_xlfn.IFS(Table2[[#This Row],[Satification_points]]&gt;=4.5,"GREAT",AND(Table2[[#This Row],[Satification_points]]&gt;=4,Table2[[#This Row],[Satification_points]]&lt;4.5),"GOOD",AND(Table2[[#This Row],[Satification_points]]&gt;=3,Table2[[#This Row],[Satification_points]]&lt;4),"AVERAGE",Table2[[#This Row],[Satification_points]]&lt;3,"POOR")</f>
        <v>AVERAGE</v>
      </c>
    </row>
    <row r="660" spans="1:29" x14ac:dyDescent="0.3">
      <c r="A660">
        <v>659</v>
      </c>
      <c r="B660">
        <v>22756</v>
      </c>
      <c r="C660" t="s">
        <v>632</v>
      </c>
      <c r="D660" t="s">
        <v>51</v>
      </c>
      <c r="E660" t="s">
        <v>45</v>
      </c>
      <c r="F660" s="1">
        <v>44956</v>
      </c>
      <c r="G660" s="1">
        <v>45656</v>
      </c>
      <c r="H660">
        <v>14</v>
      </c>
      <c r="I660" t="s">
        <v>50</v>
      </c>
      <c r="J660" t="s">
        <v>40</v>
      </c>
      <c r="K660">
        <v>3</v>
      </c>
      <c r="L660">
        <v>3</v>
      </c>
      <c r="M660">
        <v>1</v>
      </c>
      <c r="N660">
        <v>2</v>
      </c>
      <c r="O660">
        <v>1</v>
      </c>
      <c r="P660">
        <v>4</v>
      </c>
      <c r="Q660">
        <v>1</v>
      </c>
      <c r="R660">
        <v>5</v>
      </c>
      <c r="S660">
        <v>3</v>
      </c>
      <c r="T660">
        <v>2</v>
      </c>
      <c r="U660" t="s">
        <v>30</v>
      </c>
      <c r="V660" t="s">
        <v>54</v>
      </c>
      <c r="W660" t="s">
        <v>47</v>
      </c>
      <c r="X660" t="s">
        <v>33</v>
      </c>
      <c r="Y660">
        <v>33</v>
      </c>
      <c r="Z660" s="1">
        <v>45656</v>
      </c>
      <c r="AA660" t="str" cm="1">
        <f t="array" ref="AA660">_xlfn.IFS(AND(Table2[[#This Row],[Guest_Age]]&gt;=18,Table2[[#This Row],[Guest_Age]]&lt;=25),"Young Adults",AND(Table2[[#This Row],[Guest_Age]]&gt;=26,Table2[[#This Row],[Guest_Age]]&lt;=35),"Adults",AND(Table2[[#This Row],[Guest_Age]]&gt;=36,Table2[[#This Row],[Guest_Age]]&lt;=50),"Middle Aged Adults",Table2[[#This Row],[Guest_Age]]&gt;50,"Senior")</f>
        <v>Adults</v>
      </c>
      <c r="AB6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60" t="str" cm="1">
        <f t="array" ref="AC660">_xlfn.IFS(Table2[[#This Row],[Satification_points]]&gt;=4.5,"GREAT",AND(Table2[[#This Row],[Satification_points]]&gt;=4,Table2[[#This Row],[Satification_points]]&lt;4.5),"GOOD",AND(Table2[[#This Row],[Satification_points]]&gt;=3,Table2[[#This Row],[Satification_points]]&lt;4),"AVERAGE",Table2[[#This Row],[Satification_points]]&lt;3,"POOR")</f>
        <v>POOR</v>
      </c>
    </row>
    <row r="661" spans="1:29" x14ac:dyDescent="0.3">
      <c r="A661">
        <v>660</v>
      </c>
      <c r="B661">
        <v>39288</v>
      </c>
      <c r="C661" t="s">
        <v>713</v>
      </c>
      <c r="D661" t="s">
        <v>34</v>
      </c>
      <c r="E661" t="s">
        <v>57</v>
      </c>
      <c r="F661" s="1">
        <v>45347</v>
      </c>
      <c r="G661" s="1">
        <v>45393</v>
      </c>
      <c r="H661">
        <v>10</v>
      </c>
      <c r="I661" t="s">
        <v>50</v>
      </c>
      <c r="J661" t="s">
        <v>36</v>
      </c>
      <c r="K661">
        <v>1</v>
      </c>
      <c r="L661">
        <v>4</v>
      </c>
      <c r="M661">
        <v>1</v>
      </c>
      <c r="N661">
        <v>2</v>
      </c>
      <c r="O661">
        <v>4</v>
      </c>
      <c r="P661">
        <v>3</v>
      </c>
      <c r="Q661">
        <v>1</v>
      </c>
      <c r="R661">
        <v>5</v>
      </c>
      <c r="S661">
        <v>1</v>
      </c>
      <c r="T661">
        <v>3</v>
      </c>
      <c r="U661" t="s">
        <v>37</v>
      </c>
      <c r="V661" t="s">
        <v>38</v>
      </c>
      <c r="W661" t="s">
        <v>56</v>
      </c>
      <c r="X661" t="s">
        <v>33</v>
      </c>
      <c r="Y661">
        <v>22</v>
      </c>
      <c r="Z661" s="1">
        <v>45393</v>
      </c>
      <c r="AA661" t="str" cm="1">
        <f t="array" ref="AA661">_xlfn.IFS(AND(Table2[[#This Row],[Guest_Age]]&gt;=18,Table2[[#This Row],[Guest_Age]]&lt;=25),"Young Adults",AND(Table2[[#This Row],[Guest_Age]]&gt;=26,Table2[[#This Row],[Guest_Age]]&lt;=35),"Adults",AND(Table2[[#This Row],[Guest_Age]]&gt;=36,Table2[[#This Row],[Guest_Age]]&lt;=50),"Middle Aged Adults",Table2[[#This Row],[Guest_Age]]&gt;50,"Senior")</f>
        <v>Young Adults</v>
      </c>
      <c r="AB6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61" t="str" cm="1">
        <f t="array" ref="AC661">_xlfn.IFS(Table2[[#This Row],[Satification_points]]&gt;=4.5,"GREAT",AND(Table2[[#This Row],[Satification_points]]&gt;=4,Table2[[#This Row],[Satification_points]]&lt;4.5),"GOOD",AND(Table2[[#This Row],[Satification_points]]&gt;=3,Table2[[#This Row],[Satification_points]]&lt;4),"AVERAGE",Table2[[#This Row],[Satification_points]]&lt;3,"POOR")</f>
        <v>POOR</v>
      </c>
    </row>
    <row r="662" spans="1:29" x14ac:dyDescent="0.3">
      <c r="A662">
        <v>661</v>
      </c>
      <c r="B662">
        <v>22384</v>
      </c>
      <c r="C662" t="s">
        <v>714</v>
      </c>
      <c r="D662" t="s">
        <v>51</v>
      </c>
      <c r="E662" t="s">
        <v>35</v>
      </c>
      <c r="F662" s="1">
        <v>44929</v>
      </c>
      <c r="G662" s="1">
        <v>45006</v>
      </c>
      <c r="H662">
        <v>6</v>
      </c>
      <c r="I662" t="s">
        <v>42</v>
      </c>
      <c r="J662" t="s">
        <v>29</v>
      </c>
      <c r="K662">
        <v>5</v>
      </c>
      <c r="L662">
        <v>5</v>
      </c>
      <c r="M662">
        <v>3</v>
      </c>
      <c r="N662">
        <v>2</v>
      </c>
      <c r="O662">
        <v>1</v>
      </c>
      <c r="P662">
        <v>4</v>
      </c>
      <c r="Q662">
        <v>1</v>
      </c>
      <c r="R662">
        <v>3</v>
      </c>
      <c r="S662">
        <v>4</v>
      </c>
      <c r="T662">
        <v>2</v>
      </c>
      <c r="U662" t="s">
        <v>37</v>
      </c>
      <c r="V662" t="s">
        <v>31</v>
      </c>
      <c r="W662" t="s">
        <v>56</v>
      </c>
      <c r="X662" t="s">
        <v>44</v>
      </c>
      <c r="Y662">
        <v>68</v>
      </c>
      <c r="Z662" s="1">
        <v>45019</v>
      </c>
      <c r="AA662" t="str" cm="1">
        <f t="array" ref="AA662">_xlfn.IFS(AND(Table2[[#This Row],[Guest_Age]]&gt;=18,Table2[[#This Row],[Guest_Age]]&lt;=25),"Young Adults",AND(Table2[[#This Row],[Guest_Age]]&gt;=26,Table2[[#This Row],[Guest_Age]]&lt;=35),"Adults",AND(Table2[[#This Row],[Guest_Age]]&gt;=36,Table2[[#This Row],[Guest_Age]]&lt;=50),"Middle Aged Adults",Table2[[#This Row],[Guest_Age]]&gt;50,"Senior")</f>
        <v>Senior</v>
      </c>
      <c r="AB6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62" t="str" cm="1">
        <f t="array" ref="AC662">_xlfn.IFS(Table2[[#This Row],[Satification_points]]&gt;=4.5,"GREAT",AND(Table2[[#This Row],[Satification_points]]&gt;=4,Table2[[#This Row],[Satification_points]]&lt;4.5),"GOOD",AND(Table2[[#This Row],[Satification_points]]&gt;=3,Table2[[#This Row],[Satification_points]]&lt;4),"AVERAGE",Table2[[#This Row],[Satification_points]]&lt;3,"POOR")</f>
        <v>AVERAGE</v>
      </c>
    </row>
    <row r="663" spans="1:29" x14ac:dyDescent="0.3">
      <c r="A663">
        <v>662</v>
      </c>
      <c r="B663">
        <v>49852</v>
      </c>
      <c r="C663" t="s">
        <v>715</v>
      </c>
      <c r="D663" t="s">
        <v>34</v>
      </c>
      <c r="E663" t="s">
        <v>35</v>
      </c>
      <c r="F663" s="1">
        <v>45447</v>
      </c>
      <c r="G663" s="1">
        <v>45532</v>
      </c>
      <c r="H663">
        <v>5</v>
      </c>
      <c r="I663" t="s">
        <v>28</v>
      </c>
      <c r="J663" t="s">
        <v>43</v>
      </c>
      <c r="K663">
        <v>4</v>
      </c>
      <c r="L663">
        <v>2</v>
      </c>
      <c r="M663">
        <v>1</v>
      </c>
      <c r="N663">
        <v>3</v>
      </c>
      <c r="O663">
        <v>2</v>
      </c>
      <c r="P663">
        <v>1</v>
      </c>
      <c r="Q663">
        <v>1</v>
      </c>
      <c r="R663">
        <v>3</v>
      </c>
      <c r="S663">
        <v>5</v>
      </c>
      <c r="T663">
        <v>5</v>
      </c>
      <c r="U663" t="s">
        <v>37</v>
      </c>
      <c r="V663" t="s">
        <v>46</v>
      </c>
      <c r="W663" t="s">
        <v>32</v>
      </c>
      <c r="X663" t="s">
        <v>40</v>
      </c>
      <c r="Y663">
        <v>32</v>
      </c>
      <c r="Z663" s="1">
        <v>45632</v>
      </c>
      <c r="AA663" t="str" cm="1">
        <f t="array" ref="AA663">_xlfn.IFS(AND(Table2[[#This Row],[Guest_Age]]&gt;=18,Table2[[#This Row],[Guest_Age]]&lt;=25),"Young Adults",AND(Table2[[#This Row],[Guest_Age]]&gt;=26,Table2[[#This Row],[Guest_Age]]&lt;=35),"Adults",AND(Table2[[#This Row],[Guest_Age]]&gt;=36,Table2[[#This Row],[Guest_Age]]&lt;=50),"Middle Aged Adults",Table2[[#This Row],[Guest_Age]]&gt;50,"Senior")</f>
        <v>Adults</v>
      </c>
      <c r="AB6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63" t="str" cm="1">
        <f t="array" ref="AC663">_xlfn.IFS(Table2[[#This Row],[Satification_points]]&gt;=4.5,"GREAT",AND(Table2[[#This Row],[Satification_points]]&gt;=4,Table2[[#This Row],[Satification_points]]&lt;4.5),"GOOD",AND(Table2[[#This Row],[Satification_points]]&gt;=3,Table2[[#This Row],[Satification_points]]&lt;4),"AVERAGE",Table2[[#This Row],[Satification_points]]&lt;3,"POOR")</f>
        <v>POOR</v>
      </c>
    </row>
    <row r="664" spans="1:29" x14ac:dyDescent="0.3">
      <c r="A664">
        <v>663</v>
      </c>
      <c r="B664">
        <v>25195</v>
      </c>
      <c r="C664" t="s">
        <v>716</v>
      </c>
      <c r="D664" t="s">
        <v>26</v>
      </c>
      <c r="E664" t="s">
        <v>52</v>
      </c>
      <c r="F664" s="1">
        <v>45446</v>
      </c>
      <c r="G664" s="1">
        <v>45447</v>
      </c>
      <c r="H664">
        <v>1</v>
      </c>
      <c r="I664" t="s">
        <v>50</v>
      </c>
      <c r="J664" t="s">
        <v>53</v>
      </c>
      <c r="K664">
        <v>2</v>
      </c>
      <c r="L664">
        <v>2</v>
      </c>
      <c r="M664">
        <v>4</v>
      </c>
      <c r="N664">
        <v>1</v>
      </c>
      <c r="O664">
        <v>4</v>
      </c>
      <c r="P664">
        <v>1</v>
      </c>
      <c r="Q664">
        <v>2</v>
      </c>
      <c r="R664">
        <v>4</v>
      </c>
      <c r="S664">
        <v>4</v>
      </c>
      <c r="T664">
        <v>3</v>
      </c>
      <c r="U664" t="s">
        <v>37</v>
      </c>
      <c r="V664" t="s">
        <v>46</v>
      </c>
      <c r="W664" t="s">
        <v>32</v>
      </c>
      <c r="X664" t="s">
        <v>40</v>
      </c>
      <c r="Y664">
        <v>41</v>
      </c>
      <c r="Z664" s="1">
        <v>45447</v>
      </c>
      <c r="AA664" t="str" cm="1">
        <f t="array" ref="AA6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6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64" t="str" cm="1">
        <f t="array" ref="AC664">_xlfn.IFS(Table2[[#This Row],[Satification_points]]&gt;=4.5,"GREAT",AND(Table2[[#This Row],[Satification_points]]&gt;=4,Table2[[#This Row],[Satification_points]]&lt;4.5),"GOOD",AND(Table2[[#This Row],[Satification_points]]&gt;=3,Table2[[#This Row],[Satification_points]]&lt;4),"AVERAGE",Table2[[#This Row],[Satification_points]]&lt;3,"POOR")</f>
        <v>POOR</v>
      </c>
    </row>
    <row r="665" spans="1:29" x14ac:dyDescent="0.3">
      <c r="A665">
        <v>664</v>
      </c>
      <c r="B665">
        <v>96210</v>
      </c>
      <c r="C665" t="s">
        <v>717</v>
      </c>
      <c r="D665" t="s">
        <v>48</v>
      </c>
      <c r="E665" t="s">
        <v>35</v>
      </c>
      <c r="F665" s="1">
        <v>45447</v>
      </c>
      <c r="G665" s="1">
        <v>45448</v>
      </c>
      <c r="H665">
        <v>2</v>
      </c>
      <c r="I665" t="s">
        <v>49</v>
      </c>
      <c r="J665" t="s">
        <v>43</v>
      </c>
      <c r="K665">
        <v>2</v>
      </c>
      <c r="L665">
        <v>5</v>
      </c>
      <c r="M665">
        <v>3</v>
      </c>
      <c r="N665">
        <v>2</v>
      </c>
      <c r="O665">
        <v>5</v>
      </c>
      <c r="P665">
        <v>2</v>
      </c>
      <c r="Q665">
        <v>5</v>
      </c>
      <c r="R665">
        <v>1</v>
      </c>
      <c r="S665">
        <v>5</v>
      </c>
      <c r="T665">
        <v>1</v>
      </c>
      <c r="U665" t="s">
        <v>37</v>
      </c>
      <c r="V665" t="s">
        <v>38</v>
      </c>
      <c r="W665" t="s">
        <v>39</v>
      </c>
      <c r="X665" t="s">
        <v>44</v>
      </c>
      <c r="Y665">
        <v>64</v>
      </c>
      <c r="Z665" s="1">
        <v>45448</v>
      </c>
      <c r="AA665" t="str" cm="1">
        <f t="array" ref="AA665">_xlfn.IFS(AND(Table2[[#This Row],[Guest_Age]]&gt;=18,Table2[[#This Row],[Guest_Age]]&lt;=25),"Young Adults",AND(Table2[[#This Row],[Guest_Age]]&gt;=26,Table2[[#This Row],[Guest_Age]]&lt;=35),"Adults",AND(Table2[[#This Row],[Guest_Age]]&gt;=36,Table2[[#This Row],[Guest_Age]]&lt;=50),"Middle Aged Adults",Table2[[#This Row],[Guest_Age]]&gt;50,"Senior")</f>
        <v>Senior</v>
      </c>
      <c r="AB6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65" t="str" cm="1">
        <f t="array" ref="AC665">_xlfn.IFS(Table2[[#This Row],[Satification_points]]&gt;=4.5,"GREAT",AND(Table2[[#This Row],[Satification_points]]&gt;=4,Table2[[#This Row],[Satification_points]]&lt;4.5),"GOOD",AND(Table2[[#This Row],[Satification_points]]&gt;=3,Table2[[#This Row],[Satification_points]]&lt;4),"AVERAGE",Table2[[#This Row],[Satification_points]]&lt;3,"POOR")</f>
        <v>AVERAGE</v>
      </c>
    </row>
    <row r="666" spans="1:29" x14ac:dyDescent="0.3">
      <c r="A666">
        <v>665</v>
      </c>
      <c r="B666">
        <v>44125</v>
      </c>
      <c r="C666" t="s">
        <v>718</v>
      </c>
      <c r="D666" t="s">
        <v>34</v>
      </c>
      <c r="E666" t="s">
        <v>45</v>
      </c>
      <c r="F666" s="1">
        <v>45327</v>
      </c>
      <c r="G666" s="1">
        <v>45328</v>
      </c>
      <c r="H666">
        <v>2</v>
      </c>
      <c r="I666" t="s">
        <v>42</v>
      </c>
      <c r="J666" t="s">
        <v>29</v>
      </c>
      <c r="K666">
        <v>5</v>
      </c>
      <c r="L666">
        <v>1</v>
      </c>
      <c r="M666">
        <v>2</v>
      </c>
      <c r="N666">
        <v>4</v>
      </c>
      <c r="O666">
        <v>2</v>
      </c>
      <c r="P666">
        <v>5</v>
      </c>
      <c r="Q666">
        <v>5</v>
      </c>
      <c r="R666">
        <v>2</v>
      </c>
      <c r="S666">
        <v>1</v>
      </c>
      <c r="T666">
        <v>1</v>
      </c>
      <c r="U666" t="s">
        <v>37</v>
      </c>
      <c r="V666" t="s">
        <v>38</v>
      </c>
      <c r="W666" t="s">
        <v>56</v>
      </c>
      <c r="X666" t="s">
        <v>44</v>
      </c>
      <c r="Y666">
        <v>61</v>
      </c>
      <c r="Z666" s="1">
        <v>45328</v>
      </c>
      <c r="AA666" t="str" cm="1">
        <f t="array" ref="AA666">_xlfn.IFS(AND(Table2[[#This Row],[Guest_Age]]&gt;=18,Table2[[#This Row],[Guest_Age]]&lt;=25),"Young Adults",AND(Table2[[#This Row],[Guest_Age]]&gt;=26,Table2[[#This Row],[Guest_Age]]&lt;=35),"Adults",AND(Table2[[#This Row],[Guest_Age]]&gt;=36,Table2[[#This Row],[Guest_Age]]&lt;=50),"Middle Aged Adults",Table2[[#This Row],[Guest_Age]]&gt;50,"Senior")</f>
        <v>Senior</v>
      </c>
      <c r="AB6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66" t="str" cm="1">
        <f t="array" ref="AC666">_xlfn.IFS(Table2[[#This Row],[Satification_points]]&gt;=4.5,"GREAT",AND(Table2[[#This Row],[Satification_points]]&gt;=4,Table2[[#This Row],[Satification_points]]&lt;4.5),"GOOD",AND(Table2[[#This Row],[Satification_points]]&gt;=3,Table2[[#This Row],[Satification_points]]&lt;4),"AVERAGE",Table2[[#This Row],[Satification_points]]&lt;3,"POOR")</f>
        <v>POOR</v>
      </c>
    </row>
    <row r="667" spans="1:29" x14ac:dyDescent="0.3">
      <c r="A667">
        <v>666</v>
      </c>
      <c r="B667">
        <v>10082</v>
      </c>
      <c r="C667" t="s">
        <v>719</v>
      </c>
      <c r="D667" t="s">
        <v>51</v>
      </c>
      <c r="E667" t="s">
        <v>57</v>
      </c>
      <c r="F667" s="1">
        <v>45590</v>
      </c>
      <c r="G667" s="1">
        <v>45618</v>
      </c>
      <c r="H667">
        <v>7</v>
      </c>
      <c r="I667" t="s">
        <v>50</v>
      </c>
      <c r="J667" t="s">
        <v>40</v>
      </c>
      <c r="K667">
        <v>2</v>
      </c>
      <c r="L667">
        <v>5</v>
      </c>
      <c r="M667">
        <v>4</v>
      </c>
      <c r="N667">
        <v>1</v>
      </c>
      <c r="O667">
        <v>2</v>
      </c>
      <c r="P667">
        <v>2</v>
      </c>
      <c r="Q667">
        <v>3</v>
      </c>
      <c r="R667">
        <v>2</v>
      </c>
      <c r="S667">
        <v>2</v>
      </c>
      <c r="T667">
        <v>5</v>
      </c>
      <c r="U667" t="s">
        <v>30</v>
      </c>
      <c r="V667" t="s">
        <v>46</v>
      </c>
      <c r="W667" t="s">
        <v>39</v>
      </c>
      <c r="X667" t="s">
        <v>40</v>
      </c>
      <c r="Y667">
        <v>65</v>
      </c>
      <c r="Z667" s="1">
        <v>45618</v>
      </c>
      <c r="AA667" t="str" cm="1">
        <f t="array" ref="AA667">_xlfn.IFS(AND(Table2[[#This Row],[Guest_Age]]&gt;=18,Table2[[#This Row],[Guest_Age]]&lt;=25),"Young Adults",AND(Table2[[#This Row],[Guest_Age]]&gt;=26,Table2[[#This Row],[Guest_Age]]&lt;=35),"Adults",AND(Table2[[#This Row],[Guest_Age]]&gt;=36,Table2[[#This Row],[Guest_Age]]&lt;=50),"Middle Aged Adults",Table2[[#This Row],[Guest_Age]]&gt;50,"Senior")</f>
        <v>Senior</v>
      </c>
      <c r="AB6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67" t="str" cm="1">
        <f t="array" ref="AC667">_xlfn.IFS(Table2[[#This Row],[Satification_points]]&gt;=4.5,"GREAT",AND(Table2[[#This Row],[Satification_points]]&gt;=4,Table2[[#This Row],[Satification_points]]&lt;4.5),"GOOD",AND(Table2[[#This Row],[Satification_points]]&gt;=3,Table2[[#This Row],[Satification_points]]&lt;4),"AVERAGE",Table2[[#This Row],[Satification_points]]&lt;3,"POOR")</f>
        <v>POOR</v>
      </c>
    </row>
    <row r="668" spans="1:29" x14ac:dyDescent="0.3">
      <c r="A668">
        <v>667</v>
      </c>
      <c r="B668">
        <v>83978</v>
      </c>
      <c r="C668" t="s">
        <v>720</v>
      </c>
      <c r="D668" t="s">
        <v>34</v>
      </c>
      <c r="E668" t="s">
        <v>45</v>
      </c>
      <c r="F668" s="1">
        <v>45580</v>
      </c>
      <c r="G668" s="1">
        <v>45581</v>
      </c>
      <c r="H668">
        <v>12</v>
      </c>
      <c r="I668" t="s">
        <v>49</v>
      </c>
      <c r="J668" t="s">
        <v>29</v>
      </c>
      <c r="K668">
        <v>2</v>
      </c>
      <c r="L668">
        <v>5</v>
      </c>
      <c r="M668">
        <v>3</v>
      </c>
      <c r="N668">
        <v>3</v>
      </c>
      <c r="O668">
        <v>2</v>
      </c>
      <c r="P668">
        <v>5</v>
      </c>
      <c r="Q668">
        <v>2</v>
      </c>
      <c r="R668">
        <v>3</v>
      </c>
      <c r="S668">
        <v>3</v>
      </c>
      <c r="T668">
        <v>3</v>
      </c>
      <c r="U668" t="s">
        <v>30</v>
      </c>
      <c r="V668" t="s">
        <v>46</v>
      </c>
      <c r="W668" t="s">
        <v>55</v>
      </c>
      <c r="X668" t="s">
        <v>44</v>
      </c>
      <c r="Y668">
        <v>60</v>
      </c>
      <c r="Z668" s="1">
        <v>45581</v>
      </c>
      <c r="AA668" t="str" cm="1">
        <f t="array" ref="AA668">_xlfn.IFS(AND(Table2[[#This Row],[Guest_Age]]&gt;=18,Table2[[#This Row],[Guest_Age]]&lt;=25),"Young Adults",AND(Table2[[#This Row],[Guest_Age]]&gt;=26,Table2[[#This Row],[Guest_Age]]&lt;=35),"Adults",AND(Table2[[#This Row],[Guest_Age]]&gt;=36,Table2[[#This Row],[Guest_Age]]&lt;=50),"Middle Aged Adults",Table2[[#This Row],[Guest_Age]]&gt;50,"Senior")</f>
        <v>Senior</v>
      </c>
      <c r="AB6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68" t="str" cm="1">
        <f t="array" ref="AC668">_xlfn.IFS(Table2[[#This Row],[Satification_points]]&gt;=4.5,"GREAT",AND(Table2[[#This Row],[Satification_points]]&gt;=4,Table2[[#This Row],[Satification_points]]&lt;4.5),"GOOD",AND(Table2[[#This Row],[Satification_points]]&gt;=3,Table2[[#This Row],[Satification_points]]&lt;4),"AVERAGE",Table2[[#This Row],[Satification_points]]&lt;3,"POOR")</f>
        <v>AVERAGE</v>
      </c>
    </row>
    <row r="669" spans="1:29" x14ac:dyDescent="0.3">
      <c r="A669">
        <v>668</v>
      </c>
      <c r="B669">
        <v>84821</v>
      </c>
      <c r="C669" t="s">
        <v>721</v>
      </c>
      <c r="D669" t="s">
        <v>41</v>
      </c>
      <c r="E669" t="s">
        <v>27</v>
      </c>
      <c r="F669" s="1">
        <v>45200</v>
      </c>
      <c r="G669" s="1">
        <v>45343</v>
      </c>
      <c r="H669">
        <v>7</v>
      </c>
      <c r="I669" t="s">
        <v>42</v>
      </c>
      <c r="J669" t="s">
        <v>53</v>
      </c>
      <c r="K669">
        <v>3</v>
      </c>
      <c r="L669">
        <v>4</v>
      </c>
      <c r="M669">
        <v>2</v>
      </c>
      <c r="N669">
        <v>2</v>
      </c>
      <c r="O669">
        <v>2</v>
      </c>
      <c r="P669">
        <v>2</v>
      </c>
      <c r="Q669">
        <v>1</v>
      </c>
      <c r="R669">
        <v>4</v>
      </c>
      <c r="S669">
        <v>1</v>
      </c>
      <c r="T669">
        <v>4</v>
      </c>
      <c r="U669" t="s">
        <v>30</v>
      </c>
      <c r="V669" t="s">
        <v>54</v>
      </c>
      <c r="W669" t="s">
        <v>55</v>
      </c>
      <c r="X669" t="s">
        <v>44</v>
      </c>
      <c r="Y669">
        <v>56</v>
      </c>
      <c r="Z669" s="1">
        <v>45622</v>
      </c>
      <c r="AA669" t="str" cm="1">
        <f t="array" ref="AA669">_xlfn.IFS(AND(Table2[[#This Row],[Guest_Age]]&gt;=18,Table2[[#This Row],[Guest_Age]]&lt;=25),"Young Adults",AND(Table2[[#This Row],[Guest_Age]]&gt;=26,Table2[[#This Row],[Guest_Age]]&lt;=35),"Adults",AND(Table2[[#This Row],[Guest_Age]]&gt;=36,Table2[[#This Row],[Guest_Age]]&lt;=50),"Middle Aged Adults",Table2[[#This Row],[Guest_Age]]&gt;50,"Senior")</f>
        <v>Senior</v>
      </c>
      <c r="AB6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69" t="str" cm="1">
        <f t="array" ref="AC669">_xlfn.IFS(Table2[[#This Row],[Satification_points]]&gt;=4.5,"GREAT",AND(Table2[[#This Row],[Satification_points]]&gt;=4,Table2[[#This Row],[Satification_points]]&lt;4.5),"GOOD",AND(Table2[[#This Row],[Satification_points]]&gt;=3,Table2[[#This Row],[Satification_points]]&lt;4),"AVERAGE",Table2[[#This Row],[Satification_points]]&lt;3,"POOR")</f>
        <v>POOR</v>
      </c>
    </row>
    <row r="670" spans="1:29" x14ac:dyDescent="0.3">
      <c r="A670">
        <v>669</v>
      </c>
      <c r="B670">
        <v>61532</v>
      </c>
      <c r="C670" t="s">
        <v>722</v>
      </c>
      <c r="D670" t="s">
        <v>26</v>
      </c>
      <c r="E670" t="s">
        <v>57</v>
      </c>
      <c r="F670" s="1">
        <v>45398</v>
      </c>
      <c r="G670" s="1">
        <v>45399</v>
      </c>
      <c r="H670">
        <v>6</v>
      </c>
      <c r="I670" t="s">
        <v>49</v>
      </c>
      <c r="J670" t="s">
        <v>40</v>
      </c>
      <c r="K670">
        <v>4</v>
      </c>
      <c r="L670">
        <v>4</v>
      </c>
      <c r="M670">
        <v>2</v>
      </c>
      <c r="N670">
        <v>3</v>
      </c>
      <c r="O670">
        <v>4</v>
      </c>
      <c r="P670">
        <v>5</v>
      </c>
      <c r="Q670">
        <v>2</v>
      </c>
      <c r="R670">
        <v>5</v>
      </c>
      <c r="S670">
        <v>2</v>
      </c>
      <c r="T670">
        <v>4</v>
      </c>
      <c r="U670" t="s">
        <v>37</v>
      </c>
      <c r="V670" t="s">
        <v>38</v>
      </c>
      <c r="W670" t="s">
        <v>32</v>
      </c>
      <c r="X670" t="s">
        <v>33</v>
      </c>
      <c r="Y670">
        <v>42</v>
      </c>
      <c r="Z670" s="1">
        <v>45399</v>
      </c>
      <c r="AA670" t="str" cm="1">
        <f t="array" ref="AA6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6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670" t="str" cm="1">
        <f t="array" ref="AC670">_xlfn.IFS(Table2[[#This Row],[Satification_points]]&gt;=4.5,"GREAT",AND(Table2[[#This Row],[Satification_points]]&gt;=4,Table2[[#This Row],[Satification_points]]&lt;4.5),"GOOD",AND(Table2[[#This Row],[Satification_points]]&gt;=3,Table2[[#This Row],[Satification_points]]&lt;4),"AVERAGE",Table2[[#This Row],[Satification_points]]&lt;3,"POOR")</f>
        <v>AVERAGE</v>
      </c>
    </row>
    <row r="671" spans="1:29" x14ac:dyDescent="0.3">
      <c r="A671">
        <v>670</v>
      </c>
      <c r="B671">
        <v>93328</v>
      </c>
      <c r="C671" t="s">
        <v>723</v>
      </c>
      <c r="D671" t="s">
        <v>26</v>
      </c>
      <c r="E671" t="s">
        <v>27</v>
      </c>
      <c r="F671" s="1">
        <v>45298</v>
      </c>
      <c r="G671" s="1">
        <v>45304</v>
      </c>
      <c r="H671">
        <v>14</v>
      </c>
      <c r="I671" t="s">
        <v>28</v>
      </c>
      <c r="J671" t="s">
        <v>40</v>
      </c>
      <c r="K671">
        <v>5</v>
      </c>
      <c r="L671">
        <v>5</v>
      </c>
      <c r="M671">
        <v>5</v>
      </c>
      <c r="N671">
        <v>3</v>
      </c>
      <c r="O671">
        <v>1</v>
      </c>
      <c r="P671">
        <v>5</v>
      </c>
      <c r="Q671">
        <v>1</v>
      </c>
      <c r="R671">
        <v>3</v>
      </c>
      <c r="S671">
        <v>5</v>
      </c>
      <c r="T671">
        <v>1</v>
      </c>
      <c r="U671" t="s">
        <v>30</v>
      </c>
      <c r="V671" t="s">
        <v>38</v>
      </c>
      <c r="W671" t="s">
        <v>47</v>
      </c>
      <c r="X671" t="s">
        <v>40</v>
      </c>
      <c r="Y671">
        <v>33</v>
      </c>
      <c r="Z671" s="1">
        <v>45501</v>
      </c>
      <c r="AA671" t="str" cm="1">
        <f t="array" ref="AA671">_xlfn.IFS(AND(Table2[[#This Row],[Guest_Age]]&gt;=18,Table2[[#This Row],[Guest_Age]]&lt;=25),"Young Adults",AND(Table2[[#This Row],[Guest_Age]]&gt;=26,Table2[[#This Row],[Guest_Age]]&lt;=35),"Adults",AND(Table2[[#This Row],[Guest_Age]]&gt;=36,Table2[[#This Row],[Guest_Age]]&lt;=50),"Middle Aged Adults",Table2[[#This Row],[Guest_Age]]&gt;50,"Senior")</f>
        <v>Adults</v>
      </c>
      <c r="AB6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671" t="str" cm="1">
        <f t="array" ref="AC671">_xlfn.IFS(Table2[[#This Row],[Satification_points]]&gt;=4.5,"GREAT",AND(Table2[[#This Row],[Satification_points]]&gt;=4,Table2[[#This Row],[Satification_points]]&lt;4.5),"GOOD",AND(Table2[[#This Row],[Satification_points]]&gt;=3,Table2[[#This Row],[Satification_points]]&lt;4),"AVERAGE",Table2[[#This Row],[Satification_points]]&lt;3,"POOR")</f>
        <v>AVERAGE</v>
      </c>
    </row>
    <row r="672" spans="1:29" x14ac:dyDescent="0.3">
      <c r="A672">
        <v>671</v>
      </c>
      <c r="B672">
        <v>57803</v>
      </c>
      <c r="C672" t="s">
        <v>724</v>
      </c>
      <c r="D672" t="s">
        <v>48</v>
      </c>
      <c r="E672" t="s">
        <v>27</v>
      </c>
      <c r="F672" s="1">
        <v>45357</v>
      </c>
      <c r="G672" s="1">
        <v>45412</v>
      </c>
      <c r="H672">
        <v>8</v>
      </c>
      <c r="I672" t="s">
        <v>49</v>
      </c>
      <c r="J672" t="s">
        <v>53</v>
      </c>
      <c r="K672">
        <v>1</v>
      </c>
      <c r="L672">
        <v>3</v>
      </c>
      <c r="M672">
        <v>5</v>
      </c>
      <c r="N672">
        <v>2</v>
      </c>
      <c r="O672">
        <v>1</v>
      </c>
      <c r="P672">
        <v>2</v>
      </c>
      <c r="Q672">
        <v>5</v>
      </c>
      <c r="R672">
        <v>3</v>
      </c>
      <c r="S672">
        <v>3</v>
      </c>
      <c r="T672">
        <v>1</v>
      </c>
      <c r="U672" t="s">
        <v>30</v>
      </c>
      <c r="V672" t="s">
        <v>54</v>
      </c>
      <c r="W672" t="s">
        <v>32</v>
      </c>
      <c r="X672" t="s">
        <v>33</v>
      </c>
      <c r="Y672">
        <v>59</v>
      </c>
      <c r="Z672" s="1">
        <v>45412</v>
      </c>
      <c r="AA672" t="str" cm="1">
        <f t="array" ref="AA672">_xlfn.IFS(AND(Table2[[#This Row],[Guest_Age]]&gt;=18,Table2[[#This Row],[Guest_Age]]&lt;=25),"Young Adults",AND(Table2[[#This Row],[Guest_Age]]&gt;=26,Table2[[#This Row],[Guest_Age]]&lt;=35),"Adults",AND(Table2[[#This Row],[Guest_Age]]&gt;=36,Table2[[#This Row],[Guest_Age]]&lt;=50),"Middle Aged Adults",Table2[[#This Row],[Guest_Age]]&gt;50,"Senior")</f>
        <v>Senior</v>
      </c>
      <c r="AB6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72" t="str" cm="1">
        <f t="array" ref="AC672">_xlfn.IFS(Table2[[#This Row],[Satification_points]]&gt;=4.5,"GREAT",AND(Table2[[#This Row],[Satification_points]]&gt;=4,Table2[[#This Row],[Satification_points]]&lt;4.5),"GOOD",AND(Table2[[#This Row],[Satification_points]]&gt;=3,Table2[[#This Row],[Satification_points]]&lt;4),"AVERAGE",Table2[[#This Row],[Satification_points]]&lt;3,"POOR")</f>
        <v>POOR</v>
      </c>
    </row>
    <row r="673" spans="1:29" x14ac:dyDescent="0.3">
      <c r="A673">
        <v>672</v>
      </c>
      <c r="B673">
        <v>68825</v>
      </c>
      <c r="C673" t="s">
        <v>725</v>
      </c>
      <c r="D673" t="s">
        <v>48</v>
      </c>
      <c r="E673" t="s">
        <v>52</v>
      </c>
      <c r="F673" s="1">
        <v>45465</v>
      </c>
      <c r="G673" s="1">
        <v>45466</v>
      </c>
      <c r="H673">
        <v>4</v>
      </c>
      <c r="I673" t="s">
        <v>28</v>
      </c>
      <c r="J673" t="s">
        <v>43</v>
      </c>
      <c r="K673">
        <v>1</v>
      </c>
      <c r="L673">
        <v>2</v>
      </c>
      <c r="M673">
        <v>2</v>
      </c>
      <c r="N673">
        <v>3</v>
      </c>
      <c r="O673">
        <v>5</v>
      </c>
      <c r="P673">
        <v>3</v>
      </c>
      <c r="Q673">
        <v>1</v>
      </c>
      <c r="R673">
        <v>3</v>
      </c>
      <c r="S673">
        <v>4</v>
      </c>
      <c r="T673">
        <v>1</v>
      </c>
      <c r="U673" t="s">
        <v>37</v>
      </c>
      <c r="V673" t="s">
        <v>38</v>
      </c>
      <c r="W673" t="s">
        <v>56</v>
      </c>
      <c r="X673" t="s">
        <v>40</v>
      </c>
      <c r="Y673">
        <v>39</v>
      </c>
      <c r="Z673" s="1">
        <v>45466</v>
      </c>
      <c r="AA673" t="str" cm="1">
        <f t="array" ref="AA673">_xlfn.IFS(AND(Table2[[#This Row],[Guest_Age]]&gt;=18,Table2[[#This Row],[Guest_Age]]&lt;=25),"Young Adults",AND(Table2[[#This Row],[Guest_Age]]&gt;=26,Table2[[#This Row],[Guest_Age]]&lt;=35),"Adults",AND(Table2[[#This Row],[Guest_Age]]&gt;=36,Table2[[#This Row],[Guest_Age]]&lt;=50),"Middle Aged Adults",Table2[[#This Row],[Guest_Age]]&gt;50,"Senior")</f>
        <v>Middle Aged Adults</v>
      </c>
      <c r="AB6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73" t="str" cm="1">
        <f t="array" ref="AC673">_xlfn.IFS(Table2[[#This Row],[Satification_points]]&gt;=4.5,"GREAT",AND(Table2[[#This Row],[Satification_points]]&gt;=4,Table2[[#This Row],[Satification_points]]&lt;4.5),"GOOD",AND(Table2[[#This Row],[Satification_points]]&gt;=3,Table2[[#This Row],[Satification_points]]&lt;4),"AVERAGE",Table2[[#This Row],[Satification_points]]&lt;3,"POOR")</f>
        <v>POOR</v>
      </c>
    </row>
    <row r="674" spans="1:29" x14ac:dyDescent="0.3">
      <c r="A674">
        <v>673</v>
      </c>
      <c r="B674">
        <v>91036</v>
      </c>
      <c r="C674" t="s">
        <v>726</v>
      </c>
      <c r="D674" t="s">
        <v>51</v>
      </c>
      <c r="E674" t="s">
        <v>27</v>
      </c>
      <c r="F674" s="1">
        <v>45274</v>
      </c>
      <c r="G674" s="1">
        <v>45582</v>
      </c>
      <c r="H674">
        <v>9</v>
      </c>
      <c r="I674" t="s">
        <v>42</v>
      </c>
      <c r="J674" t="s">
        <v>40</v>
      </c>
      <c r="K674">
        <v>4</v>
      </c>
      <c r="L674">
        <v>5</v>
      </c>
      <c r="M674">
        <v>3</v>
      </c>
      <c r="N674">
        <v>4</v>
      </c>
      <c r="O674">
        <v>2</v>
      </c>
      <c r="P674">
        <v>1</v>
      </c>
      <c r="Q674">
        <v>5</v>
      </c>
      <c r="R674">
        <v>2</v>
      </c>
      <c r="S674">
        <v>1</v>
      </c>
      <c r="T674">
        <v>5</v>
      </c>
      <c r="U674" t="s">
        <v>37</v>
      </c>
      <c r="V674" t="s">
        <v>58</v>
      </c>
      <c r="W674" t="s">
        <v>32</v>
      </c>
      <c r="X674" t="s">
        <v>33</v>
      </c>
      <c r="Y674">
        <v>67</v>
      </c>
      <c r="Z674" s="1">
        <v>45582</v>
      </c>
      <c r="AA674" t="str" cm="1">
        <f t="array" ref="AA674">_xlfn.IFS(AND(Table2[[#This Row],[Guest_Age]]&gt;=18,Table2[[#This Row],[Guest_Age]]&lt;=25),"Young Adults",AND(Table2[[#This Row],[Guest_Age]]&gt;=26,Table2[[#This Row],[Guest_Age]]&lt;=35),"Adults",AND(Table2[[#This Row],[Guest_Age]]&gt;=36,Table2[[#This Row],[Guest_Age]]&lt;=50),"Middle Aged Adults",Table2[[#This Row],[Guest_Age]]&gt;50,"Senior")</f>
        <v>Senior</v>
      </c>
      <c r="AB6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74" t="str" cm="1">
        <f t="array" ref="AC674">_xlfn.IFS(Table2[[#This Row],[Satification_points]]&gt;=4.5,"GREAT",AND(Table2[[#This Row],[Satification_points]]&gt;=4,Table2[[#This Row],[Satification_points]]&lt;4.5),"GOOD",AND(Table2[[#This Row],[Satification_points]]&gt;=3,Table2[[#This Row],[Satification_points]]&lt;4),"AVERAGE",Table2[[#This Row],[Satification_points]]&lt;3,"POOR")</f>
        <v>AVERAGE</v>
      </c>
    </row>
    <row r="675" spans="1:29" x14ac:dyDescent="0.3">
      <c r="A675">
        <v>674</v>
      </c>
      <c r="B675">
        <v>70555</v>
      </c>
      <c r="C675" t="s">
        <v>727</v>
      </c>
      <c r="D675" t="s">
        <v>34</v>
      </c>
      <c r="E675" t="s">
        <v>35</v>
      </c>
      <c r="F675" s="1">
        <v>44997</v>
      </c>
      <c r="G675" s="1">
        <v>45459</v>
      </c>
      <c r="H675">
        <v>8</v>
      </c>
      <c r="I675" t="s">
        <v>28</v>
      </c>
      <c r="J675" t="s">
        <v>43</v>
      </c>
      <c r="K675">
        <v>1</v>
      </c>
      <c r="L675">
        <v>1</v>
      </c>
      <c r="M675">
        <v>3</v>
      </c>
      <c r="N675">
        <v>4</v>
      </c>
      <c r="O675">
        <v>2</v>
      </c>
      <c r="P675">
        <v>4</v>
      </c>
      <c r="Q675">
        <v>1</v>
      </c>
      <c r="R675">
        <v>3</v>
      </c>
      <c r="S675">
        <v>4</v>
      </c>
      <c r="T675">
        <v>5</v>
      </c>
      <c r="U675" t="s">
        <v>37</v>
      </c>
      <c r="V675" t="s">
        <v>31</v>
      </c>
      <c r="W675" t="s">
        <v>39</v>
      </c>
      <c r="X675" t="s">
        <v>40</v>
      </c>
      <c r="Y675">
        <v>33</v>
      </c>
      <c r="Z675" s="1">
        <v>45581</v>
      </c>
      <c r="AA675" t="str" cm="1">
        <f t="array" ref="AA675">_xlfn.IFS(AND(Table2[[#This Row],[Guest_Age]]&gt;=18,Table2[[#This Row],[Guest_Age]]&lt;=25),"Young Adults",AND(Table2[[#This Row],[Guest_Age]]&gt;=26,Table2[[#This Row],[Guest_Age]]&lt;=35),"Adults",AND(Table2[[#This Row],[Guest_Age]]&gt;=36,Table2[[#This Row],[Guest_Age]]&lt;=50),"Middle Aged Adults",Table2[[#This Row],[Guest_Age]]&gt;50,"Senior")</f>
        <v>Adults</v>
      </c>
      <c r="AB6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75" t="str" cm="1">
        <f t="array" ref="AC675">_xlfn.IFS(Table2[[#This Row],[Satification_points]]&gt;=4.5,"GREAT",AND(Table2[[#This Row],[Satification_points]]&gt;=4,Table2[[#This Row],[Satification_points]]&lt;4.5),"GOOD",AND(Table2[[#This Row],[Satification_points]]&gt;=3,Table2[[#This Row],[Satification_points]]&lt;4),"AVERAGE",Table2[[#This Row],[Satification_points]]&lt;3,"POOR")</f>
        <v>POOR</v>
      </c>
    </row>
    <row r="676" spans="1:29" x14ac:dyDescent="0.3">
      <c r="A676">
        <v>675</v>
      </c>
      <c r="B676">
        <v>84826</v>
      </c>
      <c r="C676" t="s">
        <v>728</v>
      </c>
      <c r="D676" t="s">
        <v>41</v>
      </c>
      <c r="E676" t="s">
        <v>35</v>
      </c>
      <c r="F676" s="1">
        <v>45408</v>
      </c>
      <c r="G676" s="1">
        <v>45497</v>
      </c>
      <c r="H676">
        <v>3</v>
      </c>
      <c r="I676" t="s">
        <v>49</v>
      </c>
      <c r="J676" t="s">
        <v>36</v>
      </c>
      <c r="K676">
        <v>2</v>
      </c>
      <c r="L676">
        <v>2</v>
      </c>
      <c r="M676">
        <v>3</v>
      </c>
      <c r="N676">
        <v>5</v>
      </c>
      <c r="O676">
        <v>1</v>
      </c>
      <c r="P676">
        <v>1</v>
      </c>
      <c r="Q676">
        <v>3</v>
      </c>
      <c r="R676">
        <v>4</v>
      </c>
      <c r="S676">
        <v>3</v>
      </c>
      <c r="T676">
        <v>2</v>
      </c>
      <c r="U676" t="s">
        <v>37</v>
      </c>
      <c r="V676" t="s">
        <v>58</v>
      </c>
      <c r="W676" t="s">
        <v>32</v>
      </c>
      <c r="X676" t="s">
        <v>40</v>
      </c>
      <c r="Y676">
        <v>50</v>
      </c>
      <c r="Z676" s="1">
        <v>45497</v>
      </c>
      <c r="AA676" t="str" cm="1">
        <f t="array" ref="AA6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6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76" t="str" cm="1">
        <f t="array" ref="AC676">_xlfn.IFS(Table2[[#This Row],[Satification_points]]&gt;=4.5,"GREAT",AND(Table2[[#This Row],[Satification_points]]&gt;=4,Table2[[#This Row],[Satification_points]]&lt;4.5),"GOOD",AND(Table2[[#This Row],[Satification_points]]&gt;=3,Table2[[#This Row],[Satification_points]]&lt;4),"AVERAGE",Table2[[#This Row],[Satification_points]]&lt;3,"POOR")</f>
        <v>POOR</v>
      </c>
    </row>
    <row r="677" spans="1:29" x14ac:dyDescent="0.3">
      <c r="A677">
        <v>676</v>
      </c>
      <c r="B677">
        <v>46496</v>
      </c>
      <c r="C677" t="s">
        <v>729</v>
      </c>
      <c r="D677" t="s">
        <v>26</v>
      </c>
      <c r="E677" t="s">
        <v>27</v>
      </c>
      <c r="F677" s="1">
        <v>45657</v>
      </c>
      <c r="G677" s="1">
        <v>45658</v>
      </c>
      <c r="H677">
        <v>3</v>
      </c>
      <c r="I677" t="s">
        <v>28</v>
      </c>
      <c r="J677" t="s">
        <v>53</v>
      </c>
      <c r="K677">
        <v>3</v>
      </c>
      <c r="L677">
        <v>3</v>
      </c>
      <c r="M677">
        <v>3</v>
      </c>
      <c r="N677">
        <v>2</v>
      </c>
      <c r="O677">
        <v>5</v>
      </c>
      <c r="P677">
        <v>4</v>
      </c>
      <c r="Q677">
        <v>5</v>
      </c>
      <c r="R677">
        <v>2</v>
      </c>
      <c r="S677">
        <v>1</v>
      </c>
      <c r="T677">
        <v>5</v>
      </c>
      <c r="U677" t="s">
        <v>30</v>
      </c>
      <c r="V677" t="s">
        <v>38</v>
      </c>
      <c r="W677" t="s">
        <v>39</v>
      </c>
      <c r="X677" t="s">
        <v>33</v>
      </c>
      <c r="Y677">
        <v>22</v>
      </c>
      <c r="Z677" s="1">
        <v>45658</v>
      </c>
      <c r="AA677" t="str" cm="1">
        <f t="array" ref="AA677">_xlfn.IFS(AND(Table2[[#This Row],[Guest_Age]]&gt;=18,Table2[[#This Row],[Guest_Age]]&lt;=25),"Young Adults",AND(Table2[[#This Row],[Guest_Age]]&gt;=26,Table2[[#This Row],[Guest_Age]]&lt;=35),"Adults",AND(Table2[[#This Row],[Guest_Age]]&gt;=36,Table2[[#This Row],[Guest_Age]]&lt;=50),"Middle Aged Adults",Table2[[#This Row],[Guest_Age]]&gt;50,"Senior")</f>
        <v>Young Adults</v>
      </c>
      <c r="AB6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77" t="str" cm="1">
        <f t="array" ref="AC677">_xlfn.IFS(Table2[[#This Row],[Satification_points]]&gt;=4.5,"GREAT",AND(Table2[[#This Row],[Satification_points]]&gt;=4,Table2[[#This Row],[Satification_points]]&lt;4.5),"GOOD",AND(Table2[[#This Row],[Satification_points]]&gt;=3,Table2[[#This Row],[Satification_points]]&lt;4),"AVERAGE",Table2[[#This Row],[Satification_points]]&lt;3,"POOR")</f>
        <v>AVERAGE</v>
      </c>
    </row>
    <row r="678" spans="1:29" x14ac:dyDescent="0.3">
      <c r="A678">
        <v>677</v>
      </c>
      <c r="B678">
        <v>15294</v>
      </c>
      <c r="C678" t="s">
        <v>730</v>
      </c>
      <c r="D678" t="s">
        <v>34</v>
      </c>
      <c r="E678" t="s">
        <v>52</v>
      </c>
      <c r="F678" s="1">
        <v>45182</v>
      </c>
      <c r="G678" s="1">
        <v>45505</v>
      </c>
      <c r="H678">
        <v>12</v>
      </c>
      <c r="I678" t="s">
        <v>28</v>
      </c>
      <c r="J678" t="s">
        <v>36</v>
      </c>
      <c r="K678">
        <v>5</v>
      </c>
      <c r="L678">
        <v>5</v>
      </c>
      <c r="M678">
        <v>2</v>
      </c>
      <c r="N678">
        <v>2</v>
      </c>
      <c r="O678">
        <v>3</v>
      </c>
      <c r="P678">
        <v>5</v>
      </c>
      <c r="Q678">
        <v>3</v>
      </c>
      <c r="R678">
        <v>4</v>
      </c>
      <c r="S678">
        <v>1</v>
      </c>
      <c r="T678">
        <v>3</v>
      </c>
      <c r="U678" t="s">
        <v>37</v>
      </c>
      <c r="V678" t="s">
        <v>54</v>
      </c>
      <c r="W678" t="s">
        <v>55</v>
      </c>
      <c r="X678" t="s">
        <v>44</v>
      </c>
      <c r="Y678">
        <v>24</v>
      </c>
      <c r="Z678" s="1">
        <v>45505</v>
      </c>
      <c r="AA678" t="str" cm="1">
        <f t="array" ref="AA678">_xlfn.IFS(AND(Table2[[#This Row],[Guest_Age]]&gt;=18,Table2[[#This Row],[Guest_Age]]&lt;=25),"Young Adults",AND(Table2[[#This Row],[Guest_Age]]&gt;=26,Table2[[#This Row],[Guest_Age]]&lt;=35),"Adults",AND(Table2[[#This Row],[Guest_Age]]&gt;=36,Table2[[#This Row],[Guest_Age]]&lt;=50),"Middle Aged Adults",Table2[[#This Row],[Guest_Age]]&gt;50,"Senior")</f>
        <v>Young Adults</v>
      </c>
      <c r="AB6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78" t="str" cm="1">
        <f t="array" ref="AC678">_xlfn.IFS(Table2[[#This Row],[Satification_points]]&gt;=4.5,"GREAT",AND(Table2[[#This Row],[Satification_points]]&gt;=4,Table2[[#This Row],[Satification_points]]&lt;4.5),"GOOD",AND(Table2[[#This Row],[Satification_points]]&gt;=3,Table2[[#This Row],[Satification_points]]&lt;4),"AVERAGE",Table2[[#This Row],[Satification_points]]&lt;3,"POOR")</f>
        <v>AVERAGE</v>
      </c>
    </row>
    <row r="679" spans="1:29" x14ac:dyDescent="0.3">
      <c r="A679">
        <v>678</v>
      </c>
      <c r="B679">
        <v>54852</v>
      </c>
      <c r="C679" t="s">
        <v>731</v>
      </c>
      <c r="D679" t="s">
        <v>41</v>
      </c>
      <c r="E679" t="s">
        <v>27</v>
      </c>
      <c r="F679" s="1">
        <v>45029</v>
      </c>
      <c r="G679" s="1">
        <v>45272</v>
      </c>
      <c r="H679">
        <v>12</v>
      </c>
      <c r="I679" t="s">
        <v>42</v>
      </c>
      <c r="J679" t="s">
        <v>40</v>
      </c>
      <c r="K679">
        <v>5</v>
      </c>
      <c r="L679">
        <v>3</v>
      </c>
      <c r="M679">
        <v>1</v>
      </c>
      <c r="N679">
        <v>2</v>
      </c>
      <c r="O679">
        <v>4</v>
      </c>
      <c r="P679">
        <v>2</v>
      </c>
      <c r="Q679">
        <v>2</v>
      </c>
      <c r="R679">
        <v>2</v>
      </c>
      <c r="S679">
        <v>4</v>
      </c>
      <c r="T679">
        <v>5</v>
      </c>
      <c r="U679" t="s">
        <v>30</v>
      </c>
      <c r="V679" t="s">
        <v>46</v>
      </c>
      <c r="W679" t="s">
        <v>39</v>
      </c>
      <c r="X679" t="s">
        <v>40</v>
      </c>
      <c r="Y679">
        <v>35</v>
      </c>
      <c r="Z679" s="1">
        <v>45272</v>
      </c>
      <c r="AA679" t="str" cm="1">
        <f t="array" ref="AA679">_xlfn.IFS(AND(Table2[[#This Row],[Guest_Age]]&gt;=18,Table2[[#This Row],[Guest_Age]]&lt;=25),"Young Adults",AND(Table2[[#This Row],[Guest_Age]]&gt;=26,Table2[[#This Row],[Guest_Age]]&lt;=35),"Adults",AND(Table2[[#This Row],[Guest_Age]]&gt;=36,Table2[[#This Row],[Guest_Age]]&lt;=50),"Middle Aged Adults",Table2[[#This Row],[Guest_Age]]&gt;50,"Senior")</f>
        <v>Adults</v>
      </c>
      <c r="AB6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79" t="str" cm="1">
        <f t="array" ref="AC679">_xlfn.IFS(Table2[[#This Row],[Satification_points]]&gt;=4.5,"GREAT",AND(Table2[[#This Row],[Satification_points]]&gt;=4,Table2[[#This Row],[Satification_points]]&lt;4.5),"GOOD",AND(Table2[[#This Row],[Satification_points]]&gt;=3,Table2[[#This Row],[Satification_points]]&lt;4),"AVERAGE",Table2[[#This Row],[Satification_points]]&lt;3,"POOR")</f>
        <v>AVERAGE</v>
      </c>
    </row>
    <row r="680" spans="1:29" x14ac:dyDescent="0.3">
      <c r="A680">
        <v>679</v>
      </c>
      <c r="B680">
        <v>75858</v>
      </c>
      <c r="C680" t="s">
        <v>732</v>
      </c>
      <c r="D680" t="s">
        <v>34</v>
      </c>
      <c r="E680" t="s">
        <v>57</v>
      </c>
      <c r="F680" s="1">
        <v>45073</v>
      </c>
      <c r="G680" s="1">
        <v>45324</v>
      </c>
      <c r="H680">
        <v>9</v>
      </c>
      <c r="I680" t="s">
        <v>28</v>
      </c>
      <c r="J680" t="s">
        <v>53</v>
      </c>
      <c r="K680">
        <v>2</v>
      </c>
      <c r="L680">
        <v>2</v>
      </c>
      <c r="M680">
        <v>1</v>
      </c>
      <c r="N680">
        <v>5</v>
      </c>
      <c r="O680">
        <v>1</v>
      </c>
      <c r="P680">
        <v>2</v>
      </c>
      <c r="Q680">
        <v>1</v>
      </c>
      <c r="R680">
        <v>4</v>
      </c>
      <c r="S680">
        <v>4</v>
      </c>
      <c r="T680">
        <v>3</v>
      </c>
      <c r="U680" t="s">
        <v>30</v>
      </c>
      <c r="V680" t="s">
        <v>38</v>
      </c>
      <c r="W680" t="s">
        <v>56</v>
      </c>
      <c r="X680" t="s">
        <v>44</v>
      </c>
      <c r="Y680">
        <v>23</v>
      </c>
      <c r="Z680" s="1">
        <v>45324</v>
      </c>
      <c r="AA680" t="str" cm="1">
        <f t="array" ref="AA680">_xlfn.IFS(AND(Table2[[#This Row],[Guest_Age]]&gt;=18,Table2[[#This Row],[Guest_Age]]&lt;=25),"Young Adults",AND(Table2[[#This Row],[Guest_Age]]&gt;=26,Table2[[#This Row],[Guest_Age]]&lt;=35),"Adults",AND(Table2[[#This Row],[Guest_Age]]&gt;=36,Table2[[#This Row],[Guest_Age]]&lt;=50),"Middle Aged Adults",Table2[[#This Row],[Guest_Age]]&gt;50,"Senior")</f>
        <v>Young Adults</v>
      </c>
      <c r="AB6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80" t="str" cm="1">
        <f t="array" ref="AC680">_xlfn.IFS(Table2[[#This Row],[Satification_points]]&gt;=4.5,"GREAT",AND(Table2[[#This Row],[Satification_points]]&gt;=4,Table2[[#This Row],[Satification_points]]&lt;4.5),"GOOD",AND(Table2[[#This Row],[Satification_points]]&gt;=3,Table2[[#This Row],[Satification_points]]&lt;4),"AVERAGE",Table2[[#This Row],[Satification_points]]&lt;3,"POOR")</f>
        <v>POOR</v>
      </c>
    </row>
    <row r="681" spans="1:29" x14ac:dyDescent="0.3">
      <c r="A681">
        <v>680</v>
      </c>
      <c r="B681">
        <v>25836</v>
      </c>
      <c r="C681" t="s">
        <v>733</v>
      </c>
      <c r="D681" t="s">
        <v>48</v>
      </c>
      <c r="E681" t="s">
        <v>57</v>
      </c>
      <c r="F681" s="1">
        <v>45596</v>
      </c>
      <c r="G681" s="1">
        <v>45597</v>
      </c>
      <c r="H681">
        <v>9</v>
      </c>
      <c r="I681" t="s">
        <v>50</v>
      </c>
      <c r="J681" t="s">
        <v>40</v>
      </c>
      <c r="K681">
        <v>4</v>
      </c>
      <c r="L681">
        <v>1</v>
      </c>
      <c r="M681">
        <v>3</v>
      </c>
      <c r="N681">
        <v>4</v>
      </c>
      <c r="O681">
        <v>4</v>
      </c>
      <c r="P681">
        <v>4</v>
      </c>
      <c r="Q681">
        <v>2</v>
      </c>
      <c r="R681">
        <v>1</v>
      </c>
      <c r="S681">
        <v>2</v>
      </c>
      <c r="T681">
        <v>4</v>
      </c>
      <c r="U681" t="s">
        <v>30</v>
      </c>
      <c r="V681" t="s">
        <v>46</v>
      </c>
      <c r="W681" t="s">
        <v>32</v>
      </c>
      <c r="X681" t="s">
        <v>44</v>
      </c>
      <c r="Y681">
        <v>66</v>
      </c>
      <c r="Z681" s="1">
        <v>45597</v>
      </c>
      <c r="AA681" t="str" cm="1">
        <f t="array" ref="AA681">_xlfn.IFS(AND(Table2[[#This Row],[Guest_Age]]&gt;=18,Table2[[#This Row],[Guest_Age]]&lt;=25),"Young Adults",AND(Table2[[#This Row],[Guest_Age]]&gt;=26,Table2[[#This Row],[Guest_Age]]&lt;=35),"Adults",AND(Table2[[#This Row],[Guest_Age]]&gt;=36,Table2[[#This Row],[Guest_Age]]&lt;=50),"Middle Aged Adults",Table2[[#This Row],[Guest_Age]]&gt;50,"Senior")</f>
        <v>Senior</v>
      </c>
      <c r="AB6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681" t="str" cm="1">
        <f t="array" ref="AC681">_xlfn.IFS(Table2[[#This Row],[Satification_points]]&gt;=4.5,"GREAT",AND(Table2[[#This Row],[Satification_points]]&gt;=4,Table2[[#This Row],[Satification_points]]&lt;4.5),"GOOD",AND(Table2[[#This Row],[Satification_points]]&gt;=3,Table2[[#This Row],[Satification_points]]&lt;4),"AVERAGE",Table2[[#This Row],[Satification_points]]&lt;3,"POOR")</f>
        <v>POOR</v>
      </c>
    </row>
    <row r="682" spans="1:29" x14ac:dyDescent="0.3">
      <c r="A682">
        <v>681</v>
      </c>
      <c r="B682">
        <v>45828</v>
      </c>
      <c r="C682" t="s">
        <v>734</v>
      </c>
      <c r="D682" t="s">
        <v>26</v>
      </c>
      <c r="E682" t="s">
        <v>57</v>
      </c>
      <c r="F682" s="1">
        <v>45066</v>
      </c>
      <c r="G682" s="1">
        <v>45452</v>
      </c>
      <c r="H682">
        <v>13</v>
      </c>
      <c r="I682" t="s">
        <v>42</v>
      </c>
      <c r="J682" t="s">
        <v>53</v>
      </c>
      <c r="K682">
        <v>3</v>
      </c>
      <c r="L682">
        <v>2</v>
      </c>
      <c r="M682">
        <v>5</v>
      </c>
      <c r="N682">
        <v>4</v>
      </c>
      <c r="O682">
        <v>1</v>
      </c>
      <c r="P682">
        <v>2</v>
      </c>
      <c r="Q682">
        <v>1</v>
      </c>
      <c r="R682">
        <v>1</v>
      </c>
      <c r="S682">
        <v>4</v>
      </c>
      <c r="T682">
        <v>2</v>
      </c>
      <c r="U682" t="s">
        <v>37</v>
      </c>
      <c r="V682" t="s">
        <v>31</v>
      </c>
      <c r="W682" t="s">
        <v>56</v>
      </c>
      <c r="X682" t="s">
        <v>33</v>
      </c>
      <c r="Y682">
        <v>29</v>
      </c>
      <c r="Z682" s="1">
        <v>45480</v>
      </c>
      <c r="AA682" t="str" cm="1">
        <f t="array" ref="AA682">_xlfn.IFS(AND(Table2[[#This Row],[Guest_Age]]&gt;=18,Table2[[#This Row],[Guest_Age]]&lt;=25),"Young Adults",AND(Table2[[#This Row],[Guest_Age]]&gt;=26,Table2[[#This Row],[Guest_Age]]&lt;=35),"Adults",AND(Table2[[#This Row],[Guest_Age]]&gt;=36,Table2[[#This Row],[Guest_Age]]&lt;=50),"Middle Aged Adults",Table2[[#This Row],[Guest_Age]]&gt;50,"Senior")</f>
        <v>Adults</v>
      </c>
      <c r="AB6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682" t="str" cm="1">
        <f t="array" ref="AC682">_xlfn.IFS(Table2[[#This Row],[Satification_points]]&gt;=4.5,"GREAT",AND(Table2[[#This Row],[Satification_points]]&gt;=4,Table2[[#This Row],[Satification_points]]&lt;4.5),"GOOD",AND(Table2[[#This Row],[Satification_points]]&gt;=3,Table2[[#This Row],[Satification_points]]&lt;4),"AVERAGE",Table2[[#This Row],[Satification_points]]&lt;3,"POOR")</f>
        <v>POOR</v>
      </c>
    </row>
    <row r="683" spans="1:29" x14ac:dyDescent="0.3">
      <c r="A683">
        <v>682</v>
      </c>
      <c r="B683">
        <v>58978</v>
      </c>
      <c r="C683" t="s">
        <v>735</v>
      </c>
      <c r="D683" t="s">
        <v>41</v>
      </c>
      <c r="E683" t="s">
        <v>57</v>
      </c>
      <c r="F683" s="1">
        <v>45581</v>
      </c>
      <c r="G683" s="1">
        <v>45582</v>
      </c>
      <c r="H683">
        <v>11</v>
      </c>
      <c r="I683" t="s">
        <v>49</v>
      </c>
      <c r="J683" t="s">
        <v>43</v>
      </c>
      <c r="K683">
        <v>1</v>
      </c>
      <c r="L683">
        <v>2</v>
      </c>
      <c r="M683">
        <v>2</v>
      </c>
      <c r="N683">
        <v>2</v>
      </c>
      <c r="O683">
        <v>5</v>
      </c>
      <c r="P683">
        <v>2</v>
      </c>
      <c r="Q683">
        <v>5</v>
      </c>
      <c r="R683">
        <v>2</v>
      </c>
      <c r="S683">
        <v>5</v>
      </c>
      <c r="T683">
        <v>5</v>
      </c>
      <c r="U683" t="s">
        <v>30</v>
      </c>
      <c r="V683" t="s">
        <v>58</v>
      </c>
      <c r="W683" t="s">
        <v>39</v>
      </c>
      <c r="X683" t="s">
        <v>44</v>
      </c>
      <c r="Y683">
        <v>61</v>
      </c>
      <c r="Z683" s="1">
        <v>45640</v>
      </c>
      <c r="AA683" t="str" cm="1">
        <f t="array" ref="AA683">_xlfn.IFS(AND(Table2[[#This Row],[Guest_Age]]&gt;=18,Table2[[#This Row],[Guest_Age]]&lt;=25),"Young Adults",AND(Table2[[#This Row],[Guest_Age]]&gt;=26,Table2[[#This Row],[Guest_Age]]&lt;=35),"Adults",AND(Table2[[#This Row],[Guest_Age]]&gt;=36,Table2[[#This Row],[Guest_Age]]&lt;=50),"Middle Aged Adults",Table2[[#This Row],[Guest_Age]]&gt;50,"Senior")</f>
        <v>Senior</v>
      </c>
      <c r="AB6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83" t="str" cm="1">
        <f t="array" ref="AC683">_xlfn.IFS(Table2[[#This Row],[Satification_points]]&gt;=4.5,"GREAT",AND(Table2[[#This Row],[Satification_points]]&gt;=4,Table2[[#This Row],[Satification_points]]&lt;4.5),"GOOD",AND(Table2[[#This Row],[Satification_points]]&gt;=3,Table2[[#This Row],[Satification_points]]&lt;4),"AVERAGE",Table2[[#This Row],[Satification_points]]&lt;3,"POOR")</f>
        <v>AVERAGE</v>
      </c>
    </row>
    <row r="684" spans="1:29" x14ac:dyDescent="0.3">
      <c r="A684">
        <v>683</v>
      </c>
      <c r="B684">
        <v>95620</v>
      </c>
      <c r="C684" t="s">
        <v>736</v>
      </c>
      <c r="D684" t="s">
        <v>48</v>
      </c>
      <c r="E684" t="s">
        <v>27</v>
      </c>
      <c r="F684" s="1">
        <v>45547</v>
      </c>
      <c r="G684" s="1">
        <v>45548</v>
      </c>
      <c r="H684">
        <v>5</v>
      </c>
      <c r="I684" t="s">
        <v>42</v>
      </c>
      <c r="J684" t="s">
        <v>29</v>
      </c>
      <c r="K684">
        <v>5</v>
      </c>
      <c r="L684">
        <v>5</v>
      </c>
      <c r="M684">
        <v>1</v>
      </c>
      <c r="N684">
        <v>3</v>
      </c>
      <c r="O684">
        <v>2</v>
      </c>
      <c r="P684">
        <v>2</v>
      </c>
      <c r="Q684">
        <v>1</v>
      </c>
      <c r="R684">
        <v>1</v>
      </c>
      <c r="S684">
        <v>2</v>
      </c>
      <c r="T684">
        <v>4</v>
      </c>
      <c r="U684" t="s">
        <v>30</v>
      </c>
      <c r="V684" t="s">
        <v>31</v>
      </c>
      <c r="W684" t="s">
        <v>39</v>
      </c>
      <c r="X684" t="s">
        <v>44</v>
      </c>
      <c r="Y684">
        <v>50</v>
      </c>
      <c r="Z684" s="1">
        <v>45548</v>
      </c>
      <c r="AA684" t="str" cm="1">
        <f t="array" ref="AA684">_xlfn.IFS(AND(Table2[[#This Row],[Guest_Age]]&gt;=18,Table2[[#This Row],[Guest_Age]]&lt;=25),"Young Adults",AND(Table2[[#This Row],[Guest_Age]]&gt;=26,Table2[[#This Row],[Guest_Age]]&lt;=35),"Adults",AND(Table2[[#This Row],[Guest_Age]]&gt;=36,Table2[[#This Row],[Guest_Age]]&lt;=50),"Middle Aged Adults",Table2[[#This Row],[Guest_Age]]&gt;50,"Senior")</f>
        <v>Middle Aged Adults</v>
      </c>
      <c r="AB6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684" t="str" cm="1">
        <f t="array" ref="AC684">_xlfn.IFS(Table2[[#This Row],[Satification_points]]&gt;=4.5,"GREAT",AND(Table2[[#This Row],[Satification_points]]&gt;=4,Table2[[#This Row],[Satification_points]]&lt;4.5),"GOOD",AND(Table2[[#This Row],[Satification_points]]&gt;=3,Table2[[#This Row],[Satification_points]]&lt;4),"AVERAGE",Table2[[#This Row],[Satification_points]]&lt;3,"POOR")</f>
        <v>POOR</v>
      </c>
    </row>
    <row r="685" spans="1:29" x14ac:dyDescent="0.3">
      <c r="A685">
        <v>684</v>
      </c>
      <c r="B685">
        <v>48403</v>
      </c>
      <c r="C685" t="s">
        <v>737</v>
      </c>
      <c r="D685" t="s">
        <v>51</v>
      </c>
      <c r="E685" t="s">
        <v>45</v>
      </c>
      <c r="F685" s="1">
        <v>45349</v>
      </c>
      <c r="G685" s="1">
        <v>45532</v>
      </c>
      <c r="H685">
        <v>10</v>
      </c>
      <c r="I685" t="s">
        <v>49</v>
      </c>
      <c r="J685" t="s">
        <v>29</v>
      </c>
      <c r="K685">
        <v>5</v>
      </c>
      <c r="L685">
        <v>2</v>
      </c>
      <c r="M685">
        <v>2</v>
      </c>
      <c r="N685">
        <v>1</v>
      </c>
      <c r="O685">
        <v>3</v>
      </c>
      <c r="P685">
        <v>1</v>
      </c>
      <c r="Q685">
        <v>4</v>
      </c>
      <c r="R685">
        <v>5</v>
      </c>
      <c r="S685">
        <v>4</v>
      </c>
      <c r="T685">
        <v>3</v>
      </c>
      <c r="U685" t="s">
        <v>30</v>
      </c>
      <c r="V685" t="s">
        <v>46</v>
      </c>
      <c r="W685" t="s">
        <v>39</v>
      </c>
      <c r="X685" t="s">
        <v>40</v>
      </c>
      <c r="Y685">
        <v>51</v>
      </c>
      <c r="Z685" s="1">
        <v>45532</v>
      </c>
      <c r="AA685" t="str" cm="1">
        <f t="array" ref="AA685">_xlfn.IFS(AND(Table2[[#This Row],[Guest_Age]]&gt;=18,Table2[[#This Row],[Guest_Age]]&lt;=25),"Young Adults",AND(Table2[[#This Row],[Guest_Age]]&gt;=26,Table2[[#This Row],[Guest_Age]]&lt;=35),"Adults",AND(Table2[[#This Row],[Guest_Age]]&gt;=36,Table2[[#This Row],[Guest_Age]]&lt;=50),"Middle Aged Adults",Table2[[#This Row],[Guest_Age]]&gt;50,"Senior")</f>
        <v>Senior</v>
      </c>
      <c r="AB6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85" t="str" cm="1">
        <f t="array" ref="AC685">_xlfn.IFS(Table2[[#This Row],[Satification_points]]&gt;=4.5,"GREAT",AND(Table2[[#This Row],[Satification_points]]&gt;=4,Table2[[#This Row],[Satification_points]]&lt;4.5),"GOOD",AND(Table2[[#This Row],[Satification_points]]&gt;=3,Table2[[#This Row],[Satification_points]]&lt;4),"AVERAGE",Table2[[#This Row],[Satification_points]]&lt;3,"POOR")</f>
        <v>AVERAGE</v>
      </c>
    </row>
    <row r="686" spans="1:29" x14ac:dyDescent="0.3">
      <c r="A686">
        <v>685</v>
      </c>
      <c r="B686">
        <v>78920</v>
      </c>
      <c r="C686" t="s">
        <v>738</v>
      </c>
      <c r="D686" t="s">
        <v>51</v>
      </c>
      <c r="E686" t="s">
        <v>45</v>
      </c>
      <c r="F686" s="1">
        <v>44990</v>
      </c>
      <c r="G686" s="1">
        <v>45355</v>
      </c>
      <c r="H686">
        <v>14</v>
      </c>
      <c r="I686" t="s">
        <v>49</v>
      </c>
      <c r="J686" t="s">
        <v>53</v>
      </c>
      <c r="K686">
        <v>4</v>
      </c>
      <c r="L686">
        <v>5</v>
      </c>
      <c r="M686">
        <v>5</v>
      </c>
      <c r="N686">
        <v>1</v>
      </c>
      <c r="O686">
        <v>4</v>
      </c>
      <c r="P686">
        <v>2</v>
      </c>
      <c r="Q686">
        <v>4</v>
      </c>
      <c r="R686">
        <v>4</v>
      </c>
      <c r="S686">
        <v>1</v>
      </c>
      <c r="T686">
        <v>2</v>
      </c>
      <c r="U686" t="s">
        <v>37</v>
      </c>
      <c r="V686" t="s">
        <v>31</v>
      </c>
      <c r="W686" t="s">
        <v>39</v>
      </c>
      <c r="X686" t="s">
        <v>40</v>
      </c>
      <c r="Y686">
        <v>38</v>
      </c>
      <c r="Z686" s="1">
        <v>45627</v>
      </c>
      <c r="AA686" t="str" cm="1">
        <f t="array" ref="AA6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6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86" t="str" cm="1">
        <f t="array" ref="AC686">_xlfn.IFS(Table2[[#This Row],[Satification_points]]&gt;=4.5,"GREAT",AND(Table2[[#This Row],[Satification_points]]&gt;=4,Table2[[#This Row],[Satification_points]]&lt;4.5),"GOOD",AND(Table2[[#This Row],[Satification_points]]&gt;=3,Table2[[#This Row],[Satification_points]]&lt;4),"AVERAGE",Table2[[#This Row],[Satification_points]]&lt;3,"POOR")</f>
        <v>AVERAGE</v>
      </c>
    </row>
    <row r="687" spans="1:29" x14ac:dyDescent="0.3">
      <c r="A687">
        <v>686</v>
      </c>
      <c r="B687">
        <v>19453</v>
      </c>
      <c r="C687" t="s">
        <v>739</v>
      </c>
      <c r="D687" t="s">
        <v>48</v>
      </c>
      <c r="E687" t="s">
        <v>57</v>
      </c>
      <c r="F687" s="1">
        <v>45197</v>
      </c>
      <c r="G687" s="1">
        <v>45198</v>
      </c>
      <c r="H687">
        <v>14</v>
      </c>
      <c r="I687" t="s">
        <v>28</v>
      </c>
      <c r="J687" t="s">
        <v>36</v>
      </c>
      <c r="K687">
        <v>3</v>
      </c>
      <c r="L687">
        <v>5</v>
      </c>
      <c r="M687">
        <v>2</v>
      </c>
      <c r="N687">
        <v>2</v>
      </c>
      <c r="O687">
        <v>3</v>
      </c>
      <c r="P687">
        <v>3</v>
      </c>
      <c r="Q687">
        <v>4</v>
      </c>
      <c r="R687">
        <v>2</v>
      </c>
      <c r="S687">
        <v>4</v>
      </c>
      <c r="T687">
        <v>4</v>
      </c>
      <c r="U687" t="s">
        <v>30</v>
      </c>
      <c r="V687" t="s">
        <v>46</v>
      </c>
      <c r="W687" t="s">
        <v>39</v>
      </c>
      <c r="X687" t="s">
        <v>40</v>
      </c>
      <c r="Y687">
        <v>35</v>
      </c>
      <c r="Z687" s="1">
        <v>45209</v>
      </c>
      <c r="AA687" t="str" cm="1">
        <f t="array" ref="AA687">_xlfn.IFS(AND(Table2[[#This Row],[Guest_Age]]&gt;=18,Table2[[#This Row],[Guest_Age]]&lt;=25),"Young Adults",AND(Table2[[#This Row],[Guest_Age]]&gt;=26,Table2[[#This Row],[Guest_Age]]&lt;=35),"Adults",AND(Table2[[#This Row],[Guest_Age]]&gt;=36,Table2[[#This Row],[Guest_Age]]&lt;=50),"Middle Aged Adults",Table2[[#This Row],[Guest_Age]]&gt;50,"Senior")</f>
        <v>Adults</v>
      </c>
      <c r="AB6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87" t="str" cm="1">
        <f t="array" ref="AC687">_xlfn.IFS(Table2[[#This Row],[Satification_points]]&gt;=4.5,"GREAT",AND(Table2[[#This Row],[Satification_points]]&gt;=4,Table2[[#This Row],[Satification_points]]&lt;4.5),"GOOD",AND(Table2[[#This Row],[Satification_points]]&gt;=3,Table2[[#This Row],[Satification_points]]&lt;4),"AVERAGE",Table2[[#This Row],[Satification_points]]&lt;3,"POOR")</f>
        <v>AVERAGE</v>
      </c>
    </row>
    <row r="688" spans="1:29" x14ac:dyDescent="0.3">
      <c r="A688">
        <v>687</v>
      </c>
      <c r="B688">
        <v>35381</v>
      </c>
      <c r="C688" t="s">
        <v>740</v>
      </c>
      <c r="D688" t="s">
        <v>41</v>
      </c>
      <c r="E688" t="s">
        <v>52</v>
      </c>
      <c r="F688" s="1">
        <v>45624</v>
      </c>
      <c r="G688" s="1">
        <v>45625</v>
      </c>
      <c r="H688">
        <v>1</v>
      </c>
      <c r="I688" t="s">
        <v>42</v>
      </c>
      <c r="J688" t="s">
        <v>53</v>
      </c>
      <c r="K688">
        <v>1</v>
      </c>
      <c r="L688">
        <v>3</v>
      </c>
      <c r="M688">
        <v>5</v>
      </c>
      <c r="N688">
        <v>2</v>
      </c>
      <c r="O688">
        <v>2</v>
      </c>
      <c r="P688">
        <v>4</v>
      </c>
      <c r="Q688">
        <v>3</v>
      </c>
      <c r="R688">
        <v>1</v>
      </c>
      <c r="S688">
        <v>3</v>
      </c>
      <c r="T688">
        <v>3</v>
      </c>
      <c r="U688" t="s">
        <v>30</v>
      </c>
      <c r="V688" t="s">
        <v>58</v>
      </c>
      <c r="W688" t="s">
        <v>32</v>
      </c>
      <c r="X688" t="s">
        <v>44</v>
      </c>
      <c r="Y688">
        <v>31</v>
      </c>
      <c r="Z688" s="1">
        <v>45625</v>
      </c>
      <c r="AA688" t="str" cm="1">
        <f t="array" ref="AA688">_xlfn.IFS(AND(Table2[[#This Row],[Guest_Age]]&gt;=18,Table2[[#This Row],[Guest_Age]]&lt;=25),"Young Adults",AND(Table2[[#This Row],[Guest_Age]]&gt;=26,Table2[[#This Row],[Guest_Age]]&lt;=35),"Adults",AND(Table2[[#This Row],[Guest_Age]]&gt;=36,Table2[[#This Row],[Guest_Age]]&lt;=50),"Middle Aged Adults",Table2[[#This Row],[Guest_Age]]&gt;50,"Senior")</f>
        <v>Adults</v>
      </c>
      <c r="AB6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88" t="str" cm="1">
        <f t="array" ref="AC688">_xlfn.IFS(Table2[[#This Row],[Satification_points]]&gt;=4.5,"GREAT",AND(Table2[[#This Row],[Satification_points]]&gt;=4,Table2[[#This Row],[Satification_points]]&lt;4.5),"GOOD",AND(Table2[[#This Row],[Satification_points]]&gt;=3,Table2[[#This Row],[Satification_points]]&lt;4),"AVERAGE",Table2[[#This Row],[Satification_points]]&lt;3,"POOR")</f>
        <v>POOR</v>
      </c>
    </row>
    <row r="689" spans="1:29" x14ac:dyDescent="0.3">
      <c r="A689">
        <v>688</v>
      </c>
      <c r="B689">
        <v>74542</v>
      </c>
      <c r="C689" t="s">
        <v>741</v>
      </c>
      <c r="D689" t="s">
        <v>41</v>
      </c>
      <c r="E689" t="s">
        <v>52</v>
      </c>
      <c r="F689" s="1">
        <v>45439</v>
      </c>
      <c r="G689" s="1">
        <v>45440</v>
      </c>
      <c r="H689">
        <v>3</v>
      </c>
      <c r="I689" t="s">
        <v>49</v>
      </c>
      <c r="J689" t="s">
        <v>43</v>
      </c>
      <c r="K689">
        <v>5</v>
      </c>
      <c r="L689">
        <v>1</v>
      </c>
      <c r="M689">
        <v>5</v>
      </c>
      <c r="N689">
        <v>4</v>
      </c>
      <c r="O689">
        <v>1</v>
      </c>
      <c r="P689">
        <v>1</v>
      </c>
      <c r="Q689">
        <v>4</v>
      </c>
      <c r="R689">
        <v>2</v>
      </c>
      <c r="S689">
        <v>2</v>
      </c>
      <c r="T689">
        <v>2</v>
      </c>
      <c r="U689" t="s">
        <v>37</v>
      </c>
      <c r="V689" t="s">
        <v>46</v>
      </c>
      <c r="W689" t="s">
        <v>47</v>
      </c>
      <c r="X689" t="s">
        <v>40</v>
      </c>
      <c r="Y689">
        <v>59</v>
      </c>
      <c r="Z689" s="1">
        <v>45440</v>
      </c>
      <c r="AA689" t="str" cm="1">
        <f t="array" ref="AA689">_xlfn.IFS(AND(Table2[[#This Row],[Guest_Age]]&gt;=18,Table2[[#This Row],[Guest_Age]]&lt;=25),"Young Adults",AND(Table2[[#This Row],[Guest_Age]]&gt;=26,Table2[[#This Row],[Guest_Age]]&lt;=35),"Adults",AND(Table2[[#This Row],[Guest_Age]]&gt;=36,Table2[[#This Row],[Guest_Age]]&lt;=50),"Middle Aged Adults",Table2[[#This Row],[Guest_Age]]&gt;50,"Senior")</f>
        <v>Senior</v>
      </c>
      <c r="AB6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89" t="str" cm="1">
        <f t="array" ref="AC689">_xlfn.IFS(Table2[[#This Row],[Satification_points]]&gt;=4.5,"GREAT",AND(Table2[[#This Row],[Satification_points]]&gt;=4,Table2[[#This Row],[Satification_points]]&lt;4.5),"GOOD",AND(Table2[[#This Row],[Satification_points]]&gt;=3,Table2[[#This Row],[Satification_points]]&lt;4),"AVERAGE",Table2[[#This Row],[Satification_points]]&lt;3,"POOR")</f>
        <v>POOR</v>
      </c>
    </row>
    <row r="690" spans="1:29" x14ac:dyDescent="0.3">
      <c r="A690">
        <v>689</v>
      </c>
      <c r="B690">
        <v>68877</v>
      </c>
      <c r="C690" t="s">
        <v>742</v>
      </c>
      <c r="D690" t="s">
        <v>26</v>
      </c>
      <c r="E690" t="s">
        <v>27</v>
      </c>
      <c r="F690" s="1">
        <v>44933</v>
      </c>
      <c r="G690" s="1">
        <v>45553</v>
      </c>
      <c r="H690">
        <v>11</v>
      </c>
      <c r="I690" t="s">
        <v>50</v>
      </c>
      <c r="J690" t="s">
        <v>36</v>
      </c>
      <c r="K690">
        <v>5</v>
      </c>
      <c r="L690">
        <v>5</v>
      </c>
      <c r="M690">
        <v>4</v>
      </c>
      <c r="N690">
        <v>4</v>
      </c>
      <c r="O690">
        <v>5</v>
      </c>
      <c r="P690">
        <v>1</v>
      </c>
      <c r="Q690">
        <v>1</v>
      </c>
      <c r="R690">
        <v>5</v>
      </c>
      <c r="S690">
        <v>1</v>
      </c>
      <c r="T690">
        <v>1</v>
      </c>
      <c r="U690" t="s">
        <v>30</v>
      </c>
      <c r="V690" t="s">
        <v>58</v>
      </c>
      <c r="W690" t="s">
        <v>56</v>
      </c>
      <c r="X690" t="s">
        <v>40</v>
      </c>
      <c r="Y690">
        <v>47</v>
      </c>
      <c r="Z690" s="1">
        <v>45553</v>
      </c>
      <c r="AA690" t="str" cm="1">
        <f t="array" ref="AA6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6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690" t="str" cm="1">
        <f t="array" ref="AC690">_xlfn.IFS(Table2[[#This Row],[Satification_points]]&gt;=4.5,"GREAT",AND(Table2[[#This Row],[Satification_points]]&gt;=4,Table2[[#This Row],[Satification_points]]&lt;4.5),"GOOD",AND(Table2[[#This Row],[Satification_points]]&gt;=3,Table2[[#This Row],[Satification_points]]&lt;4),"AVERAGE",Table2[[#This Row],[Satification_points]]&lt;3,"POOR")</f>
        <v>AVERAGE</v>
      </c>
    </row>
    <row r="691" spans="1:29" x14ac:dyDescent="0.3">
      <c r="A691">
        <v>690</v>
      </c>
      <c r="B691">
        <v>63377</v>
      </c>
      <c r="C691" t="s">
        <v>743</v>
      </c>
      <c r="D691" t="s">
        <v>48</v>
      </c>
      <c r="E691" t="s">
        <v>45</v>
      </c>
      <c r="F691" s="1">
        <v>45319</v>
      </c>
      <c r="G691" s="1">
        <v>45410</v>
      </c>
      <c r="H691">
        <v>5</v>
      </c>
      <c r="I691" t="s">
        <v>28</v>
      </c>
      <c r="J691" t="s">
        <v>53</v>
      </c>
      <c r="K691">
        <v>1</v>
      </c>
      <c r="L691">
        <v>4</v>
      </c>
      <c r="M691">
        <v>5</v>
      </c>
      <c r="N691">
        <v>3</v>
      </c>
      <c r="O691">
        <v>2</v>
      </c>
      <c r="P691">
        <v>5</v>
      </c>
      <c r="Q691">
        <v>2</v>
      </c>
      <c r="R691">
        <v>2</v>
      </c>
      <c r="S691">
        <v>4</v>
      </c>
      <c r="T691">
        <v>5</v>
      </c>
      <c r="U691" t="s">
        <v>30</v>
      </c>
      <c r="V691" t="s">
        <v>38</v>
      </c>
      <c r="W691" t="s">
        <v>55</v>
      </c>
      <c r="X691" t="s">
        <v>40</v>
      </c>
      <c r="Y691">
        <v>63</v>
      </c>
      <c r="Z691" s="1">
        <v>45410</v>
      </c>
      <c r="AA691" t="str" cm="1">
        <f t="array" ref="AA691">_xlfn.IFS(AND(Table2[[#This Row],[Guest_Age]]&gt;=18,Table2[[#This Row],[Guest_Age]]&lt;=25),"Young Adults",AND(Table2[[#This Row],[Guest_Age]]&gt;=26,Table2[[#This Row],[Guest_Age]]&lt;=35),"Adults",AND(Table2[[#This Row],[Guest_Age]]&gt;=36,Table2[[#This Row],[Guest_Age]]&lt;=50),"Middle Aged Adults",Table2[[#This Row],[Guest_Age]]&gt;50,"Senior")</f>
        <v>Senior</v>
      </c>
      <c r="AB6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691" t="str" cm="1">
        <f t="array" ref="AC691">_xlfn.IFS(Table2[[#This Row],[Satification_points]]&gt;=4.5,"GREAT",AND(Table2[[#This Row],[Satification_points]]&gt;=4,Table2[[#This Row],[Satification_points]]&lt;4.5),"GOOD",AND(Table2[[#This Row],[Satification_points]]&gt;=3,Table2[[#This Row],[Satification_points]]&lt;4),"AVERAGE",Table2[[#This Row],[Satification_points]]&lt;3,"POOR")</f>
        <v>AVERAGE</v>
      </c>
    </row>
    <row r="692" spans="1:29" x14ac:dyDescent="0.3">
      <c r="A692">
        <v>691</v>
      </c>
      <c r="B692">
        <v>13664</v>
      </c>
      <c r="C692" t="s">
        <v>744</v>
      </c>
      <c r="D692" t="s">
        <v>51</v>
      </c>
      <c r="E692" t="s">
        <v>27</v>
      </c>
      <c r="F692" s="1">
        <v>44927</v>
      </c>
      <c r="G692" s="1">
        <v>45133</v>
      </c>
      <c r="H692">
        <v>4</v>
      </c>
      <c r="I692" t="s">
        <v>28</v>
      </c>
      <c r="J692" t="s">
        <v>53</v>
      </c>
      <c r="K692">
        <v>3</v>
      </c>
      <c r="L692">
        <v>3</v>
      </c>
      <c r="M692">
        <v>4</v>
      </c>
      <c r="N692">
        <v>4</v>
      </c>
      <c r="O692">
        <v>3</v>
      </c>
      <c r="P692">
        <v>5</v>
      </c>
      <c r="Q692">
        <v>3</v>
      </c>
      <c r="R692">
        <v>2</v>
      </c>
      <c r="S692">
        <v>3</v>
      </c>
      <c r="T692">
        <v>1</v>
      </c>
      <c r="U692" t="s">
        <v>30</v>
      </c>
      <c r="V692" t="s">
        <v>46</v>
      </c>
      <c r="W692" t="s">
        <v>55</v>
      </c>
      <c r="X692" t="s">
        <v>33</v>
      </c>
      <c r="Y692">
        <v>20</v>
      </c>
      <c r="Z692" s="1">
        <v>45188</v>
      </c>
      <c r="AA692" t="str" cm="1">
        <f t="array" ref="AA692">_xlfn.IFS(AND(Table2[[#This Row],[Guest_Age]]&gt;=18,Table2[[#This Row],[Guest_Age]]&lt;=25),"Young Adults",AND(Table2[[#This Row],[Guest_Age]]&gt;=26,Table2[[#This Row],[Guest_Age]]&lt;=35),"Adults",AND(Table2[[#This Row],[Guest_Age]]&gt;=36,Table2[[#This Row],[Guest_Age]]&lt;=50),"Middle Aged Adults",Table2[[#This Row],[Guest_Age]]&gt;50,"Senior")</f>
        <v>Young Adults</v>
      </c>
      <c r="AB6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692" t="str" cm="1">
        <f t="array" ref="AC692">_xlfn.IFS(Table2[[#This Row],[Satification_points]]&gt;=4.5,"GREAT",AND(Table2[[#This Row],[Satification_points]]&gt;=4,Table2[[#This Row],[Satification_points]]&lt;4.5),"GOOD",AND(Table2[[#This Row],[Satification_points]]&gt;=3,Table2[[#This Row],[Satification_points]]&lt;4),"AVERAGE",Table2[[#This Row],[Satification_points]]&lt;3,"POOR")</f>
        <v>AVERAGE</v>
      </c>
    </row>
    <row r="693" spans="1:29" x14ac:dyDescent="0.3">
      <c r="A693">
        <v>692</v>
      </c>
      <c r="B693">
        <v>45864</v>
      </c>
      <c r="C693" t="s">
        <v>745</v>
      </c>
      <c r="D693" t="s">
        <v>48</v>
      </c>
      <c r="E693" t="s">
        <v>35</v>
      </c>
      <c r="F693" s="1">
        <v>45187</v>
      </c>
      <c r="G693" s="1">
        <v>45505</v>
      </c>
      <c r="H693">
        <v>4</v>
      </c>
      <c r="I693" t="s">
        <v>49</v>
      </c>
      <c r="J693" t="s">
        <v>40</v>
      </c>
      <c r="K693">
        <v>3</v>
      </c>
      <c r="L693">
        <v>5</v>
      </c>
      <c r="M693">
        <v>5</v>
      </c>
      <c r="N693">
        <v>1</v>
      </c>
      <c r="O693">
        <v>3</v>
      </c>
      <c r="P693">
        <v>2</v>
      </c>
      <c r="Q693">
        <v>5</v>
      </c>
      <c r="R693">
        <v>3</v>
      </c>
      <c r="S693">
        <v>2</v>
      </c>
      <c r="T693">
        <v>1</v>
      </c>
      <c r="U693" t="s">
        <v>37</v>
      </c>
      <c r="V693" t="s">
        <v>31</v>
      </c>
      <c r="W693" t="s">
        <v>56</v>
      </c>
      <c r="X693" t="s">
        <v>44</v>
      </c>
      <c r="Y693">
        <v>30</v>
      </c>
      <c r="Z693" s="1">
        <v>45505</v>
      </c>
      <c r="AA693" t="str" cm="1">
        <f t="array" ref="AA693">_xlfn.IFS(AND(Table2[[#This Row],[Guest_Age]]&gt;=18,Table2[[#This Row],[Guest_Age]]&lt;=25),"Young Adults",AND(Table2[[#This Row],[Guest_Age]]&gt;=26,Table2[[#This Row],[Guest_Age]]&lt;=35),"Adults",AND(Table2[[#This Row],[Guest_Age]]&gt;=36,Table2[[#This Row],[Guest_Age]]&lt;=50),"Middle Aged Adults",Table2[[#This Row],[Guest_Age]]&gt;50,"Senior")</f>
        <v>Adults</v>
      </c>
      <c r="AB6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693" t="str" cm="1">
        <f t="array" ref="AC693">_xlfn.IFS(Table2[[#This Row],[Satification_points]]&gt;=4.5,"GREAT",AND(Table2[[#This Row],[Satification_points]]&gt;=4,Table2[[#This Row],[Satification_points]]&lt;4.5),"GOOD",AND(Table2[[#This Row],[Satification_points]]&gt;=3,Table2[[#This Row],[Satification_points]]&lt;4),"AVERAGE",Table2[[#This Row],[Satification_points]]&lt;3,"POOR")</f>
        <v>AVERAGE</v>
      </c>
    </row>
    <row r="694" spans="1:29" x14ac:dyDescent="0.3">
      <c r="A694">
        <v>693</v>
      </c>
      <c r="B694">
        <v>99348</v>
      </c>
      <c r="C694" t="s">
        <v>746</v>
      </c>
      <c r="D694" t="s">
        <v>34</v>
      </c>
      <c r="E694" t="s">
        <v>57</v>
      </c>
      <c r="F694" s="1">
        <v>44973</v>
      </c>
      <c r="G694" s="1">
        <v>45489</v>
      </c>
      <c r="H694">
        <v>1</v>
      </c>
      <c r="I694" t="s">
        <v>50</v>
      </c>
      <c r="J694" t="s">
        <v>43</v>
      </c>
      <c r="K694">
        <v>3</v>
      </c>
      <c r="L694">
        <v>5</v>
      </c>
      <c r="M694">
        <v>5</v>
      </c>
      <c r="N694">
        <v>1</v>
      </c>
      <c r="O694">
        <v>3</v>
      </c>
      <c r="P694">
        <v>1</v>
      </c>
      <c r="Q694">
        <v>3</v>
      </c>
      <c r="R694">
        <v>3</v>
      </c>
      <c r="S694">
        <v>2</v>
      </c>
      <c r="T694">
        <v>1</v>
      </c>
      <c r="U694" t="s">
        <v>30</v>
      </c>
      <c r="V694" t="s">
        <v>54</v>
      </c>
      <c r="W694" t="s">
        <v>32</v>
      </c>
      <c r="X694" t="s">
        <v>33</v>
      </c>
      <c r="Y694">
        <v>68</v>
      </c>
      <c r="Z694" s="1">
        <v>45489</v>
      </c>
      <c r="AA694" t="str" cm="1">
        <f t="array" ref="AA694">_xlfn.IFS(AND(Table2[[#This Row],[Guest_Age]]&gt;=18,Table2[[#This Row],[Guest_Age]]&lt;=25),"Young Adults",AND(Table2[[#This Row],[Guest_Age]]&gt;=26,Table2[[#This Row],[Guest_Age]]&lt;=35),"Adults",AND(Table2[[#This Row],[Guest_Age]]&gt;=36,Table2[[#This Row],[Guest_Age]]&lt;=50),"Middle Aged Adults",Table2[[#This Row],[Guest_Age]]&gt;50,"Senior")</f>
        <v>Senior</v>
      </c>
      <c r="AB6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94" t="str" cm="1">
        <f t="array" ref="AC694">_xlfn.IFS(Table2[[#This Row],[Satification_points]]&gt;=4.5,"GREAT",AND(Table2[[#This Row],[Satification_points]]&gt;=4,Table2[[#This Row],[Satification_points]]&lt;4.5),"GOOD",AND(Table2[[#This Row],[Satification_points]]&gt;=3,Table2[[#This Row],[Satification_points]]&lt;4),"AVERAGE",Table2[[#This Row],[Satification_points]]&lt;3,"POOR")</f>
        <v>POOR</v>
      </c>
    </row>
    <row r="695" spans="1:29" x14ac:dyDescent="0.3">
      <c r="A695">
        <v>694</v>
      </c>
      <c r="B695">
        <v>23871</v>
      </c>
      <c r="C695" t="s">
        <v>747</v>
      </c>
      <c r="D695" t="s">
        <v>41</v>
      </c>
      <c r="E695" t="s">
        <v>35</v>
      </c>
      <c r="F695" s="1">
        <v>44928</v>
      </c>
      <c r="G695" s="1">
        <v>45580</v>
      </c>
      <c r="H695">
        <v>6</v>
      </c>
      <c r="I695" t="s">
        <v>28</v>
      </c>
      <c r="J695" t="s">
        <v>43</v>
      </c>
      <c r="K695">
        <v>5</v>
      </c>
      <c r="L695">
        <v>3</v>
      </c>
      <c r="M695">
        <v>2</v>
      </c>
      <c r="N695">
        <v>4</v>
      </c>
      <c r="O695">
        <v>1</v>
      </c>
      <c r="P695">
        <v>1</v>
      </c>
      <c r="Q695">
        <v>2</v>
      </c>
      <c r="R695">
        <v>3</v>
      </c>
      <c r="S695">
        <v>2</v>
      </c>
      <c r="T695">
        <v>4</v>
      </c>
      <c r="U695" t="s">
        <v>37</v>
      </c>
      <c r="V695" t="s">
        <v>31</v>
      </c>
      <c r="W695" t="s">
        <v>56</v>
      </c>
      <c r="X695" t="s">
        <v>33</v>
      </c>
      <c r="Y695">
        <v>54</v>
      </c>
      <c r="Z695" s="1">
        <v>45580</v>
      </c>
      <c r="AA695" t="str" cm="1">
        <f t="array" ref="AA695">_xlfn.IFS(AND(Table2[[#This Row],[Guest_Age]]&gt;=18,Table2[[#This Row],[Guest_Age]]&lt;=25),"Young Adults",AND(Table2[[#This Row],[Guest_Age]]&gt;=26,Table2[[#This Row],[Guest_Age]]&lt;=35),"Adults",AND(Table2[[#This Row],[Guest_Age]]&gt;=36,Table2[[#This Row],[Guest_Age]]&lt;=50),"Middle Aged Adults",Table2[[#This Row],[Guest_Age]]&gt;50,"Senior")</f>
        <v>Senior</v>
      </c>
      <c r="AB6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695" t="str" cm="1">
        <f t="array" ref="AC695">_xlfn.IFS(Table2[[#This Row],[Satification_points]]&gt;=4.5,"GREAT",AND(Table2[[#This Row],[Satification_points]]&gt;=4,Table2[[#This Row],[Satification_points]]&lt;4.5),"GOOD",AND(Table2[[#This Row],[Satification_points]]&gt;=3,Table2[[#This Row],[Satification_points]]&lt;4),"AVERAGE",Table2[[#This Row],[Satification_points]]&lt;3,"POOR")</f>
        <v>POOR</v>
      </c>
    </row>
    <row r="696" spans="1:29" x14ac:dyDescent="0.3">
      <c r="A696">
        <v>695</v>
      </c>
      <c r="B696">
        <v>83101</v>
      </c>
      <c r="C696" t="s">
        <v>748</v>
      </c>
      <c r="D696" t="s">
        <v>34</v>
      </c>
      <c r="E696" t="s">
        <v>35</v>
      </c>
      <c r="F696" s="1">
        <v>45461</v>
      </c>
      <c r="G696" s="1">
        <v>45462</v>
      </c>
      <c r="H696">
        <v>12</v>
      </c>
      <c r="I696" t="s">
        <v>42</v>
      </c>
      <c r="J696" t="s">
        <v>29</v>
      </c>
      <c r="K696">
        <v>2</v>
      </c>
      <c r="L696">
        <v>2</v>
      </c>
      <c r="M696">
        <v>4</v>
      </c>
      <c r="N696">
        <v>1</v>
      </c>
      <c r="O696">
        <v>3</v>
      </c>
      <c r="P696">
        <v>2</v>
      </c>
      <c r="Q696">
        <v>4</v>
      </c>
      <c r="R696">
        <v>3</v>
      </c>
      <c r="S696">
        <v>1</v>
      </c>
      <c r="T696">
        <v>1</v>
      </c>
      <c r="U696" t="s">
        <v>37</v>
      </c>
      <c r="V696" t="s">
        <v>54</v>
      </c>
      <c r="W696" t="s">
        <v>39</v>
      </c>
      <c r="X696" t="s">
        <v>33</v>
      </c>
      <c r="Y696">
        <v>36</v>
      </c>
      <c r="Z696" s="1">
        <v>45580</v>
      </c>
      <c r="AA696" t="str" cm="1">
        <f t="array" ref="AA6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6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696" t="str" cm="1">
        <f t="array" ref="AC696">_xlfn.IFS(Table2[[#This Row],[Satification_points]]&gt;=4.5,"GREAT",AND(Table2[[#This Row],[Satification_points]]&gt;=4,Table2[[#This Row],[Satification_points]]&lt;4.5),"GOOD",AND(Table2[[#This Row],[Satification_points]]&gt;=3,Table2[[#This Row],[Satification_points]]&lt;4),"AVERAGE",Table2[[#This Row],[Satification_points]]&lt;3,"POOR")</f>
        <v>POOR</v>
      </c>
    </row>
    <row r="697" spans="1:29" x14ac:dyDescent="0.3">
      <c r="A697">
        <v>696</v>
      </c>
      <c r="B697">
        <v>80195</v>
      </c>
      <c r="C697" t="s">
        <v>749</v>
      </c>
      <c r="D697" t="s">
        <v>51</v>
      </c>
      <c r="E697" t="s">
        <v>52</v>
      </c>
      <c r="F697" s="1">
        <v>45285</v>
      </c>
      <c r="G697" s="1">
        <v>45473</v>
      </c>
      <c r="H697">
        <v>10</v>
      </c>
      <c r="I697" t="s">
        <v>49</v>
      </c>
      <c r="J697" t="s">
        <v>40</v>
      </c>
      <c r="K697">
        <v>5</v>
      </c>
      <c r="L697">
        <v>5</v>
      </c>
      <c r="M697">
        <v>1</v>
      </c>
      <c r="N697">
        <v>1</v>
      </c>
      <c r="O697">
        <v>1</v>
      </c>
      <c r="P697">
        <v>4</v>
      </c>
      <c r="Q697">
        <v>2</v>
      </c>
      <c r="R697">
        <v>4</v>
      </c>
      <c r="S697">
        <v>4</v>
      </c>
      <c r="T697">
        <v>1</v>
      </c>
      <c r="U697" t="s">
        <v>37</v>
      </c>
      <c r="V697" t="s">
        <v>31</v>
      </c>
      <c r="W697" t="s">
        <v>47</v>
      </c>
      <c r="X697" t="s">
        <v>40</v>
      </c>
      <c r="Y697">
        <v>54</v>
      </c>
      <c r="Z697" s="1">
        <v>45639</v>
      </c>
      <c r="AA697" t="str" cm="1">
        <f t="array" ref="AA697">_xlfn.IFS(AND(Table2[[#This Row],[Guest_Age]]&gt;=18,Table2[[#This Row],[Guest_Age]]&lt;=25),"Young Adults",AND(Table2[[#This Row],[Guest_Age]]&gt;=26,Table2[[#This Row],[Guest_Age]]&lt;=35),"Adults",AND(Table2[[#This Row],[Guest_Age]]&gt;=36,Table2[[#This Row],[Guest_Age]]&lt;=50),"Middle Aged Adults",Table2[[#This Row],[Guest_Age]]&gt;50,"Senior")</f>
        <v>Senior</v>
      </c>
      <c r="AB6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697" t="str" cm="1">
        <f t="array" ref="AC697">_xlfn.IFS(Table2[[#This Row],[Satification_points]]&gt;=4.5,"GREAT",AND(Table2[[#This Row],[Satification_points]]&gt;=4,Table2[[#This Row],[Satification_points]]&lt;4.5),"GOOD",AND(Table2[[#This Row],[Satification_points]]&gt;=3,Table2[[#This Row],[Satification_points]]&lt;4),"AVERAGE",Table2[[#This Row],[Satification_points]]&lt;3,"POOR")</f>
        <v>POOR</v>
      </c>
    </row>
    <row r="698" spans="1:29" x14ac:dyDescent="0.3">
      <c r="A698">
        <v>697</v>
      </c>
      <c r="B698">
        <v>35929</v>
      </c>
      <c r="C698" t="s">
        <v>750</v>
      </c>
      <c r="D698" t="s">
        <v>41</v>
      </c>
      <c r="E698" t="s">
        <v>45</v>
      </c>
      <c r="F698" s="1">
        <v>45403</v>
      </c>
      <c r="G698" s="1">
        <v>45404</v>
      </c>
      <c r="H698">
        <v>11</v>
      </c>
      <c r="I698" t="s">
        <v>50</v>
      </c>
      <c r="J698" t="s">
        <v>36</v>
      </c>
      <c r="K698">
        <v>4</v>
      </c>
      <c r="L698">
        <v>1</v>
      </c>
      <c r="M698">
        <v>1</v>
      </c>
      <c r="N698">
        <v>1</v>
      </c>
      <c r="O698">
        <v>3</v>
      </c>
      <c r="P698">
        <v>1</v>
      </c>
      <c r="Q698">
        <v>3</v>
      </c>
      <c r="R698">
        <v>5</v>
      </c>
      <c r="S698">
        <v>1</v>
      </c>
      <c r="T698">
        <v>4</v>
      </c>
      <c r="U698" t="s">
        <v>37</v>
      </c>
      <c r="V698" t="s">
        <v>46</v>
      </c>
      <c r="W698" t="s">
        <v>56</v>
      </c>
      <c r="X698" t="s">
        <v>33</v>
      </c>
      <c r="Y698">
        <v>30</v>
      </c>
      <c r="Z698" s="1">
        <v>45404</v>
      </c>
      <c r="AA698" t="str" cm="1">
        <f t="array" ref="AA698">_xlfn.IFS(AND(Table2[[#This Row],[Guest_Age]]&gt;=18,Table2[[#This Row],[Guest_Age]]&lt;=25),"Young Adults",AND(Table2[[#This Row],[Guest_Age]]&gt;=26,Table2[[#This Row],[Guest_Age]]&lt;=35),"Adults",AND(Table2[[#This Row],[Guest_Age]]&gt;=36,Table2[[#This Row],[Guest_Age]]&lt;=50),"Middle Aged Adults",Table2[[#This Row],[Guest_Age]]&gt;50,"Senior")</f>
        <v>Adults</v>
      </c>
      <c r="AB6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698" t="str" cm="1">
        <f t="array" ref="AC698">_xlfn.IFS(Table2[[#This Row],[Satification_points]]&gt;=4.5,"GREAT",AND(Table2[[#This Row],[Satification_points]]&gt;=4,Table2[[#This Row],[Satification_points]]&lt;4.5),"GOOD",AND(Table2[[#This Row],[Satification_points]]&gt;=3,Table2[[#This Row],[Satification_points]]&lt;4),"AVERAGE",Table2[[#This Row],[Satification_points]]&lt;3,"POOR")</f>
        <v>POOR</v>
      </c>
    </row>
    <row r="699" spans="1:29" x14ac:dyDescent="0.3">
      <c r="A699">
        <v>698</v>
      </c>
      <c r="B699">
        <v>15730</v>
      </c>
      <c r="C699" t="s">
        <v>751</v>
      </c>
      <c r="D699" t="s">
        <v>51</v>
      </c>
      <c r="E699" t="s">
        <v>57</v>
      </c>
      <c r="F699" s="1">
        <v>45348</v>
      </c>
      <c r="G699" s="1">
        <v>45508</v>
      </c>
      <c r="H699">
        <v>4</v>
      </c>
      <c r="I699" t="s">
        <v>49</v>
      </c>
      <c r="J699" t="s">
        <v>29</v>
      </c>
      <c r="K699">
        <v>4</v>
      </c>
      <c r="L699">
        <v>5</v>
      </c>
      <c r="M699">
        <v>2</v>
      </c>
      <c r="N699">
        <v>1</v>
      </c>
      <c r="O699">
        <v>4</v>
      </c>
      <c r="P699">
        <v>5</v>
      </c>
      <c r="Q699">
        <v>3</v>
      </c>
      <c r="R699">
        <v>2</v>
      </c>
      <c r="S699">
        <v>5</v>
      </c>
      <c r="T699">
        <v>5</v>
      </c>
      <c r="U699" t="s">
        <v>30</v>
      </c>
      <c r="V699" t="s">
        <v>38</v>
      </c>
      <c r="W699" t="s">
        <v>32</v>
      </c>
      <c r="X699" t="s">
        <v>44</v>
      </c>
      <c r="Y699">
        <v>32</v>
      </c>
      <c r="Z699" s="1">
        <v>45508</v>
      </c>
      <c r="AA699" t="str" cm="1">
        <f t="array" ref="AA699">_xlfn.IFS(AND(Table2[[#This Row],[Guest_Age]]&gt;=18,Table2[[#This Row],[Guest_Age]]&lt;=25),"Young Adults",AND(Table2[[#This Row],[Guest_Age]]&gt;=26,Table2[[#This Row],[Guest_Age]]&lt;=35),"Adults",AND(Table2[[#This Row],[Guest_Age]]&gt;=36,Table2[[#This Row],[Guest_Age]]&lt;=50),"Middle Aged Adults",Table2[[#This Row],[Guest_Age]]&gt;50,"Senior")</f>
        <v>Adults</v>
      </c>
      <c r="AB6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699" t="str" cm="1">
        <f t="array" ref="AC699">_xlfn.IFS(Table2[[#This Row],[Satification_points]]&gt;=4.5,"GREAT",AND(Table2[[#This Row],[Satification_points]]&gt;=4,Table2[[#This Row],[Satification_points]]&lt;4.5),"GOOD",AND(Table2[[#This Row],[Satification_points]]&gt;=3,Table2[[#This Row],[Satification_points]]&lt;4),"AVERAGE",Table2[[#This Row],[Satification_points]]&lt;3,"POOR")</f>
        <v>AVERAGE</v>
      </c>
    </row>
    <row r="700" spans="1:29" x14ac:dyDescent="0.3">
      <c r="A700">
        <v>699</v>
      </c>
      <c r="B700">
        <v>99083</v>
      </c>
      <c r="C700" t="s">
        <v>752</v>
      </c>
      <c r="D700" t="s">
        <v>51</v>
      </c>
      <c r="E700" t="s">
        <v>27</v>
      </c>
      <c r="F700" s="1">
        <v>45522</v>
      </c>
      <c r="G700" s="1">
        <v>45523</v>
      </c>
      <c r="H700">
        <v>1</v>
      </c>
      <c r="I700" t="s">
        <v>28</v>
      </c>
      <c r="J700" t="s">
        <v>43</v>
      </c>
      <c r="K700">
        <v>5</v>
      </c>
      <c r="L700">
        <v>3</v>
      </c>
      <c r="M700">
        <v>1</v>
      </c>
      <c r="N700">
        <v>5</v>
      </c>
      <c r="O700">
        <v>4</v>
      </c>
      <c r="P700">
        <v>2</v>
      </c>
      <c r="Q700">
        <v>3</v>
      </c>
      <c r="R700">
        <v>5</v>
      </c>
      <c r="S700">
        <v>4</v>
      </c>
      <c r="T700">
        <v>2</v>
      </c>
      <c r="U700" t="s">
        <v>37</v>
      </c>
      <c r="V700" t="s">
        <v>46</v>
      </c>
      <c r="W700" t="s">
        <v>39</v>
      </c>
      <c r="X700" t="s">
        <v>33</v>
      </c>
      <c r="Y700">
        <v>43</v>
      </c>
      <c r="Z700" s="1">
        <v>45523</v>
      </c>
      <c r="AA700" t="str" cm="1">
        <f t="array" ref="AA7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7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00" t="str" cm="1">
        <f t="array" ref="AC700">_xlfn.IFS(Table2[[#This Row],[Satification_points]]&gt;=4.5,"GREAT",AND(Table2[[#This Row],[Satification_points]]&gt;=4,Table2[[#This Row],[Satification_points]]&lt;4.5),"GOOD",AND(Table2[[#This Row],[Satification_points]]&gt;=3,Table2[[#This Row],[Satification_points]]&lt;4),"AVERAGE",Table2[[#This Row],[Satification_points]]&lt;3,"POOR")</f>
        <v>AVERAGE</v>
      </c>
    </row>
    <row r="701" spans="1:29" x14ac:dyDescent="0.3">
      <c r="A701">
        <v>700</v>
      </c>
      <c r="B701">
        <v>36352</v>
      </c>
      <c r="C701" t="s">
        <v>753</v>
      </c>
      <c r="D701" t="s">
        <v>51</v>
      </c>
      <c r="E701" t="s">
        <v>57</v>
      </c>
      <c r="F701" s="1">
        <v>45130</v>
      </c>
      <c r="G701" s="1">
        <v>45131</v>
      </c>
      <c r="H701">
        <v>10</v>
      </c>
      <c r="I701" t="s">
        <v>50</v>
      </c>
      <c r="J701" t="s">
        <v>53</v>
      </c>
      <c r="K701">
        <v>5</v>
      </c>
      <c r="L701">
        <v>4</v>
      </c>
      <c r="M701">
        <v>1</v>
      </c>
      <c r="N701">
        <v>2</v>
      </c>
      <c r="O701">
        <v>2</v>
      </c>
      <c r="P701">
        <v>1</v>
      </c>
      <c r="Q701">
        <v>2</v>
      </c>
      <c r="R701">
        <v>2</v>
      </c>
      <c r="S701">
        <v>5</v>
      </c>
      <c r="T701">
        <v>2</v>
      </c>
      <c r="U701" t="s">
        <v>30</v>
      </c>
      <c r="V701" t="s">
        <v>58</v>
      </c>
      <c r="W701" t="s">
        <v>56</v>
      </c>
      <c r="X701" t="s">
        <v>33</v>
      </c>
      <c r="Y701">
        <v>23</v>
      </c>
      <c r="Z701" s="1">
        <v>45477</v>
      </c>
      <c r="AA701" t="str" cm="1">
        <f t="array" ref="AA701">_xlfn.IFS(AND(Table2[[#This Row],[Guest_Age]]&gt;=18,Table2[[#This Row],[Guest_Age]]&lt;=25),"Young Adults",AND(Table2[[#This Row],[Guest_Age]]&gt;=26,Table2[[#This Row],[Guest_Age]]&lt;=35),"Adults",AND(Table2[[#This Row],[Guest_Age]]&gt;=36,Table2[[#This Row],[Guest_Age]]&lt;=50),"Middle Aged Adults",Table2[[#This Row],[Guest_Age]]&gt;50,"Senior")</f>
        <v>Young Adults</v>
      </c>
      <c r="AB7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01" t="str" cm="1">
        <f t="array" ref="AC701">_xlfn.IFS(Table2[[#This Row],[Satification_points]]&gt;=4.5,"GREAT",AND(Table2[[#This Row],[Satification_points]]&gt;=4,Table2[[#This Row],[Satification_points]]&lt;4.5),"GOOD",AND(Table2[[#This Row],[Satification_points]]&gt;=3,Table2[[#This Row],[Satification_points]]&lt;4),"AVERAGE",Table2[[#This Row],[Satification_points]]&lt;3,"POOR")</f>
        <v>POOR</v>
      </c>
    </row>
    <row r="702" spans="1:29" x14ac:dyDescent="0.3">
      <c r="A702">
        <v>701</v>
      </c>
      <c r="B702">
        <v>65414</v>
      </c>
      <c r="C702" t="s">
        <v>754</v>
      </c>
      <c r="D702" t="s">
        <v>26</v>
      </c>
      <c r="E702" t="s">
        <v>27</v>
      </c>
      <c r="F702" s="1">
        <v>45153</v>
      </c>
      <c r="G702" s="1">
        <v>45642</v>
      </c>
      <c r="H702">
        <v>14</v>
      </c>
      <c r="I702" t="s">
        <v>49</v>
      </c>
      <c r="J702" t="s">
        <v>40</v>
      </c>
      <c r="K702">
        <v>1</v>
      </c>
      <c r="L702">
        <v>3</v>
      </c>
      <c r="M702">
        <v>5</v>
      </c>
      <c r="N702">
        <v>3</v>
      </c>
      <c r="O702">
        <v>2</v>
      </c>
      <c r="P702">
        <v>5</v>
      </c>
      <c r="Q702">
        <v>1</v>
      </c>
      <c r="R702">
        <v>3</v>
      </c>
      <c r="S702">
        <v>4</v>
      </c>
      <c r="T702">
        <v>5</v>
      </c>
      <c r="U702" t="s">
        <v>37</v>
      </c>
      <c r="V702" t="s">
        <v>38</v>
      </c>
      <c r="W702" t="s">
        <v>56</v>
      </c>
      <c r="X702" t="s">
        <v>44</v>
      </c>
      <c r="Y702">
        <v>44</v>
      </c>
      <c r="Z702" s="1">
        <v>45642</v>
      </c>
      <c r="AA702" t="str" cm="1">
        <f t="array" ref="AA702">_xlfn.IFS(AND(Table2[[#This Row],[Guest_Age]]&gt;=18,Table2[[#This Row],[Guest_Age]]&lt;=25),"Young Adults",AND(Table2[[#This Row],[Guest_Age]]&gt;=26,Table2[[#This Row],[Guest_Age]]&lt;=35),"Adults",AND(Table2[[#This Row],[Guest_Age]]&gt;=36,Table2[[#This Row],[Guest_Age]]&lt;=50),"Middle Aged Adults",Table2[[#This Row],[Guest_Age]]&gt;50,"Senior")</f>
        <v>Middle Aged Adults</v>
      </c>
      <c r="AB7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02" t="str" cm="1">
        <f t="array" ref="AC702">_xlfn.IFS(Table2[[#This Row],[Satification_points]]&gt;=4.5,"GREAT",AND(Table2[[#This Row],[Satification_points]]&gt;=4,Table2[[#This Row],[Satification_points]]&lt;4.5),"GOOD",AND(Table2[[#This Row],[Satification_points]]&gt;=3,Table2[[#This Row],[Satification_points]]&lt;4),"AVERAGE",Table2[[#This Row],[Satification_points]]&lt;3,"POOR")</f>
        <v>AVERAGE</v>
      </c>
    </row>
    <row r="703" spans="1:29" x14ac:dyDescent="0.3">
      <c r="A703">
        <v>702</v>
      </c>
      <c r="B703">
        <v>86003</v>
      </c>
      <c r="C703" t="s">
        <v>755</v>
      </c>
      <c r="D703" t="s">
        <v>51</v>
      </c>
      <c r="E703" t="s">
        <v>27</v>
      </c>
      <c r="F703" s="1">
        <v>45077</v>
      </c>
      <c r="G703" s="1">
        <v>45078</v>
      </c>
      <c r="H703">
        <v>6</v>
      </c>
      <c r="I703" t="s">
        <v>49</v>
      </c>
      <c r="J703" t="s">
        <v>43</v>
      </c>
      <c r="K703">
        <v>3</v>
      </c>
      <c r="L703">
        <v>3</v>
      </c>
      <c r="M703">
        <v>3</v>
      </c>
      <c r="N703">
        <v>5</v>
      </c>
      <c r="O703">
        <v>5</v>
      </c>
      <c r="P703">
        <v>3</v>
      </c>
      <c r="Q703">
        <v>1</v>
      </c>
      <c r="R703">
        <v>4</v>
      </c>
      <c r="S703">
        <v>2</v>
      </c>
      <c r="T703">
        <v>4</v>
      </c>
      <c r="U703" t="s">
        <v>37</v>
      </c>
      <c r="V703" t="s">
        <v>46</v>
      </c>
      <c r="W703" t="s">
        <v>39</v>
      </c>
      <c r="X703" t="s">
        <v>40</v>
      </c>
      <c r="Y703">
        <v>29</v>
      </c>
      <c r="Z703" s="1">
        <v>45139</v>
      </c>
      <c r="AA703" t="str" cm="1">
        <f t="array" ref="AA703">_xlfn.IFS(AND(Table2[[#This Row],[Guest_Age]]&gt;=18,Table2[[#This Row],[Guest_Age]]&lt;=25),"Young Adults",AND(Table2[[#This Row],[Guest_Age]]&gt;=26,Table2[[#This Row],[Guest_Age]]&lt;=35),"Adults",AND(Table2[[#This Row],[Guest_Age]]&gt;=36,Table2[[#This Row],[Guest_Age]]&lt;=50),"Middle Aged Adults",Table2[[#This Row],[Guest_Age]]&gt;50,"Senior")</f>
        <v>Adults</v>
      </c>
      <c r="AB7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03" t="str" cm="1">
        <f t="array" ref="AC703">_xlfn.IFS(Table2[[#This Row],[Satification_points]]&gt;=4.5,"GREAT",AND(Table2[[#This Row],[Satification_points]]&gt;=4,Table2[[#This Row],[Satification_points]]&lt;4.5),"GOOD",AND(Table2[[#This Row],[Satification_points]]&gt;=3,Table2[[#This Row],[Satification_points]]&lt;4),"AVERAGE",Table2[[#This Row],[Satification_points]]&lt;3,"POOR")</f>
        <v>AVERAGE</v>
      </c>
    </row>
    <row r="704" spans="1:29" x14ac:dyDescent="0.3">
      <c r="A704">
        <v>703</v>
      </c>
      <c r="B704">
        <v>92534</v>
      </c>
      <c r="C704" t="s">
        <v>756</v>
      </c>
      <c r="D704" t="s">
        <v>51</v>
      </c>
      <c r="E704" t="s">
        <v>45</v>
      </c>
      <c r="F704" s="1">
        <v>45173</v>
      </c>
      <c r="G704" s="1">
        <v>45630</v>
      </c>
      <c r="H704">
        <v>5</v>
      </c>
      <c r="I704" t="s">
        <v>49</v>
      </c>
      <c r="J704" t="s">
        <v>43</v>
      </c>
      <c r="K704">
        <v>1</v>
      </c>
      <c r="L704">
        <v>1</v>
      </c>
      <c r="M704">
        <v>3</v>
      </c>
      <c r="N704">
        <v>3</v>
      </c>
      <c r="O704">
        <v>3</v>
      </c>
      <c r="P704">
        <v>1</v>
      </c>
      <c r="Q704">
        <v>4</v>
      </c>
      <c r="R704">
        <v>2</v>
      </c>
      <c r="S704">
        <v>1</v>
      </c>
      <c r="T704">
        <v>1</v>
      </c>
      <c r="U704" t="s">
        <v>30</v>
      </c>
      <c r="V704" t="s">
        <v>38</v>
      </c>
      <c r="W704" t="s">
        <v>32</v>
      </c>
      <c r="X704" t="s">
        <v>33</v>
      </c>
      <c r="Y704">
        <v>65</v>
      </c>
      <c r="Z704" s="1">
        <v>45630</v>
      </c>
      <c r="AA704" t="str" cm="1">
        <f t="array" ref="AA704">_xlfn.IFS(AND(Table2[[#This Row],[Guest_Age]]&gt;=18,Table2[[#This Row],[Guest_Age]]&lt;=25),"Young Adults",AND(Table2[[#This Row],[Guest_Age]]&gt;=26,Table2[[#This Row],[Guest_Age]]&lt;=35),"Adults",AND(Table2[[#This Row],[Guest_Age]]&gt;=36,Table2[[#This Row],[Guest_Age]]&lt;=50),"Middle Aged Adults",Table2[[#This Row],[Guest_Age]]&gt;50,"Senior")</f>
        <v>Senior</v>
      </c>
      <c r="AB7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704" t="str" cm="1">
        <f t="array" ref="AC704">_xlfn.IFS(Table2[[#This Row],[Satification_points]]&gt;=4.5,"GREAT",AND(Table2[[#This Row],[Satification_points]]&gt;=4,Table2[[#This Row],[Satification_points]]&lt;4.5),"GOOD",AND(Table2[[#This Row],[Satification_points]]&gt;=3,Table2[[#This Row],[Satification_points]]&lt;4),"AVERAGE",Table2[[#This Row],[Satification_points]]&lt;3,"POOR")</f>
        <v>POOR</v>
      </c>
    </row>
    <row r="705" spans="1:29" x14ac:dyDescent="0.3">
      <c r="A705">
        <v>704</v>
      </c>
      <c r="B705">
        <v>80945</v>
      </c>
      <c r="C705" t="s">
        <v>757</v>
      </c>
      <c r="D705" t="s">
        <v>34</v>
      </c>
      <c r="E705" t="s">
        <v>35</v>
      </c>
      <c r="F705" s="1">
        <v>44943</v>
      </c>
      <c r="G705" s="1">
        <v>45467</v>
      </c>
      <c r="H705">
        <v>5</v>
      </c>
      <c r="I705" t="s">
        <v>42</v>
      </c>
      <c r="J705" t="s">
        <v>40</v>
      </c>
      <c r="K705">
        <v>4</v>
      </c>
      <c r="L705">
        <v>2</v>
      </c>
      <c r="M705">
        <v>1</v>
      </c>
      <c r="N705">
        <v>5</v>
      </c>
      <c r="O705">
        <v>3</v>
      </c>
      <c r="P705">
        <v>2</v>
      </c>
      <c r="Q705">
        <v>5</v>
      </c>
      <c r="R705">
        <v>2</v>
      </c>
      <c r="S705">
        <v>5</v>
      </c>
      <c r="T705">
        <v>2</v>
      </c>
      <c r="U705" t="s">
        <v>37</v>
      </c>
      <c r="V705" t="s">
        <v>58</v>
      </c>
      <c r="W705" t="s">
        <v>47</v>
      </c>
      <c r="X705" t="s">
        <v>44</v>
      </c>
      <c r="Y705">
        <v>42</v>
      </c>
      <c r="Z705" s="1">
        <v>45561</v>
      </c>
      <c r="AA705" t="str" cm="1">
        <f t="array" ref="AA7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7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05" t="str" cm="1">
        <f t="array" ref="AC705">_xlfn.IFS(Table2[[#This Row],[Satification_points]]&gt;=4.5,"GREAT",AND(Table2[[#This Row],[Satification_points]]&gt;=4,Table2[[#This Row],[Satification_points]]&lt;4.5),"GOOD",AND(Table2[[#This Row],[Satification_points]]&gt;=3,Table2[[#This Row],[Satification_points]]&lt;4),"AVERAGE",Table2[[#This Row],[Satification_points]]&lt;3,"POOR")</f>
        <v>AVERAGE</v>
      </c>
    </row>
    <row r="706" spans="1:29" x14ac:dyDescent="0.3">
      <c r="A706">
        <v>705</v>
      </c>
      <c r="B706">
        <v>87481</v>
      </c>
      <c r="C706" t="s">
        <v>758</v>
      </c>
      <c r="D706" t="s">
        <v>34</v>
      </c>
      <c r="E706" t="s">
        <v>27</v>
      </c>
      <c r="F706" s="1">
        <v>45230</v>
      </c>
      <c r="G706" s="1">
        <v>45652</v>
      </c>
      <c r="H706">
        <v>2</v>
      </c>
      <c r="I706" t="s">
        <v>42</v>
      </c>
      <c r="J706" t="s">
        <v>43</v>
      </c>
      <c r="K706">
        <v>4</v>
      </c>
      <c r="L706">
        <v>1</v>
      </c>
      <c r="M706">
        <v>2</v>
      </c>
      <c r="N706">
        <v>5</v>
      </c>
      <c r="O706">
        <v>1</v>
      </c>
      <c r="P706">
        <v>5</v>
      </c>
      <c r="Q706">
        <v>2</v>
      </c>
      <c r="R706">
        <v>1</v>
      </c>
      <c r="S706">
        <v>2</v>
      </c>
      <c r="T706">
        <v>5</v>
      </c>
      <c r="U706" t="s">
        <v>37</v>
      </c>
      <c r="V706" t="s">
        <v>54</v>
      </c>
      <c r="W706" t="s">
        <v>47</v>
      </c>
      <c r="X706" t="s">
        <v>33</v>
      </c>
      <c r="Y706">
        <v>67</v>
      </c>
      <c r="Z706" s="1">
        <v>45652</v>
      </c>
      <c r="AA706" t="str" cm="1">
        <f t="array" ref="AA706">_xlfn.IFS(AND(Table2[[#This Row],[Guest_Age]]&gt;=18,Table2[[#This Row],[Guest_Age]]&lt;=25),"Young Adults",AND(Table2[[#This Row],[Guest_Age]]&gt;=26,Table2[[#This Row],[Guest_Age]]&lt;=35),"Adults",AND(Table2[[#This Row],[Guest_Age]]&gt;=36,Table2[[#This Row],[Guest_Age]]&lt;=50),"Middle Aged Adults",Table2[[#This Row],[Guest_Age]]&gt;50,"Senior")</f>
        <v>Senior</v>
      </c>
      <c r="AB7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06" t="str" cm="1">
        <f t="array" ref="AC706">_xlfn.IFS(Table2[[#This Row],[Satification_points]]&gt;=4.5,"GREAT",AND(Table2[[#This Row],[Satification_points]]&gt;=4,Table2[[#This Row],[Satification_points]]&lt;4.5),"GOOD",AND(Table2[[#This Row],[Satification_points]]&gt;=3,Table2[[#This Row],[Satification_points]]&lt;4),"AVERAGE",Table2[[#This Row],[Satification_points]]&lt;3,"POOR")</f>
        <v>POOR</v>
      </c>
    </row>
    <row r="707" spans="1:29" x14ac:dyDescent="0.3">
      <c r="A707">
        <v>706</v>
      </c>
      <c r="B707">
        <v>92072</v>
      </c>
      <c r="C707" t="s">
        <v>759</v>
      </c>
      <c r="D707" t="s">
        <v>34</v>
      </c>
      <c r="E707" t="s">
        <v>45</v>
      </c>
      <c r="F707" s="1">
        <v>45440</v>
      </c>
      <c r="G707" s="1">
        <v>45441</v>
      </c>
      <c r="H707">
        <v>1</v>
      </c>
      <c r="I707" t="s">
        <v>42</v>
      </c>
      <c r="J707" t="s">
        <v>29</v>
      </c>
      <c r="K707">
        <v>2</v>
      </c>
      <c r="L707">
        <v>1</v>
      </c>
      <c r="M707">
        <v>2</v>
      </c>
      <c r="N707">
        <v>3</v>
      </c>
      <c r="O707">
        <v>2</v>
      </c>
      <c r="P707">
        <v>1</v>
      </c>
      <c r="Q707">
        <v>1</v>
      </c>
      <c r="R707">
        <v>4</v>
      </c>
      <c r="S707">
        <v>2</v>
      </c>
      <c r="T707">
        <v>5</v>
      </c>
      <c r="U707" t="s">
        <v>30</v>
      </c>
      <c r="V707" t="s">
        <v>38</v>
      </c>
      <c r="W707" t="s">
        <v>39</v>
      </c>
      <c r="X707" t="s">
        <v>33</v>
      </c>
      <c r="Y707">
        <v>64</v>
      </c>
      <c r="Z707" s="1">
        <v>45441</v>
      </c>
      <c r="AA707" t="str" cm="1">
        <f t="array" ref="AA707">_xlfn.IFS(AND(Table2[[#This Row],[Guest_Age]]&gt;=18,Table2[[#This Row],[Guest_Age]]&lt;=25),"Young Adults",AND(Table2[[#This Row],[Guest_Age]]&gt;=26,Table2[[#This Row],[Guest_Age]]&lt;=35),"Adults",AND(Table2[[#This Row],[Guest_Age]]&gt;=36,Table2[[#This Row],[Guest_Age]]&lt;=50),"Middle Aged Adults",Table2[[#This Row],[Guest_Age]]&gt;50,"Senior")</f>
        <v>Senior</v>
      </c>
      <c r="AB7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707" t="str" cm="1">
        <f t="array" ref="AC707">_xlfn.IFS(Table2[[#This Row],[Satification_points]]&gt;=4.5,"GREAT",AND(Table2[[#This Row],[Satification_points]]&gt;=4,Table2[[#This Row],[Satification_points]]&lt;4.5),"GOOD",AND(Table2[[#This Row],[Satification_points]]&gt;=3,Table2[[#This Row],[Satification_points]]&lt;4),"AVERAGE",Table2[[#This Row],[Satification_points]]&lt;3,"POOR")</f>
        <v>POOR</v>
      </c>
    </row>
    <row r="708" spans="1:29" x14ac:dyDescent="0.3">
      <c r="A708">
        <v>707</v>
      </c>
      <c r="B708">
        <v>91520</v>
      </c>
      <c r="C708" t="s">
        <v>760</v>
      </c>
      <c r="D708" t="s">
        <v>41</v>
      </c>
      <c r="E708" t="s">
        <v>35</v>
      </c>
      <c r="F708" s="1">
        <v>45123</v>
      </c>
      <c r="G708" s="1">
        <v>45495</v>
      </c>
      <c r="H708">
        <v>7</v>
      </c>
      <c r="I708" t="s">
        <v>42</v>
      </c>
      <c r="J708" t="s">
        <v>40</v>
      </c>
      <c r="K708">
        <v>3</v>
      </c>
      <c r="L708">
        <v>5</v>
      </c>
      <c r="M708">
        <v>4</v>
      </c>
      <c r="N708">
        <v>2</v>
      </c>
      <c r="O708">
        <v>4</v>
      </c>
      <c r="P708">
        <v>5</v>
      </c>
      <c r="Q708">
        <v>4</v>
      </c>
      <c r="R708">
        <v>4</v>
      </c>
      <c r="S708">
        <v>5</v>
      </c>
      <c r="T708">
        <v>1</v>
      </c>
      <c r="U708" t="s">
        <v>30</v>
      </c>
      <c r="V708" t="s">
        <v>38</v>
      </c>
      <c r="W708" t="s">
        <v>55</v>
      </c>
      <c r="X708" t="s">
        <v>40</v>
      </c>
      <c r="Y708">
        <v>33</v>
      </c>
      <c r="Z708" s="1">
        <v>45504</v>
      </c>
      <c r="AA708" t="str" cm="1">
        <f t="array" ref="AA708">_xlfn.IFS(AND(Table2[[#This Row],[Guest_Age]]&gt;=18,Table2[[#This Row],[Guest_Age]]&lt;=25),"Young Adults",AND(Table2[[#This Row],[Guest_Age]]&gt;=26,Table2[[#This Row],[Guest_Age]]&lt;=35),"Adults",AND(Table2[[#This Row],[Guest_Age]]&gt;=36,Table2[[#This Row],[Guest_Age]]&lt;=50),"Middle Aged Adults",Table2[[#This Row],[Guest_Age]]&gt;50,"Senior")</f>
        <v>Adults</v>
      </c>
      <c r="AB7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08" t="str" cm="1">
        <f t="array" ref="AC708">_xlfn.IFS(Table2[[#This Row],[Satification_points]]&gt;=4.5,"GREAT",AND(Table2[[#This Row],[Satification_points]]&gt;=4,Table2[[#This Row],[Satification_points]]&lt;4.5),"GOOD",AND(Table2[[#This Row],[Satification_points]]&gt;=3,Table2[[#This Row],[Satification_points]]&lt;4),"AVERAGE",Table2[[#This Row],[Satification_points]]&lt;3,"POOR")</f>
        <v>AVERAGE</v>
      </c>
    </row>
    <row r="709" spans="1:29" x14ac:dyDescent="0.3">
      <c r="A709">
        <v>708</v>
      </c>
      <c r="B709">
        <v>39234</v>
      </c>
      <c r="C709" t="s">
        <v>761</v>
      </c>
      <c r="D709" t="s">
        <v>26</v>
      </c>
      <c r="E709" t="s">
        <v>35</v>
      </c>
      <c r="F709" s="1">
        <v>45372</v>
      </c>
      <c r="G709" s="1">
        <v>45551</v>
      </c>
      <c r="H709">
        <v>5</v>
      </c>
      <c r="I709" t="s">
        <v>28</v>
      </c>
      <c r="J709" t="s">
        <v>43</v>
      </c>
      <c r="K709">
        <v>3</v>
      </c>
      <c r="L709">
        <v>4</v>
      </c>
      <c r="M709">
        <v>2</v>
      </c>
      <c r="N709">
        <v>4</v>
      </c>
      <c r="O709">
        <v>1</v>
      </c>
      <c r="P709">
        <v>2</v>
      </c>
      <c r="Q709">
        <v>5</v>
      </c>
      <c r="R709">
        <v>4</v>
      </c>
      <c r="S709">
        <v>4</v>
      </c>
      <c r="T709">
        <v>5</v>
      </c>
      <c r="U709" t="s">
        <v>37</v>
      </c>
      <c r="V709" t="s">
        <v>58</v>
      </c>
      <c r="W709" t="s">
        <v>32</v>
      </c>
      <c r="X709" t="s">
        <v>44</v>
      </c>
      <c r="Y709">
        <v>63</v>
      </c>
      <c r="Z709" s="1">
        <v>45551</v>
      </c>
      <c r="AA709" t="str" cm="1">
        <f t="array" ref="AA709">_xlfn.IFS(AND(Table2[[#This Row],[Guest_Age]]&gt;=18,Table2[[#This Row],[Guest_Age]]&lt;=25),"Young Adults",AND(Table2[[#This Row],[Guest_Age]]&gt;=26,Table2[[#This Row],[Guest_Age]]&lt;=35),"Adults",AND(Table2[[#This Row],[Guest_Age]]&gt;=36,Table2[[#This Row],[Guest_Age]]&lt;=50),"Middle Aged Adults",Table2[[#This Row],[Guest_Age]]&gt;50,"Senior")</f>
        <v>Senior</v>
      </c>
      <c r="AB7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09" t="str" cm="1">
        <f t="array" ref="AC709">_xlfn.IFS(Table2[[#This Row],[Satification_points]]&gt;=4.5,"GREAT",AND(Table2[[#This Row],[Satification_points]]&gt;=4,Table2[[#This Row],[Satification_points]]&lt;4.5),"GOOD",AND(Table2[[#This Row],[Satification_points]]&gt;=3,Table2[[#This Row],[Satification_points]]&lt;4),"AVERAGE",Table2[[#This Row],[Satification_points]]&lt;3,"POOR")</f>
        <v>AVERAGE</v>
      </c>
    </row>
    <row r="710" spans="1:29" x14ac:dyDescent="0.3">
      <c r="A710">
        <v>709</v>
      </c>
      <c r="B710">
        <v>10547</v>
      </c>
      <c r="C710" t="s">
        <v>762</v>
      </c>
      <c r="D710" t="s">
        <v>41</v>
      </c>
      <c r="E710" t="s">
        <v>57</v>
      </c>
      <c r="F710" s="1">
        <v>45267</v>
      </c>
      <c r="G710" s="1">
        <v>45268</v>
      </c>
      <c r="H710">
        <v>3</v>
      </c>
      <c r="I710" t="s">
        <v>49</v>
      </c>
      <c r="J710" t="s">
        <v>43</v>
      </c>
      <c r="K710">
        <v>4</v>
      </c>
      <c r="L710">
        <v>3</v>
      </c>
      <c r="M710">
        <v>2</v>
      </c>
      <c r="N710">
        <v>5</v>
      </c>
      <c r="O710">
        <v>4</v>
      </c>
      <c r="P710">
        <v>1</v>
      </c>
      <c r="Q710">
        <v>4</v>
      </c>
      <c r="R710">
        <v>5</v>
      </c>
      <c r="S710">
        <v>5</v>
      </c>
      <c r="T710">
        <v>4</v>
      </c>
      <c r="U710" t="s">
        <v>37</v>
      </c>
      <c r="V710" t="s">
        <v>46</v>
      </c>
      <c r="W710" t="s">
        <v>55</v>
      </c>
      <c r="X710" t="s">
        <v>33</v>
      </c>
      <c r="Y710">
        <v>33</v>
      </c>
      <c r="Z710" s="1">
        <v>45283</v>
      </c>
      <c r="AA710" t="str" cm="1">
        <f t="array" ref="AA710">_xlfn.IFS(AND(Table2[[#This Row],[Guest_Age]]&gt;=18,Table2[[#This Row],[Guest_Age]]&lt;=25),"Young Adults",AND(Table2[[#This Row],[Guest_Age]]&gt;=26,Table2[[#This Row],[Guest_Age]]&lt;=35),"Adults",AND(Table2[[#This Row],[Guest_Age]]&gt;=36,Table2[[#This Row],[Guest_Age]]&lt;=50),"Middle Aged Adults",Table2[[#This Row],[Guest_Age]]&gt;50,"Senior")</f>
        <v>Adults</v>
      </c>
      <c r="AB7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10" t="str" cm="1">
        <f t="array" ref="AC710">_xlfn.IFS(Table2[[#This Row],[Satification_points]]&gt;=4.5,"GREAT",AND(Table2[[#This Row],[Satification_points]]&gt;=4,Table2[[#This Row],[Satification_points]]&lt;4.5),"GOOD",AND(Table2[[#This Row],[Satification_points]]&gt;=3,Table2[[#This Row],[Satification_points]]&lt;4),"AVERAGE",Table2[[#This Row],[Satification_points]]&lt;3,"POOR")</f>
        <v>AVERAGE</v>
      </c>
    </row>
    <row r="711" spans="1:29" x14ac:dyDescent="0.3">
      <c r="A711">
        <v>710</v>
      </c>
      <c r="B711">
        <v>64284</v>
      </c>
      <c r="C711" t="s">
        <v>763</v>
      </c>
      <c r="D711" t="s">
        <v>26</v>
      </c>
      <c r="E711" t="s">
        <v>57</v>
      </c>
      <c r="F711" s="1">
        <v>44987</v>
      </c>
      <c r="G711" s="1">
        <v>45082</v>
      </c>
      <c r="H711">
        <v>14</v>
      </c>
      <c r="I711" t="s">
        <v>42</v>
      </c>
      <c r="J711" t="s">
        <v>40</v>
      </c>
      <c r="K711">
        <v>1</v>
      </c>
      <c r="L711">
        <v>1</v>
      </c>
      <c r="M711">
        <v>5</v>
      </c>
      <c r="N711">
        <v>2</v>
      </c>
      <c r="O711">
        <v>1</v>
      </c>
      <c r="P711">
        <v>2</v>
      </c>
      <c r="Q711">
        <v>4</v>
      </c>
      <c r="R711">
        <v>3</v>
      </c>
      <c r="S711">
        <v>1</v>
      </c>
      <c r="T711">
        <v>4</v>
      </c>
      <c r="U711" t="s">
        <v>37</v>
      </c>
      <c r="V711" t="s">
        <v>54</v>
      </c>
      <c r="W711" t="s">
        <v>55</v>
      </c>
      <c r="X711" t="s">
        <v>33</v>
      </c>
      <c r="Y711">
        <v>20</v>
      </c>
      <c r="Z711" s="1">
        <v>45082</v>
      </c>
      <c r="AA711" t="str" cm="1">
        <f t="array" ref="AA711">_xlfn.IFS(AND(Table2[[#This Row],[Guest_Age]]&gt;=18,Table2[[#This Row],[Guest_Age]]&lt;=25),"Young Adults",AND(Table2[[#This Row],[Guest_Age]]&gt;=26,Table2[[#This Row],[Guest_Age]]&lt;=35),"Adults",AND(Table2[[#This Row],[Guest_Age]]&gt;=36,Table2[[#This Row],[Guest_Age]]&lt;=50),"Middle Aged Adults",Table2[[#This Row],[Guest_Age]]&gt;50,"Senior")</f>
        <v>Young Adults</v>
      </c>
      <c r="AB7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11" t="str" cm="1">
        <f t="array" ref="AC711">_xlfn.IFS(Table2[[#This Row],[Satification_points]]&gt;=4.5,"GREAT",AND(Table2[[#This Row],[Satification_points]]&gt;=4,Table2[[#This Row],[Satification_points]]&lt;4.5),"GOOD",AND(Table2[[#This Row],[Satification_points]]&gt;=3,Table2[[#This Row],[Satification_points]]&lt;4),"AVERAGE",Table2[[#This Row],[Satification_points]]&lt;3,"POOR")</f>
        <v>POOR</v>
      </c>
    </row>
    <row r="712" spans="1:29" x14ac:dyDescent="0.3">
      <c r="A712">
        <v>711</v>
      </c>
      <c r="B712">
        <v>78436</v>
      </c>
      <c r="C712" t="s">
        <v>764</v>
      </c>
      <c r="D712" t="s">
        <v>26</v>
      </c>
      <c r="E712" t="s">
        <v>57</v>
      </c>
      <c r="F712" s="1">
        <v>45193</v>
      </c>
      <c r="G712" s="1">
        <v>45198</v>
      </c>
      <c r="H712">
        <v>6</v>
      </c>
      <c r="I712" t="s">
        <v>28</v>
      </c>
      <c r="J712" t="s">
        <v>53</v>
      </c>
      <c r="K712">
        <v>5</v>
      </c>
      <c r="L712">
        <v>1</v>
      </c>
      <c r="M712">
        <v>5</v>
      </c>
      <c r="N712">
        <v>4</v>
      </c>
      <c r="O712">
        <v>2</v>
      </c>
      <c r="P712">
        <v>4</v>
      </c>
      <c r="Q712">
        <v>5</v>
      </c>
      <c r="R712">
        <v>1</v>
      </c>
      <c r="S712">
        <v>3</v>
      </c>
      <c r="T712">
        <v>2</v>
      </c>
      <c r="U712" t="s">
        <v>30</v>
      </c>
      <c r="V712" t="s">
        <v>38</v>
      </c>
      <c r="W712" t="s">
        <v>55</v>
      </c>
      <c r="X712" t="s">
        <v>44</v>
      </c>
      <c r="Y712">
        <v>51</v>
      </c>
      <c r="Z712" s="1">
        <v>45198</v>
      </c>
      <c r="AA712" t="str" cm="1">
        <f t="array" ref="AA712">_xlfn.IFS(AND(Table2[[#This Row],[Guest_Age]]&gt;=18,Table2[[#This Row],[Guest_Age]]&lt;=25),"Young Adults",AND(Table2[[#This Row],[Guest_Age]]&gt;=26,Table2[[#This Row],[Guest_Age]]&lt;=35),"Adults",AND(Table2[[#This Row],[Guest_Age]]&gt;=36,Table2[[#This Row],[Guest_Age]]&lt;=50),"Middle Aged Adults",Table2[[#This Row],[Guest_Age]]&gt;50,"Senior")</f>
        <v>Senior</v>
      </c>
      <c r="AB7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12" t="str" cm="1">
        <f t="array" ref="AC712">_xlfn.IFS(Table2[[#This Row],[Satification_points]]&gt;=4.5,"GREAT",AND(Table2[[#This Row],[Satification_points]]&gt;=4,Table2[[#This Row],[Satification_points]]&lt;4.5),"GOOD",AND(Table2[[#This Row],[Satification_points]]&gt;=3,Table2[[#This Row],[Satification_points]]&lt;4),"AVERAGE",Table2[[#This Row],[Satification_points]]&lt;3,"POOR")</f>
        <v>AVERAGE</v>
      </c>
    </row>
    <row r="713" spans="1:29" x14ac:dyDescent="0.3">
      <c r="A713">
        <v>712</v>
      </c>
      <c r="B713">
        <v>61417</v>
      </c>
      <c r="C713" t="s">
        <v>765</v>
      </c>
      <c r="D713" t="s">
        <v>48</v>
      </c>
      <c r="E713" t="s">
        <v>52</v>
      </c>
      <c r="F713" s="1">
        <v>45023</v>
      </c>
      <c r="G713" s="1">
        <v>45489</v>
      </c>
      <c r="H713">
        <v>3</v>
      </c>
      <c r="I713" t="s">
        <v>42</v>
      </c>
      <c r="J713" t="s">
        <v>36</v>
      </c>
      <c r="K713">
        <v>3</v>
      </c>
      <c r="L713">
        <v>2</v>
      </c>
      <c r="M713">
        <v>1</v>
      </c>
      <c r="N713">
        <v>3</v>
      </c>
      <c r="O713">
        <v>3</v>
      </c>
      <c r="P713">
        <v>1</v>
      </c>
      <c r="Q713">
        <v>3</v>
      </c>
      <c r="R713">
        <v>5</v>
      </c>
      <c r="S713">
        <v>4</v>
      </c>
      <c r="T713">
        <v>3</v>
      </c>
      <c r="U713" t="s">
        <v>37</v>
      </c>
      <c r="V713" t="s">
        <v>38</v>
      </c>
      <c r="W713" t="s">
        <v>32</v>
      </c>
      <c r="X713" t="s">
        <v>33</v>
      </c>
      <c r="Y713">
        <v>41</v>
      </c>
      <c r="Z713" s="1">
        <v>45489</v>
      </c>
      <c r="AA713" t="str" cm="1">
        <f t="array" ref="AA7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7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13" t="str" cm="1">
        <f t="array" ref="AC713">_xlfn.IFS(Table2[[#This Row],[Satification_points]]&gt;=4.5,"GREAT",AND(Table2[[#This Row],[Satification_points]]&gt;=4,Table2[[#This Row],[Satification_points]]&lt;4.5),"GOOD",AND(Table2[[#This Row],[Satification_points]]&gt;=3,Table2[[#This Row],[Satification_points]]&lt;4),"AVERAGE",Table2[[#This Row],[Satification_points]]&lt;3,"POOR")</f>
        <v>POOR</v>
      </c>
    </row>
    <row r="714" spans="1:29" x14ac:dyDescent="0.3">
      <c r="A714">
        <v>713</v>
      </c>
      <c r="B714">
        <v>18946</v>
      </c>
      <c r="C714" t="s">
        <v>766</v>
      </c>
      <c r="D714" t="s">
        <v>48</v>
      </c>
      <c r="E714" t="s">
        <v>35</v>
      </c>
      <c r="F714" s="1">
        <v>45209</v>
      </c>
      <c r="G714" s="1">
        <v>45436</v>
      </c>
      <c r="H714">
        <v>6</v>
      </c>
      <c r="I714" t="s">
        <v>28</v>
      </c>
      <c r="J714" t="s">
        <v>40</v>
      </c>
      <c r="K714">
        <v>5</v>
      </c>
      <c r="L714">
        <v>2</v>
      </c>
      <c r="M714">
        <v>2</v>
      </c>
      <c r="N714">
        <v>5</v>
      </c>
      <c r="O714">
        <v>3</v>
      </c>
      <c r="P714">
        <v>1</v>
      </c>
      <c r="Q714">
        <v>1</v>
      </c>
      <c r="R714">
        <v>3</v>
      </c>
      <c r="S714">
        <v>2</v>
      </c>
      <c r="T714">
        <v>5</v>
      </c>
      <c r="U714" t="s">
        <v>30</v>
      </c>
      <c r="V714" t="s">
        <v>38</v>
      </c>
      <c r="W714" t="s">
        <v>55</v>
      </c>
      <c r="X714" t="s">
        <v>40</v>
      </c>
      <c r="Y714">
        <v>59</v>
      </c>
      <c r="Z714" s="1">
        <v>45436</v>
      </c>
      <c r="AA714" t="str" cm="1">
        <f t="array" ref="AA714">_xlfn.IFS(AND(Table2[[#This Row],[Guest_Age]]&gt;=18,Table2[[#This Row],[Guest_Age]]&lt;=25),"Young Adults",AND(Table2[[#This Row],[Guest_Age]]&gt;=26,Table2[[#This Row],[Guest_Age]]&lt;=35),"Adults",AND(Table2[[#This Row],[Guest_Age]]&gt;=36,Table2[[#This Row],[Guest_Age]]&lt;=50),"Middle Aged Adults",Table2[[#This Row],[Guest_Age]]&gt;50,"Senior")</f>
        <v>Senior</v>
      </c>
      <c r="AB7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14" t="str" cm="1">
        <f t="array" ref="AC714">_xlfn.IFS(Table2[[#This Row],[Satification_points]]&gt;=4.5,"GREAT",AND(Table2[[#This Row],[Satification_points]]&gt;=4,Table2[[#This Row],[Satification_points]]&lt;4.5),"GOOD",AND(Table2[[#This Row],[Satification_points]]&gt;=3,Table2[[#This Row],[Satification_points]]&lt;4),"AVERAGE",Table2[[#This Row],[Satification_points]]&lt;3,"POOR")</f>
        <v>POOR</v>
      </c>
    </row>
    <row r="715" spans="1:29" x14ac:dyDescent="0.3">
      <c r="A715">
        <v>714</v>
      </c>
      <c r="B715">
        <v>92654</v>
      </c>
      <c r="C715" t="s">
        <v>767</v>
      </c>
      <c r="D715" t="s">
        <v>48</v>
      </c>
      <c r="E715" t="s">
        <v>52</v>
      </c>
      <c r="F715" s="1">
        <v>45173</v>
      </c>
      <c r="G715" s="1">
        <v>45317</v>
      </c>
      <c r="H715">
        <v>6</v>
      </c>
      <c r="I715" t="s">
        <v>50</v>
      </c>
      <c r="J715" t="s">
        <v>53</v>
      </c>
      <c r="K715">
        <v>4</v>
      </c>
      <c r="L715">
        <v>4</v>
      </c>
      <c r="M715">
        <v>3</v>
      </c>
      <c r="N715">
        <v>4</v>
      </c>
      <c r="O715">
        <v>2</v>
      </c>
      <c r="P715">
        <v>5</v>
      </c>
      <c r="Q715">
        <v>1</v>
      </c>
      <c r="R715">
        <v>2</v>
      </c>
      <c r="S715">
        <v>5</v>
      </c>
      <c r="T715">
        <v>4</v>
      </c>
      <c r="U715" t="s">
        <v>37</v>
      </c>
      <c r="V715" t="s">
        <v>38</v>
      </c>
      <c r="W715" t="s">
        <v>39</v>
      </c>
      <c r="X715" t="s">
        <v>44</v>
      </c>
      <c r="Y715">
        <v>63</v>
      </c>
      <c r="Z715" s="1">
        <v>45532</v>
      </c>
      <c r="AA715" t="str" cm="1">
        <f t="array" ref="AA715">_xlfn.IFS(AND(Table2[[#This Row],[Guest_Age]]&gt;=18,Table2[[#This Row],[Guest_Age]]&lt;=25),"Young Adults",AND(Table2[[#This Row],[Guest_Age]]&gt;=26,Table2[[#This Row],[Guest_Age]]&lt;=35),"Adults",AND(Table2[[#This Row],[Guest_Age]]&gt;=36,Table2[[#This Row],[Guest_Age]]&lt;=50),"Middle Aged Adults",Table2[[#This Row],[Guest_Age]]&gt;50,"Senior")</f>
        <v>Senior</v>
      </c>
      <c r="AB7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15" t="str" cm="1">
        <f t="array" ref="AC715">_xlfn.IFS(Table2[[#This Row],[Satification_points]]&gt;=4.5,"GREAT",AND(Table2[[#This Row],[Satification_points]]&gt;=4,Table2[[#This Row],[Satification_points]]&lt;4.5),"GOOD",AND(Table2[[#This Row],[Satification_points]]&gt;=3,Table2[[#This Row],[Satification_points]]&lt;4),"AVERAGE",Table2[[#This Row],[Satification_points]]&lt;3,"POOR")</f>
        <v>AVERAGE</v>
      </c>
    </row>
    <row r="716" spans="1:29" x14ac:dyDescent="0.3">
      <c r="A716">
        <v>715</v>
      </c>
      <c r="B716">
        <v>62943</v>
      </c>
      <c r="C716" t="s">
        <v>768</v>
      </c>
      <c r="D716" t="s">
        <v>26</v>
      </c>
      <c r="E716" t="s">
        <v>57</v>
      </c>
      <c r="F716" s="1">
        <v>44961</v>
      </c>
      <c r="G716" s="1">
        <v>44995</v>
      </c>
      <c r="H716">
        <v>14</v>
      </c>
      <c r="I716" t="s">
        <v>42</v>
      </c>
      <c r="J716" t="s">
        <v>43</v>
      </c>
      <c r="K716">
        <v>2</v>
      </c>
      <c r="L716">
        <v>3</v>
      </c>
      <c r="M716">
        <v>2</v>
      </c>
      <c r="N716">
        <v>2</v>
      </c>
      <c r="O716">
        <v>4</v>
      </c>
      <c r="P716">
        <v>1</v>
      </c>
      <c r="Q716">
        <v>5</v>
      </c>
      <c r="R716">
        <v>1</v>
      </c>
      <c r="S716">
        <v>3</v>
      </c>
      <c r="T716">
        <v>1</v>
      </c>
      <c r="U716" t="s">
        <v>30</v>
      </c>
      <c r="V716" t="s">
        <v>58</v>
      </c>
      <c r="W716" t="s">
        <v>56</v>
      </c>
      <c r="X716" t="s">
        <v>40</v>
      </c>
      <c r="Y716">
        <v>40</v>
      </c>
      <c r="Z716" s="1">
        <v>45268</v>
      </c>
      <c r="AA716" t="str" cm="1">
        <f t="array" ref="AA7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7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16" t="str" cm="1">
        <f t="array" ref="AC716">_xlfn.IFS(Table2[[#This Row],[Satification_points]]&gt;=4.5,"GREAT",AND(Table2[[#This Row],[Satification_points]]&gt;=4,Table2[[#This Row],[Satification_points]]&lt;4.5),"GOOD",AND(Table2[[#This Row],[Satification_points]]&gt;=3,Table2[[#This Row],[Satification_points]]&lt;4),"AVERAGE",Table2[[#This Row],[Satification_points]]&lt;3,"POOR")</f>
        <v>POOR</v>
      </c>
    </row>
    <row r="717" spans="1:29" x14ac:dyDescent="0.3">
      <c r="A717">
        <v>716</v>
      </c>
      <c r="B717">
        <v>21020</v>
      </c>
      <c r="C717" t="s">
        <v>769</v>
      </c>
      <c r="D717" t="s">
        <v>26</v>
      </c>
      <c r="E717" t="s">
        <v>45</v>
      </c>
      <c r="F717" s="1">
        <v>45395</v>
      </c>
      <c r="G717" s="1">
        <v>45396</v>
      </c>
      <c r="H717">
        <v>9</v>
      </c>
      <c r="I717" t="s">
        <v>42</v>
      </c>
      <c r="J717" t="s">
        <v>29</v>
      </c>
      <c r="K717">
        <v>4</v>
      </c>
      <c r="L717">
        <v>1</v>
      </c>
      <c r="M717">
        <v>2</v>
      </c>
      <c r="N717">
        <v>4</v>
      </c>
      <c r="O717">
        <v>5</v>
      </c>
      <c r="P717">
        <v>4</v>
      </c>
      <c r="Q717">
        <v>1</v>
      </c>
      <c r="R717">
        <v>5</v>
      </c>
      <c r="S717">
        <v>5</v>
      </c>
      <c r="T717">
        <v>1</v>
      </c>
      <c r="U717" t="s">
        <v>30</v>
      </c>
      <c r="V717" t="s">
        <v>38</v>
      </c>
      <c r="W717" t="s">
        <v>39</v>
      </c>
      <c r="X717" t="s">
        <v>44</v>
      </c>
      <c r="Y717">
        <v>47</v>
      </c>
      <c r="Z717" s="1">
        <v>45590</v>
      </c>
      <c r="AA717" t="str" cm="1">
        <f t="array" ref="AA7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7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17" t="str" cm="1">
        <f t="array" ref="AC717">_xlfn.IFS(Table2[[#This Row],[Satification_points]]&gt;=4.5,"GREAT",AND(Table2[[#This Row],[Satification_points]]&gt;=4,Table2[[#This Row],[Satification_points]]&lt;4.5),"GOOD",AND(Table2[[#This Row],[Satification_points]]&gt;=3,Table2[[#This Row],[Satification_points]]&lt;4),"AVERAGE",Table2[[#This Row],[Satification_points]]&lt;3,"POOR")</f>
        <v>AVERAGE</v>
      </c>
    </row>
    <row r="718" spans="1:29" x14ac:dyDescent="0.3">
      <c r="A718">
        <v>717</v>
      </c>
      <c r="B718">
        <v>14317</v>
      </c>
      <c r="C718" t="s">
        <v>770</v>
      </c>
      <c r="D718" t="s">
        <v>41</v>
      </c>
      <c r="E718" t="s">
        <v>57</v>
      </c>
      <c r="F718" s="1">
        <v>44994</v>
      </c>
      <c r="G718" s="1">
        <v>45597</v>
      </c>
      <c r="H718">
        <v>8</v>
      </c>
      <c r="I718" t="s">
        <v>49</v>
      </c>
      <c r="J718" t="s">
        <v>43</v>
      </c>
      <c r="K718">
        <v>5</v>
      </c>
      <c r="L718">
        <v>5</v>
      </c>
      <c r="M718">
        <v>1</v>
      </c>
      <c r="N718">
        <v>3</v>
      </c>
      <c r="O718">
        <v>5</v>
      </c>
      <c r="P718">
        <v>5</v>
      </c>
      <c r="Q718">
        <v>2</v>
      </c>
      <c r="R718">
        <v>1</v>
      </c>
      <c r="S718">
        <v>3</v>
      </c>
      <c r="T718">
        <v>3</v>
      </c>
      <c r="U718" t="s">
        <v>37</v>
      </c>
      <c r="V718" t="s">
        <v>54</v>
      </c>
      <c r="W718" t="s">
        <v>56</v>
      </c>
      <c r="X718" t="s">
        <v>33</v>
      </c>
      <c r="Y718">
        <v>66</v>
      </c>
      <c r="Z718" s="1">
        <v>45597</v>
      </c>
      <c r="AA718" t="str" cm="1">
        <f t="array" ref="AA718">_xlfn.IFS(AND(Table2[[#This Row],[Guest_Age]]&gt;=18,Table2[[#This Row],[Guest_Age]]&lt;=25),"Young Adults",AND(Table2[[#This Row],[Guest_Age]]&gt;=26,Table2[[#This Row],[Guest_Age]]&lt;=35),"Adults",AND(Table2[[#This Row],[Guest_Age]]&gt;=36,Table2[[#This Row],[Guest_Age]]&lt;=50),"Middle Aged Adults",Table2[[#This Row],[Guest_Age]]&gt;50,"Senior")</f>
        <v>Senior</v>
      </c>
      <c r="AB7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18" t="str" cm="1">
        <f t="array" ref="AC718">_xlfn.IFS(Table2[[#This Row],[Satification_points]]&gt;=4.5,"GREAT",AND(Table2[[#This Row],[Satification_points]]&gt;=4,Table2[[#This Row],[Satification_points]]&lt;4.5),"GOOD",AND(Table2[[#This Row],[Satification_points]]&gt;=3,Table2[[#This Row],[Satification_points]]&lt;4),"AVERAGE",Table2[[#This Row],[Satification_points]]&lt;3,"POOR")</f>
        <v>AVERAGE</v>
      </c>
    </row>
    <row r="719" spans="1:29" x14ac:dyDescent="0.3">
      <c r="A719">
        <v>718</v>
      </c>
      <c r="B719">
        <v>10523</v>
      </c>
      <c r="C719" t="s">
        <v>771</v>
      </c>
      <c r="D719" t="s">
        <v>26</v>
      </c>
      <c r="E719" t="s">
        <v>27</v>
      </c>
      <c r="F719" s="1">
        <v>45115</v>
      </c>
      <c r="G719" s="1">
        <v>45192</v>
      </c>
      <c r="H719">
        <v>1</v>
      </c>
      <c r="I719" t="s">
        <v>42</v>
      </c>
      <c r="J719" t="s">
        <v>43</v>
      </c>
      <c r="K719">
        <v>4</v>
      </c>
      <c r="L719">
        <v>2</v>
      </c>
      <c r="M719">
        <v>3</v>
      </c>
      <c r="N719">
        <v>4</v>
      </c>
      <c r="O719">
        <v>2</v>
      </c>
      <c r="P719">
        <v>5</v>
      </c>
      <c r="Q719">
        <v>2</v>
      </c>
      <c r="R719">
        <v>3</v>
      </c>
      <c r="S719">
        <v>4</v>
      </c>
      <c r="T719">
        <v>3</v>
      </c>
      <c r="U719" t="s">
        <v>37</v>
      </c>
      <c r="V719" t="s">
        <v>58</v>
      </c>
      <c r="W719" t="s">
        <v>47</v>
      </c>
      <c r="X719" t="s">
        <v>44</v>
      </c>
      <c r="Y719">
        <v>38</v>
      </c>
      <c r="Z719" s="1">
        <v>45192</v>
      </c>
      <c r="AA719" t="str" cm="1">
        <f t="array" ref="AA7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7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19" t="str" cm="1">
        <f t="array" ref="AC719">_xlfn.IFS(Table2[[#This Row],[Satification_points]]&gt;=4.5,"GREAT",AND(Table2[[#This Row],[Satification_points]]&gt;=4,Table2[[#This Row],[Satification_points]]&lt;4.5),"GOOD",AND(Table2[[#This Row],[Satification_points]]&gt;=3,Table2[[#This Row],[Satification_points]]&lt;4),"AVERAGE",Table2[[#This Row],[Satification_points]]&lt;3,"POOR")</f>
        <v>AVERAGE</v>
      </c>
    </row>
    <row r="720" spans="1:29" x14ac:dyDescent="0.3">
      <c r="A720">
        <v>719</v>
      </c>
      <c r="B720">
        <v>86474</v>
      </c>
      <c r="C720" t="s">
        <v>772</v>
      </c>
      <c r="D720" t="s">
        <v>51</v>
      </c>
      <c r="E720" t="s">
        <v>45</v>
      </c>
      <c r="F720" s="1">
        <v>44967</v>
      </c>
      <c r="G720" s="1">
        <v>45609</v>
      </c>
      <c r="H720">
        <v>7</v>
      </c>
      <c r="I720" t="s">
        <v>42</v>
      </c>
      <c r="J720" t="s">
        <v>53</v>
      </c>
      <c r="K720">
        <v>3</v>
      </c>
      <c r="L720">
        <v>1</v>
      </c>
      <c r="M720">
        <v>1</v>
      </c>
      <c r="N720">
        <v>1</v>
      </c>
      <c r="O720">
        <v>1</v>
      </c>
      <c r="P720">
        <v>3</v>
      </c>
      <c r="Q720">
        <v>2</v>
      </c>
      <c r="R720">
        <v>5</v>
      </c>
      <c r="S720">
        <v>5</v>
      </c>
      <c r="T720">
        <v>3</v>
      </c>
      <c r="U720" t="s">
        <v>30</v>
      </c>
      <c r="V720" t="s">
        <v>38</v>
      </c>
      <c r="W720" t="s">
        <v>55</v>
      </c>
      <c r="X720" t="s">
        <v>44</v>
      </c>
      <c r="Y720">
        <v>34</v>
      </c>
      <c r="Z720" s="1">
        <v>45642</v>
      </c>
      <c r="AA720" t="str" cm="1">
        <f t="array" ref="AA720">_xlfn.IFS(AND(Table2[[#This Row],[Guest_Age]]&gt;=18,Table2[[#This Row],[Guest_Age]]&lt;=25),"Young Adults",AND(Table2[[#This Row],[Guest_Age]]&gt;=26,Table2[[#This Row],[Guest_Age]]&lt;=35),"Adults",AND(Table2[[#This Row],[Guest_Age]]&gt;=36,Table2[[#This Row],[Guest_Age]]&lt;=50),"Middle Aged Adults",Table2[[#This Row],[Guest_Age]]&gt;50,"Senior")</f>
        <v>Adults</v>
      </c>
      <c r="AB7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720" t="str" cm="1">
        <f t="array" ref="AC720">_xlfn.IFS(Table2[[#This Row],[Satification_points]]&gt;=4.5,"GREAT",AND(Table2[[#This Row],[Satification_points]]&gt;=4,Table2[[#This Row],[Satification_points]]&lt;4.5),"GOOD",AND(Table2[[#This Row],[Satification_points]]&gt;=3,Table2[[#This Row],[Satification_points]]&lt;4),"AVERAGE",Table2[[#This Row],[Satification_points]]&lt;3,"POOR")</f>
        <v>POOR</v>
      </c>
    </row>
    <row r="721" spans="1:29" x14ac:dyDescent="0.3">
      <c r="A721">
        <v>720</v>
      </c>
      <c r="B721">
        <v>65076</v>
      </c>
      <c r="C721" t="s">
        <v>773</v>
      </c>
      <c r="D721" t="s">
        <v>51</v>
      </c>
      <c r="E721" t="s">
        <v>45</v>
      </c>
      <c r="F721" s="1">
        <v>45534</v>
      </c>
      <c r="G721" s="1">
        <v>45535</v>
      </c>
      <c r="H721">
        <v>11</v>
      </c>
      <c r="I721" t="s">
        <v>28</v>
      </c>
      <c r="J721" t="s">
        <v>40</v>
      </c>
      <c r="K721">
        <v>5</v>
      </c>
      <c r="L721">
        <v>5</v>
      </c>
      <c r="M721">
        <v>2</v>
      </c>
      <c r="N721">
        <v>5</v>
      </c>
      <c r="O721">
        <v>3</v>
      </c>
      <c r="P721">
        <v>1</v>
      </c>
      <c r="Q721">
        <v>5</v>
      </c>
      <c r="R721">
        <v>5</v>
      </c>
      <c r="S721">
        <v>5</v>
      </c>
      <c r="T721">
        <v>1</v>
      </c>
      <c r="U721" t="s">
        <v>30</v>
      </c>
      <c r="V721" t="s">
        <v>54</v>
      </c>
      <c r="W721" t="s">
        <v>47</v>
      </c>
      <c r="X721" t="s">
        <v>44</v>
      </c>
      <c r="Y721">
        <v>35</v>
      </c>
      <c r="Z721" s="1">
        <v>45535</v>
      </c>
      <c r="AA721" t="str" cm="1">
        <f t="array" ref="AA721">_xlfn.IFS(AND(Table2[[#This Row],[Guest_Age]]&gt;=18,Table2[[#This Row],[Guest_Age]]&lt;=25),"Young Adults",AND(Table2[[#This Row],[Guest_Age]]&gt;=26,Table2[[#This Row],[Guest_Age]]&lt;=35),"Adults",AND(Table2[[#This Row],[Guest_Age]]&gt;=36,Table2[[#This Row],[Guest_Age]]&lt;=50),"Middle Aged Adults",Table2[[#This Row],[Guest_Age]]&gt;50,"Senior")</f>
        <v>Adults</v>
      </c>
      <c r="AB7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21" t="str" cm="1">
        <f t="array" ref="AC721">_xlfn.IFS(Table2[[#This Row],[Satification_points]]&gt;=4.5,"GREAT",AND(Table2[[#This Row],[Satification_points]]&gt;=4,Table2[[#This Row],[Satification_points]]&lt;4.5),"GOOD",AND(Table2[[#This Row],[Satification_points]]&gt;=3,Table2[[#This Row],[Satification_points]]&lt;4),"AVERAGE",Table2[[#This Row],[Satification_points]]&lt;3,"POOR")</f>
        <v>AVERAGE</v>
      </c>
    </row>
    <row r="722" spans="1:29" x14ac:dyDescent="0.3">
      <c r="A722">
        <v>721</v>
      </c>
      <c r="B722">
        <v>90195</v>
      </c>
      <c r="C722" t="s">
        <v>774</v>
      </c>
      <c r="D722" t="s">
        <v>26</v>
      </c>
      <c r="E722" t="s">
        <v>35</v>
      </c>
      <c r="F722" s="1">
        <v>45609</v>
      </c>
      <c r="G722" s="1">
        <v>45610</v>
      </c>
      <c r="H722">
        <v>9</v>
      </c>
      <c r="I722" t="s">
        <v>49</v>
      </c>
      <c r="J722" t="s">
        <v>36</v>
      </c>
      <c r="K722">
        <v>5</v>
      </c>
      <c r="L722">
        <v>1</v>
      </c>
      <c r="M722">
        <v>3</v>
      </c>
      <c r="N722">
        <v>2</v>
      </c>
      <c r="O722">
        <v>4</v>
      </c>
      <c r="P722">
        <v>3</v>
      </c>
      <c r="Q722">
        <v>4</v>
      </c>
      <c r="R722">
        <v>1</v>
      </c>
      <c r="S722">
        <v>3</v>
      </c>
      <c r="T722">
        <v>5</v>
      </c>
      <c r="U722" t="s">
        <v>37</v>
      </c>
      <c r="V722" t="s">
        <v>31</v>
      </c>
      <c r="W722" t="s">
        <v>47</v>
      </c>
      <c r="X722" t="s">
        <v>33</v>
      </c>
      <c r="Y722">
        <v>20</v>
      </c>
      <c r="Z722" s="1">
        <v>45610</v>
      </c>
      <c r="AA722" t="str" cm="1">
        <f t="array" ref="AA722">_xlfn.IFS(AND(Table2[[#This Row],[Guest_Age]]&gt;=18,Table2[[#This Row],[Guest_Age]]&lt;=25),"Young Adults",AND(Table2[[#This Row],[Guest_Age]]&gt;=26,Table2[[#This Row],[Guest_Age]]&lt;=35),"Adults",AND(Table2[[#This Row],[Guest_Age]]&gt;=36,Table2[[#This Row],[Guest_Age]]&lt;=50),"Middle Aged Adults",Table2[[#This Row],[Guest_Age]]&gt;50,"Senior")</f>
        <v>Young Adults</v>
      </c>
      <c r="AB7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22" t="str" cm="1">
        <f t="array" ref="AC722">_xlfn.IFS(Table2[[#This Row],[Satification_points]]&gt;=4.5,"GREAT",AND(Table2[[#This Row],[Satification_points]]&gt;=4,Table2[[#This Row],[Satification_points]]&lt;4.5),"GOOD",AND(Table2[[#This Row],[Satification_points]]&gt;=3,Table2[[#This Row],[Satification_points]]&lt;4),"AVERAGE",Table2[[#This Row],[Satification_points]]&lt;3,"POOR")</f>
        <v>AVERAGE</v>
      </c>
    </row>
    <row r="723" spans="1:29" x14ac:dyDescent="0.3">
      <c r="A723">
        <v>722</v>
      </c>
      <c r="B723">
        <v>18809</v>
      </c>
      <c r="C723" t="s">
        <v>775</v>
      </c>
      <c r="D723" t="s">
        <v>51</v>
      </c>
      <c r="E723" t="s">
        <v>52</v>
      </c>
      <c r="F723" s="1">
        <v>44993</v>
      </c>
      <c r="G723" s="1">
        <v>45216</v>
      </c>
      <c r="H723">
        <v>2</v>
      </c>
      <c r="I723" t="s">
        <v>49</v>
      </c>
      <c r="J723" t="s">
        <v>36</v>
      </c>
      <c r="K723">
        <v>2</v>
      </c>
      <c r="L723">
        <v>4</v>
      </c>
      <c r="M723">
        <v>2</v>
      </c>
      <c r="N723">
        <v>2</v>
      </c>
      <c r="O723">
        <v>5</v>
      </c>
      <c r="P723">
        <v>4</v>
      </c>
      <c r="Q723">
        <v>4</v>
      </c>
      <c r="R723">
        <v>2</v>
      </c>
      <c r="S723">
        <v>1</v>
      </c>
      <c r="T723">
        <v>4</v>
      </c>
      <c r="U723" t="s">
        <v>30</v>
      </c>
      <c r="V723" t="s">
        <v>31</v>
      </c>
      <c r="W723" t="s">
        <v>32</v>
      </c>
      <c r="X723" t="s">
        <v>33</v>
      </c>
      <c r="Y723">
        <v>64</v>
      </c>
      <c r="Z723" s="1">
        <v>45491</v>
      </c>
      <c r="AA723" t="str" cm="1">
        <f t="array" ref="AA723">_xlfn.IFS(AND(Table2[[#This Row],[Guest_Age]]&gt;=18,Table2[[#This Row],[Guest_Age]]&lt;=25),"Young Adults",AND(Table2[[#This Row],[Guest_Age]]&gt;=26,Table2[[#This Row],[Guest_Age]]&lt;=35),"Adults",AND(Table2[[#This Row],[Guest_Age]]&gt;=36,Table2[[#This Row],[Guest_Age]]&lt;=50),"Middle Aged Adults",Table2[[#This Row],[Guest_Age]]&gt;50,"Senior")</f>
        <v>Senior</v>
      </c>
      <c r="AB7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23" t="str" cm="1">
        <f t="array" ref="AC723">_xlfn.IFS(Table2[[#This Row],[Satification_points]]&gt;=4.5,"GREAT",AND(Table2[[#This Row],[Satification_points]]&gt;=4,Table2[[#This Row],[Satification_points]]&lt;4.5),"GOOD",AND(Table2[[#This Row],[Satification_points]]&gt;=3,Table2[[#This Row],[Satification_points]]&lt;4),"AVERAGE",Table2[[#This Row],[Satification_points]]&lt;3,"POOR")</f>
        <v>AVERAGE</v>
      </c>
    </row>
    <row r="724" spans="1:29" x14ac:dyDescent="0.3">
      <c r="A724">
        <v>723</v>
      </c>
      <c r="B724">
        <v>25535</v>
      </c>
      <c r="C724" t="s">
        <v>776</v>
      </c>
      <c r="D724" t="s">
        <v>26</v>
      </c>
      <c r="E724" t="s">
        <v>27</v>
      </c>
      <c r="F724" s="1">
        <v>45234</v>
      </c>
      <c r="G724" s="1">
        <v>45235</v>
      </c>
      <c r="H724">
        <v>9</v>
      </c>
      <c r="I724" t="s">
        <v>50</v>
      </c>
      <c r="J724" t="s">
        <v>40</v>
      </c>
      <c r="K724">
        <v>3</v>
      </c>
      <c r="L724">
        <v>4</v>
      </c>
      <c r="M724">
        <v>1</v>
      </c>
      <c r="N724">
        <v>5</v>
      </c>
      <c r="O724">
        <v>3</v>
      </c>
      <c r="P724">
        <v>1</v>
      </c>
      <c r="Q724">
        <v>3</v>
      </c>
      <c r="R724">
        <v>2</v>
      </c>
      <c r="S724">
        <v>2</v>
      </c>
      <c r="T724">
        <v>1</v>
      </c>
      <c r="U724" t="s">
        <v>37</v>
      </c>
      <c r="V724" t="s">
        <v>54</v>
      </c>
      <c r="W724" t="s">
        <v>55</v>
      </c>
      <c r="X724" t="s">
        <v>40</v>
      </c>
      <c r="Y724">
        <v>29</v>
      </c>
      <c r="Z724" s="1">
        <v>45617</v>
      </c>
      <c r="AA724" t="str" cm="1">
        <f t="array" ref="AA724">_xlfn.IFS(AND(Table2[[#This Row],[Guest_Age]]&gt;=18,Table2[[#This Row],[Guest_Age]]&lt;=25),"Young Adults",AND(Table2[[#This Row],[Guest_Age]]&gt;=26,Table2[[#This Row],[Guest_Age]]&lt;=35),"Adults",AND(Table2[[#This Row],[Guest_Age]]&gt;=36,Table2[[#This Row],[Guest_Age]]&lt;=50),"Middle Aged Adults",Table2[[#This Row],[Guest_Age]]&gt;50,"Senior")</f>
        <v>Adults</v>
      </c>
      <c r="AB7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724" t="str" cm="1">
        <f t="array" ref="AC724">_xlfn.IFS(Table2[[#This Row],[Satification_points]]&gt;=4.5,"GREAT",AND(Table2[[#This Row],[Satification_points]]&gt;=4,Table2[[#This Row],[Satification_points]]&lt;4.5),"GOOD",AND(Table2[[#This Row],[Satification_points]]&gt;=3,Table2[[#This Row],[Satification_points]]&lt;4),"AVERAGE",Table2[[#This Row],[Satification_points]]&lt;3,"POOR")</f>
        <v>POOR</v>
      </c>
    </row>
    <row r="725" spans="1:29" x14ac:dyDescent="0.3">
      <c r="A725">
        <v>724</v>
      </c>
      <c r="B725">
        <v>91834</v>
      </c>
      <c r="C725" t="s">
        <v>777</v>
      </c>
      <c r="D725" t="s">
        <v>48</v>
      </c>
      <c r="E725" t="s">
        <v>45</v>
      </c>
      <c r="F725" s="1">
        <v>45045</v>
      </c>
      <c r="G725" s="1">
        <v>45499</v>
      </c>
      <c r="H725">
        <v>6</v>
      </c>
      <c r="I725" t="s">
        <v>28</v>
      </c>
      <c r="J725" t="s">
        <v>40</v>
      </c>
      <c r="K725">
        <v>1</v>
      </c>
      <c r="L725">
        <v>5</v>
      </c>
      <c r="M725">
        <v>1</v>
      </c>
      <c r="N725">
        <v>5</v>
      </c>
      <c r="O725">
        <v>2</v>
      </c>
      <c r="P725">
        <v>3</v>
      </c>
      <c r="Q725">
        <v>3</v>
      </c>
      <c r="R725">
        <v>2</v>
      </c>
      <c r="S725">
        <v>3</v>
      </c>
      <c r="T725">
        <v>4</v>
      </c>
      <c r="U725" t="s">
        <v>37</v>
      </c>
      <c r="V725" t="s">
        <v>38</v>
      </c>
      <c r="W725" t="s">
        <v>47</v>
      </c>
      <c r="X725" t="s">
        <v>40</v>
      </c>
      <c r="Y725">
        <v>33</v>
      </c>
      <c r="Z725" s="1">
        <v>45499</v>
      </c>
      <c r="AA725" t="str" cm="1">
        <f t="array" ref="AA725">_xlfn.IFS(AND(Table2[[#This Row],[Guest_Age]]&gt;=18,Table2[[#This Row],[Guest_Age]]&lt;=25),"Young Adults",AND(Table2[[#This Row],[Guest_Age]]&gt;=26,Table2[[#This Row],[Guest_Age]]&lt;=35),"Adults",AND(Table2[[#This Row],[Guest_Age]]&gt;=36,Table2[[#This Row],[Guest_Age]]&lt;=50),"Middle Aged Adults",Table2[[#This Row],[Guest_Age]]&gt;50,"Senior")</f>
        <v>Adults</v>
      </c>
      <c r="AB7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25" t="str" cm="1">
        <f t="array" ref="AC725">_xlfn.IFS(Table2[[#This Row],[Satification_points]]&gt;=4.5,"GREAT",AND(Table2[[#This Row],[Satification_points]]&gt;=4,Table2[[#This Row],[Satification_points]]&lt;4.5),"GOOD",AND(Table2[[#This Row],[Satification_points]]&gt;=3,Table2[[#This Row],[Satification_points]]&lt;4),"AVERAGE",Table2[[#This Row],[Satification_points]]&lt;3,"POOR")</f>
        <v>POOR</v>
      </c>
    </row>
    <row r="726" spans="1:29" x14ac:dyDescent="0.3">
      <c r="A726">
        <v>725</v>
      </c>
      <c r="B726">
        <v>60012</v>
      </c>
      <c r="C726" t="s">
        <v>778</v>
      </c>
      <c r="D726" t="s">
        <v>26</v>
      </c>
      <c r="E726" t="s">
        <v>52</v>
      </c>
      <c r="F726" s="1">
        <v>45609</v>
      </c>
      <c r="G726" s="1">
        <v>45610</v>
      </c>
      <c r="H726">
        <v>3</v>
      </c>
      <c r="I726" t="s">
        <v>42</v>
      </c>
      <c r="J726" t="s">
        <v>29</v>
      </c>
      <c r="K726">
        <v>2</v>
      </c>
      <c r="L726">
        <v>2</v>
      </c>
      <c r="M726">
        <v>5</v>
      </c>
      <c r="N726">
        <v>1</v>
      </c>
      <c r="O726">
        <v>3</v>
      </c>
      <c r="P726">
        <v>3</v>
      </c>
      <c r="Q726">
        <v>2</v>
      </c>
      <c r="R726">
        <v>3</v>
      </c>
      <c r="S726">
        <v>5</v>
      </c>
      <c r="T726">
        <v>3</v>
      </c>
      <c r="U726" t="s">
        <v>30</v>
      </c>
      <c r="V726" t="s">
        <v>38</v>
      </c>
      <c r="W726" t="s">
        <v>56</v>
      </c>
      <c r="X726" t="s">
        <v>33</v>
      </c>
      <c r="Y726">
        <v>55</v>
      </c>
      <c r="Z726" s="1">
        <v>45610</v>
      </c>
      <c r="AA726" t="str" cm="1">
        <f t="array" ref="AA726">_xlfn.IFS(AND(Table2[[#This Row],[Guest_Age]]&gt;=18,Table2[[#This Row],[Guest_Age]]&lt;=25),"Young Adults",AND(Table2[[#This Row],[Guest_Age]]&gt;=26,Table2[[#This Row],[Guest_Age]]&lt;=35),"Adults",AND(Table2[[#This Row],[Guest_Age]]&gt;=36,Table2[[#This Row],[Guest_Age]]&lt;=50),"Middle Aged Adults",Table2[[#This Row],[Guest_Age]]&gt;50,"Senior")</f>
        <v>Senior</v>
      </c>
      <c r="AB7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26" t="str" cm="1">
        <f t="array" ref="AC726">_xlfn.IFS(Table2[[#This Row],[Satification_points]]&gt;=4.5,"GREAT",AND(Table2[[#This Row],[Satification_points]]&gt;=4,Table2[[#This Row],[Satification_points]]&lt;4.5),"GOOD",AND(Table2[[#This Row],[Satification_points]]&gt;=3,Table2[[#This Row],[Satification_points]]&lt;4),"AVERAGE",Table2[[#This Row],[Satification_points]]&lt;3,"POOR")</f>
        <v>POOR</v>
      </c>
    </row>
    <row r="727" spans="1:29" x14ac:dyDescent="0.3">
      <c r="A727">
        <v>726</v>
      </c>
      <c r="B727">
        <v>58951</v>
      </c>
      <c r="C727" t="s">
        <v>779</v>
      </c>
      <c r="D727" t="s">
        <v>48</v>
      </c>
      <c r="E727" t="s">
        <v>52</v>
      </c>
      <c r="F727" s="1">
        <v>45112</v>
      </c>
      <c r="G727" s="1">
        <v>45245</v>
      </c>
      <c r="H727">
        <v>8</v>
      </c>
      <c r="I727" t="s">
        <v>28</v>
      </c>
      <c r="J727" t="s">
        <v>40</v>
      </c>
      <c r="K727">
        <v>3</v>
      </c>
      <c r="L727">
        <v>4</v>
      </c>
      <c r="M727">
        <v>3</v>
      </c>
      <c r="N727">
        <v>1</v>
      </c>
      <c r="O727">
        <v>5</v>
      </c>
      <c r="P727">
        <v>5</v>
      </c>
      <c r="Q727">
        <v>2</v>
      </c>
      <c r="R727">
        <v>1</v>
      </c>
      <c r="S727">
        <v>3</v>
      </c>
      <c r="T727">
        <v>2</v>
      </c>
      <c r="U727" t="s">
        <v>37</v>
      </c>
      <c r="V727" t="s">
        <v>58</v>
      </c>
      <c r="W727" t="s">
        <v>56</v>
      </c>
      <c r="X727" t="s">
        <v>33</v>
      </c>
      <c r="Y727">
        <v>31</v>
      </c>
      <c r="Z727" s="1">
        <v>45245</v>
      </c>
      <c r="AA727" t="str" cm="1">
        <f t="array" ref="AA727">_xlfn.IFS(AND(Table2[[#This Row],[Guest_Age]]&gt;=18,Table2[[#This Row],[Guest_Age]]&lt;=25),"Young Adults",AND(Table2[[#This Row],[Guest_Age]]&gt;=26,Table2[[#This Row],[Guest_Age]]&lt;=35),"Adults",AND(Table2[[#This Row],[Guest_Age]]&gt;=36,Table2[[#This Row],[Guest_Age]]&lt;=50),"Middle Aged Adults",Table2[[#This Row],[Guest_Age]]&gt;50,"Senior")</f>
        <v>Adults</v>
      </c>
      <c r="AB7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27" t="str" cm="1">
        <f t="array" ref="AC727">_xlfn.IFS(Table2[[#This Row],[Satification_points]]&gt;=4.5,"GREAT",AND(Table2[[#This Row],[Satification_points]]&gt;=4,Table2[[#This Row],[Satification_points]]&lt;4.5),"GOOD",AND(Table2[[#This Row],[Satification_points]]&gt;=3,Table2[[#This Row],[Satification_points]]&lt;4),"AVERAGE",Table2[[#This Row],[Satification_points]]&lt;3,"POOR")</f>
        <v>POOR</v>
      </c>
    </row>
    <row r="728" spans="1:29" x14ac:dyDescent="0.3">
      <c r="A728">
        <v>727</v>
      </c>
      <c r="B728">
        <v>99412</v>
      </c>
      <c r="C728" t="s">
        <v>780</v>
      </c>
      <c r="D728" t="s">
        <v>34</v>
      </c>
      <c r="E728" t="s">
        <v>27</v>
      </c>
      <c r="F728" s="1">
        <v>44996</v>
      </c>
      <c r="G728" s="1">
        <v>45414</v>
      </c>
      <c r="H728">
        <v>7</v>
      </c>
      <c r="I728" t="s">
        <v>42</v>
      </c>
      <c r="J728" t="s">
        <v>29</v>
      </c>
      <c r="K728">
        <v>1</v>
      </c>
      <c r="L728">
        <v>2</v>
      </c>
      <c r="M728">
        <v>5</v>
      </c>
      <c r="N728">
        <v>2</v>
      </c>
      <c r="O728">
        <v>4</v>
      </c>
      <c r="P728">
        <v>3</v>
      </c>
      <c r="Q728">
        <v>5</v>
      </c>
      <c r="R728">
        <v>3</v>
      </c>
      <c r="S728">
        <v>3</v>
      </c>
      <c r="T728">
        <v>5</v>
      </c>
      <c r="U728" t="s">
        <v>37</v>
      </c>
      <c r="V728" t="s">
        <v>38</v>
      </c>
      <c r="W728" t="s">
        <v>32</v>
      </c>
      <c r="X728" t="s">
        <v>44</v>
      </c>
      <c r="Y728">
        <v>44</v>
      </c>
      <c r="Z728" s="1">
        <v>45483</v>
      </c>
      <c r="AA728" t="str" cm="1">
        <f t="array" ref="AA7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7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28" t="str" cm="1">
        <f t="array" ref="AC728">_xlfn.IFS(Table2[[#This Row],[Satification_points]]&gt;=4.5,"GREAT",AND(Table2[[#This Row],[Satification_points]]&gt;=4,Table2[[#This Row],[Satification_points]]&lt;4.5),"GOOD",AND(Table2[[#This Row],[Satification_points]]&gt;=3,Table2[[#This Row],[Satification_points]]&lt;4),"AVERAGE",Table2[[#This Row],[Satification_points]]&lt;3,"POOR")</f>
        <v>AVERAGE</v>
      </c>
    </row>
    <row r="729" spans="1:29" x14ac:dyDescent="0.3">
      <c r="A729">
        <v>728</v>
      </c>
      <c r="B729">
        <v>32264</v>
      </c>
      <c r="C729" t="s">
        <v>781</v>
      </c>
      <c r="D729" t="s">
        <v>51</v>
      </c>
      <c r="E729" t="s">
        <v>27</v>
      </c>
      <c r="F729" s="1">
        <v>45597</v>
      </c>
      <c r="G729" s="1">
        <v>45598</v>
      </c>
      <c r="H729">
        <v>12</v>
      </c>
      <c r="I729" t="s">
        <v>50</v>
      </c>
      <c r="J729" t="s">
        <v>40</v>
      </c>
      <c r="K729">
        <v>5</v>
      </c>
      <c r="L729">
        <v>5</v>
      </c>
      <c r="M729">
        <v>3</v>
      </c>
      <c r="N729">
        <v>4</v>
      </c>
      <c r="O729">
        <v>1</v>
      </c>
      <c r="P729">
        <v>3</v>
      </c>
      <c r="Q729">
        <v>2</v>
      </c>
      <c r="R729">
        <v>3</v>
      </c>
      <c r="S729">
        <v>5</v>
      </c>
      <c r="T729">
        <v>3</v>
      </c>
      <c r="U729" t="s">
        <v>30</v>
      </c>
      <c r="V729" t="s">
        <v>58</v>
      </c>
      <c r="W729" t="s">
        <v>47</v>
      </c>
      <c r="X729" t="s">
        <v>33</v>
      </c>
      <c r="Y729">
        <v>35</v>
      </c>
      <c r="Z729" s="1">
        <v>45598</v>
      </c>
      <c r="AA729" t="str" cm="1">
        <f t="array" ref="AA729">_xlfn.IFS(AND(Table2[[#This Row],[Guest_Age]]&gt;=18,Table2[[#This Row],[Guest_Age]]&lt;=25),"Young Adults",AND(Table2[[#This Row],[Guest_Age]]&gt;=26,Table2[[#This Row],[Guest_Age]]&lt;=35),"Adults",AND(Table2[[#This Row],[Guest_Age]]&gt;=36,Table2[[#This Row],[Guest_Age]]&lt;=50),"Middle Aged Adults",Table2[[#This Row],[Guest_Age]]&gt;50,"Senior")</f>
        <v>Adults</v>
      </c>
      <c r="AB7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29" t="str" cm="1">
        <f t="array" ref="AC729">_xlfn.IFS(Table2[[#This Row],[Satification_points]]&gt;=4.5,"GREAT",AND(Table2[[#This Row],[Satification_points]]&gt;=4,Table2[[#This Row],[Satification_points]]&lt;4.5),"GOOD",AND(Table2[[#This Row],[Satification_points]]&gt;=3,Table2[[#This Row],[Satification_points]]&lt;4),"AVERAGE",Table2[[#This Row],[Satification_points]]&lt;3,"POOR")</f>
        <v>AVERAGE</v>
      </c>
    </row>
    <row r="730" spans="1:29" x14ac:dyDescent="0.3">
      <c r="A730">
        <v>729</v>
      </c>
      <c r="B730">
        <v>89114</v>
      </c>
      <c r="C730" t="s">
        <v>782</v>
      </c>
      <c r="D730" t="s">
        <v>34</v>
      </c>
      <c r="E730" t="s">
        <v>57</v>
      </c>
      <c r="F730" s="1">
        <v>45210</v>
      </c>
      <c r="G730" s="1">
        <v>45515</v>
      </c>
      <c r="H730">
        <v>8</v>
      </c>
      <c r="I730" t="s">
        <v>42</v>
      </c>
      <c r="J730" t="s">
        <v>29</v>
      </c>
      <c r="K730">
        <v>2</v>
      </c>
      <c r="L730">
        <v>5</v>
      </c>
      <c r="M730">
        <v>4</v>
      </c>
      <c r="N730">
        <v>5</v>
      </c>
      <c r="O730">
        <v>1</v>
      </c>
      <c r="P730">
        <v>1</v>
      </c>
      <c r="Q730">
        <v>2</v>
      </c>
      <c r="R730">
        <v>2</v>
      </c>
      <c r="S730">
        <v>5</v>
      </c>
      <c r="T730">
        <v>3</v>
      </c>
      <c r="U730" t="s">
        <v>37</v>
      </c>
      <c r="V730" t="s">
        <v>38</v>
      </c>
      <c r="W730" t="s">
        <v>47</v>
      </c>
      <c r="X730" t="s">
        <v>40</v>
      </c>
      <c r="Y730">
        <v>37</v>
      </c>
      <c r="Z730" s="1">
        <v>45515</v>
      </c>
      <c r="AA730" t="str" cm="1">
        <f t="array" ref="AA730">_xlfn.IFS(AND(Table2[[#This Row],[Guest_Age]]&gt;=18,Table2[[#This Row],[Guest_Age]]&lt;=25),"Young Adults",AND(Table2[[#This Row],[Guest_Age]]&gt;=26,Table2[[#This Row],[Guest_Age]]&lt;=35),"Adults",AND(Table2[[#This Row],[Guest_Age]]&gt;=36,Table2[[#This Row],[Guest_Age]]&lt;=50),"Middle Aged Adults",Table2[[#This Row],[Guest_Age]]&gt;50,"Senior")</f>
        <v>Middle Aged Adults</v>
      </c>
      <c r="AB7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30" t="str" cm="1">
        <f t="array" ref="AC730">_xlfn.IFS(Table2[[#This Row],[Satification_points]]&gt;=4.5,"GREAT",AND(Table2[[#This Row],[Satification_points]]&gt;=4,Table2[[#This Row],[Satification_points]]&lt;4.5),"GOOD",AND(Table2[[#This Row],[Satification_points]]&gt;=3,Table2[[#This Row],[Satification_points]]&lt;4),"AVERAGE",Table2[[#This Row],[Satification_points]]&lt;3,"POOR")</f>
        <v>AVERAGE</v>
      </c>
    </row>
    <row r="731" spans="1:29" x14ac:dyDescent="0.3">
      <c r="A731">
        <v>730</v>
      </c>
      <c r="B731">
        <v>99821</v>
      </c>
      <c r="C731" t="s">
        <v>783</v>
      </c>
      <c r="D731" t="s">
        <v>51</v>
      </c>
      <c r="E731" t="s">
        <v>57</v>
      </c>
      <c r="F731" s="1">
        <v>45545</v>
      </c>
      <c r="G731" s="1">
        <v>45546</v>
      </c>
      <c r="H731">
        <v>8</v>
      </c>
      <c r="I731" t="s">
        <v>49</v>
      </c>
      <c r="J731" t="s">
        <v>40</v>
      </c>
      <c r="K731">
        <v>5</v>
      </c>
      <c r="L731">
        <v>1</v>
      </c>
      <c r="M731">
        <v>3</v>
      </c>
      <c r="N731">
        <v>1</v>
      </c>
      <c r="O731">
        <v>3</v>
      </c>
      <c r="P731">
        <v>1</v>
      </c>
      <c r="Q731">
        <v>2</v>
      </c>
      <c r="R731">
        <v>2</v>
      </c>
      <c r="S731">
        <v>1</v>
      </c>
      <c r="T731">
        <v>4</v>
      </c>
      <c r="U731" t="s">
        <v>30</v>
      </c>
      <c r="V731" t="s">
        <v>46</v>
      </c>
      <c r="W731" t="s">
        <v>47</v>
      </c>
      <c r="X731" t="s">
        <v>33</v>
      </c>
      <c r="Y731">
        <v>52</v>
      </c>
      <c r="Z731" s="1">
        <v>45546</v>
      </c>
      <c r="AA731" t="str" cm="1">
        <f t="array" ref="AA731">_xlfn.IFS(AND(Table2[[#This Row],[Guest_Age]]&gt;=18,Table2[[#This Row],[Guest_Age]]&lt;=25),"Young Adults",AND(Table2[[#This Row],[Guest_Age]]&gt;=26,Table2[[#This Row],[Guest_Age]]&lt;=35),"Adults",AND(Table2[[#This Row],[Guest_Age]]&gt;=36,Table2[[#This Row],[Guest_Age]]&lt;=50),"Middle Aged Adults",Table2[[#This Row],[Guest_Age]]&gt;50,"Senior")</f>
        <v>Senior</v>
      </c>
      <c r="AB7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731" t="str" cm="1">
        <f t="array" ref="AC731">_xlfn.IFS(Table2[[#This Row],[Satification_points]]&gt;=4.5,"GREAT",AND(Table2[[#This Row],[Satification_points]]&gt;=4,Table2[[#This Row],[Satification_points]]&lt;4.5),"GOOD",AND(Table2[[#This Row],[Satification_points]]&gt;=3,Table2[[#This Row],[Satification_points]]&lt;4),"AVERAGE",Table2[[#This Row],[Satification_points]]&lt;3,"POOR")</f>
        <v>POOR</v>
      </c>
    </row>
    <row r="732" spans="1:29" x14ac:dyDescent="0.3">
      <c r="A732">
        <v>731</v>
      </c>
      <c r="B732">
        <v>71832</v>
      </c>
      <c r="C732" t="s">
        <v>784</v>
      </c>
      <c r="D732" t="s">
        <v>34</v>
      </c>
      <c r="E732" t="s">
        <v>45</v>
      </c>
      <c r="F732" s="1">
        <v>45474</v>
      </c>
      <c r="G732" s="1">
        <v>45475</v>
      </c>
      <c r="H732">
        <v>7</v>
      </c>
      <c r="I732" t="s">
        <v>50</v>
      </c>
      <c r="J732" t="s">
        <v>40</v>
      </c>
      <c r="K732">
        <v>5</v>
      </c>
      <c r="L732">
        <v>5</v>
      </c>
      <c r="M732">
        <v>2</v>
      </c>
      <c r="N732">
        <v>1</v>
      </c>
      <c r="O732">
        <v>1</v>
      </c>
      <c r="P732">
        <v>5</v>
      </c>
      <c r="Q732">
        <v>1</v>
      </c>
      <c r="R732">
        <v>2</v>
      </c>
      <c r="S732">
        <v>1</v>
      </c>
      <c r="T732">
        <v>1</v>
      </c>
      <c r="U732" t="s">
        <v>30</v>
      </c>
      <c r="V732" t="s">
        <v>46</v>
      </c>
      <c r="W732" t="s">
        <v>32</v>
      </c>
      <c r="X732" t="s">
        <v>40</v>
      </c>
      <c r="Y732">
        <v>34</v>
      </c>
      <c r="Z732" s="1">
        <v>45649</v>
      </c>
      <c r="AA732" t="str" cm="1">
        <f t="array" ref="AA732">_xlfn.IFS(AND(Table2[[#This Row],[Guest_Age]]&gt;=18,Table2[[#This Row],[Guest_Age]]&lt;=25),"Young Adults",AND(Table2[[#This Row],[Guest_Age]]&gt;=26,Table2[[#This Row],[Guest_Age]]&lt;=35),"Adults",AND(Table2[[#This Row],[Guest_Age]]&gt;=36,Table2[[#This Row],[Guest_Age]]&lt;=50),"Middle Aged Adults",Table2[[#This Row],[Guest_Age]]&gt;50,"Senior")</f>
        <v>Adults</v>
      </c>
      <c r="AB7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32" t="str" cm="1">
        <f t="array" ref="AC732">_xlfn.IFS(Table2[[#This Row],[Satification_points]]&gt;=4.5,"GREAT",AND(Table2[[#This Row],[Satification_points]]&gt;=4,Table2[[#This Row],[Satification_points]]&lt;4.5),"GOOD",AND(Table2[[#This Row],[Satification_points]]&gt;=3,Table2[[#This Row],[Satification_points]]&lt;4),"AVERAGE",Table2[[#This Row],[Satification_points]]&lt;3,"POOR")</f>
        <v>POOR</v>
      </c>
    </row>
    <row r="733" spans="1:29" x14ac:dyDescent="0.3">
      <c r="A733">
        <v>732</v>
      </c>
      <c r="B733">
        <v>89637</v>
      </c>
      <c r="C733" t="s">
        <v>785</v>
      </c>
      <c r="D733" t="s">
        <v>26</v>
      </c>
      <c r="E733" t="s">
        <v>45</v>
      </c>
      <c r="F733" s="1">
        <v>45274</v>
      </c>
      <c r="G733" s="1">
        <v>45275</v>
      </c>
      <c r="H733">
        <v>1</v>
      </c>
      <c r="I733" t="s">
        <v>42</v>
      </c>
      <c r="J733" t="s">
        <v>36</v>
      </c>
      <c r="K733">
        <v>5</v>
      </c>
      <c r="L733">
        <v>1</v>
      </c>
      <c r="M733">
        <v>3</v>
      </c>
      <c r="N733">
        <v>1</v>
      </c>
      <c r="O733">
        <v>5</v>
      </c>
      <c r="P733">
        <v>1</v>
      </c>
      <c r="Q733">
        <v>4</v>
      </c>
      <c r="R733">
        <v>1</v>
      </c>
      <c r="S733">
        <v>1</v>
      </c>
      <c r="T733">
        <v>2</v>
      </c>
      <c r="U733" t="s">
        <v>37</v>
      </c>
      <c r="V733" t="s">
        <v>54</v>
      </c>
      <c r="W733" t="s">
        <v>55</v>
      </c>
      <c r="X733" t="s">
        <v>33</v>
      </c>
      <c r="Y733">
        <v>37</v>
      </c>
      <c r="Z733" s="1">
        <v>45316</v>
      </c>
      <c r="AA733" t="str" cm="1">
        <f t="array" ref="AA7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7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33" t="str" cm="1">
        <f t="array" ref="AC733">_xlfn.IFS(Table2[[#This Row],[Satification_points]]&gt;=4.5,"GREAT",AND(Table2[[#This Row],[Satification_points]]&gt;=4,Table2[[#This Row],[Satification_points]]&lt;4.5),"GOOD",AND(Table2[[#This Row],[Satification_points]]&gt;=3,Table2[[#This Row],[Satification_points]]&lt;4),"AVERAGE",Table2[[#This Row],[Satification_points]]&lt;3,"POOR")</f>
        <v>POOR</v>
      </c>
    </row>
    <row r="734" spans="1:29" x14ac:dyDescent="0.3">
      <c r="A734">
        <v>733</v>
      </c>
      <c r="B734">
        <v>98266</v>
      </c>
      <c r="C734" t="s">
        <v>786</v>
      </c>
      <c r="D734" t="s">
        <v>34</v>
      </c>
      <c r="E734" t="s">
        <v>45</v>
      </c>
      <c r="F734" s="1">
        <v>45121</v>
      </c>
      <c r="G734" s="1">
        <v>45509</v>
      </c>
      <c r="H734">
        <v>13</v>
      </c>
      <c r="I734" t="s">
        <v>50</v>
      </c>
      <c r="J734" t="s">
        <v>43</v>
      </c>
      <c r="K734">
        <v>3</v>
      </c>
      <c r="L734">
        <v>2</v>
      </c>
      <c r="M734">
        <v>5</v>
      </c>
      <c r="N734">
        <v>4</v>
      </c>
      <c r="O734">
        <v>4</v>
      </c>
      <c r="P734">
        <v>4</v>
      </c>
      <c r="Q734">
        <v>1</v>
      </c>
      <c r="R734">
        <v>1</v>
      </c>
      <c r="S734">
        <v>5</v>
      </c>
      <c r="T734">
        <v>5</v>
      </c>
      <c r="U734" t="s">
        <v>37</v>
      </c>
      <c r="V734" t="s">
        <v>46</v>
      </c>
      <c r="W734" t="s">
        <v>47</v>
      </c>
      <c r="X734" t="s">
        <v>33</v>
      </c>
      <c r="Y734">
        <v>23</v>
      </c>
      <c r="Z734" s="1">
        <v>45607</v>
      </c>
      <c r="AA734" t="str" cm="1">
        <f t="array" ref="AA734">_xlfn.IFS(AND(Table2[[#This Row],[Guest_Age]]&gt;=18,Table2[[#This Row],[Guest_Age]]&lt;=25),"Young Adults",AND(Table2[[#This Row],[Guest_Age]]&gt;=26,Table2[[#This Row],[Guest_Age]]&lt;=35),"Adults",AND(Table2[[#This Row],[Guest_Age]]&gt;=36,Table2[[#This Row],[Guest_Age]]&lt;=50),"Middle Aged Adults",Table2[[#This Row],[Guest_Age]]&gt;50,"Senior")</f>
        <v>Young Adults</v>
      </c>
      <c r="AB7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34" t="str" cm="1">
        <f t="array" ref="AC734">_xlfn.IFS(Table2[[#This Row],[Satification_points]]&gt;=4.5,"GREAT",AND(Table2[[#This Row],[Satification_points]]&gt;=4,Table2[[#This Row],[Satification_points]]&lt;4.5),"GOOD",AND(Table2[[#This Row],[Satification_points]]&gt;=3,Table2[[#This Row],[Satification_points]]&lt;4),"AVERAGE",Table2[[#This Row],[Satification_points]]&lt;3,"POOR")</f>
        <v>AVERAGE</v>
      </c>
    </row>
    <row r="735" spans="1:29" x14ac:dyDescent="0.3">
      <c r="A735">
        <v>734</v>
      </c>
      <c r="B735">
        <v>37476</v>
      </c>
      <c r="C735" t="s">
        <v>787</v>
      </c>
      <c r="D735" t="s">
        <v>51</v>
      </c>
      <c r="E735" t="s">
        <v>57</v>
      </c>
      <c r="F735" s="1">
        <v>45410</v>
      </c>
      <c r="G735" s="1">
        <v>45434</v>
      </c>
      <c r="H735">
        <v>10</v>
      </c>
      <c r="I735" t="s">
        <v>49</v>
      </c>
      <c r="J735" t="s">
        <v>43</v>
      </c>
      <c r="K735">
        <v>1</v>
      </c>
      <c r="L735">
        <v>1</v>
      </c>
      <c r="M735">
        <v>1</v>
      </c>
      <c r="N735">
        <v>2</v>
      </c>
      <c r="O735">
        <v>1</v>
      </c>
      <c r="P735">
        <v>5</v>
      </c>
      <c r="Q735">
        <v>2</v>
      </c>
      <c r="R735">
        <v>2</v>
      </c>
      <c r="S735">
        <v>4</v>
      </c>
      <c r="T735">
        <v>2</v>
      </c>
      <c r="U735" t="s">
        <v>30</v>
      </c>
      <c r="V735" t="s">
        <v>31</v>
      </c>
      <c r="W735" t="s">
        <v>47</v>
      </c>
      <c r="X735" t="s">
        <v>44</v>
      </c>
      <c r="Y735">
        <v>43</v>
      </c>
      <c r="Z735" s="1">
        <v>45434</v>
      </c>
      <c r="AA735" t="str" cm="1">
        <f t="array" ref="AA735">_xlfn.IFS(AND(Table2[[#This Row],[Guest_Age]]&gt;=18,Table2[[#This Row],[Guest_Age]]&lt;=25),"Young Adults",AND(Table2[[#This Row],[Guest_Age]]&gt;=26,Table2[[#This Row],[Guest_Age]]&lt;=35),"Adults",AND(Table2[[#This Row],[Guest_Age]]&gt;=36,Table2[[#This Row],[Guest_Age]]&lt;=50),"Middle Aged Adults",Table2[[#This Row],[Guest_Age]]&gt;50,"Senior")</f>
        <v>Middle Aged Adults</v>
      </c>
      <c r="AB7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735" t="str" cm="1">
        <f t="array" ref="AC735">_xlfn.IFS(Table2[[#This Row],[Satification_points]]&gt;=4.5,"GREAT",AND(Table2[[#This Row],[Satification_points]]&gt;=4,Table2[[#This Row],[Satification_points]]&lt;4.5),"GOOD",AND(Table2[[#This Row],[Satification_points]]&gt;=3,Table2[[#This Row],[Satification_points]]&lt;4),"AVERAGE",Table2[[#This Row],[Satification_points]]&lt;3,"POOR")</f>
        <v>POOR</v>
      </c>
    </row>
    <row r="736" spans="1:29" x14ac:dyDescent="0.3">
      <c r="A736">
        <v>735</v>
      </c>
      <c r="B736">
        <v>61973</v>
      </c>
      <c r="C736" t="s">
        <v>788</v>
      </c>
      <c r="D736" t="s">
        <v>41</v>
      </c>
      <c r="E736" t="s">
        <v>45</v>
      </c>
      <c r="F736" s="1">
        <v>45514</v>
      </c>
      <c r="G736" s="1">
        <v>45515</v>
      </c>
      <c r="H736">
        <v>10</v>
      </c>
      <c r="I736" t="s">
        <v>49</v>
      </c>
      <c r="J736" t="s">
        <v>29</v>
      </c>
      <c r="K736">
        <v>3</v>
      </c>
      <c r="L736">
        <v>2</v>
      </c>
      <c r="M736">
        <v>1</v>
      </c>
      <c r="N736">
        <v>2</v>
      </c>
      <c r="O736">
        <v>1</v>
      </c>
      <c r="P736">
        <v>4</v>
      </c>
      <c r="Q736">
        <v>2</v>
      </c>
      <c r="R736">
        <v>3</v>
      </c>
      <c r="S736">
        <v>1</v>
      </c>
      <c r="T736">
        <v>3</v>
      </c>
      <c r="U736" t="s">
        <v>30</v>
      </c>
      <c r="V736" t="s">
        <v>31</v>
      </c>
      <c r="W736" t="s">
        <v>39</v>
      </c>
      <c r="X736" t="s">
        <v>40</v>
      </c>
      <c r="Y736">
        <v>24</v>
      </c>
      <c r="Z736" s="1">
        <v>45515</v>
      </c>
      <c r="AA736" t="str" cm="1">
        <f t="array" ref="AA736">_xlfn.IFS(AND(Table2[[#This Row],[Guest_Age]]&gt;=18,Table2[[#This Row],[Guest_Age]]&lt;=25),"Young Adults",AND(Table2[[#This Row],[Guest_Age]]&gt;=26,Table2[[#This Row],[Guest_Age]]&lt;=35),"Adults",AND(Table2[[#This Row],[Guest_Age]]&gt;=36,Table2[[#This Row],[Guest_Age]]&lt;=50),"Middle Aged Adults",Table2[[#This Row],[Guest_Age]]&gt;50,"Senior")</f>
        <v>Young Adults</v>
      </c>
      <c r="AB7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736" t="str" cm="1">
        <f t="array" ref="AC736">_xlfn.IFS(Table2[[#This Row],[Satification_points]]&gt;=4.5,"GREAT",AND(Table2[[#This Row],[Satification_points]]&gt;=4,Table2[[#This Row],[Satification_points]]&lt;4.5),"GOOD",AND(Table2[[#This Row],[Satification_points]]&gt;=3,Table2[[#This Row],[Satification_points]]&lt;4),"AVERAGE",Table2[[#This Row],[Satification_points]]&lt;3,"POOR")</f>
        <v>POOR</v>
      </c>
    </row>
    <row r="737" spans="1:29" x14ac:dyDescent="0.3">
      <c r="A737">
        <v>736</v>
      </c>
      <c r="B737">
        <v>63017</v>
      </c>
      <c r="C737" t="s">
        <v>789</v>
      </c>
      <c r="D737" t="s">
        <v>51</v>
      </c>
      <c r="E737" t="s">
        <v>45</v>
      </c>
      <c r="F737" s="1">
        <v>45206</v>
      </c>
      <c r="G737" s="1">
        <v>45256</v>
      </c>
      <c r="H737">
        <v>10</v>
      </c>
      <c r="I737" t="s">
        <v>28</v>
      </c>
      <c r="J737" t="s">
        <v>53</v>
      </c>
      <c r="K737">
        <v>5</v>
      </c>
      <c r="L737">
        <v>4</v>
      </c>
      <c r="M737">
        <v>3</v>
      </c>
      <c r="N737">
        <v>1</v>
      </c>
      <c r="O737">
        <v>2</v>
      </c>
      <c r="P737">
        <v>1</v>
      </c>
      <c r="Q737">
        <v>1</v>
      </c>
      <c r="R737">
        <v>1</v>
      </c>
      <c r="S737">
        <v>2</v>
      </c>
      <c r="T737">
        <v>2</v>
      </c>
      <c r="U737" t="s">
        <v>37</v>
      </c>
      <c r="V737" t="s">
        <v>58</v>
      </c>
      <c r="W737" t="s">
        <v>56</v>
      </c>
      <c r="X737" t="s">
        <v>33</v>
      </c>
      <c r="Y737">
        <v>55</v>
      </c>
      <c r="Z737" s="1">
        <v>45436</v>
      </c>
      <c r="AA737" t="str" cm="1">
        <f t="array" ref="AA737">_xlfn.IFS(AND(Table2[[#This Row],[Guest_Age]]&gt;=18,Table2[[#This Row],[Guest_Age]]&lt;=25),"Young Adults",AND(Table2[[#This Row],[Guest_Age]]&gt;=26,Table2[[#This Row],[Guest_Age]]&lt;=35),"Adults",AND(Table2[[#This Row],[Guest_Age]]&gt;=36,Table2[[#This Row],[Guest_Age]]&lt;=50),"Middle Aged Adults",Table2[[#This Row],[Guest_Age]]&gt;50,"Senior")</f>
        <v>Senior</v>
      </c>
      <c r="AB7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737" t="str" cm="1">
        <f t="array" ref="AC737">_xlfn.IFS(Table2[[#This Row],[Satification_points]]&gt;=4.5,"GREAT",AND(Table2[[#This Row],[Satification_points]]&gt;=4,Table2[[#This Row],[Satification_points]]&lt;4.5),"GOOD",AND(Table2[[#This Row],[Satification_points]]&gt;=3,Table2[[#This Row],[Satification_points]]&lt;4),"AVERAGE",Table2[[#This Row],[Satification_points]]&lt;3,"POOR")</f>
        <v>POOR</v>
      </c>
    </row>
    <row r="738" spans="1:29" x14ac:dyDescent="0.3">
      <c r="A738">
        <v>737</v>
      </c>
      <c r="B738">
        <v>25503</v>
      </c>
      <c r="C738" t="s">
        <v>790</v>
      </c>
      <c r="D738" t="s">
        <v>41</v>
      </c>
      <c r="E738" t="s">
        <v>57</v>
      </c>
      <c r="F738" s="1">
        <v>45274</v>
      </c>
      <c r="G738" s="1">
        <v>45618</v>
      </c>
      <c r="H738">
        <v>8</v>
      </c>
      <c r="I738" t="s">
        <v>42</v>
      </c>
      <c r="J738" t="s">
        <v>36</v>
      </c>
      <c r="K738">
        <v>2</v>
      </c>
      <c r="L738">
        <v>2</v>
      </c>
      <c r="M738">
        <v>4</v>
      </c>
      <c r="N738">
        <v>4</v>
      </c>
      <c r="O738">
        <v>1</v>
      </c>
      <c r="P738">
        <v>1</v>
      </c>
      <c r="Q738">
        <v>1</v>
      </c>
      <c r="R738">
        <v>5</v>
      </c>
      <c r="S738">
        <v>4</v>
      </c>
      <c r="T738">
        <v>5</v>
      </c>
      <c r="U738" t="s">
        <v>37</v>
      </c>
      <c r="V738" t="s">
        <v>31</v>
      </c>
      <c r="W738" t="s">
        <v>55</v>
      </c>
      <c r="X738" t="s">
        <v>44</v>
      </c>
      <c r="Y738">
        <v>29</v>
      </c>
      <c r="Z738" s="1">
        <v>45618</v>
      </c>
      <c r="AA738" t="str" cm="1">
        <f t="array" ref="AA738">_xlfn.IFS(AND(Table2[[#This Row],[Guest_Age]]&gt;=18,Table2[[#This Row],[Guest_Age]]&lt;=25),"Young Adults",AND(Table2[[#This Row],[Guest_Age]]&gt;=26,Table2[[#This Row],[Guest_Age]]&lt;=35),"Adults",AND(Table2[[#This Row],[Guest_Age]]&gt;=36,Table2[[#This Row],[Guest_Age]]&lt;=50),"Middle Aged Adults",Table2[[#This Row],[Guest_Age]]&gt;50,"Senior")</f>
        <v>Adults</v>
      </c>
      <c r="AB7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38" t="str" cm="1">
        <f t="array" ref="AC738">_xlfn.IFS(Table2[[#This Row],[Satification_points]]&gt;=4.5,"GREAT",AND(Table2[[#This Row],[Satification_points]]&gt;=4,Table2[[#This Row],[Satification_points]]&lt;4.5),"GOOD",AND(Table2[[#This Row],[Satification_points]]&gt;=3,Table2[[#This Row],[Satification_points]]&lt;4),"AVERAGE",Table2[[#This Row],[Satification_points]]&lt;3,"POOR")</f>
        <v>POOR</v>
      </c>
    </row>
    <row r="739" spans="1:29" x14ac:dyDescent="0.3">
      <c r="A739">
        <v>738</v>
      </c>
      <c r="B739">
        <v>21506</v>
      </c>
      <c r="C739" t="s">
        <v>791</v>
      </c>
      <c r="D739" t="s">
        <v>26</v>
      </c>
      <c r="E739" t="s">
        <v>57</v>
      </c>
      <c r="F739" s="1">
        <v>45518</v>
      </c>
      <c r="G739" s="1">
        <v>45519</v>
      </c>
      <c r="H739">
        <v>5</v>
      </c>
      <c r="I739" t="s">
        <v>50</v>
      </c>
      <c r="J739" t="s">
        <v>40</v>
      </c>
      <c r="K739">
        <v>5</v>
      </c>
      <c r="L739">
        <v>3</v>
      </c>
      <c r="M739">
        <v>1</v>
      </c>
      <c r="N739">
        <v>4</v>
      </c>
      <c r="O739">
        <v>1</v>
      </c>
      <c r="P739">
        <v>5</v>
      </c>
      <c r="Q739">
        <v>5</v>
      </c>
      <c r="R739">
        <v>3</v>
      </c>
      <c r="S739">
        <v>1</v>
      </c>
      <c r="T739">
        <v>3</v>
      </c>
      <c r="U739" t="s">
        <v>30</v>
      </c>
      <c r="V739" t="s">
        <v>38</v>
      </c>
      <c r="W739" t="s">
        <v>55</v>
      </c>
      <c r="X739" t="s">
        <v>44</v>
      </c>
      <c r="Y739">
        <v>34</v>
      </c>
      <c r="Z739" s="1">
        <v>45519</v>
      </c>
      <c r="AA739" t="str" cm="1">
        <f t="array" ref="AA739">_xlfn.IFS(AND(Table2[[#This Row],[Guest_Age]]&gt;=18,Table2[[#This Row],[Guest_Age]]&lt;=25),"Young Adults",AND(Table2[[#This Row],[Guest_Age]]&gt;=26,Table2[[#This Row],[Guest_Age]]&lt;=35),"Adults",AND(Table2[[#This Row],[Guest_Age]]&gt;=36,Table2[[#This Row],[Guest_Age]]&lt;=50),"Middle Aged Adults",Table2[[#This Row],[Guest_Age]]&gt;50,"Senior")</f>
        <v>Adults</v>
      </c>
      <c r="AB7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39" t="str" cm="1">
        <f t="array" ref="AC739">_xlfn.IFS(Table2[[#This Row],[Satification_points]]&gt;=4.5,"GREAT",AND(Table2[[#This Row],[Satification_points]]&gt;=4,Table2[[#This Row],[Satification_points]]&lt;4.5),"GOOD",AND(Table2[[#This Row],[Satification_points]]&gt;=3,Table2[[#This Row],[Satification_points]]&lt;4),"AVERAGE",Table2[[#This Row],[Satification_points]]&lt;3,"POOR")</f>
        <v>AVERAGE</v>
      </c>
    </row>
    <row r="740" spans="1:29" x14ac:dyDescent="0.3">
      <c r="A740">
        <v>739</v>
      </c>
      <c r="B740">
        <v>50994</v>
      </c>
      <c r="C740" t="s">
        <v>792</v>
      </c>
      <c r="D740" t="s">
        <v>51</v>
      </c>
      <c r="E740" t="s">
        <v>45</v>
      </c>
      <c r="F740" s="1">
        <v>45404</v>
      </c>
      <c r="G740" s="1">
        <v>45405</v>
      </c>
      <c r="H740">
        <v>13</v>
      </c>
      <c r="I740" t="s">
        <v>28</v>
      </c>
      <c r="J740" t="s">
        <v>36</v>
      </c>
      <c r="K740">
        <v>1</v>
      </c>
      <c r="L740">
        <v>1</v>
      </c>
      <c r="M740">
        <v>1</v>
      </c>
      <c r="N740">
        <v>2</v>
      </c>
      <c r="O740">
        <v>5</v>
      </c>
      <c r="P740">
        <v>3</v>
      </c>
      <c r="Q740">
        <v>5</v>
      </c>
      <c r="R740">
        <v>3</v>
      </c>
      <c r="S740">
        <v>2</v>
      </c>
      <c r="T740">
        <v>5</v>
      </c>
      <c r="U740" t="s">
        <v>37</v>
      </c>
      <c r="V740" t="s">
        <v>58</v>
      </c>
      <c r="W740" t="s">
        <v>55</v>
      </c>
      <c r="X740" t="s">
        <v>40</v>
      </c>
      <c r="Y740">
        <v>38</v>
      </c>
      <c r="Z740" s="1">
        <v>45624</v>
      </c>
      <c r="AA740" t="str" cm="1">
        <f t="array" ref="AA7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7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40" t="str" cm="1">
        <f t="array" ref="AC740">_xlfn.IFS(Table2[[#This Row],[Satification_points]]&gt;=4.5,"GREAT",AND(Table2[[#This Row],[Satification_points]]&gt;=4,Table2[[#This Row],[Satification_points]]&lt;4.5),"GOOD",AND(Table2[[#This Row],[Satification_points]]&gt;=3,Table2[[#This Row],[Satification_points]]&lt;4),"AVERAGE",Table2[[#This Row],[Satification_points]]&lt;3,"POOR")</f>
        <v>POOR</v>
      </c>
    </row>
    <row r="741" spans="1:29" x14ac:dyDescent="0.3">
      <c r="A741">
        <v>740</v>
      </c>
      <c r="B741">
        <v>26169</v>
      </c>
      <c r="C741" t="s">
        <v>793</v>
      </c>
      <c r="D741" t="s">
        <v>34</v>
      </c>
      <c r="E741" t="s">
        <v>45</v>
      </c>
      <c r="F741" s="1">
        <v>45024</v>
      </c>
      <c r="G741" s="1">
        <v>45583</v>
      </c>
      <c r="H741">
        <v>2</v>
      </c>
      <c r="I741" t="s">
        <v>50</v>
      </c>
      <c r="J741" t="s">
        <v>53</v>
      </c>
      <c r="K741">
        <v>3</v>
      </c>
      <c r="L741">
        <v>4</v>
      </c>
      <c r="M741">
        <v>1</v>
      </c>
      <c r="N741">
        <v>5</v>
      </c>
      <c r="O741">
        <v>1</v>
      </c>
      <c r="P741">
        <v>2</v>
      </c>
      <c r="Q741">
        <v>2</v>
      </c>
      <c r="R741">
        <v>4</v>
      </c>
      <c r="S741">
        <v>5</v>
      </c>
      <c r="T741">
        <v>2</v>
      </c>
      <c r="U741" t="s">
        <v>37</v>
      </c>
      <c r="V741" t="s">
        <v>46</v>
      </c>
      <c r="W741" t="s">
        <v>47</v>
      </c>
      <c r="X741" t="s">
        <v>44</v>
      </c>
      <c r="Y741">
        <v>23</v>
      </c>
      <c r="Z741" s="1">
        <v>45583</v>
      </c>
      <c r="AA741" t="str" cm="1">
        <f t="array" ref="AA741">_xlfn.IFS(AND(Table2[[#This Row],[Guest_Age]]&gt;=18,Table2[[#This Row],[Guest_Age]]&lt;=25),"Young Adults",AND(Table2[[#This Row],[Guest_Age]]&gt;=26,Table2[[#This Row],[Guest_Age]]&lt;=35),"Adults",AND(Table2[[#This Row],[Guest_Age]]&gt;=36,Table2[[#This Row],[Guest_Age]]&lt;=50),"Middle Aged Adults",Table2[[#This Row],[Guest_Age]]&gt;50,"Senior")</f>
        <v>Young Adults</v>
      </c>
      <c r="AB7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41" t="str" cm="1">
        <f t="array" ref="AC741">_xlfn.IFS(Table2[[#This Row],[Satification_points]]&gt;=4.5,"GREAT",AND(Table2[[#This Row],[Satification_points]]&gt;=4,Table2[[#This Row],[Satification_points]]&lt;4.5),"GOOD",AND(Table2[[#This Row],[Satification_points]]&gt;=3,Table2[[#This Row],[Satification_points]]&lt;4),"AVERAGE",Table2[[#This Row],[Satification_points]]&lt;3,"POOR")</f>
        <v>POOR</v>
      </c>
    </row>
    <row r="742" spans="1:29" x14ac:dyDescent="0.3">
      <c r="A742">
        <v>741</v>
      </c>
      <c r="B742">
        <v>28484</v>
      </c>
      <c r="C742" t="s">
        <v>794</v>
      </c>
      <c r="D742" t="s">
        <v>26</v>
      </c>
      <c r="E742" t="s">
        <v>52</v>
      </c>
      <c r="F742" s="1">
        <v>45208</v>
      </c>
      <c r="G742" s="1">
        <v>45209</v>
      </c>
      <c r="H742">
        <v>2</v>
      </c>
      <c r="I742" t="s">
        <v>28</v>
      </c>
      <c r="J742" t="s">
        <v>36</v>
      </c>
      <c r="K742">
        <v>1</v>
      </c>
      <c r="L742">
        <v>2</v>
      </c>
      <c r="M742">
        <v>4</v>
      </c>
      <c r="N742">
        <v>1</v>
      </c>
      <c r="O742">
        <v>2</v>
      </c>
      <c r="P742">
        <v>2</v>
      </c>
      <c r="Q742">
        <v>1</v>
      </c>
      <c r="R742">
        <v>1</v>
      </c>
      <c r="S742">
        <v>2</v>
      </c>
      <c r="T742">
        <v>3</v>
      </c>
      <c r="U742" t="s">
        <v>37</v>
      </c>
      <c r="V742" t="s">
        <v>46</v>
      </c>
      <c r="W742" t="s">
        <v>39</v>
      </c>
      <c r="X742" t="s">
        <v>40</v>
      </c>
      <c r="Y742">
        <v>64</v>
      </c>
      <c r="Z742" s="1">
        <v>45629</v>
      </c>
      <c r="AA742" t="str" cm="1">
        <f t="array" ref="AA742">_xlfn.IFS(AND(Table2[[#This Row],[Guest_Age]]&gt;=18,Table2[[#This Row],[Guest_Age]]&lt;=25),"Young Adults",AND(Table2[[#This Row],[Guest_Age]]&gt;=26,Table2[[#This Row],[Guest_Age]]&lt;=35),"Adults",AND(Table2[[#This Row],[Guest_Age]]&gt;=36,Table2[[#This Row],[Guest_Age]]&lt;=50),"Middle Aged Adults",Table2[[#This Row],[Guest_Age]]&gt;50,"Senior")</f>
        <v>Senior</v>
      </c>
      <c r="AB7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1.9</v>
      </c>
      <c r="AC742" t="str" cm="1">
        <f t="array" ref="AC742">_xlfn.IFS(Table2[[#This Row],[Satification_points]]&gt;=4.5,"GREAT",AND(Table2[[#This Row],[Satification_points]]&gt;=4,Table2[[#This Row],[Satification_points]]&lt;4.5),"GOOD",AND(Table2[[#This Row],[Satification_points]]&gt;=3,Table2[[#This Row],[Satification_points]]&lt;4),"AVERAGE",Table2[[#This Row],[Satification_points]]&lt;3,"POOR")</f>
        <v>POOR</v>
      </c>
    </row>
    <row r="743" spans="1:29" x14ac:dyDescent="0.3">
      <c r="A743">
        <v>742</v>
      </c>
      <c r="B743">
        <v>90374</v>
      </c>
      <c r="C743" t="s">
        <v>795</v>
      </c>
      <c r="D743" t="s">
        <v>51</v>
      </c>
      <c r="E743" t="s">
        <v>35</v>
      </c>
      <c r="F743" s="1">
        <v>45556</v>
      </c>
      <c r="G743" s="1">
        <v>45600</v>
      </c>
      <c r="H743">
        <v>2</v>
      </c>
      <c r="I743" t="s">
        <v>28</v>
      </c>
      <c r="J743" t="s">
        <v>53</v>
      </c>
      <c r="K743">
        <v>3</v>
      </c>
      <c r="L743">
        <v>5</v>
      </c>
      <c r="M743">
        <v>5</v>
      </c>
      <c r="N743">
        <v>4</v>
      </c>
      <c r="O743">
        <v>2</v>
      </c>
      <c r="P743">
        <v>1</v>
      </c>
      <c r="Q743">
        <v>5</v>
      </c>
      <c r="R743">
        <v>5</v>
      </c>
      <c r="S743">
        <v>1</v>
      </c>
      <c r="T743">
        <v>3</v>
      </c>
      <c r="U743" t="s">
        <v>37</v>
      </c>
      <c r="V743" t="s">
        <v>31</v>
      </c>
      <c r="W743" t="s">
        <v>55</v>
      </c>
      <c r="X743" t="s">
        <v>40</v>
      </c>
      <c r="Y743">
        <v>54</v>
      </c>
      <c r="Z743" s="1">
        <v>45600</v>
      </c>
      <c r="AA743" t="str" cm="1">
        <f t="array" ref="AA743">_xlfn.IFS(AND(Table2[[#This Row],[Guest_Age]]&gt;=18,Table2[[#This Row],[Guest_Age]]&lt;=25),"Young Adults",AND(Table2[[#This Row],[Guest_Age]]&gt;=26,Table2[[#This Row],[Guest_Age]]&lt;=35),"Adults",AND(Table2[[#This Row],[Guest_Age]]&gt;=36,Table2[[#This Row],[Guest_Age]]&lt;=50),"Middle Aged Adults",Table2[[#This Row],[Guest_Age]]&gt;50,"Senior")</f>
        <v>Senior</v>
      </c>
      <c r="AB7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43" t="str" cm="1">
        <f t="array" ref="AC743">_xlfn.IFS(Table2[[#This Row],[Satification_points]]&gt;=4.5,"GREAT",AND(Table2[[#This Row],[Satification_points]]&gt;=4,Table2[[#This Row],[Satification_points]]&lt;4.5),"GOOD",AND(Table2[[#This Row],[Satification_points]]&gt;=3,Table2[[#This Row],[Satification_points]]&lt;4),"AVERAGE",Table2[[#This Row],[Satification_points]]&lt;3,"POOR")</f>
        <v>AVERAGE</v>
      </c>
    </row>
    <row r="744" spans="1:29" x14ac:dyDescent="0.3">
      <c r="A744">
        <v>743</v>
      </c>
      <c r="B744">
        <v>68723</v>
      </c>
      <c r="C744" t="s">
        <v>796</v>
      </c>
      <c r="D744" t="s">
        <v>26</v>
      </c>
      <c r="E744" t="s">
        <v>57</v>
      </c>
      <c r="F744" s="1">
        <v>45345</v>
      </c>
      <c r="G744" s="1">
        <v>45346</v>
      </c>
      <c r="H744">
        <v>9</v>
      </c>
      <c r="I744" t="s">
        <v>28</v>
      </c>
      <c r="J744" t="s">
        <v>53</v>
      </c>
      <c r="K744">
        <v>1</v>
      </c>
      <c r="L744">
        <v>1</v>
      </c>
      <c r="M744">
        <v>3</v>
      </c>
      <c r="N744">
        <v>5</v>
      </c>
      <c r="O744">
        <v>2</v>
      </c>
      <c r="P744">
        <v>4</v>
      </c>
      <c r="Q744">
        <v>3</v>
      </c>
      <c r="R744">
        <v>1</v>
      </c>
      <c r="S744">
        <v>3</v>
      </c>
      <c r="T744">
        <v>5</v>
      </c>
      <c r="U744" t="s">
        <v>37</v>
      </c>
      <c r="V744" t="s">
        <v>31</v>
      </c>
      <c r="W744" t="s">
        <v>32</v>
      </c>
      <c r="X744" t="s">
        <v>40</v>
      </c>
      <c r="Y744">
        <v>42</v>
      </c>
      <c r="Z744" s="1">
        <v>45346</v>
      </c>
      <c r="AA744" t="str" cm="1">
        <f t="array" ref="AA7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7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44" t="str" cm="1">
        <f t="array" ref="AC744">_xlfn.IFS(Table2[[#This Row],[Satification_points]]&gt;=4.5,"GREAT",AND(Table2[[#This Row],[Satification_points]]&gt;=4,Table2[[#This Row],[Satification_points]]&lt;4.5),"GOOD",AND(Table2[[#This Row],[Satification_points]]&gt;=3,Table2[[#This Row],[Satification_points]]&lt;4),"AVERAGE",Table2[[#This Row],[Satification_points]]&lt;3,"POOR")</f>
        <v>POOR</v>
      </c>
    </row>
    <row r="745" spans="1:29" x14ac:dyDescent="0.3">
      <c r="A745">
        <v>744</v>
      </c>
      <c r="B745">
        <v>59588</v>
      </c>
      <c r="C745" t="s">
        <v>797</v>
      </c>
      <c r="D745" t="s">
        <v>41</v>
      </c>
      <c r="E745" t="s">
        <v>35</v>
      </c>
      <c r="F745" s="1">
        <v>45149</v>
      </c>
      <c r="G745" s="1">
        <v>45150</v>
      </c>
      <c r="H745">
        <v>14</v>
      </c>
      <c r="I745" t="s">
        <v>49</v>
      </c>
      <c r="J745" t="s">
        <v>53</v>
      </c>
      <c r="K745">
        <v>1</v>
      </c>
      <c r="L745">
        <v>2</v>
      </c>
      <c r="M745">
        <v>4</v>
      </c>
      <c r="N745">
        <v>3</v>
      </c>
      <c r="O745">
        <v>1</v>
      </c>
      <c r="P745">
        <v>5</v>
      </c>
      <c r="Q745">
        <v>1</v>
      </c>
      <c r="R745">
        <v>3</v>
      </c>
      <c r="S745">
        <v>3</v>
      </c>
      <c r="T745">
        <v>1</v>
      </c>
      <c r="U745" t="s">
        <v>37</v>
      </c>
      <c r="V745" t="s">
        <v>38</v>
      </c>
      <c r="W745" t="s">
        <v>32</v>
      </c>
      <c r="X745" t="s">
        <v>44</v>
      </c>
      <c r="Y745">
        <v>32</v>
      </c>
      <c r="Z745" s="1">
        <v>45163</v>
      </c>
      <c r="AA745" t="str" cm="1">
        <f t="array" ref="AA745">_xlfn.IFS(AND(Table2[[#This Row],[Guest_Age]]&gt;=18,Table2[[#This Row],[Guest_Age]]&lt;=25),"Young Adults",AND(Table2[[#This Row],[Guest_Age]]&gt;=26,Table2[[#This Row],[Guest_Age]]&lt;=35),"Adults",AND(Table2[[#This Row],[Guest_Age]]&gt;=36,Table2[[#This Row],[Guest_Age]]&lt;=50),"Middle Aged Adults",Table2[[#This Row],[Guest_Age]]&gt;50,"Senior")</f>
        <v>Adults</v>
      </c>
      <c r="AB7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745" t="str" cm="1">
        <f t="array" ref="AC745">_xlfn.IFS(Table2[[#This Row],[Satification_points]]&gt;=4.5,"GREAT",AND(Table2[[#This Row],[Satification_points]]&gt;=4,Table2[[#This Row],[Satification_points]]&lt;4.5),"GOOD",AND(Table2[[#This Row],[Satification_points]]&gt;=3,Table2[[#This Row],[Satification_points]]&lt;4),"AVERAGE",Table2[[#This Row],[Satification_points]]&lt;3,"POOR")</f>
        <v>POOR</v>
      </c>
    </row>
    <row r="746" spans="1:29" x14ac:dyDescent="0.3">
      <c r="A746">
        <v>745</v>
      </c>
      <c r="B746">
        <v>88273</v>
      </c>
      <c r="C746" t="s">
        <v>798</v>
      </c>
      <c r="D746" t="s">
        <v>26</v>
      </c>
      <c r="E746" t="s">
        <v>57</v>
      </c>
      <c r="F746" s="1">
        <v>45178</v>
      </c>
      <c r="G746" s="1">
        <v>45650</v>
      </c>
      <c r="H746">
        <v>5</v>
      </c>
      <c r="I746" t="s">
        <v>49</v>
      </c>
      <c r="J746" t="s">
        <v>53</v>
      </c>
      <c r="K746">
        <v>3</v>
      </c>
      <c r="L746">
        <v>4</v>
      </c>
      <c r="M746">
        <v>3</v>
      </c>
      <c r="N746">
        <v>1</v>
      </c>
      <c r="O746">
        <v>3</v>
      </c>
      <c r="P746">
        <v>3</v>
      </c>
      <c r="Q746">
        <v>4</v>
      </c>
      <c r="R746">
        <v>1</v>
      </c>
      <c r="S746">
        <v>2</v>
      </c>
      <c r="T746">
        <v>3</v>
      </c>
      <c r="U746" t="s">
        <v>37</v>
      </c>
      <c r="V746" t="s">
        <v>46</v>
      </c>
      <c r="W746" t="s">
        <v>56</v>
      </c>
      <c r="X746" t="s">
        <v>44</v>
      </c>
      <c r="Y746">
        <v>28</v>
      </c>
      <c r="Z746" s="1">
        <v>45650</v>
      </c>
      <c r="AA746" t="str" cm="1">
        <f t="array" ref="AA746">_xlfn.IFS(AND(Table2[[#This Row],[Guest_Age]]&gt;=18,Table2[[#This Row],[Guest_Age]]&lt;=25),"Young Adults",AND(Table2[[#This Row],[Guest_Age]]&gt;=26,Table2[[#This Row],[Guest_Age]]&lt;=35),"Adults",AND(Table2[[#This Row],[Guest_Age]]&gt;=36,Table2[[#This Row],[Guest_Age]]&lt;=50),"Middle Aged Adults",Table2[[#This Row],[Guest_Age]]&gt;50,"Senior")</f>
        <v>Adults</v>
      </c>
      <c r="AB7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46" t="str" cm="1">
        <f t="array" ref="AC746">_xlfn.IFS(Table2[[#This Row],[Satification_points]]&gt;=4.5,"GREAT",AND(Table2[[#This Row],[Satification_points]]&gt;=4,Table2[[#This Row],[Satification_points]]&lt;4.5),"GOOD",AND(Table2[[#This Row],[Satification_points]]&gt;=3,Table2[[#This Row],[Satification_points]]&lt;4),"AVERAGE",Table2[[#This Row],[Satification_points]]&lt;3,"POOR")</f>
        <v>POOR</v>
      </c>
    </row>
    <row r="747" spans="1:29" x14ac:dyDescent="0.3">
      <c r="A747">
        <v>746</v>
      </c>
      <c r="B747">
        <v>87707</v>
      </c>
      <c r="C747" t="s">
        <v>799</v>
      </c>
      <c r="D747" t="s">
        <v>34</v>
      </c>
      <c r="E747" t="s">
        <v>52</v>
      </c>
      <c r="F747" s="1">
        <v>45006</v>
      </c>
      <c r="G747" s="1">
        <v>45007</v>
      </c>
      <c r="H747">
        <v>3</v>
      </c>
      <c r="I747" t="s">
        <v>49</v>
      </c>
      <c r="J747" t="s">
        <v>53</v>
      </c>
      <c r="K747">
        <v>3</v>
      </c>
      <c r="L747">
        <v>5</v>
      </c>
      <c r="M747">
        <v>2</v>
      </c>
      <c r="N747">
        <v>3</v>
      </c>
      <c r="O747">
        <v>3</v>
      </c>
      <c r="P747">
        <v>1</v>
      </c>
      <c r="Q747">
        <v>3</v>
      </c>
      <c r="R747">
        <v>3</v>
      </c>
      <c r="S747">
        <v>5</v>
      </c>
      <c r="T747">
        <v>5</v>
      </c>
      <c r="U747" t="s">
        <v>30</v>
      </c>
      <c r="V747" t="s">
        <v>31</v>
      </c>
      <c r="W747" t="s">
        <v>39</v>
      </c>
      <c r="X747" t="s">
        <v>40</v>
      </c>
      <c r="Y747">
        <v>26</v>
      </c>
      <c r="Z747" s="1">
        <v>45036</v>
      </c>
      <c r="AA747" t="str" cm="1">
        <f t="array" ref="AA747">_xlfn.IFS(AND(Table2[[#This Row],[Guest_Age]]&gt;=18,Table2[[#This Row],[Guest_Age]]&lt;=25),"Young Adults",AND(Table2[[#This Row],[Guest_Age]]&gt;=26,Table2[[#This Row],[Guest_Age]]&lt;=35),"Adults",AND(Table2[[#This Row],[Guest_Age]]&gt;=36,Table2[[#This Row],[Guest_Age]]&lt;=50),"Middle Aged Adults",Table2[[#This Row],[Guest_Age]]&gt;50,"Senior")</f>
        <v>Adults</v>
      </c>
      <c r="AB7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47" t="str" cm="1">
        <f t="array" ref="AC747">_xlfn.IFS(Table2[[#This Row],[Satification_points]]&gt;=4.5,"GREAT",AND(Table2[[#This Row],[Satification_points]]&gt;=4,Table2[[#This Row],[Satification_points]]&lt;4.5),"GOOD",AND(Table2[[#This Row],[Satification_points]]&gt;=3,Table2[[#This Row],[Satification_points]]&lt;4),"AVERAGE",Table2[[#This Row],[Satification_points]]&lt;3,"POOR")</f>
        <v>AVERAGE</v>
      </c>
    </row>
    <row r="748" spans="1:29" x14ac:dyDescent="0.3">
      <c r="A748">
        <v>747</v>
      </c>
      <c r="B748">
        <v>23920</v>
      </c>
      <c r="C748" t="s">
        <v>800</v>
      </c>
      <c r="D748" t="s">
        <v>51</v>
      </c>
      <c r="E748" t="s">
        <v>35</v>
      </c>
      <c r="F748" s="1">
        <v>45608</v>
      </c>
      <c r="G748" s="1">
        <v>45609</v>
      </c>
      <c r="H748">
        <v>6</v>
      </c>
      <c r="I748" t="s">
        <v>49</v>
      </c>
      <c r="J748" t="s">
        <v>40</v>
      </c>
      <c r="K748">
        <v>3</v>
      </c>
      <c r="L748">
        <v>1</v>
      </c>
      <c r="M748">
        <v>3</v>
      </c>
      <c r="N748">
        <v>2</v>
      </c>
      <c r="O748">
        <v>5</v>
      </c>
      <c r="P748">
        <v>4</v>
      </c>
      <c r="Q748">
        <v>3</v>
      </c>
      <c r="R748">
        <v>5</v>
      </c>
      <c r="S748">
        <v>4</v>
      </c>
      <c r="T748">
        <v>5</v>
      </c>
      <c r="U748" t="s">
        <v>30</v>
      </c>
      <c r="V748" t="s">
        <v>46</v>
      </c>
      <c r="W748" t="s">
        <v>55</v>
      </c>
      <c r="X748" t="s">
        <v>44</v>
      </c>
      <c r="Y748">
        <v>21</v>
      </c>
      <c r="Z748" s="1">
        <v>45609</v>
      </c>
      <c r="AA748" t="str" cm="1">
        <f t="array" ref="AA748">_xlfn.IFS(AND(Table2[[#This Row],[Guest_Age]]&gt;=18,Table2[[#This Row],[Guest_Age]]&lt;=25),"Young Adults",AND(Table2[[#This Row],[Guest_Age]]&gt;=26,Table2[[#This Row],[Guest_Age]]&lt;=35),"Adults",AND(Table2[[#This Row],[Guest_Age]]&gt;=36,Table2[[#This Row],[Guest_Age]]&lt;=50),"Middle Aged Adults",Table2[[#This Row],[Guest_Age]]&gt;50,"Senior")</f>
        <v>Young Adults</v>
      </c>
      <c r="AB7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748" t="str" cm="1">
        <f t="array" ref="AC748">_xlfn.IFS(Table2[[#This Row],[Satification_points]]&gt;=4.5,"GREAT",AND(Table2[[#This Row],[Satification_points]]&gt;=4,Table2[[#This Row],[Satification_points]]&lt;4.5),"GOOD",AND(Table2[[#This Row],[Satification_points]]&gt;=3,Table2[[#This Row],[Satification_points]]&lt;4),"AVERAGE",Table2[[#This Row],[Satification_points]]&lt;3,"POOR")</f>
        <v>AVERAGE</v>
      </c>
    </row>
    <row r="749" spans="1:29" x14ac:dyDescent="0.3">
      <c r="A749">
        <v>748</v>
      </c>
      <c r="B749">
        <v>26875</v>
      </c>
      <c r="C749" t="s">
        <v>801</v>
      </c>
      <c r="D749" t="s">
        <v>41</v>
      </c>
      <c r="E749" t="s">
        <v>52</v>
      </c>
      <c r="F749" s="1">
        <v>45339</v>
      </c>
      <c r="G749" s="1">
        <v>45548</v>
      </c>
      <c r="H749">
        <v>9</v>
      </c>
      <c r="I749" t="s">
        <v>50</v>
      </c>
      <c r="J749" t="s">
        <v>36</v>
      </c>
      <c r="K749">
        <v>4</v>
      </c>
      <c r="L749">
        <v>4</v>
      </c>
      <c r="M749">
        <v>1</v>
      </c>
      <c r="N749">
        <v>2</v>
      </c>
      <c r="O749">
        <v>3</v>
      </c>
      <c r="P749">
        <v>1</v>
      </c>
      <c r="Q749">
        <v>1</v>
      </c>
      <c r="R749">
        <v>3</v>
      </c>
      <c r="S749">
        <v>3</v>
      </c>
      <c r="T749">
        <v>5</v>
      </c>
      <c r="U749" t="s">
        <v>30</v>
      </c>
      <c r="V749" t="s">
        <v>46</v>
      </c>
      <c r="W749" t="s">
        <v>39</v>
      </c>
      <c r="X749" t="s">
        <v>44</v>
      </c>
      <c r="Y749">
        <v>20</v>
      </c>
      <c r="Z749" s="1">
        <v>45548</v>
      </c>
      <c r="AA749" t="str" cm="1">
        <f t="array" ref="AA749">_xlfn.IFS(AND(Table2[[#This Row],[Guest_Age]]&gt;=18,Table2[[#This Row],[Guest_Age]]&lt;=25),"Young Adults",AND(Table2[[#This Row],[Guest_Age]]&gt;=26,Table2[[#This Row],[Guest_Age]]&lt;=35),"Adults",AND(Table2[[#This Row],[Guest_Age]]&gt;=36,Table2[[#This Row],[Guest_Age]]&lt;=50),"Middle Aged Adults",Table2[[#This Row],[Guest_Age]]&gt;50,"Senior")</f>
        <v>Young Adults</v>
      </c>
      <c r="AB7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49" t="str" cm="1">
        <f t="array" ref="AC749">_xlfn.IFS(Table2[[#This Row],[Satification_points]]&gt;=4.5,"GREAT",AND(Table2[[#This Row],[Satification_points]]&gt;=4,Table2[[#This Row],[Satification_points]]&lt;4.5),"GOOD",AND(Table2[[#This Row],[Satification_points]]&gt;=3,Table2[[#This Row],[Satification_points]]&lt;4),"AVERAGE",Table2[[#This Row],[Satification_points]]&lt;3,"POOR")</f>
        <v>POOR</v>
      </c>
    </row>
    <row r="750" spans="1:29" x14ac:dyDescent="0.3">
      <c r="A750">
        <v>749</v>
      </c>
      <c r="B750">
        <v>72480</v>
      </c>
      <c r="C750" t="s">
        <v>802</v>
      </c>
      <c r="D750" t="s">
        <v>26</v>
      </c>
      <c r="E750" t="s">
        <v>27</v>
      </c>
      <c r="F750" s="1">
        <v>45595</v>
      </c>
      <c r="G750" s="1">
        <v>45596</v>
      </c>
      <c r="H750">
        <v>11</v>
      </c>
      <c r="I750" t="s">
        <v>42</v>
      </c>
      <c r="J750" t="s">
        <v>43</v>
      </c>
      <c r="K750">
        <v>1</v>
      </c>
      <c r="L750">
        <v>5</v>
      </c>
      <c r="M750">
        <v>4</v>
      </c>
      <c r="N750">
        <v>2</v>
      </c>
      <c r="O750">
        <v>5</v>
      </c>
      <c r="P750">
        <v>2</v>
      </c>
      <c r="Q750">
        <v>2</v>
      </c>
      <c r="R750">
        <v>2</v>
      </c>
      <c r="S750">
        <v>4</v>
      </c>
      <c r="T750">
        <v>1</v>
      </c>
      <c r="U750" t="s">
        <v>37</v>
      </c>
      <c r="V750" t="s">
        <v>31</v>
      </c>
      <c r="W750" t="s">
        <v>32</v>
      </c>
      <c r="X750" t="s">
        <v>40</v>
      </c>
      <c r="Y750">
        <v>30</v>
      </c>
      <c r="Z750" s="1">
        <v>45596</v>
      </c>
      <c r="AA750" t="str" cm="1">
        <f t="array" ref="AA750">_xlfn.IFS(AND(Table2[[#This Row],[Guest_Age]]&gt;=18,Table2[[#This Row],[Guest_Age]]&lt;=25),"Young Adults",AND(Table2[[#This Row],[Guest_Age]]&gt;=26,Table2[[#This Row],[Guest_Age]]&lt;=35),"Adults",AND(Table2[[#This Row],[Guest_Age]]&gt;=36,Table2[[#This Row],[Guest_Age]]&lt;=50),"Middle Aged Adults",Table2[[#This Row],[Guest_Age]]&gt;50,"Senior")</f>
        <v>Adults</v>
      </c>
      <c r="AB7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50" t="str" cm="1">
        <f t="array" ref="AC750">_xlfn.IFS(Table2[[#This Row],[Satification_points]]&gt;=4.5,"GREAT",AND(Table2[[#This Row],[Satification_points]]&gt;=4,Table2[[#This Row],[Satification_points]]&lt;4.5),"GOOD",AND(Table2[[#This Row],[Satification_points]]&gt;=3,Table2[[#This Row],[Satification_points]]&lt;4),"AVERAGE",Table2[[#This Row],[Satification_points]]&lt;3,"POOR")</f>
        <v>POOR</v>
      </c>
    </row>
    <row r="751" spans="1:29" x14ac:dyDescent="0.3">
      <c r="A751">
        <v>750</v>
      </c>
      <c r="B751">
        <v>92441</v>
      </c>
      <c r="C751" t="s">
        <v>803</v>
      </c>
      <c r="D751" t="s">
        <v>48</v>
      </c>
      <c r="E751" t="s">
        <v>35</v>
      </c>
      <c r="F751" s="1">
        <v>45319</v>
      </c>
      <c r="G751" s="1">
        <v>45320</v>
      </c>
      <c r="H751">
        <v>9</v>
      </c>
      <c r="I751" t="s">
        <v>49</v>
      </c>
      <c r="J751" t="s">
        <v>43</v>
      </c>
      <c r="K751">
        <v>4</v>
      </c>
      <c r="L751">
        <v>3</v>
      </c>
      <c r="M751">
        <v>4</v>
      </c>
      <c r="N751">
        <v>4</v>
      </c>
      <c r="O751">
        <v>5</v>
      </c>
      <c r="P751">
        <v>1</v>
      </c>
      <c r="Q751">
        <v>4</v>
      </c>
      <c r="R751">
        <v>3</v>
      </c>
      <c r="S751">
        <v>5</v>
      </c>
      <c r="T751">
        <v>4</v>
      </c>
      <c r="U751" t="s">
        <v>30</v>
      </c>
      <c r="V751" t="s">
        <v>46</v>
      </c>
      <c r="W751" t="s">
        <v>55</v>
      </c>
      <c r="X751" t="s">
        <v>40</v>
      </c>
      <c r="Y751">
        <v>49</v>
      </c>
      <c r="Z751" s="1">
        <v>45320</v>
      </c>
      <c r="AA751" t="str" cm="1">
        <f t="array" ref="AA751">_xlfn.IFS(AND(Table2[[#This Row],[Guest_Age]]&gt;=18,Table2[[#This Row],[Guest_Age]]&lt;=25),"Young Adults",AND(Table2[[#This Row],[Guest_Age]]&gt;=26,Table2[[#This Row],[Guest_Age]]&lt;=35),"Adults",AND(Table2[[#This Row],[Guest_Age]]&gt;=36,Table2[[#This Row],[Guest_Age]]&lt;=50),"Middle Aged Adults",Table2[[#This Row],[Guest_Age]]&gt;50,"Senior")</f>
        <v>Middle Aged Adults</v>
      </c>
      <c r="AB7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51" t="str" cm="1">
        <f t="array" ref="AC751">_xlfn.IFS(Table2[[#This Row],[Satification_points]]&gt;=4.5,"GREAT",AND(Table2[[#This Row],[Satification_points]]&gt;=4,Table2[[#This Row],[Satification_points]]&lt;4.5),"GOOD",AND(Table2[[#This Row],[Satification_points]]&gt;=3,Table2[[#This Row],[Satification_points]]&lt;4),"AVERAGE",Table2[[#This Row],[Satification_points]]&lt;3,"POOR")</f>
        <v>AVERAGE</v>
      </c>
    </row>
    <row r="752" spans="1:29" x14ac:dyDescent="0.3">
      <c r="A752">
        <v>751</v>
      </c>
      <c r="B752">
        <v>72629</v>
      </c>
      <c r="C752" t="s">
        <v>804</v>
      </c>
      <c r="D752" t="s">
        <v>41</v>
      </c>
      <c r="E752" t="s">
        <v>35</v>
      </c>
      <c r="F752" s="1">
        <v>45260</v>
      </c>
      <c r="G752" s="1">
        <v>45535</v>
      </c>
      <c r="H752">
        <v>9</v>
      </c>
      <c r="I752" t="s">
        <v>42</v>
      </c>
      <c r="J752" t="s">
        <v>40</v>
      </c>
      <c r="K752">
        <v>4</v>
      </c>
      <c r="L752">
        <v>5</v>
      </c>
      <c r="M752">
        <v>5</v>
      </c>
      <c r="N752">
        <v>4</v>
      </c>
      <c r="O752">
        <v>2</v>
      </c>
      <c r="P752">
        <v>4</v>
      </c>
      <c r="Q752">
        <v>5</v>
      </c>
      <c r="R752">
        <v>2</v>
      </c>
      <c r="S752">
        <v>3</v>
      </c>
      <c r="T752">
        <v>3</v>
      </c>
      <c r="U752" t="s">
        <v>37</v>
      </c>
      <c r="V752" t="s">
        <v>31</v>
      </c>
      <c r="W752" t="s">
        <v>47</v>
      </c>
      <c r="X752" t="s">
        <v>44</v>
      </c>
      <c r="Y752">
        <v>23</v>
      </c>
      <c r="Z752" s="1">
        <v>45616</v>
      </c>
      <c r="AA752" t="str" cm="1">
        <f t="array" ref="AA752">_xlfn.IFS(AND(Table2[[#This Row],[Guest_Age]]&gt;=18,Table2[[#This Row],[Guest_Age]]&lt;=25),"Young Adults",AND(Table2[[#This Row],[Guest_Age]]&gt;=26,Table2[[#This Row],[Guest_Age]]&lt;=35),"Adults",AND(Table2[[#This Row],[Guest_Age]]&gt;=36,Table2[[#This Row],[Guest_Age]]&lt;=50),"Middle Aged Adults",Table2[[#This Row],[Guest_Age]]&gt;50,"Senior")</f>
        <v>Young Adults</v>
      </c>
      <c r="AB7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52" t="str" cm="1">
        <f t="array" ref="AC752">_xlfn.IFS(Table2[[#This Row],[Satification_points]]&gt;=4.5,"GREAT",AND(Table2[[#This Row],[Satification_points]]&gt;=4,Table2[[#This Row],[Satification_points]]&lt;4.5),"GOOD",AND(Table2[[#This Row],[Satification_points]]&gt;=3,Table2[[#This Row],[Satification_points]]&lt;4),"AVERAGE",Table2[[#This Row],[Satification_points]]&lt;3,"POOR")</f>
        <v>AVERAGE</v>
      </c>
    </row>
    <row r="753" spans="1:29" x14ac:dyDescent="0.3">
      <c r="A753">
        <v>752</v>
      </c>
      <c r="B753">
        <v>77450</v>
      </c>
      <c r="C753" t="s">
        <v>805</v>
      </c>
      <c r="D753" t="s">
        <v>41</v>
      </c>
      <c r="E753" t="s">
        <v>35</v>
      </c>
      <c r="F753" s="1">
        <v>45254</v>
      </c>
      <c r="G753" s="1">
        <v>45255</v>
      </c>
      <c r="H753">
        <v>11</v>
      </c>
      <c r="I753" t="s">
        <v>28</v>
      </c>
      <c r="J753" t="s">
        <v>29</v>
      </c>
      <c r="K753">
        <v>5</v>
      </c>
      <c r="L753">
        <v>1</v>
      </c>
      <c r="M753">
        <v>2</v>
      </c>
      <c r="N753">
        <v>5</v>
      </c>
      <c r="O753">
        <v>4</v>
      </c>
      <c r="P753">
        <v>2</v>
      </c>
      <c r="Q753">
        <v>5</v>
      </c>
      <c r="R753">
        <v>5</v>
      </c>
      <c r="S753">
        <v>5</v>
      </c>
      <c r="T753">
        <v>2</v>
      </c>
      <c r="U753" t="s">
        <v>37</v>
      </c>
      <c r="V753" t="s">
        <v>54</v>
      </c>
      <c r="W753" t="s">
        <v>32</v>
      </c>
      <c r="X753" t="s">
        <v>40</v>
      </c>
      <c r="Y753">
        <v>18</v>
      </c>
      <c r="Z753" s="1">
        <v>45434</v>
      </c>
      <c r="AA753" t="str" cm="1">
        <f t="array" ref="AA753">_xlfn.IFS(AND(Table2[[#This Row],[Guest_Age]]&gt;=18,Table2[[#This Row],[Guest_Age]]&lt;=25),"Young Adults",AND(Table2[[#This Row],[Guest_Age]]&gt;=26,Table2[[#This Row],[Guest_Age]]&lt;=35),"Adults",AND(Table2[[#This Row],[Guest_Age]]&gt;=36,Table2[[#This Row],[Guest_Age]]&lt;=50),"Middle Aged Adults",Table2[[#This Row],[Guest_Age]]&gt;50,"Senior")</f>
        <v>Young Adults</v>
      </c>
      <c r="AB7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753" t="str" cm="1">
        <f t="array" ref="AC753">_xlfn.IFS(Table2[[#This Row],[Satification_points]]&gt;=4.5,"GREAT",AND(Table2[[#This Row],[Satification_points]]&gt;=4,Table2[[#This Row],[Satification_points]]&lt;4.5),"GOOD",AND(Table2[[#This Row],[Satification_points]]&gt;=3,Table2[[#This Row],[Satification_points]]&lt;4),"AVERAGE",Table2[[#This Row],[Satification_points]]&lt;3,"POOR")</f>
        <v>AVERAGE</v>
      </c>
    </row>
    <row r="754" spans="1:29" x14ac:dyDescent="0.3">
      <c r="A754">
        <v>753</v>
      </c>
      <c r="B754">
        <v>89398</v>
      </c>
      <c r="C754" t="s">
        <v>806</v>
      </c>
      <c r="D754" t="s">
        <v>34</v>
      </c>
      <c r="E754" t="s">
        <v>27</v>
      </c>
      <c r="F754" s="1">
        <v>44928</v>
      </c>
      <c r="G754" s="1">
        <v>45262</v>
      </c>
      <c r="H754">
        <v>10</v>
      </c>
      <c r="I754" t="s">
        <v>42</v>
      </c>
      <c r="J754" t="s">
        <v>53</v>
      </c>
      <c r="K754">
        <v>4</v>
      </c>
      <c r="L754">
        <v>3</v>
      </c>
      <c r="M754">
        <v>5</v>
      </c>
      <c r="N754">
        <v>3</v>
      </c>
      <c r="O754">
        <v>5</v>
      </c>
      <c r="P754">
        <v>1</v>
      </c>
      <c r="Q754">
        <v>2</v>
      </c>
      <c r="R754">
        <v>5</v>
      </c>
      <c r="S754">
        <v>1</v>
      </c>
      <c r="T754">
        <v>5</v>
      </c>
      <c r="U754" t="s">
        <v>37</v>
      </c>
      <c r="V754" t="s">
        <v>31</v>
      </c>
      <c r="W754" t="s">
        <v>56</v>
      </c>
      <c r="X754" t="s">
        <v>40</v>
      </c>
      <c r="Y754">
        <v>59</v>
      </c>
      <c r="Z754" s="1">
        <v>45531</v>
      </c>
      <c r="AA754" t="str" cm="1">
        <f t="array" ref="AA754">_xlfn.IFS(AND(Table2[[#This Row],[Guest_Age]]&gt;=18,Table2[[#This Row],[Guest_Age]]&lt;=25),"Young Adults",AND(Table2[[#This Row],[Guest_Age]]&gt;=26,Table2[[#This Row],[Guest_Age]]&lt;=35),"Adults",AND(Table2[[#This Row],[Guest_Age]]&gt;=36,Table2[[#This Row],[Guest_Age]]&lt;=50),"Middle Aged Adults",Table2[[#This Row],[Guest_Age]]&gt;50,"Senior")</f>
        <v>Senior</v>
      </c>
      <c r="AB7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54" t="str" cm="1">
        <f t="array" ref="AC754">_xlfn.IFS(Table2[[#This Row],[Satification_points]]&gt;=4.5,"GREAT",AND(Table2[[#This Row],[Satification_points]]&gt;=4,Table2[[#This Row],[Satification_points]]&lt;4.5),"GOOD",AND(Table2[[#This Row],[Satification_points]]&gt;=3,Table2[[#This Row],[Satification_points]]&lt;4),"AVERAGE",Table2[[#This Row],[Satification_points]]&lt;3,"POOR")</f>
        <v>AVERAGE</v>
      </c>
    </row>
    <row r="755" spans="1:29" x14ac:dyDescent="0.3">
      <c r="A755">
        <v>754</v>
      </c>
      <c r="B755">
        <v>12925</v>
      </c>
      <c r="C755" t="s">
        <v>807</v>
      </c>
      <c r="D755" t="s">
        <v>34</v>
      </c>
      <c r="E755" t="s">
        <v>27</v>
      </c>
      <c r="F755" s="1">
        <v>45129</v>
      </c>
      <c r="G755" s="1">
        <v>45222</v>
      </c>
      <c r="H755">
        <v>14</v>
      </c>
      <c r="I755" t="s">
        <v>49</v>
      </c>
      <c r="J755" t="s">
        <v>36</v>
      </c>
      <c r="K755">
        <v>4</v>
      </c>
      <c r="L755">
        <v>2</v>
      </c>
      <c r="M755">
        <v>5</v>
      </c>
      <c r="N755">
        <v>2</v>
      </c>
      <c r="O755">
        <v>1</v>
      </c>
      <c r="P755">
        <v>2</v>
      </c>
      <c r="Q755">
        <v>4</v>
      </c>
      <c r="R755">
        <v>3</v>
      </c>
      <c r="S755">
        <v>4</v>
      </c>
      <c r="T755">
        <v>2</v>
      </c>
      <c r="U755" t="s">
        <v>30</v>
      </c>
      <c r="V755" t="s">
        <v>46</v>
      </c>
      <c r="W755" t="s">
        <v>55</v>
      </c>
      <c r="X755" t="s">
        <v>33</v>
      </c>
      <c r="Y755">
        <v>22</v>
      </c>
      <c r="Z755" s="1">
        <v>45529</v>
      </c>
      <c r="AA755" t="str" cm="1">
        <f t="array" ref="AA755">_xlfn.IFS(AND(Table2[[#This Row],[Guest_Age]]&gt;=18,Table2[[#This Row],[Guest_Age]]&lt;=25),"Young Adults",AND(Table2[[#This Row],[Guest_Age]]&gt;=26,Table2[[#This Row],[Guest_Age]]&lt;=35),"Adults",AND(Table2[[#This Row],[Guest_Age]]&gt;=36,Table2[[#This Row],[Guest_Age]]&lt;=50),"Middle Aged Adults",Table2[[#This Row],[Guest_Age]]&gt;50,"Senior")</f>
        <v>Young Adults</v>
      </c>
      <c r="AB7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55" t="str" cm="1">
        <f t="array" ref="AC755">_xlfn.IFS(Table2[[#This Row],[Satification_points]]&gt;=4.5,"GREAT",AND(Table2[[#This Row],[Satification_points]]&gt;=4,Table2[[#This Row],[Satification_points]]&lt;4.5),"GOOD",AND(Table2[[#This Row],[Satification_points]]&gt;=3,Table2[[#This Row],[Satification_points]]&lt;4),"AVERAGE",Table2[[#This Row],[Satification_points]]&lt;3,"POOR")</f>
        <v>POOR</v>
      </c>
    </row>
    <row r="756" spans="1:29" x14ac:dyDescent="0.3">
      <c r="A756">
        <v>755</v>
      </c>
      <c r="B756">
        <v>78826</v>
      </c>
      <c r="C756" t="s">
        <v>808</v>
      </c>
      <c r="D756" t="s">
        <v>26</v>
      </c>
      <c r="E756" t="s">
        <v>52</v>
      </c>
      <c r="F756" s="1">
        <v>45184</v>
      </c>
      <c r="G756" s="1">
        <v>45464</v>
      </c>
      <c r="H756">
        <v>11</v>
      </c>
      <c r="I756" t="s">
        <v>50</v>
      </c>
      <c r="J756" t="s">
        <v>53</v>
      </c>
      <c r="K756">
        <v>3</v>
      </c>
      <c r="L756">
        <v>3</v>
      </c>
      <c r="M756">
        <v>2</v>
      </c>
      <c r="N756">
        <v>2</v>
      </c>
      <c r="O756">
        <v>2</v>
      </c>
      <c r="P756">
        <v>5</v>
      </c>
      <c r="Q756">
        <v>4</v>
      </c>
      <c r="R756">
        <v>2</v>
      </c>
      <c r="S756">
        <v>1</v>
      </c>
      <c r="T756">
        <v>5</v>
      </c>
      <c r="U756" t="s">
        <v>30</v>
      </c>
      <c r="V756" t="s">
        <v>54</v>
      </c>
      <c r="W756" t="s">
        <v>56</v>
      </c>
      <c r="X756" t="s">
        <v>40</v>
      </c>
      <c r="Y756">
        <v>19</v>
      </c>
      <c r="Z756" s="1">
        <v>45464</v>
      </c>
      <c r="AA756" t="str" cm="1">
        <f t="array" ref="AA756">_xlfn.IFS(AND(Table2[[#This Row],[Guest_Age]]&gt;=18,Table2[[#This Row],[Guest_Age]]&lt;=25),"Young Adults",AND(Table2[[#This Row],[Guest_Age]]&gt;=26,Table2[[#This Row],[Guest_Age]]&lt;=35),"Adults",AND(Table2[[#This Row],[Guest_Age]]&gt;=36,Table2[[#This Row],[Guest_Age]]&lt;=50),"Middle Aged Adults",Table2[[#This Row],[Guest_Age]]&gt;50,"Senior")</f>
        <v>Young Adults</v>
      </c>
      <c r="AB7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56" t="str" cm="1">
        <f t="array" ref="AC756">_xlfn.IFS(Table2[[#This Row],[Satification_points]]&gt;=4.5,"GREAT",AND(Table2[[#This Row],[Satification_points]]&gt;=4,Table2[[#This Row],[Satification_points]]&lt;4.5),"GOOD",AND(Table2[[#This Row],[Satification_points]]&gt;=3,Table2[[#This Row],[Satification_points]]&lt;4),"AVERAGE",Table2[[#This Row],[Satification_points]]&lt;3,"POOR")</f>
        <v>POOR</v>
      </c>
    </row>
    <row r="757" spans="1:29" x14ac:dyDescent="0.3">
      <c r="A757">
        <v>756</v>
      </c>
      <c r="B757">
        <v>53101</v>
      </c>
      <c r="C757" t="s">
        <v>809</v>
      </c>
      <c r="D757" t="s">
        <v>48</v>
      </c>
      <c r="E757" t="s">
        <v>27</v>
      </c>
      <c r="F757" s="1">
        <v>45293</v>
      </c>
      <c r="G757" s="1">
        <v>45521</v>
      </c>
      <c r="H757">
        <v>4</v>
      </c>
      <c r="I757" t="s">
        <v>49</v>
      </c>
      <c r="J757" t="s">
        <v>53</v>
      </c>
      <c r="K757">
        <v>3</v>
      </c>
      <c r="L757">
        <v>3</v>
      </c>
      <c r="M757">
        <v>1</v>
      </c>
      <c r="N757">
        <v>4</v>
      </c>
      <c r="O757">
        <v>1</v>
      </c>
      <c r="P757">
        <v>4</v>
      </c>
      <c r="Q757">
        <v>3</v>
      </c>
      <c r="R757">
        <v>3</v>
      </c>
      <c r="S757">
        <v>5</v>
      </c>
      <c r="T757">
        <v>5</v>
      </c>
      <c r="U757" t="s">
        <v>30</v>
      </c>
      <c r="V757" t="s">
        <v>46</v>
      </c>
      <c r="W757" t="s">
        <v>39</v>
      </c>
      <c r="X757" t="s">
        <v>33</v>
      </c>
      <c r="Y757">
        <v>39</v>
      </c>
      <c r="Z757" s="1">
        <v>45521</v>
      </c>
      <c r="AA757" t="str" cm="1">
        <f t="array" ref="AA7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7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57" t="str" cm="1">
        <f t="array" ref="AC757">_xlfn.IFS(Table2[[#This Row],[Satification_points]]&gt;=4.5,"GREAT",AND(Table2[[#This Row],[Satification_points]]&gt;=4,Table2[[#This Row],[Satification_points]]&lt;4.5),"GOOD",AND(Table2[[#This Row],[Satification_points]]&gt;=3,Table2[[#This Row],[Satification_points]]&lt;4),"AVERAGE",Table2[[#This Row],[Satification_points]]&lt;3,"POOR")</f>
        <v>AVERAGE</v>
      </c>
    </row>
    <row r="758" spans="1:29" x14ac:dyDescent="0.3">
      <c r="A758">
        <v>757</v>
      </c>
      <c r="B758">
        <v>29613</v>
      </c>
      <c r="C758" t="s">
        <v>810</v>
      </c>
      <c r="D758" t="s">
        <v>41</v>
      </c>
      <c r="E758" t="s">
        <v>57</v>
      </c>
      <c r="F758" s="1">
        <v>45072</v>
      </c>
      <c r="G758" s="1">
        <v>45497</v>
      </c>
      <c r="H758">
        <v>5</v>
      </c>
      <c r="I758" t="s">
        <v>50</v>
      </c>
      <c r="J758" t="s">
        <v>43</v>
      </c>
      <c r="K758">
        <v>2</v>
      </c>
      <c r="L758">
        <v>3</v>
      </c>
      <c r="M758">
        <v>4</v>
      </c>
      <c r="N758">
        <v>4</v>
      </c>
      <c r="O758">
        <v>1</v>
      </c>
      <c r="P758">
        <v>4</v>
      </c>
      <c r="Q758">
        <v>3</v>
      </c>
      <c r="R758">
        <v>5</v>
      </c>
      <c r="S758">
        <v>5</v>
      </c>
      <c r="T758">
        <v>3</v>
      </c>
      <c r="U758" t="s">
        <v>37</v>
      </c>
      <c r="V758" t="s">
        <v>46</v>
      </c>
      <c r="W758" t="s">
        <v>56</v>
      </c>
      <c r="X758" t="s">
        <v>44</v>
      </c>
      <c r="Y758">
        <v>49</v>
      </c>
      <c r="Z758" s="1">
        <v>45497</v>
      </c>
      <c r="AA758" t="str" cm="1">
        <f t="array" ref="AA758">_xlfn.IFS(AND(Table2[[#This Row],[Guest_Age]]&gt;=18,Table2[[#This Row],[Guest_Age]]&lt;=25),"Young Adults",AND(Table2[[#This Row],[Guest_Age]]&gt;=26,Table2[[#This Row],[Guest_Age]]&lt;=35),"Adults",AND(Table2[[#This Row],[Guest_Age]]&gt;=36,Table2[[#This Row],[Guest_Age]]&lt;=50),"Middle Aged Adults",Table2[[#This Row],[Guest_Age]]&gt;50,"Senior")</f>
        <v>Middle Aged Adults</v>
      </c>
      <c r="AB7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58" t="str" cm="1">
        <f t="array" ref="AC758">_xlfn.IFS(Table2[[#This Row],[Satification_points]]&gt;=4.5,"GREAT",AND(Table2[[#This Row],[Satification_points]]&gt;=4,Table2[[#This Row],[Satification_points]]&lt;4.5),"GOOD",AND(Table2[[#This Row],[Satification_points]]&gt;=3,Table2[[#This Row],[Satification_points]]&lt;4),"AVERAGE",Table2[[#This Row],[Satification_points]]&lt;3,"POOR")</f>
        <v>AVERAGE</v>
      </c>
    </row>
    <row r="759" spans="1:29" x14ac:dyDescent="0.3">
      <c r="A759">
        <v>758</v>
      </c>
      <c r="B759">
        <v>71473</v>
      </c>
      <c r="C759" t="s">
        <v>811</v>
      </c>
      <c r="D759" t="s">
        <v>26</v>
      </c>
      <c r="E759" t="s">
        <v>45</v>
      </c>
      <c r="F759" s="1">
        <v>45304</v>
      </c>
      <c r="G759" s="1">
        <v>45465</v>
      </c>
      <c r="H759">
        <v>12</v>
      </c>
      <c r="I759" t="s">
        <v>49</v>
      </c>
      <c r="J759" t="s">
        <v>53</v>
      </c>
      <c r="K759">
        <v>1</v>
      </c>
      <c r="L759">
        <v>5</v>
      </c>
      <c r="M759">
        <v>3</v>
      </c>
      <c r="N759">
        <v>4</v>
      </c>
      <c r="O759">
        <v>3</v>
      </c>
      <c r="P759">
        <v>5</v>
      </c>
      <c r="Q759">
        <v>4</v>
      </c>
      <c r="R759">
        <v>2</v>
      </c>
      <c r="S759">
        <v>2</v>
      </c>
      <c r="T759">
        <v>1</v>
      </c>
      <c r="U759" t="s">
        <v>30</v>
      </c>
      <c r="V759" t="s">
        <v>54</v>
      </c>
      <c r="W759" t="s">
        <v>56</v>
      </c>
      <c r="X759" t="s">
        <v>44</v>
      </c>
      <c r="Y759">
        <v>68</v>
      </c>
      <c r="Z759" s="1">
        <v>45465</v>
      </c>
      <c r="AA759" t="str" cm="1">
        <f t="array" ref="AA759">_xlfn.IFS(AND(Table2[[#This Row],[Guest_Age]]&gt;=18,Table2[[#This Row],[Guest_Age]]&lt;=25),"Young Adults",AND(Table2[[#This Row],[Guest_Age]]&gt;=26,Table2[[#This Row],[Guest_Age]]&lt;=35),"Adults",AND(Table2[[#This Row],[Guest_Age]]&gt;=36,Table2[[#This Row],[Guest_Age]]&lt;=50),"Middle Aged Adults",Table2[[#This Row],[Guest_Age]]&gt;50,"Senior")</f>
        <v>Senior</v>
      </c>
      <c r="AB7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59" t="str" cm="1">
        <f t="array" ref="AC759">_xlfn.IFS(Table2[[#This Row],[Satification_points]]&gt;=4.5,"GREAT",AND(Table2[[#This Row],[Satification_points]]&gt;=4,Table2[[#This Row],[Satification_points]]&lt;4.5),"GOOD",AND(Table2[[#This Row],[Satification_points]]&gt;=3,Table2[[#This Row],[Satification_points]]&lt;4),"AVERAGE",Table2[[#This Row],[Satification_points]]&lt;3,"POOR")</f>
        <v>AVERAGE</v>
      </c>
    </row>
    <row r="760" spans="1:29" x14ac:dyDescent="0.3">
      <c r="A760">
        <v>759</v>
      </c>
      <c r="B760">
        <v>73903</v>
      </c>
      <c r="C760" t="s">
        <v>812</v>
      </c>
      <c r="D760" t="s">
        <v>48</v>
      </c>
      <c r="E760" t="s">
        <v>35</v>
      </c>
      <c r="F760" s="1">
        <v>45367</v>
      </c>
      <c r="G760" s="1">
        <v>45368</v>
      </c>
      <c r="H760">
        <v>14</v>
      </c>
      <c r="I760" t="s">
        <v>28</v>
      </c>
      <c r="J760" t="s">
        <v>36</v>
      </c>
      <c r="K760">
        <v>4</v>
      </c>
      <c r="L760">
        <v>3</v>
      </c>
      <c r="M760">
        <v>2</v>
      </c>
      <c r="N760">
        <v>1</v>
      </c>
      <c r="O760">
        <v>1</v>
      </c>
      <c r="P760">
        <v>4</v>
      </c>
      <c r="Q760">
        <v>1</v>
      </c>
      <c r="R760">
        <v>4</v>
      </c>
      <c r="S760">
        <v>2</v>
      </c>
      <c r="T760">
        <v>1</v>
      </c>
      <c r="U760" t="s">
        <v>37</v>
      </c>
      <c r="V760" t="s">
        <v>38</v>
      </c>
      <c r="W760" t="s">
        <v>47</v>
      </c>
      <c r="X760" t="s">
        <v>33</v>
      </c>
      <c r="Y760">
        <v>65</v>
      </c>
      <c r="Z760" s="1">
        <v>45554</v>
      </c>
      <c r="AA760" t="str" cm="1">
        <f t="array" ref="AA760">_xlfn.IFS(AND(Table2[[#This Row],[Guest_Age]]&gt;=18,Table2[[#This Row],[Guest_Age]]&lt;=25),"Young Adults",AND(Table2[[#This Row],[Guest_Age]]&gt;=26,Table2[[#This Row],[Guest_Age]]&lt;=35),"Adults",AND(Table2[[#This Row],[Guest_Age]]&gt;=36,Table2[[#This Row],[Guest_Age]]&lt;=50),"Middle Aged Adults",Table2[[#This Row],[Guest_Age]]&gt;50,"Senior")</f>
        <v>Senior</v>
      </c>
      <c r="AB7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760" t="str" cm="1">
        <f t="array" ref="AC760">_xlfn.IFS(Table2[[#This Row],[Satification_points]]&gt;=4.5,"GREAT",AND(Table2[[#This Row],[Satification_points]]&gt;=4,Table2[[#This Row],[Satification_points]]&lt;4.5),"GOOD",AND(Table2[[#This Row],[Satification_points]]&gt;=3,Table2[[#This Row],[Satification_points]]&lt;4),"AVERAGE",Table2[[#This Row],[Satification_points]]&lt;3,"POOR")</f>
        <v>POOR</v>
      </c>
    </row>
    <row r="761" spans="1:29" x14ac:dyDescent="0.3">
      <c r="A761">
        <v>760</v>
      </c>
      <c r="B761">
        <v>29961</v>
      </c>
      <c r="C761" t="s">
        <v>813</v>
      </c>
      <c r="D761" t="s">
        <v>26</v>
      </c>
      <c r="E761" t="s">
        <v>52</v>
      </c>
      <c r="F761" s="1">
        <v>45381</v>
      </c>
      <c r="G761" s="1">
        <v>45382</v>
      </c>
      <c r="H761">
        <v>1</v>
      </c>
      <c r="I761" t="s">
        <v>50</v>
      </c>
      <c r="J761" t="s">
        <v>36</v>
      </c>
      <c r="K761">
        <v>4</v>
      </c>
      <c r="L761">
        <v>3</v>
      </c>
      <c r="M761">
        <v>5</v>
      </c>
      <c r="N761">
        <v>3</v>
      </c>
      <c r="O761">
        <v>5</v>
      </c>
      <c r="P761">
        <v>4</v>
      </c>
      <c r="Q761">
        <v>1</v>
      </c>
      <c r="R761">
        <v>4</v>
      </c>
      <c r="S761">
        <v>3</v>
      </c>
      <c r="T761">
        <v>2</v>
      </c>
      <c r="U761" t="s">
        <v>37</v>
      </c>
      <c r="V761" t="s">
        <v>54</v>
      </c>
      <c r="W761" t="s">
        <v>56</v>
      </c>
      <c r="X761" t="s">
        <v>33</v>
      </c>
      <c r="Y761">
        <v>58</v>
      </c>
      <c r="Z761" s="1">
        <v>45382</v>
      </c>
      <c r="AA761" t="str" cm="1">
        <f t="array" ref="AA761">_xlfn.IFS(AND(Table2[[#This Row],[Guest_Age]]&gt;=18,Table2[[#This Row],[Guest_Age]]&lt;=25),"Young Adults",AND(Table2[[#This Row],[Guest_Age]]&gt;=26,Table2[[#This Row],[Guest_Age]]&lt;=35),"Adults",AND(Table2[[#This Row],[Guest_Age]]&gt;=36,Table2[[#This Row],[Guest_Age]]&lt;=50),"Middle Aged Adults",Table2[[#This Row],[Guest_Age]]&gt;50,"Senior")</f>
        <v>Senior</v>
      </c>
      <c r="AB7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61" t="str" cm="1">
        <f t="array" ref="AC761">_xlfn.IFS(Table2[[#This Row],[Satification_points]]&gt;=4.5,"GREAT",AND(Table2[[#This Row],[Satification_points]]&gt;=4,Table2[[#This Row],[Satification_points]]&lt;4.5),"GOOD",AND(Table2[[#This Row],[Satification_points]]&gt;=3,Table2[[#This Row],[Satification_points]]&lt;4),"AVERAGE",Table2[[#This Row],[Satification_points]]&lt;3,"POOR")</f>
        <v>AVERAGE</v>
      </c>
    </row>
    <row r="762" spans="1:29" x14ac:dyDescent="0.3">
      <c r="A762">
        <v>761</v>
      </c>
      <c r="B762">
        <v>78107</v>
      </c>
      <c r="C762" t="s">
        <v>814</v>
      </c>
      <c r="D762" t="s">
        <v>41</v>
      </c>
      <c r="E762" t="s">
        <v>52</v>
      </c>
      <c r="F762" s="1">
        <v>45333</v>
      </c>
      <c r="G762" s="1">
        <v>45524</v>
      </c>
      <c r="H762">
        <v>11</v>
      </c>
      <c r="I762" t="s">
        <v>28</v>
      </c>
      <c r="J762" t="s">
        <v>43</v>
      </c>
      <c r="K762">
        <v>1</v>
      </c>
      <c r="L762">
        <v>2</v>
      </c>
      <c r="M762">
        <v>3</v>
      </c>
      <c r="N762">
        <v>3</v>
      </c>
      <c r="O762">
        <v>1</v>
      </c>
      <c r="P762">
        <v>1</v>
      </c>
      <c r="Q762">
        <v>1</v>
      </c>
      <c r="R762">
        <v>5</v>
      </c>
      <c r="S762">
        <v>1</v>
      </c>
      <c r="T762">
        <v>4</v>
      </c>
      <c r="U762" t="s">
        <v>37</v>
      </c>
      <c r="V762" t="s">
        <v>46</v>
      </c>
      <c r="W762" t="s">
        <v>47</v>
      </c>
      <c r="X762" t="s">
        <v>33</v>
      </c>
      <c r="Y762">
        <v>67</v>
      </c>
      <c r="Z762" s="1">
        <v>45524</v>
      </c>
      <c r="AA762" t="str" cm="1">
        <f t="array" ref="AA762">_xlfn.IFS(AND(Table2[[#This Row],[Guest_Age]]&gt;=18,Table2[[#This Row],[Guest_Age]]&lt;=25),"Young Adults",AND(Table2[[#This Row],[Guest_Age]]&gt;=26,Table2[[#This Row],[Guest_Age]]&lt;=35),"Adults",AND(Table2[[#This Row],[Guest_Age]]&gt;=36,Table2[[#This Row],[Guest_Age]]&lt;=50),"Middle Aged Adults",Table2[[#This Row],[Guest_Age]]&gt;50,"Senior")</f>
        <v>Senior</v>
      </c>
      <c r="AB7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762" t="str" cm="1">
        <f t="array" ref="AC762">_xlfn.IFS(Table2[[#This Row],[Satification_points]]&gt;=4.5,"GREAT",AND(Table2[[#This Row],[Satification_points]]&gt;=4,Table2[[#This Row],[Satification_points]]&lt;4.5),"GOOD",AND(Table2[[#This Row],[Satification_points]]&gt;=3,Table2[[#This Row],[Satification_points]]&lt;4),"AVERAGE",Table2[[#This Row],[Satification_points]]&lt;3,"POOR")</f>
        <v>POOR</v>
      </c>
    </row>
    <row r="763" spans="1:29" x14ac:dyDescent="0.3">
      <c r="A763">
        <v>762</v>
      </c>
      <c r="B763">
        <v>26616</v>
      </c>
      <c r="C763" t="s">
        <v>815</v>
      </c>
      <c r="D763" t="s">
        <v>26</v>
      </c>
      <c r="E763" t="s">
        <v>52</v>
      </c>
      <c r="F763" s="1">
        <v>44945</v>
      </c>
      <c r="G763" s="1">
        <v>44949</v>
      </c>
      <c r="H763">
        <v>10</v>
      </c>
      <c r="I763" t="s">
        <v>49</v>
      </c>
      <c r="J763" t="s">
        <v>40</v>
      </c>
      <c r="K763">
        <v>3</v>
      </c>
      <c r="L763">
        <v>3</v>
      </c>
      <c r="M763">
        <v>2</v>
      </c>
      <c r="N763">
        <v>1</v>
      </c>
      <c r="O763">
        <v>1</v>
      </c>
      <c r="P763">
        <v>3</v>
      </c>
      <c r="Q763">
        <v>4</v>
      </c>
      <c r="R763">
        <v>2</v>
      </c>
      <c r="S763">
        <v>1</v>
      </c>
      <c r="T763">
        <v>1</v>
      </c>
      <c r="U763" t="s">
        <v>30</v>
      </c>
      <c r="V763" t="s">
        <v>46</v>
      </c>
      <c r="W763" t="s">
        <v>56</v>
      </c>
      <c r="X763" t="s">
        <v>33</v>
      </c>
      <c r="Y763">
        <v>66</v>
      </c>
      <c r="Z763" s="1">
        <v>45026</v>
      </c>
      <c r="AA763" t="str" cm="1">
        <f t="array" ref="AA763">_xlfn.IFS(AND(Table2[[#This Row],[Guest_Age]]&gt;=18,Table2[[#This Row],[Guest_Age]]&lt;=25),"Young Adults",AND(Table2[[#This Row],[Guest_Age]]&gt;=26,Table2[[#This Row],[Guest_Age]]&lt;=35),"Adults",AND(Table2[[#This Row],[Guest_Age]]&gt;=36,Table2[[#This Row],[Guest_Age]]&lt;=50),"Middle Aged Adults",Table2[[#This Row],[Guest_Age]]&gt;50,"Senior")</f>
        <v>Senior</v>
      </c>
      <c r="AB7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763" t="str" cm="1">
        <f t="array" ref="AC763">_xlfn.IFS(Table2[[#This Row],[Satification_points]]&gt;=4.5,"GREAT",AND(Table2[[#This Row],[Satification_points]]&gt;=4,Table2[[#This Row],[Satification_points]]&lt;4.5),"GOOD",AND(Table2[[#This Row],[Satification_points]]&gt;=3,Table2[[#This Row],[Satification_points]]&lt;4),"AVERAGE",Table2[[#This Row],[Satification_points]]&lt;3,"POOR")</f>
        <v>POOR</v>
      </c>
    </row>
    <row r="764" spans="1:29" x14ac:dyDescent="0.3">
      <c r="A764">
        <v>763</v>
      </c>
      <c r="B764">
        <v>94572</v>
      </c>
      <c r="C764" t="s">
        <v>816</v>
      </c>
      <c r="D764" t="s">
        <v>34</v>
      </c>
      <c r="E764" t="s">
        <v>52</v>
      </c>
      <c r="F764" s="1">
        <v>45359</v>
      </c>
      <c r="G764" s="1">
        <v>45360</v>
      </c>
      <c r="H764">
        <v>6</v>
      </c>
      <c r="I764" t="s">
        <v>28</v>
      </c>
      <c r="J764" t="s">
        <v>43</v>
      </c>
      <c r="K764">
        <v>3</v>
      </c>
      <c r="L764">
        <v>5</v>
      </c>
      <c r="M764">
        <v>2</v>
      </c>
      <c r="N764">
        <v>2</v>
      </c>
      <c r="O764">
        <v>3</v>
      </c>
      <c r="P764">
        <v>1</v>
      </c>
      <c r="Q764">
        <v>5</v>
      </c>
      <c r="R764">
        <v>3</v>
      </c>
      <c r="S764">
        <v>5</v>
      </c>
      <c r="T764">
        <v>1</v>
      </c>
      <c r="U764" t="s">
        <v>37</v>
      </c>
      <c r="V764" t="s">
        <v>38</v>
      </c>
      <c r="W764" t="s">
        <v>47</v>
      </c>
      <c r="X764" t="s">
        <v>33</v>
      </c>
      <c r="Y764">
        <v>24</v>
      </c>
      <c r="Z764" s="1">
        <v>45571</v>
      </c>
      <c r="AA764" t="str" cm="1">
        <f t="array" ref="AA764">_xlfn.IFS(AND(Table2[[#This Row],[Guest_Age]]&gt;=18,Table2[[#This Row],[Guest_Age]]&lt;=25),"Young Adults",AND(Table2[[#This Row],[Guest_Age]]&gt;=26,Table2[[#This Row],[Guest_Age]]&lt;=35),"Adults",AND(Table2[[#This Row],[Guest_Age]]&gt;=36,Table2[[#This Row],[Guest_Age]]&lt;=50),"Middle Aged Adults",Table2[[#This Row],[Guest_Age]]&gt;50,"Senior")</f>
        <v>Young Adults</v>
      </c>
      <c r="AB7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64" t="str" cm="1">
        <f t="array" ref="AC764">_xlfn.IFS(Table2[[#This Row],[Satification_points]]&gt;=4.5,"GREAT",AND(Table2[[#This Row],[Satification_points]]&gt;=4,Table2[[#This Row],[Satification_points]]&lt;4.5),"GOOD",AND(Table2[[#This Row],[Satification_points]]&gt;=3,Table2[[#This Row],[Satification_points]]&lt;4),"AVERAGE",Table2[[#This Row],[Satification_points]]&lt;3,"POOR")</f>
        <v>AVERAGE</v>
      </c>
    </row>
    <row r="765" spans="1:29" x14ac:dyDescent="0.3">
      <c r="A765">
        <v>764</v>
      </c>
      <c r="B765">
        <v>43984</v>
      </c>
      <c r="C765" t="s">
        <v>817</v>
      </c>
      <c r="D765" t="s">
        <v>34</v>
      </c>
      <c r="E765" t="s">
        <v>35</v>
      </c>
      <c r="F765" s="1">
        <v>45355</v>
      </c>
      <c r="G765" s="1">
        <v>45476</v>
      </c>
      <c r="H765">
        <v>2</v>
      </c>
      <c r="I765" t="s">
        <v>42</v>
      </c>
      <c r="J765" t="s">
        <v>43</v>
      </c>
      <c r="K765">
        <v>1</v>
      </c>
      <c r="L765">
        <v>4</v>
      </c>
      <c r="M765">
        <v>1</v>
      </c>
      <c r="N765">
        <v>5</v>
      </c>
      <c r="O765">
        <v>1</v>
      </c>
      <c r="P765">
        <v>5</v>
      </c>
      <c r="Q765">
        <v>1</v>
      </c>
      <c r="R765">
        <v>5</v>
      </c>
      <c r="S765">
        <v>2</v>
      </c>
      <c r="T765">
        <v>4</v>
      </c>
      <c r="U765" t="s">
        <v>37</v>
      </c>
      <c r="V765" t="s">
        <v>54</v>
      </c>
      <c r="W765" t="s">
        <v>32</v>
      </c>
      <c r="X765" t="s">
        <v>33</v>
      </c>
      <c r="Y765">
        <v>38</v>
      </c>
      <c r="Z765" s="1">
        <v>45476</v>
      </c>
      <c r="AA765" t="str" cm="1">
        <f t="array" ref="AA765">_xlfn.IFS(AND(Table2[[#This Row],[Guest_Age]]&gt;=18,Table2[[#This Row],[Guest_Age]]&lt;=25),"Young Adults",AND(Table2[[#This Row],[Guest_Age]]&gt;=26,Table2[[#This Row],[Guest_Age]]&lt;=35),"Adults",AND(Table2[[#This Row],[Guest_Age]]&gt;=36,Table2[[#This Row],[Guest_Age]]&lt;=50),"Middle Aged Adults",Table2[[#This Row],[Guest_Age]]&gt;50,"Senior")</f>
        <v>Middle Aged Adults</v>
      </c>
      <c r="AB7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65" t="str" cm="1">
        <f t="array" ref="AC765">_xlfn.IFS(Table2[[#This Row],[Satification_points]]&gt;=4.5,"GREAT",AND(Table2[[#This Row],[Satification_points]]&gt;=4,Table2[[#This Row],[Satification_points]]&lt;4.5),"GOOD",AND(Table2[[#This Row],[Satification_points]]&gt;=3,Table2[[#This Row],[Satification_points]]&lt;4),"AVERAGE",Table2[[#This Row],[Satification_points]]&lt;3,"POOR")</f>
        <v>POOR</v>
      </c>
    </row>
    <row r="766" spans="1:29" x14ac:dyDescent="0.3">
      <c r="A766">
        <v>765</v>
      </c>
      <c r="B766">
        <v>13539</v>
      </c>
      <c r="C766" t="s">
        <v>304</v>
      </c>
      <c r="D766" t="s">
        <v>51</v>
      </c>
      <c r="E766" t="s">
        <v>52</v>
      </c>
      <c r="F766" s="1">
        <v>45178</v>
      </c>
      <c r="G766" s="1">
        <v>45301</v>
      </c>
      <c r="H766">
        <v>7</v>
      </c>
      <c r="I766" t="s">
        <v>42</v>
      </c>
      <c r="J766" t="s">
        <v>53</v>
      </c>
      <c r="K766">
        <v>1</v>
      </c>
      <c r="L766">
        <v>4</v>
      </c>
      <c r="M766">
        <v>1</v>
      </c>
      <c r="N766">
        <v>5</v>
      </c>
      <c r="O766">
        <v>5</v>
      </c>
      <c r="P766">
        <v>5</v>
      </c>
      <c r="Q766">
        <v>5</v>
      </c>
      <c r="R766">
        <v>5</v>
      </c>
      <c r="S766">
        <v>4</v>
      </c>
      <c r="T766">
        <v>1</v>
      </c>
      <c r="U766" t="s">
        <v>37</v>
      </c>
      <c r="V766" t="s">
        <v>31</v>
      </c>
      <c r="W766" t="s">
        <v>47</v>
      </c>
      <c r="X766" t="s">
        <v>33</v>
      </c>
      <c r="Y766">
        <v>34</v>
      </c>
      <c r="Z766" s="1">
        <v>45598</v>
      </c>
      <c r="AA766" t="str" cm="1">
        <f t="array" ref="AA766">_xlfn.IFS(AND(Table2[[#This Row],[Guest_Age]]&gt;=18,Table2[[#This Row],[Guest_Age]]&lt;=25),"Young Adults",AND(Table2[[#This Row],[Guest_Age]]&gt;=26,Table2[[#This Row],[Guest_Age]]&lt;=35),"Adults",AND(Table2[[#This Row],[Guest_Age]]&gt;=36,Table2[[#This Row],[Guest_Age]]&lt;=50),"Middle Aged Adults",Table2[[#This Row],[Guest_Age]]&gt;50,"Senior")</f>
        <v>Adults</v>
      </c>
      <c r="AB7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766" t="str" cm="1">
        <f t="array" ref="AC766">_xlfn.IFS(Table2[[#This Row],[Satification_points]]&gt;=4.5,"GREAT",AND(Table2[[#This Row],[Satification_points]]&gt;=4,Table2[[#This Row],[Satification_points]]&lt;4.5),"GOOD",AND(Table2[[#This Row],[Satification_points]]&gt;=3,Table2[[#This Row],[Satification_points]]&lt;4),"AVERAGE",Table2[[#This Row],[Satification_points]]&lt;3,"POOR")</f>
        <v>AVERAGE</v>
      </c>
    </row>
    <row r="767" spans="1:29" x14ac:dyDescent="0.3">
      <c r="A767">
        <v>766</v>
      </c>
      <c r="B767">
        <v>43289</v>
      </c>
      <c r="C767" t="s">
        <v>818</v>
      </c>
      <c r="D767" t="s">
        <v>48</v>
      </c>
      <c r="E767" t="s">
        <v>35</v>
      </c>
      <c r="F767" s="1">
        <v>45488</v>
      </c>
      <c r="G767" s="1">
        <v>45540</v>
      </c>
      <c r="H767">
        <v>4</v>
      </c>
      <c r="I767" t="s">
        <v>50</v>
      </c>
      <c r="J767" t="s">
        <v>29</v>
      </c>
      <c r="K767">
        <v>3</v>
      </c>
      <c r="L767">
        <v>5</v>
      </c>
      <c r="M767">
        <v>4</v>
      </c>
      <c r="N767">
        <v>2</v>
      </c>
      <c r="O767">
        <v>5</v>
      </c>
      <c r="P767">
        <v>3</v>
      </c>
      <c r="Q767">
        <v>1</v>
      </c>
      <c r="R767">
        <v>1</v>
      </c>
      <c r="S767">
        <v>5</v>
      </c>
      <c r="T767">
        <v>3</v>
      </c>
      <c r="U767" t="s">
        <v>37</v>
      </c>
      <c r="V767" t="s">
        <v>46</v>
      </c>
      <c r="W767" t="s">
        <v>32</v>
      </c>
      <c r="X767" t="s">
        <v>44</v>
      </c>
      <c r="Y767">
        <v>37</v>
      </c>
      <c r="Z767" s="1">
        <v>45540</v>
      </c>
      <c r="AA767" t="str" cm="1">
        <f t="array" ref="AA7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7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67" t="str" cm="1">
        <f t="array" ref="AC767">_xlfn.IFS(Table2[[#This Row],[Satification_points]]&gt;=4.5,"GREAT",AND(Table2[[#This Row],[Satification_points]]&gt;=4,Table2[[#This Row],[Satification_points]]&lt;4.5),"GOOD",AND(Table2[[#This Row],[Satification_points]]&gt;=3,Table2[[#This Row],[Satification_points]]&lt;4),"AVERAGE",Table2[[#This Row],[Satification_points]]&lt;3,"POOR")</f>
        <v>AVERAGE</v>
      </c>
    </row>
    <row r="768" spans="1:29" x14ac:dyDescent="0.3">
      <c r="A768">
        <v>767</v>
      </c>
      <c r="B768">
        <v>72076</v>
      </c>
      <c r="C768" t="s">
        <v>819</v>
      </c>
      <c r="D768" t="s">
        <v>41</v>
      </c>
      <c r="E768" t="s">
        <v>52</v>
      </c>
      <c r="F768" s="1">
        <v>45575</v>
      </c>
      <c r="G768" s="1">
        <v>45581</v>
      </c>
      <c r="H768">
        <v>4</v>
      </c>
      <c r="I768" t="s">
        <v>42</v>
      </c>
      <c r="J768" t="s">
        <v>40</v>
      </c>
      <c r="K768">
        <v>1</v>
      </c>
      <c r="L768">
        <v>5</v>
      </c>
      <c r="M768">
        <v>4</v>
      </c>
      <c r="N768">
        <v>5</v>
      </c>
      <c r="O768">
        <v>1</v>
      </c>
      <c r="P768">
        <v>1</v>
      </c>
      <c r="Q768">
        <v>4</v>
      </c>
      <c r="R768">
        <v>3</v>
      </c>
      <c r="S768">
        <v>1</v>
      </c>
      <c r="T768">
        <v>3</v>
      </c>
      <c r="U768" t="s">
        <v>30</v>
      </c>
      <c r="V768" t="s">
        <v>54</v>
      </c>
      <c r="W768" t="s">
        <v>32</v>
      </c>
      <c r="X768" t="s">
        <v>33</v>
      </c>
      <c r="Y768">
        <v>18</v>
      </c>
      <c r="Z768" s="1">
        <v>45581</v>
      </c>
      <c r="AA768" t="str" cm="1">
        <f t="array" ref="AA768">_xlfn.IFS(AND(Table2[[#This Row],[Guest_Age]]&gt;=18,Table2[[#This Row],[Guest_Age]]&lt;=25),"Young Adults",AND(Table2[[#This Row],[Guest_Age]]&gt;=26,Table2[[#This Row],[Guest_Age]]&lt;=35),"Adults",AND(Table2[[#This Row],[Guest_Age]]&gt;=36,Table2[[#This Row],[Guest_Age]]&lt;=50),"Middle Aged Adults",Table2[[#This Row],[Guest_Age]]&gt;50,"Senior")</f>
        <v>Young Adults</v>
      </c>
      <c r="AB7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68" t="str" cm="1">
        <f t="array" ref="AC768">_xlfn.IFS(Table2[[#This Row],[Satification_points]]&gt;=4.5,"GREAT",AND(Table2[[#This Row],[Satification_points]]&gt;=4,Table2[[#This Row],[Satification_points]]&lt;4.5),"GOOD",AND(Table2[[#This Row],[Satification_points]]&gt;=3,Table2[[#This Row],[Satification_points]]&lt;4),"AVERAGE",Table2[[#This Row],[Satification_points]]&lt;3,"POOR")</f>
        <v>POOR</v>
      </c>
    </row>
    <row r="769" spans="1:29" x14ac:dyDescent="0.3">
      <c r="A769">
        <v>768</v>
      </c>
      <c r="B769">
        <v>86562</v>
      </c>
      <c r="C769" t="s">
        <v>820</v>
      </c>
      <c r="D769" t="s">
        <v>48</v>
      </c>
      <c r="E769" t="s">
        <v>52</v>
      </c>
      <c r="F769" s="1">
        <v>45147</v>
      </c>
      <c r="G769" s="1">
        <v>45148</v>
      </c>
      <c r="H769">
        <v>9</v>
      </c>
      <c r="I769" t="s">
        <v>42</v>
      </c>
      <c r="J769" t="s">
        <v>40</v>
      </c>
      <c r="K769">
        <v>3</v>
      </c>
      <c r="L769">
        <v>3</v>
      </c>
      <c r="M769">
        <v>3</v>
      </c>
      <c r="N769">
        <v>4</v>
      </c>
      <c r="O769">
        <v>5</v>
      </c>
      <c r="P769">
        <v>1</v>
      </c>
      <c r="Q769">
        <v>1</v>
      </c>
      <c r="R769">
        <v>3</v>
      </c>
      <c r="S769">
        <v>1</v>
      </c>
      <c r="T769">
        <v>2</v>
      </c>
      <c r="U769" t="s">
        <v>30</v>
      </c>
      <c r="V769" t="s">
        <v>58</v>
      </c>
      <c r="W769" t="s">
        <v>55</v>
      </c>
      <c r="X769" t="s">
        <v>33</v>
      </c>
      <c r="Y769">
        <v>49</v>
      </c>
      <c r="Z769" s="1">
        <v>45148</v>
      </c>
      <c r="AA769" t="str" cm="1">
        <f t="array" ref="AA7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7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69" t="str" cm="1">
        <f t="array" ref="AC769">_xlfn.IFS(Table2[[#This Row],[Satification_points]]&gt;=4.5,"GREAT",AND(Table2[[#This Row],[Satification_points]]&gt;=4,Table2[[#This Row],[Satification_points]]&lt;4.5),"GOOD",AND(Table2[[#This Row],[Satification_points]]&gt;=3,Table2[[#This Row],[Satification_points]]&lt;4),"AVERAGE",Table2[[#This Row],[Satification_points]]&lt;3,"POOR")</f>
        <v>POOR</v>
      </c>
    </row>
    <row r="770" spans="1:29" x14ac:dyDescent="0.3">
      <c r="A770">
        <v>769</v>
      </c>
      <c r="B770">
        <v>94986</v>
      </c>
      <c r="C770" t="s">
        <v>821</v>
      </c>
      <c r="D770" t="s">
        <v>34</v>
      </c>
      <c r="E770" t="s">
        <v>45</v>
      </c>
      <c r="F770" s="1">
        <v>45039</v>
      </c>
      <c r="G770" s="1">
        <v>45040</v>
      </c>
      <c r="H770">
        <v>13</v>
      </c>
      <c r="I770" t="s">
        <v>49</v>
      </c>
      <c r="J770" t="s">
        <v>40</v>
      </c>
      <c r="K770">
        <v>1</v>
      </c>
      <c r="L770">
        <v>5</v>
      </c>
      <c r="M770">
        <v>4</v>
      </c>
      <c r="N770">
        <v>3</v>
      </c>
      <c r="O770">
        <v>5</v>
      </c>
      <c r="P770">
        <v>1</v>
      </c>
      <c r="Q770">
        <v>5</v>
      </c>
      <c r="R770">
        <v>4</v>
      </c>
      <c r="S770">
        <v>5</v>
      </c>
      <c r="T770">
        <v>2</v>
      </c>
      <c r="U770" t="s">
        <v>37</v>
      </c>
      <c r="V770" t="s">
        <v>46</v>
      </c>
      <c r="W770" t="s">
        <v>32</v>
      </c>
      <c r="X770" t="s">
        <v>44</v>
      </c>
      <c r="Y770">
        <v>57</v>
      </c>
      <c r="Z770" s="1">
        <v>45163</v>
      </c>
      <c r="AA770" t="str" cm="1">
        <f t="array" ref="AA770">_xlfn.IFS(AND(Table2[[#This Row],[Guest_Age]]&gt;=18,Table2[[#This Row],[Guest_Age]]&lt;=25),"Young Adults",AND(Table2[[#This Row],[Guest_Age]]&gt;=26,Table2[[#This Row],[Guest_Age]]&lt;=35),"Adults",AND(Table2[[#This Row],[Guest_Age]]&gt;=36,Table2[[#This Row],[Guest_Age]]&lt;=50),"Middle Aged Adults",Table2[[#This Row],[Guest_Age]]&gt;50,"Senior")</f>
        <v>Senior</v>
      </c>
      <c r="AB7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770" t="str" cm="1">
        <f t="array" ref="AC770">_xlfn.IFS(Table2[[#This Row],[Satification_points]]&gt;=4.5,"GREAT",AND(Table2[[#This Row],[Satification_points]]&gt;=4,Table2[[#This Row],[Satification_points]]&lt;4.5),"GOOD",AND(Table2[[#This Row],[Satification_points]]&gt;=3,Table2[[#This Row],[Satification_points]]&lt;4),"AVERAGE",Table2[[#This Row],[Satification_points]]&lt;3,"POOR")</f>
        <v>AVERAGE</v>
      </c>
    </row>
    <row r="771" spans="1:29" x14ac:dyDescent="0.3">
      <c r="A771">
        <v>770</v>
      </c>
      <c r="B771">
        <v>21391</v>
      </c>
      <c r="C771" t="s">
        <v>822</v>
      </c>
      <c r="D771" t="s">
        <v>41</v>
      </c>
      <c r="E771" t="s">
        <v>57</v>
      </c>
      <c r="F771" s="1">
        <v>45075</v>
      </c>
      <c r="G771" s="1">
        <v>45630</v>
      </c>
      <c r="H771">
        <v>1</v>
      </c>
      <c r="I771" t="s">
        <v>49</v>
      </c>
      <c r="J771" t="s">
        <v>53</v>
      </c>
      <c r="K771">
        <v>3</v>
      </c>
      <c r="L771">
        <v>3</v>
      </c>
      <c r="M771">
        <v>2</v>
      </c>
      <c r="N771">
        <v>4</v>
      </c>
      <c r="O771">
        <v>3</v>
      </c>
      <c r="P771">
        <v>2</v>
      </c>
      <c r="Q771">
        <v>2</v>
      </c>
      <c r="R771">
        <v>1</v>
      </c>
      <c r="S771">
        <v>5</v>
      </c>
      <c r="T771">
        <v>2</v>
      </c>
      <c r="U771" t="s">
        <v>37</v>
      </c>
      <c r="V771" t="s">
        <v>31</v>
      </c>
      <c r="W771" t="s">
        <v>55</v>
      </c>
      <c r="X771" t="s">
        <v>44</v>
      </c>
      <c r="Y771">
        <v>49</v>
      </c>
      <c r="Z771" s="1">
        <v>45630</v>
      </c>
      <c r="AA771" t="str" cm="1">
        <f t="array" ref="AA7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7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71" t="str" cm="1">
        <f t="array" ref="AC771">_xlfn.IFS(Table2[[#This Row],[Satification_points]]&gt;=4.5,"GREAT",AND(Table2[[#This Row],[Satification_points]]&gt;=4,Table2[[#This Row],[Satification_points]]&lt;4.5),"GOOD",AND(Table2[[#This Row],[Satification_points]]&gt;=3,Table2[[#This Row],[Satification_points]]&lt;4),"AVERAGE",Table2[[#This Row],[Satification_points]]&lt;3,"POOR")</f>
        <v>POOR</v>
      </c>
    </row>
    <row r="772" spans="1:29" x14ac:dyDescent="0.3">
      <c r="A772">
        <v>771</v>
      </c>
      <c r="B772">
        <v>92260</v>
      </c>
      <c r="C772" t="s">
        <v>823</v>
      </c>
      <c r="D772" t="s">
        <v>51</v>
      </c>
      <c r="E772" t="s">
        <v>27</v>
      </c>
      <c r="F772" s="1">
        <v>45486</v>
      </c>
      <c r="G772" s="1">
        <v>45487</v>
      </c>
      <c r="H772">
        <v>6</v>
      </c>
      <c r="I772" t="s">
        <v>42</v>
      </c>
      <c r="J772" t="s">
        <v>43</v>
      </c>
      <c r="K772">
        <v>2</v>
      </c>
      <c r="L772">
        <v>1</v>
      </c>
      <c r="M772">
        <v>2</v>
      </c>
      <c r="N772">
        <v>5</v>
      </c>
      <c r="O772">
        <v>2</v>
      </c>
      <c r="P772">
        <v>2</v>
      </c>
      <c r="Q772">
        <v>5</v>
      </c>
      <c r="R772">
        <v>3</v>
      </c>
      <c r="S772">
        <v>5</v>
      </c>
      <c r="T772">
        <v>3</v>
      </c>
      <c r="U772" t="s">
        <v>37</v>
      </c>
      <c r="V772" t="s">
        <v>46</v>
      </c>
      <c r="W772" t="s">
        <v>47</v>
      </c>
      <c r="X772" t="s">
        <v>33</v>
      </c>
      <c r="Y772">
        <v>37</v>
      </c>
      <c r="Z772" s="1">
        <v>45487</v>
      </c>
      <c r="AA772" t="str" cm="1">
        <f t="array" ref="AA7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7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72" t="str" cm="1">
        <f t="array" ref="AC772">_xlfn.IFS(Table2[[#This Row],[Satification_points]]&gt;=4.5,"GREAT",AND(Table2[[#This Row],[Satification_points]]&gt;=4,Table2[[#This Row],[Satification_points]]&lt;4.5),"GOOD",AND(Table2[[#This Row],[Satification_points]]&gt;=3,Table2[[#This Row],[Satification_points]]&lt;4),"AVERAGE",Table2[[#This Row],[Satification_points]]&lt;3,"POOR")</f>
        <v>AVERAGE</v>
      </c>
    </row>
    <row r="773" spans="1:29" x14ac:dyDescent="0.3">
      <c r="A773">
        <v>772</v>
      </c>
      <c r="B773">
        <v>54906</v>
      </c>
      <c r="C773" t="s">
        <v>824</v>
      </c>
      <c r="D773" t="s">
        <v>34</v>
      </c>
      <c r="E773" t="s">
        <v>27</v>
      </c>
      <c r="F773" s="1">
        <v>44984</v>
      </c>
      <c r="G773" s="1">
        <v>45466</v>
      </c>
      <c r="H773">
        <v>2</v>
      </c>
      <c r="I773" t="s">
        <v>50</v>
      </c>
      <c r="J773" t="s">
        <v>53</v>
      </c>
      <c r="K773">
        <v>3</v>
      </c>
      <c r="L773">
        <v>2</v>
      </c>
      <c r="M773">
        <v>2</v>
      </c>
      <c r="N773">
        <v>5</v>
      </c>
      <c r="O773">
        <v>2</v>
      </c>
      <c r="P773">
        <v>1</v>
      </c>
      <c r="Q773">
        <v>2</v>
      </c>
      <c r="R773">
        <v>3</v>
      </c>
      <c r="S773">
        <v>1</v>
      </c>
      <c r="T773">
        <v>2</v>
      </c>
      <c r="U773" t="s">
        <v>30</v>
      </c>
      <c r="V773" t="s">
        <v>54</v>
      </c>
      <c r="W773" t="s">
        <v>39</v>
      </c>
      <c r="X773" t="s">
        <v>33</v>
      </c>
      <c r="Y773">
        <v>27</v>
      </c>
      <c r="Z773" s="1">
        <v>45466</v>
      </c>
      <c r="AA773" t="str" cm="1">
        <f t="array" ref="AA773">_xlfn.IFS(AND(Table2[[#This Row],[Guest_Age]]&gt;=18,Table2[[#This Row],[Guest_Age]]&lt;=25),"Young Adults",AND(Table2[[#This Row],[Guest_Age]]&gt;=26,Table2[[#This Row],[Guest_Age]]&lt;=35),"Adults",AND(Table2[[#This Row],[Guest_Age]]&gt;=36,Table2[[#This Row],[Guest_Age]]&lt;=50),"Middle Aged Adults",Table2[[#This Row],[Guest_Age]]&gt;50,"Senior")</f>
        <v>Adults</v>
      </c>
      <c r="AB7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773" t="str" cm="1">
        <f t="array" ref="AC773">_xlfn.IFS(Table2[[#This Row],[Satification_points]]&gt;=4.5,"GREAT",AND(Table2[[#This Row],[Satification_points]]&gt;=4,Table2[[#This Row],[Satification_points]]&lt;4.5),"GOOD",AND(Table2[[#This Row],[Satification_points]]&gt;=3,Table2[[#This Row],[Satification_points]]&lt;4),"AVERAGE",Table2[[#This Row],[Satification_points]]&lt;3,"POOR")</f>
        <v>POOR</v>
      </c>
    </row>
    <row r="774" spans="1:29" x14ac:dyDescent="0.3">
      <c r="A774">
        <v>773</v>
      </c>
      <c r="B774">
        <v>87666</v>
      </c>
      <c r="C774" t="s">
        <v>825</v>
      </c>
      <c r="D774" t="s">
        <v>34</v>
      </c>
      <c r="E774" t="s">
        <v>27</v>
      </c>
      <c r="F774" s="1">
        <v>45123</v>
      </c>
      <c r="G774" s="1">
        <v>45299</v>
      </c>
      <c r="H774">
        <v>6</v>
      </c>
      <c r="I774" t="s">
        <v>42</v>
      </c>
      <c r="J774" t="s">
        <v>36</v>
      </c>
      <c r="K774">
        <v>3</v>
      </c>
      <c r="L774">
        <v>2</v>
      </c>
      <c r="M774">
        <v>2</v>
      </c>
      <c r="N774">
        <v>3</v>
      </c>
      <c r="O774">
        <v>4</v>
      </c>
      <c r="P774">
        <v>2</v>
      </c>
      <c r="Q774">
        <v>5</v>
      </c>
      <c r="R774">
        <v>4</v>
      </c>
      <c r="S774">
        <v>4</v>
      </c>
      <c r="T774">
        <v>2</v>
      </c>
      <c r="U774" t="s">
        <v>37</v>
      </c>
      <c r="V774" t="s">
        <v>38</v>
      </c>
      <c r="W774" t="s">
        <v>55</v>
      </c>
      <c r="X774" t="s">
        <v>40</v>
      </c>
      <c r="Y774">
        <v>23</v>
      </c>
      <c r="Z774" s="1">
        <v>45370</v>
      </c>
      <c r="AA774" t="str" cm="1">
        <f t="array" ref="AA774">_xlfn.IFS(AND(Table2[[#This Row],[Guest_Age]]&gt;=18,Table2[[#This Row],[Guest_Age]]&lt;=25),"Young Adults",AND(Table2[[#This Row],[Guest_Age]]&gt;=26,Table2[[#This Row],[Guest_Age]]&lt;=35),"Adults",AND(Table2[[#This Row],[Guest_Age]]&gt;=36,Table2[[#This Row],[Guest_Age]]&lt;=50),"Middle Aged Adults",Table2[[#This Row],[Guest_Age]]&gt;50,"Senior")</f>
        <v>Young Adults</v>
      </c>
      <c r="AB7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74" t="str" cm="1">
        <f t="array" ref="AC774">_xlfn.IFS(Table2[[#This Row],[Satification_points]]&gt;=4.5,"GREAT",AND(Table2[[#This Row],[Satification_points]]&gt;=4,Table2[[#This Row],[Satification_points]]&lt;4.5),"GOOD",AND(Table2[[#This Row],[Satification_points]]&gt;=3,Table2[[#This Row],[Satification_points]]&lt;4),"AVERAGE",Table2[[#This Row],[Satification_points]]&lt;3,"POOR")</f>
        <v>AVERAGE</v>
      </c>
    </row>
    <row r="775" spans="1:29" x14ac:dyDescent="0.3">
      <c r="A775">
        <v>774</v>
      </c>
      <c r="B775">
        <v>18250</v>
      </c>
      <c r="C775" t="s">
        <v>826</v>
      </c>
      <c r="D775" t="s">
        <v>48</v>
      </c>
      <c r="E775" t="s">
        <v>57</v>
      </c>
      <c r="F775" s="1">
        <v>45575</v>
      </c>
      <c r="G775" s="1">
        <v>45576</v>
      </c>
      <c r="H775">
        <v>7</v>
      </c>
      <c r="I775" t="s">
        <v>49</v>
      </c>
      <c r="J775" t="s">
        <v>29</v>
      </c>
      <c r="K775">
        <v>4</v>
      </c>
      <c r="L775">
        <v>2</v>
      </c>
      <c r="M775">
        <v>1</v>
      </c>
      <c r="N775">
        <v>4</v>
      </c>
      <c r="O775">
        <v>2</v>
      </c>
      <c r="P775">
        <v>1</v>
      </c>
      <c r="Q775">
        <v>1</v>
      </c>
      <c r="R775">
        <v>1</v>
      </c>
      <c r="S775">
        <v>1</v>
      </c>
      <c r="T775">
        <v>3</v>
      </c>
      <c r="U775" t="s">
        <v>37</v>
      </c>
      <c r="V775" t="s">
        <v>58</v>
      </c>
      <c r="W775" t="s">
        <v>39</v>
      </c>
      <c r="X775" t="s">
        <v>33</v>
      </c>
      <c r="Y775">
        <v>58</v>
      </c>
      <c r="Z775" s="1">
        <v>45576</v>
      </c>
      <c r="AA775" t="str" cm="1">
        <f t="array" ref="AA775">_xlfn.IFS(AND(Table2[[#This Row],[Guest_Age]]&gt;=18,Table2[[#This Row],[Guest_Age]]&lt;=25),"Young Adults",AND(Table2[[#This Row],[Guest_Age]]&gt;=26,Table2[[#This Row],[Guest_Age]]&lt;=35),"Adults",AND(Table2[[#This Row],[Guest_Age]]&gt;=36,Table2[[#This Row],[Guest_Age]]&lt;=50),"Middle Aged Adults",Table2[[#This Row],[Guest_Age]]&gt;50,"Senior")</f>
        <v>Senior</v>
      </c>
      <c r="AB7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775" t="str" cm="1">
        <f t="array" ref="AC775">_xlfn.IFS(Table2[[#This Row],[Satification_points]]&gt;=4.5,"GREAT",AND(Table2[[#This Row],[Satification_points]]&gt;=4,Table2[[#This Row],[Satification_points]]&lt;4.5),"GOOD",AND(Table2[[#This Row],[Satification_points]]&gt;=3,Table2[[#This Row],[Satification_points]]&lt;4),"AVERAGE",Table2[[#This Row],[Satification_points]]&lt;3,"POOR")</f>
        <v>POOR</v>
      </c>
    </row>
    <row r="776" spans="1:29" x14ac:dyDescent="0.3">
      <c r="A776">
        <v>775</v>
      </c>
      <c r="B776">
        <v>59135</v>
      </c>
      <c r="C776" t="s">
        <v>827</v>
      </c>
      <c r="D776" t="s">
        <v>26</v>
      </c>
      <c r="E776" t="s">
        <v>35</v>
      </c>
      <c r="F776" s="1">
        <v>45633</v>
      </c>
      <c r="G776" s="1">
        <v>45634</v>
      </c>
      <c r="H776">
        <v>3</v>
      </c>
      <c r="I776" t="s">
        <v>28</v>
      </c>
      <c r="J776" t="s">
        <v>29</v>
      </c>
      <c r="K776">
        <v>3</v>
      </c>
      <c r="L776">
        <v>1</v>
      </c>
      <c r="M776">
        <v>2</v>
      </c>
      <c r="N776">
        <v>3</v>
      </c>
      <c r="O776">
        <v>1</v>
      </c>
      <c r="P776">
        <v>5</v>
      </c>
      <c r="Q776">
        <v>1</v>
      </c>
      <c r="R776">
        <v>1</v>
      </c>
      <c r="S776">
        <v>5</v>
      </c>
      <c r="T776">
        <v>4</v>
      </c>
      <c r="U776" t="s">
        <v>30</v>
      </c>
      <c r="V776" t="s">
        <v>31</v>
      </c>
      <c r="W776" t="s">
        <v>47</v>
      </c>
      <c r="X776" t="s">
        <v>40</v>
      </c>
      <c r="Y776">
        <v>50</v>
      </c>
      <c r="Z776" s="1">
        <v>45634</v>
      </c>
      <c r="AA776" t="str" cm="1">
        <f t="array" ref="AA7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7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76" t="str" cm="1">
        <f t="array" ref="AC776">_xlfn.IFS(Table2[[#This Row],[Satification_points]]&gt;=4.5,"GREAT",AND(Table2[[#This Row],[Satification_points]]&gt;=4,Table2[[#This Row],[Satification_points]]&lt;4.5),"GOOD",AND(Table2[[#This Row],[Satification_points]]&gt;=3,Table2[[#This Row],[Satification_points]]&lt;4),"AVERAGE",Table2[[#This Row],[Satification_points]]&lt;3,"POOR")</f>
        <v>POOR</v>
      </c>
    </row>
    <row r="777" spans="1:29" x14ac:dyDescent="0.3">
      <c r="A777">
        <v>776</v>
      </c>
      <c r="B777">
        <v>31065</v>
      </c>
      <c r="C777" t="s">
        <v>828</v>
      </c>
      <c r="D777" t="s">
        <v>48</v>
      </c>
      <c r="E777" t="s">
        <v>27</v>
      </c>
      <c r="F777" s="1">
        <v>45644</v>
      </c>
      <c r="G777" s="1">
        <v>45645</v>
      </c>
      <c r="H777">
        <v>4</v>
      </c>
      <c r="I777" t="s">
        <v>50</v>
      </c>
      <c r="J777" t="s">
        <v>53</v>
      </c>
      <c r="K777">
        <v>1</v>
      </c>
      <c r="L777">
        <v>2</v>
      </c>
      <c r="M777">
        <v>2</v>
      </c>
      <c r="N777">
        <v>5</v>
      </c>
      <c r="O777">
        <v>5</v>
      </c>
      <c r="P777">
        <v>1</v>
      </c>
      <c r="Q777">
        <v>5</v>
      </c>
      <c r="R777">
        <v>2</v>
      </c>
      <c r="S777">
        <v>2</v>
      </c>
      <c r="T777">
        <v>2</v>
      </c>
      <c r="U777" t="s">
        <v>37</v>
      </c>
      <c r="V777" t="s">
        <v>46</v>
      </c>
      <c r="W777" t="s">
        <v>55</v>
      </c>
      <c r="X777" t="s">
        <v>40</v>
      </c>
      <c r="Y777">
        <v>27</v>
      </c>
      <c r="Z777" s="1">
        <v>45645</v>
      </c>
      <c r="AA777" t="str" cm="1">
        <f t="array" ref="AA777">_xlfn.IFS(AND(Table2[[#This Row],[Guest_Age]]&gt;=18,Table2[[#This Row],[Guest_Age]]&lt;=25),"Young Adults",AND(Table2[[#This Row],[Guest_Age]]&gt;=26,Table2[[#This Row],[Guest_Age]]&lt;=35),"Adults",AND(Table2[[#This Row],[Guest_Age]]&gt;=36,Table2[[#This Row],[Guest_Age]]&lt;=50),"Middle Aged Adults",Table2[[#This Row],[Guest_Age]]&gt;50,"Senior")</f>
        <v>Adults</v>
      </c>
      <c r="AB7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77" t="str" cm="1">
        <f t="array" ref="AC777">_xlfn.IFS(Table2[[#This Row],[Satification_points]]&gt;=4.5,"GREAT",AND(Table2[[#This Row],[Satification_points]]&gt;=4,Table2[[#This Row],[Satification_points]]&lt;4.5),"GOOD",AND(Table2[[#This Row],[Satification_points]]&gt;=3,Table2[[#This Row],[Satification_points]]&lt;4),"AVERAGE",Table2[[#This Row],[Satification_points]]&lt;3,"POOR")</f>
        <v>POOR</v>
      </c>
    </row>
    <row r="778" spans="1:29" x14ac:dyDescent="0.3">
      <c r="A778">
        <v>777</v>
      </c>
      <c r="B778">
        <v>64785</v>
      </c>
      <c r="C778" t="s">
        <v>829</v>
      </c>
      <c r="D778" t="s">
        <v>34</v>
      </c>
      <c r="E778" t="s">
        <v>27</v>
      </c>
      <c r="F778" s="1">
        <v>44944</v>
      </c>
      <c r="G778" s="1">
        <v>44996</v>
      </c>
      <c r="H778">
        <v>2</v>
      </c>
      <c r="I778" t="s">
        <v>50</v>
      </c>
      <c r="J778" t="s">
        <v>43</v>
      </c>
      <c r="K778">
        <v>5</v>
      </c>
      <c r="L778">
        <v>3</v>
      </c>
      <c r="M778">
        <v>2</v>
      </c>
      <c r="N778">
        <v>3</v>
      </c>
      <c r="O778">
        <v>2</v>
      </c>
      <c r="P778">
        <v>2</v>
      </c>
      <c r="Q778">
        <v>1</v>
      </c>
      <c r="R778">
        <v>5</v>
      </c>
      <c r="S778">
        <v>4</v>
      </c>
      <c r="T778">
        <v>1</v>
      </c>
      <c r="U778" t="s">
        <v>37</v>
      </c>
      <c r="V778" t="s">
        <v>31</v>
      </c>
      <c r="W778" t="s">
        <v>47</v>
      </c>
      <c r="X778" t="s">
        <v>44</v>
      </c>
      <c r="Y778">
        <v>42</v>
      </c>
      <c r="Z778" s="1">
        <v>45472</v>
      </c>
      <c r="AA778" t="str" cm="1">
        <f t="array" ref="AA778">_xlfn.IFS(AND(Table2[[#This Row],[Guest_Age]]&gt;=18,Table2[[#This Row],[Guest_Age]]&lt;=25),"Young Adults",AND(Table2[[#This Row],[Guest_Age]]&gt;=26,Table2[[#This Row],[Guest_Age]]&lt;=35),"Adults",AND(Table2[[#This Row],[Guest_Age]]&gt;=36,Table2[[#This Row],[Guest_Age]]&lt;=50),"Middle Aged Adults",Table2[[#This Row],[Guest_Age]]&gt;50,"Senior")</f>
        <v>Middle Aged Adults</v>
      </c>
      <c r="AB7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78" t="str" cm="1">
        <f t="array" ref="AC778">_xlfn.IFS(Table2[[#This Row],[Satification_points]]&gt;=4.5,"GREAT",AND(Table2[[#This Row],[Satification_points]]&gt;=4,Table2[[#This Row],[Satification_points]]&lt;4.5),"GOOD",AND(Table2[[#This Row],[Satification_points]]&gt;=3,Table2[[#This Row],[Satification_points]]&lt;4),"AVERAGE",Table2[[#This Row],[Satification_points]]&lt;3,"POOR")</f>
        <v>POOR</v>
      </c>
    </row>
    <row r="779" spans="1:29" x14ac:dyDescent="0.3">
      <c r="A779">
        <v>778</v>
      </c>
      <c r="B779">
        <v>16703</v>
      </c>
      <c r="C779" t="s">
        <v>830</v>
      </c>
      <c r="D779" t="s">
        <v>48</v>
      </c>
      <c r="E779" t="s">
        <v>27</v>
      </c>
      <c r="F779" s="1">
        <v>45141</v>
      </c>
      <c r="G779" s="1">
        <v>45399</v>
      </c>
      <c r="H779">
        <v>7</v>
      </c>
      <c r="I779" t="s">
        <v>42</v>
      </c>
      <c r="J779" t="s">
        <v>40</v>
      </c>
      <c r="K779">
        <v>1</v>
      </c>
      <c r="L779">
        <v>4</v>
      </c>
      <c r="M779">
        <v>5</v>
      </c>
      <c r="N779">
        <v>3</v>
      </c>
      <c r="O779">
        <v>3</v>
      </c>
      <c r="P779">
        <v>3</v>
      </c>
      <c r="Q779">
        <v>1</v>
      </c>
      <c r="R779">
        <v>2</v>
      </c>
      <c r="S779">
        <v>3</v>
      </c>
      <c r="T779">
        <v>3</v>
      </c>
      <c r="U779" t="s">
        <v>37</v>
      </c>
      <c r="V779" t="s">
        <v>38</v>
      </c>
      <c r="W779" t="s">
        <v>39</v>
      </c>
      <c r="X779" t="s">
        <v>40</v>
      </c>
      <c r="Y779">
        <v>41</v>
      </c>
      <c r="Z779" s="1">
        <v>45543</v>
      </c>
      <c r="AA779" t="str" cm="1">
        <f t="array" ref="AA779">_xlfn.IFS(AND(Table2[[#This Row],[Guest_Age]]&gt;=18,Table2[[#This Row],[Guest_Age]]&lt;=25),"Young Adults",AND(Table2[[#This Row],[Guest_Age]]&gt;=26,Table2[[#This Row],[Guest_Age]]&lt;=35),"Adults",AND(Table2[[#This Row],[Guest_Age]]&gt;=36,Table2[[#This Row],[Guest_Age]]&lt;=50),"Middle Aged Adults",Table2[[#This Row],[Guest_Age]]&gt;50,"Senior")</f>
        <v>Middle Aged Adults</v>
      </c>
      <c r="AB7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79" t="str" cm="1">
        <f t="array" ref="AC779">_xlfn.IFS(Table2[[#This Row],[Satification_points]]&gt;=4.5,"GREAT",AND(Table2[[#This Row],[Satification_points]]&gt;=4,Table2[[#This Row],[Satification_points]]&lt;4.5),"GOOD",AND(Table2[[#This Row],[Satification_points]]&gt;=3,Table2[[#This Row],[Satification_points]]&lt;4),"AVERAGE",Table2[[#This Row],[Satification_points]]&lt;3,"POOR")</f>
        <v>POOR</v>
      </c>
    </row>
    <row r="780" spans="1:29" x14ac:dyDescent="0.3">
      <c r="A780">
        <v>779</v>
      </c>
      <c r="B780">
        <v>61754</v>
      </c>
      <c r="C780" t="s">
        <v>831</v>
      </c>
      <c r="D780" t="s">
        <v>26</v>
      </c>
      <c r="E780" t="s">
        <v>35</v>
      </c>
      <c r="F780" s="1">
        <v>45644</v>
      </c>
      <c r="G780" s="1">
        <v>45645</v>
      </c>
      <c r="H780">
        <v>9</v>
      </c>
      <c r="I780" t="s">
        <v>28</v>
      </c>
      <c r="J780" t="s">
        <v>36</v>
      </c>
      <c r="K780">
        <v>4</v>
      </c>
      <c r="L780">
        <v>2</v>
      </c>
      <c r="M780">
        <v>3</v>
      </c>
      <c r="N780">
        <v>5</v>
      </c>
      <c r="O780">
        <v>4</v>
      </c>
      <c r="P780">
        <v>5</v>
      </c>
      <c r="Q780">
        <v>4</v>
      </c>
      <c r="R780">
        <v>1</v>
      </c>
      <c r="S780">
        <v>1</v>
      </c>
      <c r="T780">
        <v>4</v>
      </c>
      <c r="U780" t="s">
        <v>30</v>
      </c>
      <c r="V780" t="s">
        <v>58</v>
      </c>
      <c r="W780" t="s">
        <v>47</v>
      </c>
      <c r="X780" t="s">
        <v>33</v>
      </c>
      <c r="Y780">
        <v>48</v>
      </c>
      <c r="Z780" s="1">
        <v>45645</v>
      </c>
      <c r="AA780" t="str" cm="1">
        <f t="array" ref="AA7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7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780" t="str" cm="1">
        <f t="array" ref="AC780">_xlfn.IFS(Table2[[#This Row],[Satification_points]]&gt;=4.5,"GREAT",AND(Table2[[#This Row],[Satification_points]]&gt;=4,Table2[[#This Row],[Satification_points]]&lt;4.5),"GOOD",AND(Table2[[#This Row],[Satification_points]]&gt;=3,Table2[[#This Row],[Satification_points]]&lt;4),"AVERAGE",Table2[[#This Row],[Satification_points]]&lt;3,"POOR")</f>
        <v>AVERAGE</v>
      </c>
    </row>
    <row r="781" spans="1:29" x14ac:dyDescent="0.3">
      <c r="A781">
        <v>780</v>
      </c>
      <c r="B781">
        <v>83854</v>
      </c>
      <c r="C781" t="s">
        <v>832</v>
      </c>
      <c r="D781" t="s">
        <v>51</v>
      </c>
      <c r="E781" t="s">
        <v>57</v>
      </c>
      <c r="F781" s="1">
        <v>45562</v>
      </c>
      <c r="G781" s="1">
        <v>45563</v>
      </c>
      <c r="H781">
        <v>5</v>
      </c>
      <c r="I781" t="s">
        <v>50</v>
      </c>
      <c r="J781" t="s">
        <v>36</v>
      </c>
      <c r="K781">
        <v>1</v>
      </c>
      <c r="L781">
        <v>2</v>
      </c>
      <c r="M781">
        <v>3</v>
      </c>
      <c r="N781">
        <v>3</v>
      </c>
      <c r="O781">
        <v>1</v>
      </c>
      <c r="P781">
        <v>4</v>
      </c>
      <c r="Q781">
        <v>3</v>
      </c>
      <c r="R781">
        <v>4</v>
      </c>
      <c r="S781">
        <v>4</v>
      </c>
      <c r="T781">
        <v>1</v>
      </c>
      <c r="U781" t="s">
        <v>30</v>
      </c>
      <c r="V781" t="s">
        <v>31</v>
      </c>
      <c r="W781" t="s">
        <v>39</v>
      </c>
      <c r="X781" t="s">
        <v>40</v>
      </c>
      <c r="Y781">
        <v>46</v>
      </c>
      <c r="Z781" s="1">
        <v>45563</v>
      </c>
      <c r="AA781" t="str" cm="1">
        <f t="array" ref="AA7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7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81" t="str" cm="1">
        <f t="array" ref="AC781">_xlfn.IFS(Table2[[#This Row],[Satification_points]]&gt;=4.5,"GREAT",AND(Table2[[#This Row],[Satification_points]]&gt;=4,Table2[[#This Row],[Satification_points]]&lt;4.5),"GOOD",AND(Table2[[#This Row],[Satification_points]]&gt;=3,Table2[[#This Row],[Satification_points]]&lt;4),"AVERAGE",Table2[[#This Row],[Satification_points]]&lt;3,"POOR")</f>
        <v>POOR</v>
      </c>
    </row>
    <row r="782" spans="1:29" x14ac:dyDescent="0.3">
      <c r="A782">
        <v>781</v>
      </c>
      <c r="B782">
        <v>79966</v>
      </c>
      <c r="C782" t="s">
        <v>833</v>
      </c>
      <c r="D782" t="s">
        <v>41</v>
      </c>
      <c r="E782" t="s">
        <v>57</v>
      </c>
      <c r="F782" s="1">
        <v>44942</v>
      </c>
      <c r="G782" s="1">
        <v>44999</v>
      </c>
      <c r="H782">
        <v>11</v>
      </c>
      <c r="I782" t="s">
        <v>50</v>
      </c>
      <c r="J782" t="s">
        <v>29</v>
      </c>
      <c r="K782">
        <v>2</v>
      </c>
      <c r="L782">
        <v>3</v>
      </c>
      <c r="M782">
        <v>2</v>
      </c>
      <c r="N782">
        <v>4</v>
      </c>
      <c r="O782">
        <v>2</v>
      </c>
      <c r="P782">
        <v>3</v>
      </c>
      <c r="Q782">
        <v>3</v>
      </c>
      <c r="R782">
        <v>2</v>
      </c>
      <c r="S782">
        <v>4</v>
      </c>
      <c r="T782">
        <v>1</v>
      </c>
      <c r="U782" t="s">
        <v>37</v>
      </c>
      <c r="V782" t="s">
        <v>54</v>
      </c>
      <c r="W782" t="s">
        <v>32</v>
      </c>
      <c r="X782" t="s">
        <v>44</v>
      </c>
      <c r="Y782">
        <v>29</v>
      </c>
      <c r="Z782" s="1">
        <v>45009</v>
      </c>
      <c r="AA782" t="str" cm="1">
        <f t="array" ref="AA782">_xlfn.IFS(AND(Table2[[#This Row],[Guest_Age]]&gt;=18,Table2[[#This Row],[Guest_Age]]&lt;=25),"Young Adults",AND(Table2[[#This Row],[Guest_Age]]&gt;=26,Table2[[#This Row],[Guest_Age]]&lt;=35),"Adults",AND(Table2[[#This Row],[Guest_Age]]&gt;=36,Table2[[#This Row],[Guest_Age]]&lt;=50),"Middle Aged Adults",Table2[[#This Row],[Guest_Age]]&gt;50,"Senior")</f>
        <v>Adults</v>
      </c>
      <c r="AB7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82" t="str" cm="1">
        <f t="array" ref="AC782">_xlfn.IFS(Table2[[#This Row],[Satification_points]]&gt;=4.5,"GREAT",AND(Table2[[#This Row],[Satification_points]]&gt;=4,Table2[[#This Row],[Satification_points]]&lt;4.5),"GOOD",AND(Table2[[#This Row],[Satification_points]]&gt;=3,Table2[[#This Row],[Satification_points]]&lt;4),"AVERAGE",Table2[[#This Row],[Satification_points]]&lt;3,"POOR")</f>
        <v>POOR</v>
      </c>
    </row>
    <row r="783" spans="1:29" x14ac:dyDescent="0.3">
      <c r="A783">
        <v>782</v>
      </c>
      <c r="B783">
        <v>47621</v>
      </c>
      <c r="C783" t="s">
        <v>834</v>
      </c>
      <c r="D783" t="s">
        <v>34</v>
      </c>
      <c r="E783" t="s">
        <v>35</v>
      </c>
      <c r="F783" s="1">
        <v>45603</v>
      </c>
      <c r="G783" s="1">
        <v>45604</v>
      </c>
      <c r="H783">
        <v>5</v>
      </c>
      <c r="I783" t="s">
        <v>49</v>
      </c>
      <c r="J783" t="s">
        <v>43</v>
      </c>
      <c r="K783">
        <v>5</v>
      </c>
      <c r="L783">
        <v>3</v>
      </c>
      <c r="M783">
        <v>2</v>
      </c>
      <c r="N783">
        <v>5</v>
      </c>
      <c r="O783">
        <v>5</v>
      </c>
      <c r="P783">
        <v>3</v>
      </c>
      <c r="Q783">
        <v>5</v>
      </c>
      <c r="R783">
        <v>4</v>
      </c>
      <c r="S783">
        <v>5</v>
      </c>
      <c r="T783">
        <v>5</v>
      </c>
      <c r="U783" t="s">
        <v>37</v>
      </c>
      <c r="V783" t="s">
        <v>54</v>
      </c>
      <c r="W783" t="s">
        <v>39</v>
      </c>
      <c r="X783" t="s">
        <v>40</v>
      </c>
      <c r="Y783">
        <v>60</v>
      </c>
      <c r="Z783" s="1">
        <v>45604</v>
      </c>
      <c r="AA783" t="str" cm="1">
        <f t="array" ref="AA783">_xlfn.IFS(AND(Table2[[#This Row],[Guest_Age]]&gt;=18,Table2[[#This Row],[Guest_Age]]&lt;=25),"Young Adults",AND(Table2[[#This Row],[Guest_Age]]&gt;=26,Table2[[#This Row],[Guest_Age]]&lt;=35),"Adults",AND(Table2[[#This Row],[Guest_Age]]&gt;=36,Table2[[#This Row],[Guest_Age]]&lt;=50),"Middle Aged Adults",Table2[[#This Row],[Guest_Age]]&gt;50,"Senior")</f>
        <v>Senior</v>
      </c>
      <c r="AB7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783" t="str" cm="1">
        <f t="array" ref="AC783">_xlfn.IFS(Table2[[#This Row],[Satification_points]]&gt;=4.5,"GREAT",AND(Table2[[#This Row],[Satification_points]]&gt;=4,Table2[[#This Row],[Satification_points]]&lt;4.5),"GOOD",AND(Table2[[#This Row],[Satification_points]]&gt;=3,Table2[[#This Row],[Satification_points]]&lt;4),"AVERAGE",Table2[[#This Row],[Satification_points]]&lt;3,"POOR")</f>
        <v>GOOD</v>
      </c>
    </row>
    <row r="784" spans="1:29" x14ac:dyDescent="0.3">
      <c r="A784">
        <v>783</v>
      </c>
      <c r="B784">
        <v>85159</v>
      </c>
      <c r="C784" t="s">
        <v>835</v>
      </c>
      <c r="D784" t="s">
        <v>48</v>
      </c>
      <c r="E784" t="s">
        <v>45</v>
      </c>
      <c r="F784" s="1">
        <v>45586</v>
      </c>
      <c r="G784" s="1">
        <v>45587</v>
      </c>
      <c r="H784">
        <v>9</v>
      </c>
      <c r="I784" t="s">
        <v>42</v>
      </c>
      <c r="J784" t="s">
        <v>40</v>
      </c>
      <c r="K784">
        <v>5</v>
      </c>
      <c r="L784">
        <v>2</v>
      </c>
      <c r="M784">
        <v>3</v>
      </c>
      <c r="N784">
        <v>3</v>
      </c>
      <c r="O784">
        <v>3</v>
      </c>
      <c r="P784">
        <v>4</v>
      </c>
      <c r="Q784">
        <v>3</v>
      </c>
      <c r="R784">
        <v>1</v>
      </c>
      <c r="S784">
        <v>4</v>
      </c>
      <c r="T784">
        <v>4</v>
      </c>
      <c r="U784" t="s">
        <v>37</v>
      </c>
      <c r="V784" t="s">
        <v>31</v>
      </c>
      <c r="W784" t="s">
        <v>39</v>
      </c>
      <c r="X784" t="s">
        <v>40</v>
      </c>
      <c r="Y784">
        <v>54</v>
      </c>
      <c r="Z784" s="1">
        <v>45587</v>
      </c>
      <c r="AA784" t="str" cm="1">
        <f t="array" ref="AA784">_xlfn.IFS(AND(Table2[[#This Row],[Guest_Age]]&gt;=18,Table2[[#This Row],[Guest_Age]]&lt;=25),"Young Adults",AND(Table2[[#This Row],[Guest_Age]]&gt;=26,Table2[[#This Row],[Guest_Age]]&lt;=35),"Adults",AND(Table2[[#This Row],[Guest_Age]]&gt;=36,Table2[[#This Row],[Guest_Age]]&lt;=50),"Middle Aged Adults",Table2[[#This Row],[Guest_Age]]&gt;50,"Senior")</f>
        <v>Senior</v>
      </c>
      <c r="AB7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784" t="str" cm="1">
        <f t="array" ref="AC784">_xlfn.IFS(Table2[[#This Row],[Satification_points]]&gt;=4.5,"GREAT",AND(Table2[[#This Row],[Satification_points]]&gt;=4,Table2[[#This Row],[Satification_points]]&lt;4.5),"GOOD",AND(Table2[[#This Row],[Satification_points]]&gt;=3,Table2[[#This Row],[Satification_points]]&lt;4),"AVERAGE",Table2[[#This Row],[Satification_points]]&lt;3,"POOR")</f>
        <v>AVERAGE</v>
      </c>
    </row>
    <row r="785" spans="1:29" x14ac:dyDescent="0.3">
      <c r="A785">
        <v>784</v>
      </c>
      <c r="B785">
        <v>44936</v>
      </c>
      <c r="C785" t="s">
        <v>836</v>
      </c>
      <c r="D785" t="s">
        <v>34</v>
      </c>
      <c r="E785" t="s">
        <v>52</v>
      </c>
      <c r="F785" s="1">
        <v>45325</v>
      </c>
      <c r="G785" s="1">
        <v>45455</v>
      </c>
      <c r="H785">
        <v>8</v>
      </c>
      <c r="I785" t="s">
        <v>42</v>
      </c>
      <c r="J785" t="s">
        <v>29</v>
      </c>
      <c r="K785">
        <v>4</v>
      </c>
      <c r="L785">
        <v>5</v>
      </c>
      <c r="M785">
        <v>4</v>
      </c>
      <c r="N785">
        <v>2</v>
      </c>
      <c r="O785">
        <v>2</v>
      </c>
      <c r="P785">
        <v>5</v>
      </c>
      <c r="Q785">
        <v>2</v>
      </c>
      <c r="R785">
        <v>4</v>
      </c>
      <c r="S785">
        <v>1</v>
      </c>
      <c r="T785">
        <v>5</v>
      </c>
      <c r="U785" t="s">
        <v>30</v>
      </c>
      <c r="V785" t="s">
        <v>58</v>
      </c>
      <c r="W785" t="s">
        <v>32</v>
      </c>
      <c r="X785" t="s">
        <v>40</v>
      </c>
      <c r="Y785">
        <v>68</v>
      </c>
      <c r="Z785" s="1">
        <v>45593</v>
      </c>
      <c r="AA785" t="str" cm="1">
        <f t="array" ref="AA785">_xlfn.IFS(AND(Table2[[#This Row],[Guest_Age]]&gt;=18,Table2[[#This Row],[Guest_Age]]&lt;=25),"Young Adults",AND(Table2[[#This Row],[Guest_Age]]&gt;=26,Table2[[#This Row],[Guest_Age]]&lt;=35),"Adults",AND(Table2[[#This Row],[Guest_Age]]&gt;=36,Table2[[#This Row],[Guest_Age]]&lt;=50),"Middle Aged Adults",Table2[[#This Row],[Guest_Age]]&gt;50,"Senior")</f>
        <v>Senior</v>
      </c>
      <c r="AB7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85" t="str" cm="1">
        <f t="array" ref="AC785">_xlfn.IFS(Table2[[#This Row],[Satification_points]]&gt;=4.5,"GREAT",AND(Table2[[#This Row],[Satification_points]]&gt;=4,Table2[[#This Row],[Satification_points]]&lt;4.5),"GOOD",AND(Table2[[#This Row],[Satification_points]]&gt;=3,Table2[[#This Row],[Satification_points]]&lt;4),"AVERAGE",Table2[[#This Row],[Satification_points]]&lt;3,"POOR")</f>
        <v>AVERAGE</v>
      </c>
    </row>
    <row r="786" spans="1:29" x14ac:dyDescent="0.3">
      <c r="A786">
        <v>785</v>
      </c>
      <c r="B786">
        <v>40439</v>
      </c>
      <c r="C786" t="s">
        <v>837</v>
      </c>
      <c r="D786" t="s">
        <v>41</v>
      </c>
      <c r="E786" t="s">
        <v>35</v>
      </c>
      <c r="F786" s="1">
        <v>45159</v>
      </c>
      <c r="G786" s="1">
        <v>45618</v>
      </c>
      <c r="H786">
        <v>1</v>
      </c>
      <c r="I786" t="s">
        <v>50</v>
      </c>
      <c r="J786" t="s">
        <v>43</v>
      </c>
      <c r="K786">
        <v>5</v>
      </c>
      <c r="L786">
        <v>1</v>
      </c>
      <c r="M786">
        <v>5</v>
      </c>
      <c r="N786">
        <v>4</v>
      </c>
      <c r="O786">
        <v>5</v>
      </c>
      <c r="P786">
        <v>4</v>
      </c>
      <c r="Q786">
        <v>5</v>
      </c>
      <c r="R786">
        <v>2</v>
      </c>
      <c r="S786">
        <v>2</v>
      </c>
      <c r="T786">
        <v>3</v>
      </c>
      <c r="U786" t="s">
        <v>30</v>
      </c>
      <c r="V786" t="s">
        <v>46</v>
      </c>
      <c r="W786" t="s">
        <v>55</v>
      </c>
      <c r="X786" t="s">
        <v>40</v>
      </c>
      <c r="Y786">
        <v>59</v>
      </c>
      <c r="Z786" s="1">
        <v>45618</v>
      </c>
      <c r="AA786" t="str" cm="1">
        <f t="array" ref="AA786">_xlfn.IFS(AND(Table2[[#This Row],[Guest_Age]]&gt;=18,Table2[[#This Row],[Guest_Age]]&lt;=25),"Young Adults",AND(Table2[[#This Row],[Guest_Age]]&gt;=26,Table2[[#This Row],[Guest_Age]]&lt;=35),"Adults",AND(Table2[[#This Row],[Guest_Age]]&gt;=36,Table2[[#This Row],[Guest_Age]]&lt;=50),"Middle Aged Adults",Table2[[#This Row],[Guest_Age]]&gt;50,"Senior")</f>
        <v>Senior</v>
      </c>
      <c r="AB7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786" t="str" cm="1">
        <f t="array" ref="AC786">_xlfn.IFS(Table2[[#This Row],[Satification_points]]&gt;=4.5,"GREAT",AND(Table2[[#This Row],[Satification_points]]&gt;=4,Table2[[#This Row],[Satification_points]]&lt;4.5),"GOOD",AND(Table2[[#This Row],[Satification_points]]&gt;=3,Table2[[#This Row],[Satification_points]]&lt;4),"AVERAGE",Table2[[#This Row],[Satification_points]]&lt;3,"POOR")</f>
        <v>AVERAGE</v>
      </c>
    </row>
    <row r="787" spans="1:29" x14ac:dyDescent="0.3">
      <c r="A787">
        <v>786</v>
      </c>
      <c r="B787">
        <v>60460</v>
      </c>
      <c r="C787" t="s">
        <v>838</v>
      </c>
      <c r="D787" t="s">
        <v>48</v>
      </c>
      <c r="E787" t="s">
        <v>52</v>
      </c>
      <c r="F787" s="1">
        <v>44951</v>
      </c>
      <c r="G787" s="1">
        <v>44967</v>
      </c>
      <c r="H787">
        <v>2</v>
      </c>
      <c r="I787" t="s">
        <v>28</v>
      </c>
      <c r="J787" t="s">
        <v>40</v>
      </c>
      <c r="K787">
        <v>3</v>
      </c>
      <c r="L787">
        <v>4</v>
      </c>
      <c r="M787">
        <v>5</v>
      </c>
      <c r="N787">
        <v>4</v>
      </c>
      <c r="O787">
        <v>2</v>
      </c>
      <c r="P787">
        <v>5</v>
      </c>
      <c r="Q787">
        <v>5</v>
      </c>
      <c r="R787">
        <v>1</v>
      </c>
      <c r="S787">
        <v>4</v>
      </c>
      <c r="T787">
        <v>4</v>
      </c>
      <c r="U787" t="s">
        <v>30</v>
      </c>
      <c r="V787" t="s">
        <v>54</v>
      </c>
      <c r="W787" t="s">
        <v>56</v>
      </c>
      <c r="X787" t="s">
        <v>40</v>
      </c>
      <c r="Y787">
        <v>67</v>
      </c>
      <c r="Z787" s="1">
        <v>45534</v>
      </c>
      <c r="AA787" t="str" cm="1">
        <f t="array" ref="AA787">_xlfn.IFS(AND(Table2[[#This Row],[Guest_Age]]&gt;=18,Table2[[#This Row],[Guest_Age]]&lt;=25),"Young Adults",AND(Table2[[#This Row],[Guest_Age]]&gt;=26,Table2[[#This Row],[Guest_Age]]&lt;=35),"Adults",AND(Table2[[#This Row],[Guest_Age]]&gt;=36,Table2[[#This Row],[Guest_Age]]&lt;=50),"Middle Aged Adults",Table2[[#This Row],[Guest_Age]]&gt;50,"Senior")</f>
        <v>Senior</v>
      </c>
      <c r="AB7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787" t="str" cm="1">
        <f t="array" ref="AC787">_xlfn.IFS(Table2[[#This Row],[Satification_points]]&gt;=4.5,"GREAT",AND(Table2[[#This Row],[Satification_points]]&gt;=4,Table2[[#This Row],[Satification_points]]&lt;4.5),"GOOD",AND(Table2[[#This Row],[Satification_points]]&gt;=3,Table2[[#This Row],[Satification_points]]&lt;4),"AVERAGE",Table2[[#This Row],[Satification_points]]&lt;3,"POOR")</f>
        <v>AVERAGE</v>
      </c>
    </row>
    <row r="788" spans="1:29" x14ac:dyDescent="0.3">
      <c r="A788">
        <v>787</v>
      </c>
      <c r="B788">
        <v>69469</v>
      </c>
      <c r="C788" t="s">
        <v>839</v>
      </c>
      <c r="D788" t="s">
        <v>51</v>
      </c>
      <c r="E788" t="s">
        <v>57</v>
      </c>
      <c r="F788" s="1">
        <v>45327</v>
      </c>
      <c r="G788" s="1">
        <v>45328</v>
      </c>
      <c r="H788">
        <v>7</v>
      </c>
      <c r="I788" t="s">
        <v>28</v>
      </c>
      <c r="J788" t="s">
        <v>53</v>
      </c>
      <c r="K788">
        <v>4</v>
      </c>
      <c r="L788">
        <v>4</v>
      </c>
      <c r="M788">
        <v>4</v>
      </c>
      <c r="N788">
        <v>4</v>
      </c>
      <c r="O788">
        <v>1</v>
      </c>
      <c r="P788">
        <v>5</v>
      </c>
      <c r="Q788">
        <v>2</v>
      </c>
      <c r="R788">
        <v>1</v>
      </c>
      <c r="S788">
        <v>1</v>
      </c>
      <c r="T788">
        <v>5</v>
      </c>
      <c r="U788" t="s">
        <v>37</v>
      </c>
      <c r="V788" t="s">
        <v>46</v>
      </c>
      <c r="W788" t="s">
        <v>55</v>
      </c>
      <c r="X788" t="s">
        <v>40</v>
      </c>
      <c r="Y788">
        <v>26</v>
      </c>
      <c r="Z788" s="1">
        <v>45559</v>
      </c>
      <c r="AA788" t="str" cm="1">
        <f t="array" ref="AA788">_xlfn.IFS(AND(Table2[[#This Row],[Guest_Age]]&gt;=18,Table2[[#This Row],[Guest_Age]]&lt;=25),"Young Adults",AND(Table2[[#This Row],[Guest_Age]]&gt;=26,Table2[[#This Row],[Guest_Age]]&lt;=35),"Adults",AND(Table2[[#This Row],[Guest_Age]]&gt;=36,Table2[[#This Row],[Guest_Age]]&lt;=50),"Middle Aged Adults",Table2[[#This Row],[Guest_Age]]&gt;50,"Senior")</f>
        <v>Adults</v>
      </c>
      <c r="AB7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88" t="str" cm="1">
        <f t="array" ref="AC788">_xlfn.IFS(Table2[[#This Row],[Satification_points]]&gt;=4.5,"GREAT",AND(Table2[[#This Row],[Satification_points]]&gt;=4,Table2[[#This Row],[Satification_points]]&lt;4.5),"GOOD",AND(Table2[[#This Row],[Satification_points]]&gt;=3,Table2[[#This Row],[Satification_points]]&lt;4),"AVERAGE",Table2[[#This Row],[Satification_points]]&lt;3,"POOR")</f>
        <v>AVERAGE</v>
      </c>
    </row>
    <row r="789" spans="1:29" x14ac:dyDescent="0.3">
      <c r="A789">
        <v>788</v>
      </c>
      <c r="B789">
        <v>77129</v>
      </c>
      <c r="C789" t="s">
        <v>840</v>
      </c>
      <c r="D789" t="s">
        <v>41</v>
      </c>
      <c r="E789" t="s">
        <v>52</v>
      </c>
      <c r="F789" s="1">
        <v>45291</v>
      </c>
      <c r="G789" s="1">
        <v>45292</v>
      </c>
      <c r="H789">
        <v>3</v>
      </c>
      <c r="I789" t="s">
        <v>28</v>
      </c>
      <c r="J789" t="s">
        <v>43</v>
      </c>
      <c r="K789">
        <v>2</v>
      </c>
      <c r="L789">
        <v>1</v>
      </c>
      <c r="M789">
        <v>2</v>
      </c>
      <c r="N789">
        <v>1</v>
      </c>
      <c r="O789">
        <v>4</v>
      </c>
      <c r="P789">
        <v>5</v>
      </c>
      <c r="Q789">
        <v>3</v>
      </c>
      <c r="R789">
        <v>2</v>
      </c>
      <c r="S789">
        <v>5</v>
      </c>
      <c r="T789">
        <v>3</v>
      </c>
      <c r="U789" t="s">
        <v>37</v>
      </c>
      <c r="V789" t="s">
        <v>46</v>
      </c>
      <c r="W789" t="s">
        <v>56</v>
      </c>
      <c r="X789" t="s">
        <v>40</v>
      </c>
      <c r="Y789">
        <v>46</v>
      </c>
      <c r="Z789" s="1">
        <v>45292</v>
      </c>
      <c r="AA789" t="str" cm="1">
        <f t="array" ref="AA7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7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789" t="str" cm="1">
        <f t="array" ref="AC789">_xlfn.IFS(Table2[[#This Row],[Satification_points]]&gt;=4.5,"GREAT",AND(Table2[[#This Row],[Satification_points]]&gt;=4,Table2[[#This Row],[Satification_points]]&lt;4.5),"GOOD",AND(Table2[[#This Row],[Satification_points]]&gt;=3,Table2[[#This Row],[Satification_points]]&lt;4),"AVERAGE",Table2[[#This Row],[Satification_points]]&lt;3,"POOR")</f>
        <v>POOR</v>
      </c>
    </row>
    <row r="790" spans="1:29" x14ac:dyDescent="0.3">
      <c r="A790">
        <v>789</v>
      </c>
      <c r="B790">
        <v>25941</v>
      </c>
      <c r="C790" t="s">
        <v>841</v>
      </c>
      <c r="D790" t="s">
        <v>26</v>
      </c>
      <c r="E790" t="s">
        <v>27</v>
      </c>
      <c r="F790" s="1">
        <v>45221</v>
      </c>
      <c r="G790" s="1">
        <v>45493</v>
      </c>
      <c r="H790">
        <v>6</v>
      </c>
      <c r="I790" t="s">
        <v>28</v>
      </c>
      <c r="J790" t="s">
        <v>36</v>
      </c>
      <c r="K790">
        <v>5</v>
      </c>
      <c r="L790">
        <v>2</v>
      </c>
      <c r="M790">
        <v>3</v>
      </c>
      <c r="N790">
        <v>5</v>
      </c>
      <c r="O790">
        <v>5</v>
      </c>
      <c r="P790">
        <v>3</v>
      </c>
      <c r="Q790">
        <v>2</v>
      </c>
      <c r="R790">
        <v>5</v>
      </c>
      <c r="S790">
        <v>4</v>
      </c>
      <c r="T790">
        <v>2</v>
      </c>
      <c r="U790" t="s">
        <v>37</v>
      </c>
      <c r="V790" t="s">
        <v>31</v>
      </c>
      <c r="W790" t="s">
        <v>32</v>
      </c>
      <c r="X790" t="s">
        <v>44</v>
      </c>
      <c r="Y790">
        <v>20</v>
      </c>
      <c r="Z790" s="1">
        <v>45493</v>
      </c>
      <c r="AA790" t="str" cm="1">
        <f t="array" ref="AA790">_xlfn.IFS(AND(Table2[[#This Row],[Guest_Age]]&gt;=18,Table2[[#This Row],[Guest_Age]]&lt;=25),"Young Adults",AND(Table2[[#This Row],[Guest_Age]]&gt;=26,Table2[[#This Row],[Guest_Age]]&lt;=35),"Adults",AND(Table2[[#This Row],[Guest_Age]]&gt;=36,Table2[[#This Row],[Guest_Age]]&lt;=50),"Middle Aged Adults",Table2[[#This Row],[Guest_Age]]&gt;50,"Senior")</f>
        <v>Young Adults</v>
      </c>
      <c r="AB7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790" t="str" cm="1">
        <f t="array" ref="AC790">_xlfn.IFS(Table2[[#This Row],[Satification_points]]&gt;=4.5,"GREAT",AND(Table2[[#This Row],[Satification_points]]&gt;=4,Table2[[#This Row],[Satification_points]]&lt;4.5),"GOOD",AND(Table2[[#This Row],[Satification_points]]&gt;=3,Table2[[#This Row],[Satification_points]]&lt;4),"AVERAGE",Table2[[#This Row],[Satification_points]]&lt;3,"POOR")</f>
        <v>AVERAGE</v>
      </c>
    </row>
    <row r="791" spans="1:29" x14ac:dyDescent="0.3">
      <c r="A791">
        <v>790</v>
      </c>
      <c r="B791">
        <v>88088</v>
      </c>
      <c r="C791" t="s">
        <v>842</v>
      </c>
      <c r="D791" t="s">
        <v>26</v>
      </c>
      <c r="E791" t="s">
        <v>52</v>
      </c>
      <c r="F791" s="1">
        <v>45363</v>
      </c>
      <c r="G791" s="1">
        <v>45364</v>
      </c>
      <c r="H791">
        <v>1</v>
      </c>
      <c r="I791" t="s">
        <v>42</v>
      </c>
      <c r="J791" t="s">
        <v>43</v>
      </c>
      <c r="K791">
        <v>5</v>
      </c>
      <c r="L791">
        <v>2</v>
      </c>
      <c r="M791">
        <v>5</v>
      </c>
      <c r="N791">
        <v>1</v>
      </c>
      <c r="O791">
        <v>4</v>
      </c>
      <c r="P791">
        <v>5</v>
      </c>
      <c r="Q791">
        <v>1</v>
      </c>
      <c r="R791">
        <v>2</v>
      </c>
      <c r="S791">
        <v>3</v>
      </c>
      <c r="T791">
        <v>1</v>
      </c>
      <c r="U791" t="s">
        <v>37</v>
      </c>
      <c r="V791" t="s">
        <v>54</v>
      </c>
      <c r="W791" t="s">
        <v>55</v>
      </c>
      <c r="X791" t="s">
        <v>33</v>
      </c>
      <c r="Y791">
        <v>21</v>
      </c>
      <c r="Z791" s="1">
        <v>45572</v>
      </c>
      <c r="AA791" t="str" cm="1">
        <f t="array" ref="AA791">_xlfn.IFS(AND(Table2[[#This Row],[Guest_Age]]&gt;=18,Table2[[#This Row],[Guest_Age]]&lt;=25),"Young Adults",AND(Table2[[#This Row],[Guest_Age]]&gt;=26,Table2[[#This Row],[Guest_Age]]&lt;=35),"Adults",AND(Table2[[#This Row],[Guest_Age]]&gt;=36,Table2[[#This Row],[Guest_Age]]&lt;=50),"Middle Aged Adults",Table2[[#This Row],[Guest_Age]]&gt;50,"Senior")</f>
        <v>Young Adults</v>
      </c>
      <c r="AB7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91" t="str" cm="1">
        <f t="array" ref="AC791">_xlfn.IFS(Table2[[#This Row],[Satification_points]]&gt;=4.5,"GREAT",AND(Table2[[#This Row],[Satification_points]]&gt;=4,Table2[[#This Row],[Satification_points]]&lt;4.5),"GOOD",AND(Table2[[#This Row],[Satification_points]]&gt;=3,Table2[[#This Row],[Satification_points]]&lt;4),"AVERAGE",Table2[[#This Row],[Satification_points]]&lt;3,"POOR")</f>
        <v>POOR</v>
      </c>
    </row>
    <row r="792" spans="1:29" x14ac:dyDescent="0.3">
      <c r="A792">
        <v>791</v>
      </c>
      <c r="B792">
        <v>34267</v>
      </c>
      <c r="C792" t="s">
        <v>843</v>
      </c>
      <c r="D792" t="s">
        <v>34</v>
      </c>
      <c r="E792" t="s">
        <v>52</v>
      </c>
      <c r="F792" s="1">
        <v>44997</v>
      </c>
      <c r="G792" s="1">
        <v>45229</v>
      </c>
      <c r="H792">
        <v>8</v>
      </c>
      <c r="I792" t="s">
        <v>49</v>
      </c>
      <c r="J792" t="s">
        <v>43</v>
      </c>
      <c r="K792">
        <v>4</v>
      </c>
      <c r="L792">
        <v>2</v>
      </c>
      <c r="M792">
        <v>4</v>
      </c>
      <c r="N792">
        <v>3</v>
      </c>
      <c r="O792">
        <v>4</v>
      </c>
      <c r="P792">
        <v>4</v>
      </c>
      <c r="Q792">
        <v>5</v>
      </c>
      <c r="R792">
        <v>2</v>
      </c>
      <c r="S792">
        <v>3</v>
      </c>
      <c r="T792">
        <v>3</v>
      </c>
      <c r="U792" t="s">
        <v>30</v>
      </c>
      <c r="V792" t="s">
        <v>31</v>
      </c>
      <c r="W792" t="s">
        <v>47</v>
      </c>
      <c r="X792" t="s">
        <v>44</v>
      </c>
      <c r="Y792">
        <v>38</v>
      </c>
      <c r="Z792" s="1">
        <v>45497</v>
      </c>
      <c r="AA792" t="str" cm="1">
        <f t="array" ref="AA792">_xlfn.IFS(AND(Table2[[#This Row],[Guest_Age]]&gt;=18,Table2[[#This Row],[Guest_Age]]&lt;=25),"Young Adults",AND(Table2[[#This Row],[Guest_Age]]&gt;=26,Table2[[#This Row],[Guest_Age]]&lt;=35),"Adults",AND(Table2[[#This Row],[Guest_Age]]&gt;=36,Table2[[#This Row],[Guest_Age]]&lt;=50),"Middle Aged Adults",Table2[[#This Row],[Guest_Age]]&gt;50,"Senior")</f>
        <v>Middle Aged Adults</v>
      </c>
      <c r="AB7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792" t="str" cm="1">
        <f t="array" ref="AC792">_xlfn.IFS(Table2[[#This Row],[Satification_points]]&gt;=4.5,"GREAT",AND(Table2[[#This Row],[Satification_points]]&gt;=4,Table2[[#This Row],[Satification_points]]&lt;4.5),"GOOD",AND(Table2[[#This Row],[Satification_points]]&gt;=3,Table2[[#This Row],[Satification_points]]&lt;4),"AVERAGE",Table2[[#This Row],[Satification_points]]&lt;3,"POOR")</f>
        <v>AVERAGE</v>
      </c>
    </row>
    <row r="793" spans="1:29" x14ac:dyDescent="0.3">
      <c r="A793">
        <v>792</v>
      </c>
      <c r="B793">
        <v>80313</v>
      </c>
      <c r="C793" t="s">
        <v>844</v>
      </c>
      <c r="D793" t="s">
        <v>26</v>
      </c>
      <c r="E793" t="s">
        <v>57</v>
      </c>
      <c r="F793" s="1">
        <v>45638</v>
      </c>
      <c r="G793" s="1">
        <v>45639</v>
      </c>
      <c r="H793">
        <v>2</v>
      </c>
      <c r="I793" t="s">
        <v>28</v>
      </c>
      <c r="J793" t="s">
        <v>43</v>
      </c>
      <c r="K793">
        <v>5</v>
      </c>
      <c r="L793">
        <v>2</v>
      </c>
      <c r="M793">
        <v>4</v>
      </c>
      <c r="N793">
        <v>5</v>
      </c>
      <c r="O793">
        <v>3</v>
      </c>
      <c r="P793">
        <v>3</v>
      </c>
      <c r="Q793">
        <v>4</v>
      </c>
      <c r="R793">
        <v>3</v>
      </c>
      <c r="S793">
        <v>2</v>
      </c>
      <c r="T793">
        <v>4</v>
      </c>
      <c r="U793" t="s">
        <v>37</v>
      </c>
      <c r="V793" t="s">
        <v>38</v>
      </c>
      <c r="W793" t="s">
        <v>47</v>
      </c>
      <c r="X793" t="s">
        <v>40</v>
      </c>
      <c r="Y793">
        <v>23</v>
      </c>
      <c r="Z793" s="1">
        <v>45639</v>
      </c>
      <c r="AA793" t="str" cm="1">
        <f t="array" ref="AA793">_xlfn.IFS(AND(Table2[[#This Row],[Guest_Age]]&gt;=18,Table2[[#This Row],[Guest_Age]]&lt;=25),"Young Adults",AND(Table2[[#This Row],[Guest_Age]]&gt;=26,Table2[[#This Row],[Guest_Age]]&lt;=35),"Adults",AND(Table2[[#This Row],[Guest_Age]]&gt;=36,Table2[[#This Row],[Guest_Age]]&lt;=50),"Middle Aged Adults",Table2[[#This Row],[Guest_Age]]&gt;50,"Senior")</f>
        <v>Young Adults</v>
      </c>
      <c r="AB7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793" t="str" cm="1">
        <f t="array" ref="AC793">_xlfn.IFS(Table2[[#This Row],[Satification_points]]&gt;=4.5,"GREAT",AND(Table2[[#This Row],[Satification_points]]&gt;=4,Table2[[#This Row],[Satification_points]]&lt;4.5),"GOOD",AND(Table2[[#This Row],[Satification_points]]&gt;=3,Table2[[#This Row],[Satification_points]]&lt;4),"AVERAGE",Table2[[#This Row],[Satification_points]]&lt;3,"POOR")</f>
        <v>AVERAGE</v>
      </c>
    </row>
    <row r="794" spans="1:29" x14ac:dyDescent="0.3">
      <c r="A794">
        <v>793</v>
      </c>
      <c r="B794">
        <v>65590</v>
      </c>
      <c r="C794" t="s">
        <v>845</v>
      </c>
      <c r="D794" t="s">
        <v>48</v>
      </c>
      <c r="E794" t="s">
        <v>45</v>
      </c>
      <c r="F794" s="1">
        <v>45485</v>
      </c>
      <c r="G794" s="1">
        <v>45486</v>
      </c>
      <c r="H794">
        <v>1</v>
      </c>
      <c r="I794" t="s">
        <v>28</v>
      </c>
      <c r="J794" t="s">
        <v>40</v>
      </c>
      <c r="K794">
        <v>5</v>
      </c>
      <c r="L794">
        <v>2</v>
      </c>
      <c r="M794">
        <v>1</v>
      </c>
      <c r="N794">
        <v>4</v>
      </c>
      <c r="O794">
        <v>5</v>
      </c>
      <c r="P794">
        <v>5</v>
      </c>
      <c r="Q794">
        <v>2</v>
      </c>
      <c r="R794">
        <v>1</v>
      </c>
      <c r="S794">
        <v>5</v>
      </c>
      <c r="T794">
        <v>1</v>
      </c>
      <c r="U794" t="s">
        <v>30</v>
      </c>
      <c r="V794" t="s">
        <v>46</v>
      </c>
      <c r="W794" t="s">
        <v>55</v>
      </c>
      <c r="X794" t="s">
        <v>40</v>
      </c>
      <c r="Y794">
        <v>19</v>
      </c>
      <c r="Z794" s="1">
        <v>45486</v>
      </c>
      <c r="AA794" t="str" cm="1">
        <f t="array" ref="AA794">_xlfn.IFS(AND(Table2[[#This Row],[Guest_Age]]&gt;=18,Table2[[#This Row],[Guest_Age]]&lt;=25),"Young Adults",AND(Table2[[#This Row],[Guest_Age]]&gt;=26,Table2[[#This Row],[Guest_Age]]&lt;=35),"Adults",AND(Table2[[#This Row],[Guest_Age]]&gt;=36,Table2[[#This Row],[Guest_Age]]&lt;=50),"Middle Aged Adults",Table2[[#This Row],[Guest_Age]]&gt;50,"Senior")</f>
        <v>Young Adults</v>
      </c>
      <c r="AB7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794" t="str" cm="1">
        <f t="array" ref="AC794">_xlfn.IFS(Table2[[#This Row],[Satification_points]]&gt;=4.5,"GREAT",AND(Table2[[#This Row],[Satification_points]]&gt;=4,Table2[[#This Row],[Satification_points]]&lt;4.5),"GOOD",AND(Table2[[#This Row],[Satification_points]]&gt;=3,Table2[[#This Row],[Satification_points]]&lt;4),"AVERAGE",Table2[[#This Row],[Satification_points]]&lt;3,"POOR")</f>
        <v>AVERAGE</v>
      </c>
    </row>
    <row r="795" spans="1:29" x14ac:dyDescent="0.3">
      <c r="A795">
        <v>794</v>
      </c>
      <c r="B795">
        <v>49876</v>
      </c>
      <c r="C795" t="s">
        <v>846</v>
      </c>
      <c r="D795" t="s">
        <v>26</v>
      </c>
      <c r="E795" t="s">
        <v>52</v>
      </c>
      <c r="F795" s="1">
        <v>44951</v>
      </c>
      <c r="G795" s="1">
        <v>45628</v>
      </c>
      <c r="H795">
        <v>2</v>
      </c>
      <c r="I795" t="s">
        <v>49</v>
      </c>
      <c r="J795" t="s">
        <v>40</v>
      </c>
      <c r="K795">
        <v>2</v>
      </c>
      <c r="L795">
        <v>4</v>
      </c>
      <c r="M795">
        <v>4</v>
      </c>
      <c r="N795">
        <v>4</v>
      </c>
      <c r="O795">
        <v>3</v>
      </c>
      <c r="P795">
        <v>2</v>
      </c>
      <c r="Q795">
        <v>5</v>
      </c>
      <c r="R795">
        <v>3</v>
      </c>
      <c r="S795">
        <v>1</v>
      </c>
      <c r="T795">
        <v>1</v>
      </c>
      <c r="U795" t="s">
        <v>37</v>
      </c>
      <c r="V795" t="s">
        <v>58</v>
      </c>
      <c r="W795" t="s">
        <v>47</v>
      </c>
      <c r="X795" t="s">
        <v>44</v>
      </c>
      <c r="Y795">
        <v>54</v>
      </c>
      <c r="Z795" s="1">
        <v>45628</v>
      </c>
      <c r="AA795" t="str" cm="1">
        <f t="array" ref="AA795">_xlfn.IFS(AND(Table2[[#This Row],[Guest_Age]]&gt;=18,Table2[[#This Row],[Guest_Age]]&lt;=25),"Young Adults",AND(Table2[[#This Row],[Guest_Age]]&gt;=26,Table2[[#This Row],[Guest_Age]]&lt;=35),"Adults",AND(Table2[[#This Row],[Guest_Age]]&gt;=36,Table2[[#This Row],[Guest_Age]]&lt;=50),"Middle Aged Adults",Table2[[#This Row],[Guest_Age]]&gt;50,"Senior")</f>
        <v>Senior</v>
      </c>
      <c r="AB7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795" t="str" cm="1">
        <f t="array" ref="AC795">_xlfn.IFS(Table2[[#This Row],[Satification_points]]&gt;=4.5,"GREAT",AND(Table2[[#This Row],[Satification_points]]&gt;=4,Table2[[#This Row],[Satification_points]]&lt;4.5),"GOOD",AND(Table2[[#This Row],[Satification_points]]&gt;=3,Table2[[#This Row],[Satification_points]]&lt;4),"AVERAGE",Table2[[#This Row],[Satification_points]]&lt;3,"POOR")</f>
        <v>POOR</v>
      </c>
    </row>
    <row r="796" spans="1:29" x14ac:dyDescent="0.3">
      <c r="A796">
        <v>795</v>
      </c>
      <c r="B796">
        <v>83974</v>
      </c>
      <c r="C796" t="s">
        <v>847</v>
      </c>
      <c r="D796" t="s">
        <v>51</v>
      </c>
      <c r="E796" t="s">
        <v>57</v>
      </c>
      <c r="F796" s="1">
        <v>45651</v>
      </c>
      <c r="G796" s="1">
        <v>45652</v>
      </c>
      <c r="H796">
        <v>8</v>
      </c>
      <c r="I796" t="s">
        <v>42</v>
      </c>
      <c r="J796" t="s">
        <v>53</v>
      </c>
      <c r="K796">
        <v>2</v>
      </c>
      <c r="L796">
        <v>2</v>
      </c>
      <c r="M796">
        <v>1</v>
      </c>
      <c r="N796">
        <v>4</v>
      </c>
      <c r="O796">
        <v>4</v>
      </c>
      <c r="P796">
        <v>2</v>
      </c>
      <c r="Q796">
        <v>5</v>
      </c>
      <c r="R796">
        <v>3</v>
      </c>
      <c r="S796">
        <v>4</v>
      </c>
      <c r="T796">
        <v>3</v>
      </c>
      <c r="U796" t="s">
        <v>37</v>
      </c>
      <c r="V796" t="s">
        <v>46</v>
      </c>
      <c r="W796" t="s">
        <v>32</v>
      </c>
      <c r="X796" t="s">
        <v>40</v>
      </c>
      <c r="Y796">
        <v>37</v>
      </c>
      <c r="Z796" s="1">
        <v>45652</v>
      </c>
      <c r="AA796" t="str" cm="1">
        <f t="array" ref="AA7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7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796" t="str" cm="1">
        <f t="array" ref="AC796">_xlfn.IFS(Table2[[#This Row],[Satification_points]]&gt;=4.5,"GREAT",AND(Table2[[#This Row],[Satification_points]]&gt;=4,Table2[[#This Row],[Satification_points]]&lt;4.5),"GOOD",AND(Table2[[#This Row],[Satification_points]]&gt;=3,Table2[[#This Row],[Satification_points]]&lt;4),"AVERAGE",Table2[[#This Row],[Satification_points]]&lt;3,"POOR")</f>
        <v>AVERAGE</v>
      </c>
    </row>
    <row r="797" spans="1:29" x14ac:dyDescent="0.3">
      <c r="A797">
        <v>796</v>
      </c>
      <c r="B797">
        <v>40507</v>
      </c>
      <c r="C797" t="s">
        <v>848</v>
      </c>
      <c r="D797" t="s">
        <v>48</v>
      </c>
      <c r="E797" t="s">
        <v>27</v>
      </c>
      <c r="F797" s="1">
        <v>45300</v>
      </c>
      <c r="G797" s="1">
        <v>45301</v>
      </c>
      <c r="H797">
        <v>13</v>
      </c>
      <c r="I797" t="s">
        <v>49</v>
      </c>
      <c r="J797" t="s">
        <v>53</v>
      </c>
      <c r="K797">
        <v>4</v>
      </c>
      <c r="L797">
        <v>3</v>
      </c>
      <c r="M797">
        <v>1</v>
      </c>
      <c r="N797">
        <v>4</v>
      </c>
      <c r="O797">
        <v>1</v>
      </c>
      <c r="P797">
        <v>5</v>
      </c>
      <c r="Q797">
        <v>2</v>
      </c>
      <c r="R797">
        <v>3</v>
      </c>
      <c r="S797">
        <v>1</v>
      </c>
      <c r="T797">
        <v>2</v>
      </c>
      <c r="U797" t="s">
        <v>30</v>
      </c>
      <c r="V797" t="s">
        <v>58</v>
      </c>
      <c r="W797" t="s">
        <v>47</v>
      </c>
      <c r="X797" t="s">
        <v>44</v>
      </c>
      <c r="Y797">
        <v>62</v>
      </c>
      <c r="Z797" s="1">
        <v>45301</v>
      </c>
      <c r="AA797" t="str" cm="1">
        <f t="array" ref="AA797">_xlfn.IFS(AND(Table2[[#This Row],[Guest_Age]]&gt;=18,Table2[[#This Row],[Guest_Age]]&lt;=25),"Young Adults",AND(Table2[[#This Row],[Guest_Age]]&gt;=26,Table2[[#This Row],[Guest_Age]]&lt;=35),"Adults",AND(Table2[[#This Row],[Guest_Age]]&gt;=36,Table2[[#This Row],[Guest_Age]]&lt;=50),"Middle Aged Adults",Table2[[#This Row],[Guest_Age]]&gt;50,"Senior")</f>
        <v>Senior</v>
      </c>
      <c r="AB7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797" t="str" cm="1">
        <f t="array" ref="AC797">_xlfn.IFS(Table2[[#This Row],[Satification_points]]&gt;=4.5,"GREAT",AND(Table2[[#This Row],[Satification_points]]&gt;=4,Table2[[#This Row],[Satification_points]]&lt;4.5),"GOOD",AND(Table2[[#This Row],[Satification_points]]&gt;=3,Table2[[#This Row],[Satification_points]]&lt;4),"AVERAGE",Table2[[#This Row],[Satification_points]]&lt;3,"POOR")</f>
        <v>POOR</v>
      </c>
    </row>
    <row r="798" spans="1:29" x14ac:dyDescent="0.3">
      <c r="A798">
        <v>797</v>
      </c>
      <c r="B798">
        <v>88656</v>
      </c>
      <c r="C798" t="s">
        <v>849</v>
      </c>
      <c r="D798" t="s">
        <v>34</v>
      </c>
      <c r="E798" t="s">
        <v>52</v>
      </c>
      <c r="F798" s="1">
        <v>45471</v>
      </c>
      <c r="G798" s="1">
        <v>45472</v>
      </c>
      <c r="H798">
        <v>10</v>
      </c>
      <c r="I798" t="s">
        <v>49</v>
      </c>
      <c r="J798" t="s">
        <v>40</v>
      </c>
      <c r="K798">
        <v>5</v>
      </c>
      <c r="L798">
        <v>5</v>
      </c>
      <c r="M798">
        <v>5</v>
      </c>
      <c r="N798">
        <v>3</v>
      </c>
      <c r="O798">
        <v>1</v>
      </c>
      <c r="P798">
        <v>2</v>
      </c>
      <c r="Q798">
        <v>4</v>
      </c>
      <c r="R798">
        <v>4</v>
      </c>
      <c r="S798">
        <v>3</v>
      </c>
      <c r="T798">
        <v>3</v>
      </c>
      <c r="U798" t="s">
        <v>30</v>
      </c>
      <c r="V798" t="s">
        <v>31</v>
      </c>
      <c r="W798" t="s">
        <v>47</v>
      </c>
      <c r="X798" t="s">
        <v>40</v>
      </c>
      <c r="Y798">
        <v>50</v>
      </c>
      <c r="Z798" s="1">
        <v>45472</v>
      </c>
      <c r="AA798" t="str" cm="1">
        <f t="array" ref="AA7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7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798" t="str" cm="1">
        <f t="array" ref="AC798">_xlfn.IFS(Table2[[#This Row],[Satification_points]]&gt;=4.5,"GREAT",AND(Table2[[#This Row],[Satification_points]]&gt;=4,Table2[[#This Row],[Satification_points]]&lt;4.5),"GOOD",AND(Table2[[#This Row],[Satification_points]]&gt;=3,Table2[[#This Row],[Satification_points]]&lt;4),"AVERAGE",Table2[[#This Row],[Satification_points]]&lt;3,"POOR")</f>
        <v>AVERAGE</v>
      </c>
    </row>
    <row r="799" spans="1:29" x14ac:dyDescent="0.3">
      <c r="A799">
        <v>798</v>
      </c>
      <c r="B799">
        <v>36057</v>
      </c>
      <c r="C799" t="s">
        <v>850</v>
      </c>
      <c r="D799" t="s">
        <v>34</v>
      </c>
      <c r="E799" t="s">
        <v>52</v>
      </c>
      <c r="F799" s="1">
        <v>45384</v>
      </c>
      <c r="G799" s="1">
        <v>45497</v>
      </c>
      <c r="H799">
        <v>14</v>
      </c>
      <c r="I799" t="s">
        <v>28</v>
      </c>
      <c r="J799" t="s">
        <v>40</v>
      </c>
      <c r="K799">
        <v>1</v>
      </c>
      <c r="L799">
        <v>2</v>
      </c>
      <c r="M799">
        <v>2</v>
      </c>
      <c r="N799">
        <v>2</v>
      </c>
      <c r="O799">
        <v>2</v>
      </c>
      <c r="P799">
        <v>1</v>
      </c>
      <c r="Q799">
        <v>5</v>
      </c>
      <c r="R799">
        <v>2</v>
      </c>
      <c r="S799">
        <v>5</v>
      </c>
      <c r="T799">
        <v>5</v>
      </c>
      <c r="U799" t="s">
        <v>37</v>
      </c>
      <c r="V799" t="s">
        <v>54</v>
      </c>
      <c r="W799" t="s">
        <v>56</v>
      </c>
      <c r="X799" t="s">
        <v>40</v>
      </c>
      <c r="Y799">
        <v>31</v>
      </c>
      <c r="Z799" s="1">
        <v>45497</v>
      </c>
      <c r="AA799" t="str" cm="1">
        <f t="array" ref="AA799">_xlfn.IFS(AND(Table2[[#This Row],[Guest_Age]]&gt;=18,Table2[[#This Row],[Guest_Age]]&lt;=25),"Young Adults",AND(Table2[[#This Row],[Guest_Age]]&gt;=26,Table2[[#This Row],[Guest_Age]]&lt;=35),"Adults",AND(Table2[[#This Row],[Guest_Age]]&gt;=36,Table2[[#This Row],[Guest_Age]]&lt;=50),"Middle Aged Adults",Table2[[#This Row],[Guest_Age]]&gt;50,"Senior")</f>
        <v>Adults</v>
      </c>
      <c r="AB7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799" t="str" cm="1">
        <f t="array" ref="AC799">_xlfn.IFS(Table2[[#This Row],[Satification_points]]&gt;=4.5,"GREAT",AND(Table2[[#This Row],[Satification_points]]&gt;=4,Table2[[#This Row],[Satification_points]]&lt;4.5),"GOOD",AND(Table2[[#This Row],[Satification_points]]&gt;=3,Table2[[#This Row],[Satification_points]]&lt;4),"AVERAGE",Table2[[#This Row],[Satification_points]]&lt;3,"POOR")</f>
        <v>POOR</v>
      </c>
    </row>
    <row r="800" spans="1:29" x14ac:dyDescent="0.3">
      <c r="A800">
        <v>799</v>
      </c>
      <c r="B800">
        <v>93926</v>
      </c>
      <c r="C800" t="s">
        <v>851</v>
      </c>
      <c r="D800" t="s">
        <v>26</v>
      </c>
      <c r="E800" t="s">
        <v>27</v>
      </c>
      <c r="F800" s="1">
        <v>45140</v>
      </c>
      <c r="G800" s="1">
        <v>45476</v>
      </c>
      <c r="H800">
        <v>5</v>
      </c>
      <c r="I800" t="s">
        <v>49</v>
      </c>
      <c r="J800" t="s">
        <v>29</v>
      </c>
      <c r="K800">
        <v>4</v>
      </c>
      <c r="L800">
        <v>3</v>
      </c>
      <c r="M800">
        <v>2</v>
      </c>
      <c r="N800">
        <v>5</v>
      </c>
      <c r="O800">
        <v>2</v>
      </c>
      <c r="P800">
        <v>3</v>
      </c>
      <c r="Q800">
        <v>1</v>
      </c>
      <c r="R800">
        <v>3</v>
      </c>
      <c r="S800">
        <v>1</v>
      </c>
      <c r="T800">
        <v>5</v>
      </c>
      <c r="U800" t="s">
        <v>30</v>
      </c>
      <c r="V800" t="s">
        <v>46</v>
      </c>
      <c r="W800" t="s">
        <v>56</v>
      </c>
      <c r="X800" t="s">
        <v>33</v>
      </c>
      <c r="Y800">
        <v>37</v>
      </c>
      <c r="Z800" s="1">
        <v>45476</v>
      </c>
      <c r="AA800" t="str" cm="1">
        <f t="array" ref="AA8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8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00" t="str" cm="1">
        <f t="array" ref="AC800">_xlfn.IFS(Table2[[#This Row],[Satification_points]]&gt;=4.5,"GREAT",AND(Table2[[#This Row],[Satification_points]]&gt;=4,Table2[[#This Row],[Satification_points]]&lt;4.5),"GOOD",AND(Table2[[#This Row],[Satification_points]]&gt;=3,Table2[[#This Row],[Satification_points]]&lt;4),"AVERAGE",Table2[[#This Row],[Satification_points]]&lt;3,"POOR")</f>
        <v>POOR</v>
      </c>
    </row>
    <row r="801" spans="1:29" x14ac:dyDescent="0.3">
      <c r="A801">
        <v>800</v>
      </c>
      <c r="B801">
        <v>72468</v>
      </c>
      <c r="C801" t="s">
        <v>852</v>
      </c>
      <c r="D801" t="s">
        <v>26</v>
      </c>
      <c r="E801" t="s">
        <v>35</v>
      </c>
      <c r="F801" s="1">
        <v>45137</v>
      </c>
      <c r="G801" s="1">
        <v>45337</v>
      </c>
      <c r="H801">
        <v>12</v>
      </c>
      <c r="I801" t="s">
        <v>49</v>
      </c>
      <c r="J801" t="s">
        <v>43</v>
      </c>
      <c r="K801">
        <v>2</v>
      </c>
      <c r="L801">
        <v>4</v>
      </c>
      <c r="M801">
        <v>4</v>
      </c>
      <c r="N801">
        <v>2</v>
      </c>
      <c r="O801">
        <v>5</v>
      </c>
      <c r="P801">
        <v>1</v>
      </c>
      <c r="Q801">
        <v>1</v>
      </c>
      <c r="R801">
        <v>4</v>
      </c>
      <c r="S801">
        <v>4</v>
      </c>
      <c r="T801">
        <v>5</v>
      </c>
      <c r="U801" t="s">
        <v>30</v>
      </c>
      <c r="V801" t="s">
        <v>38</v>
      </c>
      <c r="W801" t="s">
        <v>39</v>
      </c>
      <c r="X801" t="s">
        <v>40</v>
      </c>
      <c r="Y801">
        <v>60</v>
      </c>
      <c r="Z801" s="1">
        <v>45337</v>
      </c>
      <c r="AA801" t="str" cm="1">
        <f t="array" ref="AA801">_xlfn.IFS(AND(Table2[[#This Row],[Guest_Age]]&gt;=18,Table2[[#This Row],[Guest_Age]]&lt;=25),"Young Adults",AND(Table2[[#This Row],[Guest_Age]]&gt;=26,Table2[[#This Row],[Guest_Age]]&lt;=35),"Adults",AND(Table2[[#This Row],[Guest_Age]]&gt;=36,Table2[[#This Row],[Guest_Age]]&lt;=50),"Middle Aged Adults",Table2[[#This Row],[Guest_Age]]&gt;50,"Senior")</f>
        <v>Senior</v>
      </c>
      <c r="AB8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01" t="str" cm="1">
        <f t="array" ref="AC801">_xlfn.IFS(Table2[[#This Row],[Satification_points]]&gt;=4.5,"GREAT",AND(Table2[[#This Row],[Satification_points]]&gt;=4,Table2[[#This Row],[Satification_points]]&lt;4.5),"GOOD",AND(Table2[[#This Row],[Satification_points]]&gt;=3,Table2[[#This Row],[Satification_points]]&lt;4),"AVERAGE",Table2[[#This Row],[Satification_points]]&lt;3,"POOR")</f>
        <v>AVERAGE</v>
      </c>
    </row>
    <row r="802" spans="1:29" x14ac:dyDescent="0.3">
      <c r="A802">
        <v>801</v>
      </c>
      <c r="B802">
        <v>73180</v>
      </c>
      <c r="C802" t="s">
        <v>853</v>
      </c>
      <c r="D802" t="s">
        <v>34</v>
      </c>
      <c r="E802" t="s">
        <v>45</v>
      </c>
      <c r="F802" s="1">
        <v>45467</v>
      </c>
      <c r="G802" s="1">
        <v>45468</v>
      </c>
      <c r="H802">
        <v>9</v>
      </c>
      <c r="I802" t="s">
        <v>42</v>
      </c>
      <c r="J802" t="s">
        <v>43</v>
      </c>
      <c r="K802">
        <v>1</v>
      </c>
      <c r="L802">
        <v>3</v>
      </c>
      <c r="M802">
        <v>3</v>
      </c>
      <c r="N802">
        <v>5</v>
      </c>
      <c r="O802">
        <v>1</v>
      </c>
      <c r="P802">
        <v>3</v>
      </c>
      <c r="Q802">
        <v>1</v>
      </c>
      <c r="R802">
        <v>4</v>
      </c>
      <c r="S802">
        <v>5</v>
      </c>
      <c r="T802">
        <v>4</v>
      </c>
      <c r="U802" t="s">
        <v>30</v>
      </c>
      <c r="V802" t="s">
        <v>46</v>
      </c>
      <c r="W802" t="s">
        <v>32</v>
      </c>
      <c r="X802" t="s">
        <v>33</v>
      </c>
      <c r="Y802">
        <v>19</v>
      </c>
      <c r="Z802" s="1">
        <v>45514</v>
      </c>
      <c r="AA802" t="str" cm="1">
        <f t="array" ref="AA802">_xlfn.IFS(AND(Table2[[#This Row],[Guest_Age]]&gt;=18,Table2[[#This Row],[Guest_Age]]&lt;=25),"Young Adults",AND(Table2[[#This Row],[Guest_Age]]&gt;=26,Table2[[#This Row],[Guest_Age]]&lt;=35),"Adults",AND(Table2[[#This Row],[Guest_Age]]&gt;=36,Table2[[#This Row],[Guest_Age]]&lt;=50),"Middle Aged Adults",Table2[[#This Row],[Guest_Age]]&gt;50,"Senior")</f>
        <v>Young Adults</v>
      </c>
      <c r="AB8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02" t="str" cm="1">
        <f t="array" ref="AC802">_xlfn.IFS(Table2[[#This Row],[Satification_points]]&gt;=4.5,"GREAT",AND(Table2[[#This Row],[Satification_points]]&gt;=4,Table2[[#This Row],[Satification_points]]&lt;4.5),"GOOD",AND(Table2[[#This Row],[Satification_points]]&gt;=3,Table2[[#This Row],[Satification_points]]&lt;4),"AVERAGE",Table2[[#This Row],[Satification_points]]&lt;3,"POOR")</f>
        <v>AVERAGE</v>
      </c>
    </row>
    <row r="803" spans="1:29" x14ac:dyDescent="0.3">
      <c r="A803">
        <v>802</v>
      </c>
      <c r="B803">
        <v>79065</v>
      </c>
      <c r="C803" t="s">
        <v>854</v>
      </c>
      <c r="D803" t="s">
        <v>48</v>
      </c>
      <c r="E803" t="s">
        <v>27</v>
      </c>
      <c r="F803" s="1">
        <v>44965</v>
      </c>
      <c r="G803" s="1">
        <v>44966</v>
      </c>
      <c r="H803">
        <v>12</v>
      </c>
      <c r="I803" t="s">
        <v>28</v>
      </c>
      <c r="J803" t="s">
        <v>36</v>
      </c>
      <c r="K803">
        <v>5</v>
      </c>
      <c r="L803">
        <v>1</v>
      </c>
      <c r="M803">
        <v>3</v>
      </c>
      <c r="N803">
        <v>4</v>
      </c>
      <c r="O803">
        <v>4</v>
      </c>
      <c r="P803">
        <v>4</v>
      </c>
      <c r="Q803">
        <v>4</v>
      </c>
      <c r="R803">
        <v>1</v>
      </c>
      <c r="S803">
        <v>4</v>
      </c>
      <c r="T803">
        <v>3</v>
      </c>
      <c r="U803" t="s">
        <v>37</v>
      </c>
      <c r="V803" t="s">
        <v>58</v>
      </c>
      <c r="W803" t="s">
        <v>47</v>
      </c>
      <c r="X803" t="s">
        <v>33</v>
      </c>
      <c r="Y803">
        <v>64</v>
      </c>
      <c r="Z803" s="1">
        <v>45493</v>
      </c>
      <c r="AA803" t="str" cm="1">
        <f t="array" ref="AA803">_xlfn.IFS(AND(Table2[[#This Row],[Guest_Age]]&gt;=18,Table2[[#This Row],[Guest_Age]]&lt;=25),"Young Adults",AND(Table2[[#This Row],[Guest_Age]]&gt;=26,Table2[[#This Row],[Guest_Age]]&lt;=35),"Adults",AND(Table2[[#This Row],[Guest_Age]]&gt;=36,Table2[[#This Row],[Guest_Age]]&lt;=50),"Middle Aged Adults",Table2[[#This Row],[Guest_Age]]&gt;50,"Senior")</f>
        <v>Senior</v>
      </c>
      <c r="AB8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03" t="str" cm="1">
        <f t="array" ref="AC803">_xlfn.IFS(Table2[[#This Row],[Satification_points]]&gt;=4.5,"GREAT",AND(Table2[[#This Row],[Satification_points]]&gt;=4,Table2[[#This Row],[Satification_points]]&lt;4.5),"GOOD",AND(Table2[[#This Row],[Satification_points]]&gt;=3,Table2[[#This Row],[Satification_points]]&lt;4),"AVERAGE",Table2[[#This Row],[Satification_points]]&lt;3,"POOR")</f>
        <v>AVERAGE</v>
      </c>
    </row>
    <row r="804" spans="1:29" x14ac:dyDescent="0.3">
      <c r="A804">
        <v>803</v>
      </c>
      <c r="B804">
        <v>24584</v>
      </c>
      <c r="C804" t="s">
        <v>855</v>
      </c>
      <c r="D804" t="s">
        <v>41</v>
      </c>
      <c r="E804" t="s">
        <v>27</v>
      </c>
      <c r="F804" s="1">
        <v>45186</v>
      </c>
      <c r="G804" s="1">
        <v>45187</v>
      </c>
      <c r="H804">
        <v>3</v>
      </c>
      <c r="I804" t="s">
        <v>28</v>
      </c>
      <c r="J804" t="s">
        <v>40</v>
      </c>
      <c r="K804">
        <v>4</v>
      </c>
      <c r="L804">
        <v>1</v>
      </c>
      <c r="M804">
        <v>1</v>
      </c>
      <c r="N804">
        <v>1</v>
      </c>
      <c r="O804">
        <v>1</v>
      </c>
      <c r="P804">
        <v>2</v>
      </c>
      <c r="Q804">
        <v>3</v>
      </c>
      <c r="R804">
        <v>2</v>
      </c>
      <c r="S804">
        <v>4</v>
      </c>
      <c r="T804">
        <v>1</v>
      </c>
      <c r="U804" t="s">
        <v>30</v>
      </c>
      <c r="V804" t="s">
        <v>58</v>
      </c>
      <c r="W804" t="s">
        <v>32</v>
      </c>
      <c r="X804" t="s">
        <v>44</v>
      </c>
      <c r="Y804">
        <v>24</v>
      </c>
      <c r="Z804" s="1">
        <v>45187</v>
      </c>
      <c r="AA804" t="str" cm="1">
        <f t="array" ref="AA804">_xlfn.IFS(AND(Table2[[#This Row],[Guest_Age]]&gt;=18,Table2[[#This Row],[Guest_Age]]&lt;=25),"Young Adults",AND(Table2[[#This Row],[Guest_Age]]&gt;=26,Table2[[#This Row],[Guest_Age]]&lt;=35),"Adults",AND(Table2[[#This Row],[Guest_Age]]&gt;=36,Table2[[#This Row],[Guest_Age]]&lt;=50),"Middle Aged Adults",Table2[[#This Row],[Guest_Age]]&gt;50,"Senior")</f>
        <v>Young Adults</v>
      </c>
      <c r="AB8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804" t="str" cm="1">
        <f t="array" ref="AC804">_xlfn.IFS(Table2[[#This Row],[Satification_points]]&gt;=4.5,"GREAT",AND(Table2[[#This Row],[Satification_points]]&gt;=4,Table2[[#This Row],[Satification_points]]&lt;4.5),"GOOD",AND(Table2[[#This Row],[Satification_points]]&gt;=3,Table2[[#This Row],[Satification_points]]&lt;4),"AVERAGE",Table2[[#This Row],[Satification_points]]&lt;3,"POOR")</f>
        <v>POOR</v>
      </c>
    </row>
    <row r="805" spans="1:29" x14ac:dyDescent="0.3">
      <c r="A805">
        <v>804</v>
      </c>
      <c r="B805">
        <v>67778</v>
      </c>
      <c r="C805" t="s">
        <v>856</v>
      </c>
      <c r="D805" t="s">
        <v>34</v>
      </c>
      <c r="E805" t="s">
        <v>27</v>
      </c>
      <c r="F805" s="1">
        <v>45603</v>
      </c>
      <c r="G805" s="1">
        <v>45604</v>
      </c>
      <c r="H805">
        <v>8</v>
      </c>
      <c r="I805" t="s">
        <v>50</v>
      </c>
      <c r="J805" t="s">
        <v>40</v>
      </c>
      <c r="K805">
        <v>4</v>
      </c>
      <c r="L805">
        <v>3</v>
      </c>
      <c r="M805">
        <v>4</v>
      </c>
      <c r="N805">
        <v>3</v>
      </c>
      <c r="O805">
        <v>5</v>
      </c>
      <c r="P805">
        <v>2</v>
      </c>
      <c r="Q805">
        <v>1</v>
      </c>
      <c r="R805">
        <v>5</v>
      </c>
      <c r="S805">
        <v>5</v>
      </c>
      <c r="T805">
        <v>4</v>
      </c>
      <c r="U805" t="s">
        <v>37</v>
      </c>
      <c r="V805" t="s">
        <v>58</v>
      </c>
      <c r="W805" t="s">
        <v>32</v>
      </c>
      <c r="X805" t="s">
        <v>33</v>
      </c>
      <c r="Y805">
        <v>54</v>
      </c>
      <c r="Z805" s="1">
        <v>45604</v>
      </c>
      <c r="AA805" t="str" cm="1">
        <f t="array" ref="AA805">_xlfn.IFS(AND(Table2[[#This Row],[Guest_Age]]&gt;=18,Table2[[#This Row],[Guest_Age]]&lt;=25),"Young Adults",AND(Table2[[#This Row],[Guest_Age]]&gt;=26,Table2[[#This Row],[Guest_Age]]&lt;=35),"Adults",AND(Table2[[#This Row],[Guest_Age]]&gt;=36,Table2[[#This Row],[Guest_Age]]&lt;=50),"Middle Aged Adults",Table2[[#This Row],[Guest_Age]]&gt;50,"Senior")</f>
        <v>Senior</v>
      </c>
      <c r="AB8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805" t="str" cm="1">
        <f t="array" ref="AC805">_xlfn.IFS(Table2[[#This Row],[Satification_points]]&gt;=4.5,"GREAT",AND(Table2[[#This Row],[Satification_points]]&gt;=4,Table2[[#This Row],[Satification_points]]&lt;4.5),"GOOD",AND(Table2[[#This Row],[Satification_points]]&gt;=3,Table2[[#This Row],[Satification_points]]&lt;4),"AVERAGE",Table2[[#This Row],[Satification_points]]&lt;3,"POOR")</f>
        <v>AVERAGE</v>
      </c>
    </row>
    <row r="806" spans="1:29" x14ac:dyDescent="0.3">
      <c r="A806">
        <v>805</v>
      </c>
      <c r="B806">
        <v>32632</v>
      </c>
      <c r="C806" t="s">
        <v>857</v>
      </c>
      <c r="D806" t="s">
        <v>51</v>
      </c>
      <c r="E806" t="s">
        <v>35</v>
      </c>
      <c r="F806" s="1">
        <v>45021</v>
      </c>
      <c r="G806" s="1">
        <v>45544</v>
      </c>
      <c r="H806">
        <v>4</v>
      </c>
      <c r="I806" t="s">
        <v>28</v>
      </c>
      <c r="J806" t="s">
        <v>53</v>
      </c>
      <c r="K806">
        <v>2</v>
      </c>
      <c r="L806">
        <v>2</v>
      </c>
      <c r="M806">
        <v>4</v>
      </c>
      <c r="N806">
        <v>5</v>
      </c>
      <c r="O806">
        <v>2</v>
      </c>
      <c r="P806">
        <v>2</v>
      </c>
      <c r="Q806">
        <v>2</v>
      </c>
      <c r="R806">
        <v>2</v>
      </c>
      <c r="S806">
        <v>5</v>
      </c>
      <c r="T806">
        <v>5</v>
      </c>
      <c r="U806" t="s">
        <v>37</v>
      </c>
      <c r="V806" t="s">
        <v>54</v>
      </c>
      <c r="W806" t="s">
        <v>56</v>
      </c>
      <c r="X806" t="s">
        <v>44</v>
      </c>
      <c r="Y806">
        <v>29</v>
      </c>
      <c r="Z806" s="1">
        <v>45544</v>
      </c>
      <c r="AA806" t="str" cm="1">
        <f t="array" ref="AA806">_xlfn.IFS(AND(Table2[[#This Row],[Guest_Age]]&gt;=18,Table2[[#This Row],[Guest_Age]]&lt;=25),"Young Adults",AND(Table2[[#This Row],[Guest_Age]]&gt;=26,Table2[[#This Row],[Guest_Age]]&lt;=35),"Adults",AND(Table2[[#This Row],[Guest_Age]]&gt;=36,Table2[[#This Row],[Guest_Age]]&lt;=50),"Middle Aged Adults",Table2[[#This Row],[Guest_Age]]&gt;50,"Senior")</f>
        <v>Adults</v>
      </c>
      <c r="AB8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06" t="str" cm="1">
        <f t="array" ref="AC806">_xlfn.IFS(Table2[[#This Row],[Satification_points]]&gt;=4.5,"GREAT",AND(Table2[[#This Row],[Satification_points]]&gt;=4,Table2[[#This Row],[Satification_points]]&lt;4.5),"GOOD",AND(Table2[[#This Row],[Satification_points]]&gt;=3,Table2[[#This Row],[Satification_points]]&lt;4),"AVERAGE",Table2[[#This Row],[Satification_points]]&lt;3,"POOR")</f>
        <v>AVERAGE</v>
      </c>
    </row>
    <row r="807" spans="1:29" x14ac:dyDescent="0.3">
      <c r="A807">
        <v>806</v>
      </c>
      <c r="B807">
        <v>28673</v>
      </c>
      <c r="C807" t="s">
        <v>858</v>
      </c>
      <c r="D807" t="s">
        <v>48</v>
      </c>
      <c r="E807" t="s">
        <v>27</v>
      </c>
      <c r="F807" s="1">
        <v>45316</v>
      </c>
      <c r="G807" s="1">
        <v>45317</v>
      </c>
      <c r="H807">
        <v>7</v>
      </c>
      <c r="I807" t="s">
        <v>42</v>
      </c>
      <c r="J807" t="s">
        <v>53</v>
      </c>
      <c r="K807">
        <v>3</v>
      </c>
      <c r="L807">
        <v>2</v>
      </c>
      <c r="M807">
        <v>2</v>
      </c>
      <c r="N807">
        <v>4</v>
      </c>
      <c r="O807">
        <v>2</v>
      </c>
      <c r="P807">
        <v>5</v>
      </c>
      <c r="Q807">
        <v>3</v>
      </c>
      <c r="R807">
        <v>4</v>
      </c>
      <c r="S807">
        <v>4</v>
      </c>
      <c r="T807">
        <v>4</v>
      </c>
      <c r="U807" t="s">
        <v>30</v>
      </c>
      <c r="V807" t="s">
        <v>38</v>
      </c>
      <c r="W807" t="s">
        <v>47</v>
      </c>
      <c r="X807" t="s">
        <v>44</v>
      </c>
      <c r="Y807">
        <v>66</v>
      </c>
      <c r="Z807" s="1">
        <v>45333</v>
      </c>
      <c r="AA807" t="str" cm="1">
        <f t="array" ref="AA807">_xlfn.IFS(AND(Table2[[#This Row],[Guest_Age]]&gt;=18,Table2[[#This Row],[Guest_Age]]&lt;=25),"Young Adults",AND(Table2[[#This Row],[Guest_Age]]&gt;=26,Table2[[#This Row],[Guest_Age]]&lt;=35),"Adults",AND(Table2[[#This Row],[Guest_Age]]&gt;=36,Table2[[#This Row],[Guest_Age]]&lt;=50),"Middle Aged Adults",Table2[[#This Row],[Guest_Age]]&gt;50,"Senior")</f>
        <v>Senior</v>
      </c>
      <c r="AB8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07" t="str" cm="1">
        <f t="array" ref="AC807">_xlfn.IFS(Table2[[#This Row],[Satification_points]]&gt;=4.5,"GREAT",AND(Table2[[#This Row],[Satification_points]]&gt;=4,Table2[[#This Row],[Satification_points]]&lt;4.5),"GOOD",AND(Table2[[#This Row],[Satification_points]]&gt;=3,Table2[[#This Row],[Satification_points]]&lt;4),"AVERAGE",Table2[[#This Row],[Satification_points]]&lt;3,"POOR")</f>
        <v>AVERAGE</v>
      </c>
    </row>
    <row r="808" spans="1:29" x14ac:dyDescent="0.3">
      <c r="A808">
        <v>807</v>
      </c>
      <c r="B808">
        <v>13343</v>
      </c>
      <c r="C808" t="s">
        <v>859</v>
      </c>
      <c r="D808" t="s">
        <v>41</v>
      </c>
      <c r="E808" t="s">
        <v>35</v>
      </c>
      <c r="F808" s="1">
        <v>45146</v>
      </c>
      <c r="G808" s="1">
        <v>45337</v>
      </c>
      <c r="H808">
        <v>10</v>
      </c>
      <c r="I808" t="s">
        <v>42</v>
      </c>
      <c r="J808" t="s">
        <v>43</v>
      </c>
      <c r="K808">
        <v>3</v>
      </c>
      <c r="L808">
        <v>2</v>
      </c>
      <c r="M808">
        <v>3</v>
      </c>
      <c r="N808">
        <v>1</v>
      </c>
      <c r="O808">
        <v>3</v>
      </c>
      <c r="P808">
        <v>3</v>
      </c>
      <c r="Q808">
        <v>2</v>
      </c>
      <c r="R808">
        <v>2</v>
      </c>
      <c r="S808">
        <v>3</v>
      </c>
      <c r="T808">
        <v>1</v>
      </c>
      <c r="U808" t="s">
        <v>30</v>
      </c>
      <c r="V808" t="s">
        <v>38</v>
      </c>
      <c r="W808" t="s">
        <v>39</v>
      </c>
      <c r="X808" t="s">
        <v>33</v>
      </c>
      <c r="Y808">
        <v>33</v>
      </c>
      <c r="Z808" s="1">
        <v>45630</v>
      </c>
      <c r="AA808" t="str" cm="1">
        <f t="array" ref="AA808">_xlfn.IFS(AND(Table2[[#This Row],[Guest_Age]]&gt;=18,Table2[[#This Row],[Guest_Age]]&lt;=25),"Young Adults",AND(Table2[[#This Row],[Guest_Age]]&gt;=26,Table2[[#This Row],[Guest_Age]]&lt;=35),"Adults",AND(Table2[[#This Row],[Guest_Age]]&gt;=36,Table2[[#This Row],[Guest_Age]]&lt;=50),"Middle Aged Adults",Table2[[#This Row],[Guest_Age]]&gt;50,"Senior")</f>
        <v>Adults</v>
      </c>
      <c r="AB8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808" t="str" cm="1">
        <f t="array" ref="AC808">_xlfn.IFS(Table2[[#This Row],[Satification_points]]&gt;=4.5,"GREAT",AND(Table2[[#This Row],[Satification_points]]&gt;=4,Table2[[#This Row],[Satification_points]]&lt;4.5),"GOOD",AND(Table2[[#This Row],[Satification_points]]&gt;=3,Table2[[#This Row],[Satification_points]]&lt;4),"AVERAGE",Table2[[#This Row],[Satification_points]]&lt;3,"POOR")</f>
        <v>POOR</v>
      </c>
    </row>
    <row r="809" spans="1:29" x14ac:dyDescent="0.3">
      <c r="A809">
        <v>808</v>
      </c>
      <c r="B809">
        <v>28950</v>
      </c>
      <c r="C809" t="s">
        <v>860</v>
      </c>
      <c r="D809" t="s">
        <v>41</v>
      </c>
      <c r="E809" t="s">
        <v>45</v>
      </c>
      <c r="F809" s="1">
        <v>45194</v>
      </c>
      <c r="G809" s="1">
        <v>45195</v>
      </c>
      <c r="H809">
        <v>10</v>
      </c>
      <c r="I809" t="s">
        <v>42</v>
      </c>
      <c r="J809" t="s">
        <v>43</v>
      </c>
      <c r="K809">
        <v>3</v>
      </c>
      <c r="L809">
        <v>3</v>
      </c>
      <c r="M809">
        <v>5</v>
      </c>
      <c r="N809">
        <v>4</v>
      </c>
      <c r="O809">
        <v>2</v>
      </c>
      <c r="P809">
        <v>5</v>
      </c>
      <c r="Q809">
        <v>4</v>
      </c>
      <c r="R809">
        <v>1</v>
      </c>
      <c r="S809">
        <v>4</v>
      </c>
      <c r="T809">
        <v>4</v>
      </c>
      <c r="U809" t="s">
        <v>30</v>
      </c>
      <c r="V809" t="s">
        <v>58</v>
      </c>
      <c r="W809" t="s">
        <v>55</v>
      </c>
      <c r="X809" t="s">
        <v>44</v>
      </c>
      <c r="Y809">
        <v>34</v>
      </c>
      <c r="Z809" s="1">
        <v>45448</v>
      </c>
      <c r="AA809" t="str" cm="1">
        <f t="array" ref="AA809">_xlfn.IFS(AND(Table2[[#This Row],[Guest_Age]]&gt;=18,Table2[[#This Row],[Guest_Age]]&lt;=25),"Young Adults",AND(Table2[[#This Row],[Guest_Age]]&gt;=26,Table2[[#This Row],[Guest_Age]]&lt;=35),"Adults",AND(Table2[[#This Row],[Guest_Age]]&gt;=36,Table2[[#This Row],[Guest_Age]]&lt;=50),"Middle Aged Adults",Table2[[#This Row],[Guest_Age]]&gt;50,"Senior")</f>
        <v>Adults</v>
      </c>
      <c r="AB8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809" t="str" cm="1">
        <f t="array" ref="AC809">_xlfn.IFS(Table2[[#This Row],[Satification_points]]&gt;=4.5,"GREAT",AND(Table2[[#This Row],[Satification_points]]&gt;=4,Table2[[#This Row],[Satification_points]]&lt;4.5),"GOOD",AND(Table2[[#This Row],[Satification_points]]&gt;=3,Table2[[#This Row],[Satification_points]]&lt;4),"AVERAGE",Table2[[#This Row],[Satification_points]]&lt;3,"POOR")</f>
        <v>AVERAGE</v>
      </c>
    </row>
    <row r="810" spans="1:29" x14ac:dyDescent="0.3">
      <c r="A810">
        <v>809</v>
      </c>
      <c r="B810">
        <v>90600</v>
      </c>
      <c r="C810" t="s">
        <v>861</v>
      </c>
      <c r="D810" t="s">
        <v>48</v>
      </c>
      <c r="E810" t="s">
        <v>35</v>
      </c>
      <c r="F810" s="1">
        <v>45420</v>
      </c>
      <c r="G810" s="1">
        <v>45421</v>
      </c>
      <c r="H810">
        <v>8</v>
      </c>
      <c r="I810" t="s">
        <v>50</v>
      </c>
      <c r="J810" t="s">
        <v>40</v>
      </c>
      <c r="K810">
        <v>4</v>
      </c>
      <c r="L810">
        <v>1</v>
      </c>
      <c r="M810">
        <v>4</v>
      </c>
      <c r="N810">
        <v>3</v>
      </c>
      <c r="O810">
        <v>4</v>
      </c>
      <c r="P810">
        <v>2</v>
      </c>
      <c r="Q810">
        <v>1</v>
      </c>
      <c r="R810">
        <v>2</v>
      </c>
      <c r="S810">
        <v>5</v>
      </c>
      <c r="T810">
        <v>2</v>
      </c>
      <c r="U810" t="s">
        <v>37</v>
      </c>
      <c r="V810" t="s">
        <v>38</v>
      </c>
      <c r="W810" t="s">
        <v>39</v>
      </c>
      <c r="X810" t="s">
        <v>33</v>
      </c>
      <c r="Y810">
        <v>48</v>
      </c>
      <c r="Z810" s="1">
        <v>45421</v>
      </c>
      <c r="AA810" t="str" cm="1">
        <f t="array" ref="AA8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8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10" t="str" cm="1">
        <f t="array" ref="AC810">_xlfn.IFS(Table2[[#This Row],[Satification_points]]&gt;=4.5,"GREAT",AND(Table2[[#This Row],[Satification_points]]&gt;=4,Table2[[#This Row],[Satification_points]]&lt;4.5),"GOOD",AND(Table2[[#This Row],[Satification_points]]&gt;=3,Table2[[#This Row],[Satification_points]]&lt;4),"AVERAGE",Table2[[#This Row],[Satification_points]]&lt;3,"POOR")</f>
        <v>POOR</v>
      </c>
    </row>
    <row r="811" spans="1:29" x14ac:dyDescent="0.3">
      <c r="A811">
        <v>810</v>
      </c>
      <c r="B811">
        <v>31547</v>
      </c>
      <c r="C811" t="s">
        <v>862</v>
      </c>
      <c r="D811" t="s">
        <v>34</v>
      </c>
      <c r="E811" t="s">
        <v>45</v>
      </c>
      <c r="F811" s="1">
        <v>45556</v>
      </c>
      <c r="G811" s="1">
        <v>45637</v>
      </c>
      <c r="H811">
        <v>3</v>
      </c>
      <c r="I811" t="s">
        <v>50</v>
      </c>
      <c r="J811" t="s">
        <v>43</v>
      </c>
      <c r="K811">
        <v>2</v>
      </c>
      <c r="L811">
        <v>1</v>
      </c>
      <c r="M811">
        <v>4</v>
      </c>
      <c r="N811">
        <v>1</v>
      </c>
      <c r="O811">
        <v>5</v>
      </c>
      <c r="P811">
        <v>4</v>
      </c>
      <c r="Q811">
        <v>5</v>
      </c>
      <c r="R811">
        <v>4</v>
      </c>
      <c r="S811">
        <v>2</v>
      </c>
      <c r="T811">
        <v>5</v>
      </c>
      <c r="U811" t="s">
        <v>37</v>
      </c>
      <c r="V811" t="s">
        <v>38</v>
      </c>
      <c r="W811" t="s">
        <v>56</v>
      </c>
      <c r="X811" t="s">
        <v>40</v>
      </c>
      <c r="Y811">
        <v>24</v>
      </c>
      <c r="Z811" s="1">
        <v>45637</v>
      </c>
      <c r="AA811" t="str" cm="1">
        <f t="array" ref="AA811">_xlfn.IFS(AND(Table2[[#This Row],[Guest_Age]]&gt;=18,Table2[[#This Row],[Guest_Age]]&lt;=25),"Young Adults",AND(Table2[[#This Row],[Guest_Age]]&gt;=26,Table2[[#This Row],[Guest_Age]]&lt;=35),"Adults",AND(Table2[[#This Row],[Guest_Age]]&gt;=36,Table2[[#This Row],[Guest_Age]]&lt;=50),"Middle Aged Adults",Table2[[#This Row],[Guest_Age]]&gt;50,"Senior")</f>
        <v>Young Adults</v>
      </c>
      <c r="AB8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11" t="str" cm="1">
        <f t="array" ref="AC811">_xlfn.IFS(Table2[[#This Row],[Satification_points]]&gt;=4.5,"GREAT",AND(Table2[[#This Row],[Satification_points]]&gt;=4,Table2[[#This Row],[Satification_points]]&lt;4.5),"GOOD",AND(Table2[[#This Row],[Satification_points]]&gt;=3,Table2[[#This Row],[Satification_points]]&lt;4),"AVERAGE",Table2[[#This Row],[Satification_points]]&lt;3,"POOR")</f>
        <v>AVERAGE</v>
      </c>
    </row>
    <row r="812" spans="1:29" x14ac:dyDescent="0.3">
      <c r="A812">
        <v>811</v>
      </c>
      <c r="B812">
        <v>63027</v>
      </c>
      <c r="C812" t="s">
        <v>863</v>
      </c>
      <c r="D812" t="s">
        <v>41</v>
      </c>
      <c r="E812" t="s">
        <v>45</v>
      </c>
      <c r="F812" s="1">
        <v>44992</v>
      </c>
      <c r="G812" s="1">
        <v>45544</v>
      </c>
      <c r="H812">
        <v>3</v>
      </c>
      <c r="I812" t="s">
        <v>42</v>
      </c>
      <c r="J812" t="s">
        <v>40</v>
      </c>
      <c r="K812">
        <v>2</v>
      </c>
      <c r="L812">
        <v>4</v>
      </c>
      <c r="M812">
        <v>2</v>
      </c>
      <c r="N812">
        <v>5</v>
      </c>
      <c r="O812">
        <v>2</v>
      </c>
      <c r="P812">
        <v>2</v>
      </c>
      <c r="Q812">
        <v>1</v>
      </c>
      <c r="R812">
        <v>4</v>
      </c>
      <c r="S812">
        <v>1</v>
      </c>
      <c r="T812">
        <v>3</v>
      </c>
      <c r="U812" t="s">
        <v>37</v>
      </c>
      <c r="V812" t="s">
        <v>31</v>
      </c>
      <c r="W812" t="s">
        <v>39</v>
      </c>
      <c r="X812" t="s">
        <v>44</v>
      </c>
      <c r="Y812">
        <v>43</v>
      </c>
      <c r="Z812" s="1">
        <v>45544</v>
      </c>
      <c r="AA812" t="str" cm="1">
        <f t="array" ref="AA812">_xlfn.IFS(AND(Table2[[#This Row],[Guest_Age]]&gt;=18,Table2[[#This Row],[Guest_Age]]&lt;=25),"Young Adults",AND(Table2[[#This Row],[Guest_Age]]&gt;=26,Table2[[#This Row],[Guest_Age]]&lt;=35),"Adults",AND(Table2[[#This Row],[Guest_Age]]&gt;=36,Table2[[#This Row],[Guest_Age]]&lt;=50),"Middle Aged Adults",Table2[[#This Row],[Guest_Age]]&gt;50,"Senior")</f>
        <v>Middle Aged Adults</v>
      </c>
      <c r="AB8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12" t="str" cm="1">
        <f t="array" ref="AC812">_xlfn.IFS(Table2[[#This Row],[Satification_points]]&gt;=4.5,"GREAT",AND(Table2[[#This Row],[Satification_points]]&gt;=4,Table2[[#This Row],[Satification_points]]&lt;4.5),"GOOD",AND(Table2[[#This Row],[Satification_points]]&gt;=3,Table2[[#This Row],[Satification_points]]&lt;4),"AVERAGE",Table2[[#This Row],[Satification_points]]&lt;3,"POOR")</f>
        <v>POOR</v>
      </c>
    </row>
    <row r="813" spans="1:29" x14ac:dyDescent="0.3">
      <c r="A813">
        <v>812</v>
      </c>
      <c r="B813">
        <v>74091</v>
      </c>
      <c r="C813" t="s">
        <v>864</v>
      </c>
      <c r="D813" t="s">
        <v>51</v>
      </c>
      <c r="E813" t="s">
        <v>45</v>
      </c>
      <c r="F813" s="1">
        <v>45313</v>
      </c>
      <c r="G813" s="1">
        <v>45314</v>
      </c>
      <c r="H813">
        <v>1</v>
      </c>
      <c r="I813" t="s">
        <v>28</v>
      </c>
      <c r="J813" t="s">
        <v>36</v>
      </c>
      <c r="K813">
        <v>3</v>
      </c>
      <c r="L813">
        <v>1</v>
      </c>
      <c r="M813">
        <v>5</v>
      </c>
      <c r="N813">
        <v>5</v>
      </c>
      <c r="O813">
        <v>2</v>
      </c>
      <c r="P813">
        <v>5</v>
      </c>
      <c r="Q813">
        <v>4</v>
      </c>
      <c r="R813">
        <v>3</v>
      </c>
      <c r="S813">
        <v>4</v>
      </c>
      <c r="T813">
        <v>5</v>
      </c>
      <c r="U813" t="s">
        <v>30</v>
      </c>
      <c r="V813" t="s">
        <v>38</v>
      </c>
      <c r="W813" t="s">
        <v>56</v>
      </c>
      <c r="X813" t="s">
        <v>33</v>
      </c>
      <c r="Y813">
        <v>18</v>
      </c>
      <c r="Z813" s="1">
        <v>45314</v>
      </c>
      <c r="AA813" t="str" cm="1">
        <f t="array" ref="AA813">_xlfn.IFS(AND(Table2[[#This Row],[Guest_Age]]&gt;=18,Table2[[#This Row],[Guest_Age]]&lt;=25),"Young Adults",AND(Table2[[#This Row],[Guest_Age]]&gt;=26,Table2[[#This Row],[Guest_Age]]&lt;=35),"Adults",AND(Table2[[#This Row],[Guest_Age]]&gt;=36,Table2[[#This Row],[Guest_Age]]&lt;=50),"Middle Aged Adults",Table2[[#This Row],[Guest_Age]]&gt;50,"Senior")</f>
        <v>Young Adults</v>
      </c>
      <c r="AB8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13" t="str" cm="1">
        <f t="array" ref="AC813">_xlfn.IFS(Table2[[#This Row],[Satification_points]]&gt;=4.5,"GREAT",AND(Table2[[#This Row],[Satification_points]]&gt;=4,Table2[[#This Row],[Satification_points]]&lt;4.5),"GOOD",AND(Table2[[#This Row],[Satification_points]]&gt;=3,Table2[[#This Row],[Satification_points]]&lt;4),"AVERAGE",Table2[[#This Row],[Satification_points]]&lt;3,"POOR")</f>
        <v>AVERAGE</v>
      </c>
    </row>
    <row r="814" spans="1:29" x14ac:dyDescent="0.3">
      <c r="A814">
        <v>813</v>
      </c>
      <c r="B814">
        <v>57531</v>
      </c>
      <c r="C814" t="s">
        <v>865</v>
      </c>
      <c r="D814" t="s">
        <v>48</v>
      </c>
      <c r="E814" t="s">
        <v>57</v>
      </c>
      <c r="F814" s="1">
        <v>45119</v>
      </c>
      <c r="G814" s="1">
        <v>45120</v>
      </c>
      <c r="H814">
        <v>8</v>
      </c>
      <c r="I814" t="s">
        <v>50</v>
      </c>
      <c r="J814" t="s">
        <v>36</v>
      </c>
      <c r="K814">
        <v>1</v>
      </c>
      <c r="L814">
        <v>1</v>
      </c>
      <c r="M814">
        <v>5</v>
      </c>
      <c r="N814">
        <v>5</v>
      </c>
      <c r="O814">
        <v>4</v>
      </c>
      <c r="P814">
        <v>2</v>
      </c>
      <c r="Q814">
        <v>1</v>
      </c>
      <c r="R814">
        <v>4</v>
      </c>
      <c r="S814">
        <v>1</v>
      </c>
      <c r="T814">
        <v>5</v>
      </c>
      <c r="U814" t="s">
        <v>37</v>
      </c>
      <c r="V814" t="s">
        <v>58</v>
      </c>
      <c r="W814" t="s">
        <v>56</v>
      </c>
      <c r="X814" t="s">
        <v>33</v>
      </c>
      <c r="Y814">
        <v>19</v>
      </c>
      <c r="Z814" s="1">
        <v>45306</v>
      </c>
      <c r="AA814" t="str" cm="1">
        <f t="array" ref="AA814">_xlfn.IFS(AND(Table2[[#This Row],[Guest_Age]]&gt;=18,Table2[[#This Row],[Guest_Age]]&lt;=25),"Young Adults",AND(Table2[[#This Row],[Guest_Age]]&gt;=26,Table2[[#This Row],[Guest_Age]]&lt;=35),"Adults",AND(Table2[[#This Row],[Guest_Age]]&gt;=36,Table2[[#This Row],[Guest_Age]]&lt;=50),"Middle Aged Adults",Table2[[#This Row],[Guest_Age]]&gt;50,"Senior")</f>
        <v>Young Adults</v>
      </c>
      <c r="AB8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14" t="str" cm="1">
        <f t="array" ref="AC814">_xlfn.IFS(Table2[[#This Row],[Satification_points]]&gt;=4.5,"GREAT",AND(Table2[[#This Row],[Satification_points]]&gt;=4,Table2[[#This Row],[Satification_points]]&lt;4.5),"GOOD",AND(Table2[[#This Row],[Satification_points]]&gt;=3,Table2[[#This Row],[Satification_points]]&lt;4),"AVERAGE",Table2[[#This Row],[Satification_points]]&lt;3,"POOR")</f>
        <v>POOR</v>
      </c>
    </row>
    <row r="815" spans="1:29" x14ac:dyDescent="0.3">
      <c r="A815">
        <v>814</v>
      </c>
      <c r="B815">
        <v>51227</v>
      </c>
      <c r="C815" t="s">
        <v>866</v>
      </c>
      <c r="D815" t="s">
        <v>26</v>
      </c>
      <c r="E815" t="s">
        <v>45</v>
      </c>
      <c r="F815" s="1">
        <v>45246</v>
      </c>
      <c r="G815" s="1">
        <v>45522</v>
      </c>
      <c r="H815">
        <v>2</v>
      </c>
      <c r="I815" t="s">
        <v>28</v>
      </c>
      <c r="J815" t="s">
        <v>29</v>
      </c>
      <c r="K815">
        <v>3</v>
      </c>
      <c r="L815">
        <v>5</v>
      </c>
      <c r="M815">
        <v>5</v>
      </c>
      <c r="N815">
        <v>5</v>
      </c>
      <c r="O815">
        <v>2</v>
      </c>
      <c r="P815">
        <v>1</v>
      </c>
      <c r="Q815">
        <v>1</v>
      </c>
      <c r="R815">
        <v>1</v>
      </c>
      <c r="S815">
        <v>4</v>
      </c>
      <c r="T815">
        <v>3</v>
      </c>
      <c r="U815" t="s">
        <v>30</v>
      </c>
      <c r="V815" t="s">
        <v>54</v>
      </c>
      <c r="W815" t="s">
        <v>32</v>
      </c>
      <c r="X815" t="s">
        <v>33</v>
      </c>
      <c r="Y815">
        <v>48</v>
      </c>
      <c r="Z815" s="1">
        <v>45645</v>
      </c>
      <c r="AA815" t="str" cm="1">
        <f t="array" ref="AA815">_xlfn.IFS(AND(Table2[[#This Row],[Guest_Age]]&gt;=18,Table2[[#This Row],[Guest_Age]]&lt;=25),"Young Adults",AND(Table2[[#This Row],[Guest_Age]]&gt;=26,Table2[[#This Row],[Guest_Age]]&lt;=35),"Adults",AND(Table2[[#This Row],[Guest_Age]]&gt;=36,Table2[[#This Row],[Guest_Age]]&lt;=50),"Middle Aged Adults",Table2[[#This Row],[Guest_Age]]&gt;50,"Senior")</f>
        <v>Middle Aged Adults</v>
      </c>
      <c r="AB8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15" t="str" cm="1">
        <f t="array" ref="AC815">_xlfn.IFS(Table2[[#This Row],[Satification_points]]&gt;=4.5,"GREAT",AND(Table2[[#This Row],[Satification_points]]&gt;=4,Table2[[#This Row],[Satification_points]]&lt;4.5),"GOOD",AND(Table2[[#This Row],[Satification_points]]&gt;=3,Table2[[#This Row],[Satification_points]]&lt;4),"AVERAGE",Table2[[#This Row],[Satification_points]]&lt;3,"POOR")</f>
        <v>AVERAGE</v>
      </c>
    </row>
    <row r="816" spans="1:29" x14ac:dyDescent="0.3">
      <c r="A816">
        <v>815</v>
      </c>
      <c r="B816">
        <v>57683</v>
      </c>
      <c r="C816" t="s">
        <v>867</v>
      </c>
      <c r="D816" t="s">
        <v>34</v>
      </c>
      <c r="E816" t="s">
        <v>35</v>
      </c>
      <c r="F816" s="1">
        <v>45473</v>
      </c>
      <c r="G816" s="1">
        <v>45474</v>
      </c>
      <c r="H816">
        <v>7</v>
      </c>
      <c r="I816" t="s">
        <v>50</v>
      </c>
      <c r="J816" t="s">
        <v>53</v>
      </c>
      <c r="K816">
        <v>4</v>
      </c>
      <c r="L816">
        <v>1</v>
      </c>
      <c r="M816">
        <v>5</v>
      </c>
      <c r="N816">
        <v>1</v>
      </c>
      <c r="O816">
        <v>4</v>
      </c>
      <c r="P816">
        <v>1</v>
      </c>
      <c r="Q816">
        <v>1</v>
      </c>
      <c r="R816">
        <v>4</v>
      </c>
      <c r="S816">
        <v>4</v>
      </c>
      <c r="T816">
        <v>3</v>
      </c>
      <c r="U816" t="s">
        <v>30</v>
      </c>
      <c r="V816" t="s">
        <v>31</v>
      </c>
      <c r="W816" t="s">
        <v>47</v>
      </c>
      <c r="X816" t="s">
        <v>33</v>
      </c>
      <c r="Y816">
        <v>37</v>
      </c>
      <c r="Z816" s="1">
        <v>45474</v>
      </c>
      <c r="AA816" t="str" cm="1">
        <f t="array" ref="AA8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8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16" t="str" cm="1">
        <f t="array" ref="AC816">_xlfn.IFS(Table2[[#This Row],[Satification_points]]&gt;=4.5,"GREAT",AND(Table2[[#This Row],[Satification_points]]&gt;=4,Table2[[#This Row],[Satification_points]]&lt;4.5),"GOOD",AND(Table2[[#This Row],[Satification_points]]&gt;=3,Table2[[#This Row],[Satification_points]]&lt;4),"AVERAGE",Table2[[#This Row],[Satification_points]]&lt;3,"POOR")</f>
        <v>POOR</v>
      </c>
    </row>
    <row r="817" spans="1:29" x14ac:dyDescent="0.3">
      <c r="A817">
        <v>816</v>
      </c>
      <c r="B817">
        <v>66171</v>
      </c>
      <c r="C817" t="s">
        <v>868</v>
      </c>
      <c r="D817" t="s">
        <v>48</v>
      </c>
      <c r="E817" t="s">
        <v>57</v>
      </c>
      <c r="F817" s="1">
        <v>45101</v>
      </c>
      <c r="G817" s="1">
        <v>45157</v>
      </c>
      <c r="H817">
        <v>11</v>
      </c>
      <c r="I817" t="s">
        <v>49</v>
      </c>
      <c r="J817" t="s">
        <v>29</v>
      </c>
      <c r="K817">
        <v>1</v>
      </c>
      <c r="L817">
        <v>3</v>
      </c>
      <c r="M817">
        <v>3</v>
      </c>
      <c r="N817">
        <v>3</v>
      </c>
      <c r="O817">
        <v>2</v>
      </c>
      <c r="P817">
        <v>5</v>
      </c>
      <c r="Q817">
        <v>4</v>
      </c>
      <c r="R817">
        <v>2</v>
      </c>
      <c r="S817">
        <v>2</v>
      </c>
      <c r="T817">
        <v>1</v>
      </c>
      <c r="U817" t="s">
        <v>37</v>
      </c>
      <c r="V817" t="s">
        <v>38</v>
      </c>
      <c r="W817" t="s">
        <v>55</v>
      </c>
      <c r="X817" t="s">
        <v>40</v>
      </c>
      <c r="Y817">
        <v>54</v>
      </c>
      <c r="Z817" s="1">
        <v>45558</v>
      </c>
      <c r="AA817" t="str" cm="1">
        <f t="array" ref="AA817">_xlfn.IFS(AND(Table2[[#This Row],[Guest_Age]]&gt;=18,Table2[[#This Row],[Guest_Age]]&lt;=25),"Young Adults",AND(Table2[[#This Row],[Guest_Age]]&gt;=26,Table2[[#This Row],[Guest_Age]]&lt;=35),"Adults",AND(Table2[[#This Row],[Guest_Age]]&gt;=36,Table2[[#This Row],[Guest_Age]]&lt;=50),"Middle Aged Adults",Table2[[#This Row],[Guest_Age]]&gt;50,"Senior")</f>
        <v>Senior</v>
      </c>
      <c r="AB8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17" t="str" cm="1">
        <f t="array" ref="AC817">_xlfn.IFS(Table2[[#This Row],[Satification_points]]&gt;=4.5,"GREAT",AND(Table2[[#This Row],[Satification_points]]&gt;=4,Table2[[#This Row],[Satification_points]]&lt;4.5),"GOOD",AND(Table2[[#This Row],[Satification_points]]&gt;=3,Table2[[#This Row],[Satification_points]]&lt;4),"AVERAGE",Table2[[#This Row],[Satification_points]]&lt;3,"POOR")</f>
        <v>POOR</v>
      </c>
    </row>
    <row r="818" spans="1:29" x14ac:dyDescent="0.3">
      <c r="A818">
        <v>817</v>
      </c>
      <c r="B818">
        <v>20390</v>
      </c>
      <c r="C818" t="s">
        <v>869</v>
      </c>
      <c r="D818" t="s">
        <v>51</v>
      </c>
      <c r="E818" t="s">
        <v>27</v>
      </c>
      <c r="F818" s="1">
        <v>45038</v>
      </c>
      <c r="G818" s="1">
        <v>45162</v>
      </c>
      <c r="H818">
        <v>7</v>
      </c>
      <c r="I818" t="s">
        <v>42</v>
      </c>
      <c r="J818" t="s">
        <v>36</v>
      </c>
      <c r="K818">
        <v>2</v>
      </c>
      <c r="L818">
        <v>2</v>
      </c>
      <c r="M818">
        <v>1</v>
      </c>
      <c r="N818">
        <v>1</v>
      </c>
      <c r="O818">
        <v>4</v>
      </c>
      <c r="P818">
        <v>1</v>
      </c>
      <c r="Q818">
        <v>1</v>
      </c>
      <c r="R818">
        <v>5</v>
      </c>
      <c r="S818">
        <v>5</v>
      </c>
      <c r="T818">
        <v>1</v>
      </c>
      <c r="U818" t="s">
        <v>30</v>
      </c>
      <c r="V818" t="s">
        <v>31</v>
      </c>
      <c r="W818" t="s">
        <v>56</v>
      </c>
      <c r="X818" t="s">
        <v>44</v>
      </c>
      <c r="Y818">
        <v>50</v>
      </c>
      <c r="Z818" s="1">
        <v>45263</v>
      </c>
      <c r="AA818" t="str" cm="1">
        <f t="array" ref="AA818">_xlfn.IFS(AND(Table2[[#This Row],[Guest_Age]]&gt;=18,Table2[[#This Row],[Guest_Age]]&lt;=25),"Young Adults",AND(Table2[[#This Row],[Guest_Age]]&gt;=26,Table2[[#This Row],[Guest_Age]]&lt;=35),"Adults",AND(Table2[[#This Row],[Guest_Age]]&gt;=36,Table2[[#This Row],[Guest_Age]]&lt;=50),"Middle Aged Adults",Table2[[#This Row],[Guest_Age]]&gt;50,"Senior")</f>
        <v>Middle Aged Adults</v>
      </c>
      <c r="AB8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818" t="str" cm="1">
        <f t="array" ref="AC818">_xlfn.IFS(Table2[[#This Row],[Satification_points]]&gt;=4.5,"GREAT",AND(Table2[[#This Row],[Satification_points]]&gt;=4,Table2[[#This Row],[Satification_points]]&lt;4.5),"GOOD",AND(Table2[[#This Row],[Satification_points]]&gt;=3,Table2[[#This Row],[Satification_points]]&lt;4),"AVERAGE",Table2[[#This Row],[Satification_points]]&lt;3,"POOR")</f>
        <v>POOR</v>
      </c>
    </row>
    <row r="819" spans="1:29" x14ac:dyDescent="0.3">
      <c r="A819">
        <v>818</v>
      </c>
      <c r="B819">
        <v>21879</v>
      </c>
      <c r="C819" t="s">
        <v>870</v>
      </c>
      <c r="D819" t="s">
        <v>41</v>
      </c>
      <c r="E819" t="s">
        <v>27</v>
      </c>
      <c r="F819" s="1">
        <v>45234</v>
      </c>
      <c r="G819" s="1">
        <v>45313</v>
      </c>
      <c r="H819">
        <v>14</v>
      </c>
      <c r="I819" t="s">
        <v>49</v>
      </c>
      <c r="J819" t="s">
        <v>43</v>
      </c>
      <c r="K819">
        <v>5</v>
      </c>
      <c r="L819">
        <v>3</v>
      </c>
      <c r="M819">
        <v>5</v>
      </c>
      <c r="N819">
        <v>5</v>
      </c>
      <c r="O819">
        <v>2</v>
      </c>
      <c r="P819">
        <v>3</v>
      </c>
      <c r="Q819">
        <v>5</v>
      </c>
      <c r="R819">
        <v>4</v>
      </c>
      <c r="S819">
        <v>3</v>
      </c>
      <c r="T819">
        <v>2</v>
      </c>
      <c r="U819" t="s">
        <v>37</v>
      </c>
      <c r="V819" t="s">
        <v>46</v>
      </c>
      <c r="W819" t="s">
        <v>56</v>
      </c>
      <c r="X819" t="s">
        <v>33</v>
      </c>
      <c r="Y819">
        <v>30</v>
      </c>
      <c r="Z819" s="1">
        <v>45313</v>
      </c>
      <c r="AA819" t="str" cm="1">
        <f t="array" ref="AA819">_xlfn.IFS(AND(Table2[[#This Row],[Guest_Age]]&gt;=18,Table2[[#This Row],[Guest_Age]]&lt;=25),"Young Adults",AND(Table2[[#This Row],[Guest_Age]]&gt;=26,Table2[[#This Row],[Guest_Age]]&lt;=35),"Adults",AND(Table2[[#This Row],[Guest_Age]]&gt;=36,Table2[[#This Row],[Guest_Age]]&lt;=50),"Middle Aged Adults",Table2[[#This Row],[Guest_Age]]&gt;50,"Senior")</f>
        <v>Adults</v>
      </c>
      <c r="AB8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19" t="str" cm="1">
        <f t="array" ref="AC819">_xlfn.IFS(Table2[[#This Row],[Satification_points]]&gt;=4.5,"GREAT",AND(Table2[[#This Row],[Satification_points]]&gt;=4,Table2[[#This Row],[Satification_points]]&lt;4.5),"GOOD",AND(Table2[[#This Row],[Satification_points]]&gt;=3,Table2[[#This Row],[Satification_points]]&lt;4),"AVERAGE",Table2[[#This Row],[Satification_points]]&lt;3,"POOR")</f>
        <v>AVERAGE</v>
      </c>
    </row>
    <row r="820" spans="1:29" x14ac:dyDescent="0.3">
      <c r="A820">
        <v>819</v>
      </c>
      <c r="B820">
        <v>24935</v>
      </c>
      <c r="C820" t="s">
        <v>871</v>
      </c>
      <c r="D820" t="s">
        <v>34</v>
      </c>
      <c r="E820" t="s">
        <v>52</v>
      </c>
      <c r="F820" s="1">
        <v>45266</v>
      </c>
      <c r="G820" s="1">
        <v>45457</v>
      </c>
      <c r="H820">
        <v>7</v>
      </c>
      <c r="I820" t="s">
        <v>42</v>
      </c>
      <c r="J820" t="s">
        <v>53</v>
      </c>
      <c r="K820">
        <v>1</v>
      </c>
      <c r="L820">
        <v>2</v>
      </c>
      <c r="M820">
        <v>1</v>
      </c>
      <c r="N820">
        <v>3</v>
      </c>
      <c r="O820">
        <v>5</v>
      </c>
      <c r="P820">
        <v>3</v>
      </c>
      <c r="Q820">
        <v>5</v>
      </c>
      <c r="R820">
        <v>1</v>
      </c>
      <c r="S820">
        <v>5</v>
      </c>
      <c r="T820">
        <v>4</v>
      </c>
      <c r="U820" t="s">
        <v>30</v>
      </c>
      <c r="V820" t="s">
        <v>31</v>
      </c>
      <c r="W820" t="s">
        <v>32</v>
      </c>
      <c r="X820" t="s">
        <v>44</v>
      </c>
      <c r="Y820">
        <v>18</v>
      </c>
      <c r="Z820" s="1">
        <v>45612</v>
      </c>
      <c r="AA820" t="str" cm="1">
        <f t="array" ref="AA820">_xlfn.IFS(AND(Table2[[#This Row],[Guest_Age]]&gt;=18,Table2[[#This Row],[Guest_Age]]&lt;=25),"Young Adults",AND(Table2[[#This Row],[Guest_Age]]&gt;=26,Table2[[#This Row],[Guest_Age]]&lt;=35),"Adults",AND(Table2[[#This Row],[Guest_Age]]&gt;=36,Table2[[#This Row],[Guest_Age]]&lt;=50),"Middle Aged Adults",Table2[[#This Row],[Guest_Age]]&gt;50,"Senior")</f>
        <v>Young Adults</v>
      </c>
      <c r="AB8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20" t="str" cm="1">
        <f t="array" ref="AC820">_xlfn.IFS(Table2[[#This Row],[Satification_points]]&gt;=4.5,"GREAT",AND(Table2[[#This Row],[Satification_points]]&gt;=4,Table2[[#This Row],[Satification_points]]&lt;4.5),"GOOD",AND(Table2[[#This Row],[Satification_points]]&gt;=3,Table2[[#This Row],[Satification_points]]&lt;4),"AVERAGE",Table2[[#This Row],[Satification_points]]&lt;3,"POOR")</f>
        <v>AVERAGE</v>
      </c>
    </row>
    <row r="821" spans="1:29" x14ac:dyDescent="0.3">
      <c r="A821">
        <v>820</v>
      </c>
      <c r="B821">
        <v>63629</v>
      </c>
      <c r="C821" t="s">
        <v>872</v>
      </c>
      <c r="D821" t="s">
        <v>34</v>
      </c>
      <c r="E821" t="s">
        <v>45</v>
      </c>
      <c r="F821" s="1">
        <v>45006</v>
      </c>
      <c r="G821" s="1">
        <v>45211</v>
      </c>
      <c r="H821">
        <v>4</v>
      </c>
      <c r="I821" t="s">
        <v>49</v>
      </c>
      <c r="J821" t="s">
        <v>53</v>
      </c>
      <c r="K821">
        <v>2</v>
      </c>
      <c r="L821">
        <v>2</v>
      </c>
      <c r="M821">
        <v>1</v>
      </c>
      <c r="N821">
        <v>2</v>
      </c>
      <c r="O821">
        <v>3</v>
      </c>
      <c r="P821">
        <v>5</v>
      </c>
      <c r="Q821">
        <v>3</v>
      </c>
      <c r="R821">
        <v>1</v>
      </c>
      <c r="S821">
        <v>1</v>
      </c>
      <c r="T821">
        <v>4</v>
      </c>
      <c r="U821" t="s">
        <v>37</v>
      </c>
      <c r="V821" t="s">
        <v>31</v>
      </c>
      <c r="W821" t="s">
        <v>55</v>
      </c>
      <c r="X821" t="s">
        <v>33</v>
      </c>
      <c r="Y821">
        <v>68</v>
      </c>
      <c r="Z821" s="1">
        <v>45297</v>
      </c>
      <c r="AA821" t="str" cm="1">
        <f t="array" ref="AA821">_xlfn.IFS(AND(Table2[[#This Row],[Guest_Age]]&gt;=18,Table2[[#This Row],[Guest_Age]]&lt;=25),"Young Adults",AND(Table2[[#This Row],[Guest_Age]]&gt;=26,Table2[[#This Row],[Guest_Age]]&lt;=35),"Adults",AND(Table2[[#This Row],[Guest_Age]]&gt;=36,Table2[[#This Row],[Guest_Age]]&lt;=50),"Middle Aged Adults",Table2[[#This Row],[Guest_Age]]&gt;50,"Senior")</f>
        <v>Senior</v>
      </c>
      <c r="AB8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821" t="str" cm="1">
        <f t="array" ref="AC821">_xlfn.IFS(Table2[[#This Row],[Satification_points]]&gt;=4.5,"GREAT",AND(Table2[[#This Row],[Satification_points]]&gt;=4,Table2[[#This Row],[Satification_points]]&lt;4.5),"GOOD",AND(Table2[[#This Row],[Satification_points]]&gt;=3,Table2[[#This Row],[Satification_points]]&lt;4),"AVERAGE",Table2[[#This Row],[Satification_points]]&lt;3,"POOR")</f>
        <v>POOR</v>
      </c>
    </row>
    <row r="822" spans="1:29" x14ac:dyDescent="0.3">
      <c r="A822">
        <v>821</v>
      </c>
      <c r="B822">
        <v>42574</v>
      </c>
      <c r="C822" t="s">
        <v>873</v>
      </c>
      <c r="D822" t="s">
        <v>48</v>
      </c>
      <c r="E822" t="s">
        <v>52</v>
      </c>
      <c r="F822" s="1">
        <v>45404</v>
      </c>
      <c r="G822" s="1">
        <v>45405</v>
      </c>
      <c r="H822">
        <v>7</v>
      </c>
      <c r="I822" t="s">
        <v>28</v>
      </c>
      <c r="J822" t="s">
        <v>29</v>
      </c>
      <c r="K822">
        <v>1</v>
      </c>
      <c r="L822">
        <v>4</v>
      </c>
      <c r="M822">
        <v>2</v>
      </c>
      <c r="N822">
        <v>2</v>
      </c>
      <c r="O822">
        <v>3</v>
      </c>
      <c r="P822">
        <v>1</v>
      </c>
      <c r="Q822">
        <v>3</v>
      </c>
      <c r="R822">
        <v>1</v>
      </c>
      <c r="S822">
        <v>1</v>
      </c>
      <c r="T822">
        <v>4</v>
      </c>
      <c r="U822" t="s">
        <v>30</v>
      </c>
      <c r="V822" t="s">
        <v>31</v>
      </c>
      <c r="W822" t="s">
        <v>56</v>
      </c>
      <c r="X822" t="s">
        <v>44</v>
      </c>
      <c r="Y822">
        <v>50</v>
      </c>
      <c r="Z822" s="1">
        <v>45405</v>
      </c>
      <c r="AA822" t="str" cm="1">
        <f t="array" ref="AA822">_xlfn.IFS(AND(Table2[[#This Row],[Guest_Age]]&gt;=18,Table2[[#This Row],[Guest_Age]]&lt;=25),"Young Adults",AND(Table2[[#This Row],[Guest_Age]]&gt;=26,Table2[[#This Row],[Guest_Age]]&lt;=35),"Adults",AND(Table2[[#This Row],[Guest_Age]]&gt;=36,Table2[[#This Row],[Guest_Age]]&lt;=50),"Middle Aged Adults",Table2[[#This Row],[Guest_Age]]&gt;50,"Senior")</f>
        <v>Middle Aged Adults</v>
      </c>
      <c r="AB8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822" t="str" cm="1">
        <f t="array" ref="AC822">_xlfn.IFS(Table2[[#This Row],[Satification_points]]&gt;=4.5,"GREAT",AND(Table2[[#This Row],[Satification_points]]&gt;=4,Table2[[#This Row],[Satification_points]]&lt;4.5),"GOOD",AND(Table2[[#This Row],[Satification_points]]&gt;=3,Table2[[#This Row],[Satification_points]]&lt;4),"AVERAGE",Table2[[#This Row],[Satification_points]]&lt;3,"POOR")</f>
        <v>POOR</v>
      </c>
    </row>
    <row r="823" spans="1:29" x14ac:dyDescent="0.3">
      <c r="A823">
        <v>822</v>
      </c>
      <c r="B823">
        <v>59666</v>
      </c>
      <c r="C823" t="s">
        <v>874</v>
      </c>
      <c r="D823" t="s">
        <v>48</v>
      </c>
      <c r="E823" t="s">
        <v>45</v>
      </c>
      <c r="F823" s="1">
        <v>45037</v>
      </c>
      <c r="G823" s="1">
        <v>45431</v>
      </c>
      <c r="H823">
        <v>10</v>
      </c>
      <c r="I823" t="s">
        <v>28</v>
      </c>
      <c r="J823" t="s">
        <v>53</v>
      </c>
      <c r="K823">
        <v>3</v>
      </c>
      <c r="L823">
        <v>1</v>
      </c>
      <c r="M823">
        <v>5</v>
      </c>
      <c r="N823">
        <v>1</v>
      </c>
      <c r="O823">
        <v>1</v>
      </c>
      <c r="P823">
        <v>3</v>
      </c>
      <c r="Q823">
        <v>3</v>
      </c>
      <c r="R823">
        <v>1</v>
      </c>
      <c r="S823">
        <v>4</v>
      </c>
      <c r="T823">
        <v>5</v>
      </c>
      <c r="U823" t="s">
        <v>37</v>
      </c>
      <c r="V823" t="s">
        <v>38</v>
      </c>
      <c r="W823" t="s">
        <v>47</v>
      </c>
      <c r="X823" t="s">
        <v>33</v>
      </c>
      <c r="Y823">
        <v>20</v>
      </c>
      <c r="Z823" s="1">
        <v>45431</v>
      </c>
      <c r="AA823" t="str" cm="1">
        <f t="array" ref="AA823">_xlfn.IFS(AND(Table2[[#This Row],[Guest_Age]]&gt;=18,Table2[[#This Row],[Guest_Age]]&lt;=25),"Young Adults",AND(Table2[[#This Row],[Guest_Age]]&gt;=26,Table2[[#This Row],[Guest_Age]]&lt;=35),"Adults",AND(Table2[[#This Row],[Guest_Age]]&gt;=36,Table2[[#This Row],[Guest_Age]]&lt;=50),"Middle Aged Adults",Table2[[#This Row],[Guest_Age]]&gt;50,"Senior")</f>
        <v>Young Adults</v>
      </c>
      <c r="AB8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23" t="str" cm="1">
        <f t="array" ref="AC823">_xlfn.IFS(Table2[[#This Row],[Satification_points]]&gt;=4.5,"GREAT",AND(Table2[[#This Row],[Satification_points]]&gt;=4,Table2[[#This Row],[Satification_points]]&lt;4.5),"GOOD",AND(Table2[[#This Row],[Satification_points]]&gt;=3,Table2[[#This Row],[Satification_points]]&lt;4),"AVERAGE",Table2[[#This Row],[Satification_points]]&lt;3,"POOR")</f>
        <v>POOR</v>
      </c>
    </row>
    <row r="824" spans="1:29" x14ac:dyDescent="0.3">
      <c r="A824">
        <v>823</v>
      </c>
      <c r="B824">
        <v>93663</v>
      </c>
      <c r="C824" t="s">
        <v>875</v>
      </c>
      <c r="D824" t="s">
        <v>51</v>
      </c>
      <c r="E824" t="s">
        <v>45</v>
      </c>
      <c r="F824" s="1">
        <v>45413</v>
      </c>
      <c r="G824" s="1">
        <v>45414</v>
      </c>
      <c r="H824">
        <v>14</v>
      </c>
      <c r="I824" t="s">
        <v>42</v>
      </c>
      <c r="J824" t="s">
        <v>36</v>
      </c>
      <c r="K824">
        <v>1</v>
      </c>
      <c r="L824">
        <v>4</v>
      </c>
      <c r="M824">
        <v>3</v>
      </c>
      <c r="N824">
        <v>5</v>
      </c>
      <c r="O824">
        <v>3</v>
      </c>
      <c r="P824">
        <v>1</v>
      </c>
      <c r="Q824">
        <v>3</v>
      </c>
      <c r="R824">
        <v>2</v>
      </c>
      <c r="S824">
        <v>5</v>
      </c>
      <c r="T824">
        <v>5</v>
      </c>
      <c r="U824" t="s">
        <v>30</v>
      </c>
      <c r="V824" t="s">
        <v>31</v>
      </c>
      <c r="W824" t="s">
        <v>47</v>
      </c>
      <c r="X824" t="s">
        <v>33</v>
      </c>
      <c r="Y824">
        <v>54</v>
      </c>
      <c r="Z824" s="1">
        <v>45414</v>
      </c>
      <c r="AA824" t="str" cm="1">
        <f t="array" ref="AA824">_xlfn.IFS(AND(Table2[[#This Row],[Guest_Age]]&gt;=18,Table2[[#This Row],[Guest_Age]]&lt;=25),"Young Adults",AND(Table2[[#This Row],[Guest_Age]]&gt;=26,Table2[[#This Row],[Guest_Age]]&lt;=35),"Adults",AND(Table2[[#This Row],[Guest_Age]]&gt;=36,Table2[[#This Row],[Guest_Age]]&lt;=50),"Middle Aged Adults",Table2[[#This Row],[Guest_Age]]&gt;50,"Senior")</f>
        <v>Senior</v>
      </c>
      <c r="AB8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24" t="str" cm="1">
        <f t="array" ref="AC824">_xlfn.IFS(Table2[[#This Row],[Satification_points]]&gt;=4.5,"GREAT",AND(Table2[[#This Row],[Satification_points]]&gt;=4,Table2[[#This Row],[Satification_points]]&lt;4.5),"GOOD",AND(Table2[[#This Row],[Satification_points]]&gt;=3,Table2[[#This Row],[Satification_points]]&lt;4),"AVERAGE",Table2[[#This Row],[Satification_points]]&lt;3,"POOR")</f>
        <v>AVERAGE</v>
      </c>
    </row>
    <row r="825" spans="1:29" x14ac:dyDescent="0.3">
      <c r="A825">
        <v>824</v>
      </c>
      <c r="B825">
        <v>84657</v>
      </c>
      <c r="C825" t="s">
        <v>876</v>
      </c>
      <c r="D825" t="s">
        <v>26</v>
      </c>
      <c r="E825" t="s">
        <v>35</v>
      </c>
      <c r="F825" s="1">
        <v>45379</v>
      </c>
      <c r="G825" s="1">
        <v>45380</v>
      </c>
      <c r="H825">
        <v>11</v>
      </c>
      <c r="I825" t="s">
        <v>28</v>
      </c>
      <c r="J825" t="s">
        <v>43</v>
      </c>
      <c r="K825">
        <v>1</v>
      </c>
      <c r="L825">
        <v>2</v>
      </c>
      <c r="M825">
        <v>2</v>
      </c>
      <c r="N825">
        <v>2</v>
      </c>
      <c r="O825">
        <v>4</v>
      </c>
      <c r="P825">
        <v>2</v>
      </c>
      <c r="Q825">
        <v>5</v>
      </c>
      <c r="R825">
        <v>3</v>
      </c>
      <c r="S825">
        <v>2</v>
      </c>
      <c r="T825">
        <v>3</v>
      </c>
      <c r="U825" t="s">
        <v>30</v>
      </c>
      <c r="V825" t="s">
        <v>54</v>
      </c>
      <c r="W825" t="s">
        <v>32</v>
      </c>
      <c r="X825" t="s">
        <v>40</v>
      </c>
      <c r="Y825">
        <v>36</v>
      </c>
      <c r="Z825" s="1">
        <v>45380</v>
      </c>
      <c r="AA825" t="str" cm="1">
        <f t="array" ref="AA8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8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25" t="str" cm="1">
        <f t="array" ref="AC825">_xlfn.IFS(Table2[[#This Row],[Satification_points]]&gt;=4.5,"GREAT",AND(Table2[[#This Row],[Satification_points]]&gt;=4,Table2[[#This Row],[Satification_points]]&lt;4.5),"GOOD",AND(Table2[[#This Row],[Satification_points]]&gt;=3,Table2[[#This Row],[Satification_points]]&lt;4),"AVERAGE",Table2[[#This Row],[Satification_points]]&lt;3,"POOR")</f>
        <v>POOR</v>
      </c>
    </row>
    <row r="826" spans="1:29" x14ac:dyDescent="0.3">
      <c r="A826">
        <v>825</v>
      </c>
      <c r="B826">
        <v>38507</v>
      </c>
      <c r="C826" t="s">
        <v>877</v>
      </c>
      <c r="D826" t="s">
        <v>48</v>
      </c>
      <c r="E826" t="s">
        <v>35</v>
      </c>
      <c r="F826" s="1">
        <v>45339</v>
      </c>
      <c r="G826" s="1">
        <v>45340</v>
      </c>
      <c r="H826">
        <v>8</v>
      </c>
      <c r="I826" t="s">
        <v>42</v>
      </c>
      <c r="J826" t="s">
        <v>29</v>
      </c>
      <c r="K826">
        <v>1</v>
      </c>
      <c r="L826">
        <v>5</v>
      </c>
      <c r="M826">
        <v>2</v>
      </c>
      <c r="N826">
        <v>2</v>
      </c>
      <c r="O826">
        <v>4</v>
      </c>
      <c r="P826">
        <v>1</v>
      </c>
      <c r="Q826">
        <v>3</v>
      </c>
      <c r="R826">
        <v>5</v>
      </c>
      <c r="S826">
        <v>3</v>
      </c>
      <c r="T826">
        <v>2</v>
      </c>
      <c r="U826" t="s">
        <v>37</v>
      </c>
      <c r="V826" t="s">
        <v>38</v>
      </c>
      <c r="W826" t="s">
        <v>56</v>
      </c>
      <c r="X826" t="s">
        <v>44</v>
      </c>
      <c r="Y826">
        <v>61</v>
      </c>
      <c r="Z826" s="1">
        <v>45340</v>
      </c>
      <c r="AA826" t="str" cm="1">
        <f t="array" ref="AA826">_xlfn.IFS(AND(Table2[[#This Row],[Guest_Age]]&gt;=18,Table2[[#This Row],[Guest_Age]]&lt;=25),"Young Adults",AND(Table2[[#This Row],[Guest_Age]]&gt;=26,Table2[[#This Row],[Guest_Age]]&lt;=35),"Adults",AND(Table2[[#This Row],[Guest_Age]]&gt;=36,Table2[[#This Row],[Guest_Age]]&lt;=50),"Middle Aged Adults",Table2[[#This Row],[Guest_Age]]&gt;50,"Senior")</f>
        <v>Senior</v>
      </c>
      <c r="AB8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26" t="str" cm="1">
        <f t="array" ref="AC826">_xlfn.IFS(Table2[[#This Row],[Satification_points]]&gt;=4.5,"GREAT",AND(Table2[[#This Row],[Satification_points]]&gt;=4,Table2[[#This Row],[Satification_points]]&lt;4.5),"GOOD",AND(Table2[[#This Row],[Satification_points]]&gt;=3,Table2[[#This Row],[Satification_points]]&lt;4),"AVERAGE",Table2[[#This Row],[Satification_points]]&lt;3,"POOR")</f>
        <v>POOR</v>
      </c>
    </row>
    <row r="827" spans="1:29" x14ac:dyDescent="0.3">
      <c r="A827">
        <v>826</v>
      </c>
      <c r="B827">
        <v>58555</v>
      </c>
      <c r="C827" t="s">
        <v>878</v>
      </c>
      <c r="D827" t="s">
        <v>48</v>
      </c>
      <c r="E827" t="s">
        <v>27</v>
      </c>
      <c r="F827" s="1">
        <v>45530</v>
      </c>
      <c r="G827" s="1">
        <v>45531</v>
      </c>
      <c r="H827">
        <v>9</v>
      </c>
      <c r="I827" t="s">
        <v>49</v>
      </c>
      <c r="J827" t="s">
        <v>43</v>
      </c>
      <c r="K827">
        <v>4</v>
      </c>
      <c r="L827">
        <v>5</v>
      </c>
      <c r="M827">
        <v>1</v>
      </c>
      <c r="N827">
        <v>4</v>
      </c>
      <c r="O827">
        <v>3</v>
      </c>
      <c r="P827">
        <v>1</v>
      </c>
      <c r="Q827">
        <v>2</v>
      </c>
      <c r="R827">
        <v>3</v>
      </c>
      <c r="S827">
        <v>5</v>
      </c>
      <c r="T827">
        <v>2</v>
      </c>
      <c r="U827" t="s">
        <v>30</v>
      </c>
      <c r="V827" t="s">
        <v>58</v>
      </c>
      <c r="W827" t="s">
        <v>55</v>
      </c>
      <c r="X827" t="s">
        <v>33</v>
      </c>
      <c r="Y827">
        <v>57</v>
      </c>
      <c r="Z827" s="1">
        <v>45531</v>
      </c>
      <c r="AA827" t="str" cm="1">
        <f t="array" ref="AA827">_xlfn.IFS(AND(Table2[[#This Row],[Guest_Age]]&gt;=18,Table2[[#This Row],[Guest_Age]]&lt;=25),"Young Adults",AND(Table2[[#This Row],[Guest_Age]]&gt;=26,Table2[[#This Row],[Guest_Age]]&lt;=35),"Adults",AND(Table2[[#This Row],[Guest_Age]]&gt;=36,Table2[[#This Row],[Guest_Age]]&lt;=50),"Middle Aged Adults",Table2[[#This Row],[Guest_Age]]&gt;50,"Senior")</f>
        <v>Senior</v>
      </c>
      <c r="AB8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27" t="str" cm="1">
        <f t="array" ref="AC827">_xlfn.IFS(Table2[[#This Row],[Satification_points]]&gt;=4.5,"GREAT",AND(Table2[[#This Row],[Satification_points]]&gt;=4,Table2[[#This Row],[Satification_points]]&lt;4.5),"GOOD",AND(Table2[[#This Row],[Satification_points]]&gt;=3,Table2[[#This Row],[Satification_points]]&lt;4),"AVERAGE",Table2[[#This Row],[Satification_points]]&lt;3,"POOR")</f>
        <v>AVERAGE</v>
      </c>
    </row>
    <row r="828" spans="1:29" x14ac:dyDescent="0.3">
      <c r="A828">
        <v>827</v>
      </c>
      <c r="B828">
        <v>26582</v>
      </c>
      <c r="C828" t="s">
        <v>879</v>
      </c>
      <c r="D828" t="s">
        <v>48</v>
      </c>
      <c r="E828" t="s">
        <v>57</v>
      </c>
      <c r="F828" s="1">
        <v>45112</v>
      </c>
      <c r="G828" s="1">
        <v>45592</v>
      </c>
      <c r="H828">
        <v>7</v>
      </c>
      <c r="I828" t="s">
        <v>42</v>
      </c>
      <c r="J828" t="s">
        <v>29</v>
      </c>
      <c r="K828">
        <v>4</v>
      </c>
      <c r="L828">
        <v>4</v>
      </c>
      <c r="M828">
        <v>4</v>
      </c>
      <c r="N828">
        <v>4</v>
      </c>
      <c r="O828">
        <v>4</v>
      </c>
      <c r="P828">
        <v>5</v>
      </c>
      <c r="Q828">
        <v>4</v>
      </c>
      <c r="R828">
        <v>3</v>
      </c>
      <c r="S828">
        <v>4</v>
      </c>
      <c r="T828">
        <v>4</v>
      </c>
      <c r="U828" t="s">
        <v>30</v>
      </c>
      <c r="V828" t="s">
        <v>46</v>
      </c>
      <c r="W828" t="s">
        <v>32</v>
      </c>
      <c r="X828" t="s">
        <v>33</v>
      </c>
      <c r="Y828">
        <v>49</v>
      </c>
      <c r="Z828" s="1">
        <v>45592</v>
      </c>
      <c r="AA828" t="str" cm="1">
        <f t="array" ref="AA8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8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828" t="str" cm="1">
        <f t="array" ref="AC828">_xlfn.IFS(Table2[[#This Row],[Satification_points]]&gt;=4.5,"GREAT",AND(Table2[[#This Row],[Satification_points]]&gt;=4,Table2[[#This Row],[Satification_points]]&lt;4.5),"GOOD",AND(Table2[[#This Row],[Satification_points]]&gt;=3,Table2[[#This Row],[Satification_points]]&lt;4),"AVERAGE",Table2[[#This Row],[Satification_points]]&lt;3,"POOR")</f>
        <v>GOOD</v>
      </c>
    </row>
    <row r="829" spans="1:29" x14ac:dyDescent="0.3">
      <c r="A829">
        <v>828</v>
      </c>
      <c r="B829">
        <v>36631</v>
      </c>
      <c r="C829" t="s">
        <v>880</v>
      </c>
      <c r="D829" t="s">
        <v>51</v>
      </c>
      <c r="E829" t="s">
        <v>27</v>
      </c>
      <c r="F829" s="1">
        <v>45479</v>
      </c>
      <c r="G829" s="1">
        <v>45480</v>
      </c>
      <c r="H829">
        <v>6</v>
      </c>
      <c r="I829" t="s">
        <v>50</v>
      </c>
      <c r="J829" t="s">
        <v>40</v>
      </c>
      <c r="K829">
        <v>3</v>
      </c>
      <c r="L829">
        <v>4</v>
      </c>
      <c r="M829">
        <v>3</v>
      </c>
      <c r="N829">
        <v>3</v>
      </c>
      <c r="O829">
        <v>5</v>
      </c>
      <c r="P829">
        <v>2</v>
      </c>
      <c r="Q829">
        <v>4</v>
      </c>
      <c r="R829">
        <v>3</v>
      </c>
      <c r="S829">
        <v>1</v>
      </c>
      <c r="T829">
        <v>3</v>
      </c>
      <c r="U829" t="s">
        <v>37</v>
      </c>
      <c r="V829" t="s">
        <v>58</v>
      </c>
      <c r="W829" t="s">
        <v>32</v>
      </c>
      <c r="X829" t="s">
        <v>40</v>
      </c>
      <c r="Y829">
        <v>22</v>
      </c>
      <c r="Z829" s="1">
        <v>45480</v>
      </c>
      <c r="AA829" t="str" cm="1">
        <f t="array" ref="AA829">_xlfn.IFS(AND(Table2[[#This Row],[Guest_Age]]&gt;=18,Table2[[#This Row],[Guest_Age]]&lt;=25),"Young Adults",AND(Table2[[#This Row],[Guest_Age]]&gt;=26,Table2[[#This Row],[Guest_Age]]&lt;=35),"Adults",AND(Table2[[#This Row],[Guest_Age]]&gt;=36,Table2[[#This Row],[Guest_Age]]&lt;=50),"Middle Aged Adults",Table2[[#This Row],[Guest_Age]]&gt;50,"Senior")</f>
        <v>Young Adults</v>
      </c>
      <c r="AB8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29" t="str" cm="1">
        <f t="array" ref="AC829">_xlfn.IFS(Table2[[#This Row],[Satification_points]]&gt;=4.5,"GREAT",AND(Table2[[#This Row],[Satification_points]]&gt;=4,Table2[[#This Row],[Satification_points]]&lt;4.5),"GOOD",AND(Table2[[#This Row],[Satification_points]]&gt;=3,Table2[[#This Row],[Satification_points]]&lt;4),"AVERAGE",Table2[[#This Row],[Satification_points]]&lt;3,"POOR")</f>
        <v>AVERAGE</v>
      </c>
    </row>
    <row r="830" spans="1:29" x14ac:dyDescent="0.3">
      <c r="A830">
        <v>829</v>
      </c>
      <c r="B830">
        <v>28164</v>
      </c>
      <c r="C830" t="s">
        <v>881</v>
      </c>
      <c r="D830" t="s">
        <v>41</v>
      </c>
      <c r="E830" t="s">
        <v>45</v>
      </c>
      <c r="F830" s="1">
        <v>45013</v>
      </c>
      <c r="G830" s="1">
        <v>45104</v>
      </c>
      <c r="H830">
        <v>5</v>
      </c>
      <c r="I830" t="s">
        <v>49</v>
      </c>
      <c r="J830" t="s">
        <v>53</v>
      </c>
      <c r="K830">
        <v>5</v>
      </c>
      <c r="L830">
        <v>1</v>
      </c>
      <c r="M830">
        <v>5</v>
      </c>
      <c r="N830">
        <v>3</v>
      </c>
      <c r="O830">
        <v>4</v>
      </c>
      <c r="P830">
        <v>3</v>
      </c>
      <c r="Q830">
        <v>5</v>
      </c>
      <c r="R830">
        <v>2</v>
      </c>
      <c r="S830">
        <v>5</v>
      </c>
      <c r="T830">
        <v>4</v>
      </c>
      <c r="U830" t="s">
        <v>30</v>
      </c>
      <c r="V830" t="s">
        <v>38</v>
      </c>
      <c r="W830" t="s">
        <v>39</v>
      </c>
      <c r="X830" t="s">
        <v>40</v>
      </c>
      <c r="Y830">
        <v>64</v>
      </c>
      <c r="Z830" s="1">
        <v>45104</v>
      </c>
      <c r="AA830" t="str" cm="1">
        <f t="array" ref="AA830">_xlfn.IFS(AND(Table2[[#This Row],[Guest_Age]]&gt;=18,Table2[[#This Row],[Guest_Age]]&lt;=25),"Young Adults",AND(Table2[[#This Row],[Guest_Age]]&gt;=26,Table2[[#This Row],[Guest_Age]]&lt;=35),"Adults",AND(Table2[[#This Row],[Guest_Age]]&gt;=36,Table2[[#This Row],[Guest_Age]]&lt;=50),"Middle Aged Adults",Table2[[#This Row],[Guest_Age]]&gt;50,"Senior")</f>
        <v>Senior</v>
      </c>
      <c r="AB8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30" t="str" cm="1">
        <f t="array" ref="AC830">_xlfn.IFS(Table2[[#This Row],[Satification_points]]&gt;=4.5,"GREAT",AND(Table2[[#This Row],[Satification_points]]&gt;=4,Table2[[#This Row],[Satification_points]]&lt;4.5),"GOOD",AND(Table2[[#This Row],[Satification_points]]&gt;=3,Table2[[#This Row],[Satification_points]]&lt;4),"AVERAGE",Table2[[#This Row],[Satification_points]]&lt;3,"POOR")</f>
        <v>AVERAGE</v>
      </c>
    </row>
    <row r="831" spans="1:29" x14ac:dyDescent="0.3">
      <c r="A831">
        <v>830</v>
      </c>
      <c r="B831">
        <v>96820</v>
      </c>
      <c r="C831" t="s">
        <v>882</v>
      </c>
      <c r="D831" t="s">
        <v>26</v>
      </c>
      <c r="E831" t="s">
        <v>57</v>
      </c>
      <c r="F831" s="1">
        <v>45150</v>
      </c>
      <c r="G831" s="1">
        <v>45151</v>
      </c>
      <c r="H831">
        <v>10</v>
      </c>
      <c r="I831" t="s">
        <v>49</v>
      </c>
      <c r="J831" t="s">
        <v>40</v>
      </c>
      <c r="K831">
        <v>4</v>
      </c>
      <c r="L831">
        <v>4</v>
      </c>
      <c r="M831">
        <v>5</v>
      </c>
      <c r="N831">
        <v>5</v>
      </c>
      <c r="O831">
        <v>5</v>
      </c>
      <c r="P831">
        <v>3</v>
      </c>
      <c r="Q831">
        <v>4</v>
      </c>
      <c r="R831">
        <v>5</v>
      </c>
      <c r="S831">
        <v>1</v>
      </c>
      <c r="T831">
        <v>5</v>
      </c>
      <c r="U831" t="s">
        <v>30</v>
      </c>
      <c r="V831" t="s">
        <v>58</v>
      </c>
      <c r="W831" t="s">
        <v>32</v>
      </c>
      <c r="X831" t="s">
        <v>40</v>
      </c>
      <c r="Y831">
        <v>60</v>
      </c>
      <c r="Z831" s="1">
        <v>45256</v>
      </c>
      <c r="AA831" t="str" cm="1">
        <f t="array" ref="AA831">_xlfn.IFS(AND(Table2[[#This Row],[Guest_Age]]&gt;=18,Table2[[#This Row],[Guest_Age]]&lt;=25),"Young Adults",AND(Table2[[#This Row],[Guest_Age]]&gt;=26,Table2[[#This Row],[Guest_Age]]&lt;=35),"Adults",AND(Table2[[#This Row],[Guest_Age]]&gt;=36,Table2[[#This Row],[Guest_Age]]&lt;=50),"Middle Aged Adults",Table2[[#This Row],[Guest_Age]]&gt;50,"Senior")</f>
        <v>Senior</v>
      </c>
      <c r="AB8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831" t="str" cm="1">
        <f t="array" ref="AC831">_xlfn.IFS(Table2[[#This Row],[Satification_points]]&gt;=4.5,"GREAT",AND(Table2[[#This Row],[Satification_points]]&gt;=4,Table2[[#This Row],[Satification_points]]&lt;4.5),"GOOD",AND(Table2[[#This Row],[Satification_points]]&gt;=3,Table2[[#This Row],[Satification_points]]&lt;4),"AVERAGE",Table2[[#This Row],[Satification_points]]&lt;3,"POOR")</f>
        <v>GOOD</v>
      </c>
    </row>
    <row r="832" spans="1:29" x14ac:dyDescent="0.3">
      <c r="A832">
        <v>831</v>
      </c>
      <c r="B832">
        <v>40646</v>
      </c>
      <c r="C832" t="s">
        <v>883</v>
      </c>
      <c r="D832" t="s">
        <v>51</v>
      </c>
      <c r="E832" t="s">
        <v>52</v>
      </c>
      <c r="F832" s="1">
        <v>44977</v>
      </c>
      <c r="G832" s="1">
        <v>45561</v>
      </c>
      <c r="H832">
        <v>10</v>
      </c>
      <c r="I832" t="s">
        <v>42</v>
      </c>
      <c r="J832" t="s">
        <v>53</v>
      </c>
      <c r="K832">
        <v>5</v>
      </c>
      <c r="L832">
        <v>4</v>
      </c>
      <c r="M832">
        <v>3</v>
      </c>
      <c r="N832">
        <v>2</v>
      </c>
      <c r="O832">
        <v>5</v>
      </c>
      <c r="P832">
        <v>1</v>
      </c>
      <c r="Q832">
        <v>4</v>
      </c>
      <c r="R832">
        <v>4</v>
      </c>
      <c r="S832">
        <v>4</v>
      </c>
      <c r="T832">
        <v>3</v>
      </c>
      <c r="U832" t="s">
        <v>37</v>
      </c>
      <c r="V832" t="s">
        <v>46</v>
      </c>
      <c r="W832" t="s">
        <v>39</v>
      </c>
      <c r="X832" t="s">
        <v>40</v>
      </c>
      <c r="Y832">
        <v>64</v>
      </c>
      <c r="Z832" s="1">
        <v>45561</v>
      </c>
      <c r="AA832" t="str" cm="1">
        <f t="array" ref="AA832">_xlfn.IFS(AND(Table2[[#This Row],[Guest_Age]]&gt;=18,Table2[[#This Row],[Guest_Age]]&lt;=25),"Young Adults",AND(Table2[[#This Row],[Guest_Age]]&gt;=26,Table2[[#This Row],[Guest_Age]]&lt;=35),"Adults",AND(Table2[[#This Row],[Guest_Age]]&gt;=36,Table2[[#This Row],[Guest_Age]]&lt;=50),"Middle Aged Adults",Table2[[#This Row],[Guest_Age]]&gt;50,"Senior")</f>
        <v>Senior</v>
      </c>
      <c r="AB8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832" t="str" cm="1">
        <f t="array" ref="AC832">_xlfn.IFS(Table2[[#This Row],[Satification_points]]&gt;=4.5,"GREAT",AND(Table2[[#This Row],[Satification_points]]&gt;=4,Table2[[#This Row],[Satification_points]]&lt;4.5),"GOOD",AND(Table2[[#This Row],[Satification_points]]&gt;=3,Table2[[#This Row],[Satification_points]]&lt;4),"AVERAGE",Table2[[#This Row],[Satification_points]]&lt;3,"POOR")</f>
        <v>AVERAGE</v>
      </c>
    </row>
    <row r="833" spans="1:29" x14ac:dyDescent="0.3">
      <c r="A833">
        <v>832</v>
      </c>
      <c r="B833">
        <v>30806</v>
      </c>
      <c r="C833" t="s">
        <v>884</v>
      </c>
      <c r="D833" t="s">
        <v>48</v>
      </c>
      <c r="E833" t="s">
        <v>45</v>
      </c>
      <c r="F833" s="1">
        <v>45052</v>
      </c>
      <c r="G833" s="1">
        <v>45650</v>
      </c>
      <c r="H833">
        <v>7</v>
      </c>
      <c r="I833" t="s">
        <v>50</v>
      </c>
      <c r="J833" t="s">
        <v>40</v>
      </c>
      <c r="K833">
        <v>4</v>
      </c>
      <c r="L833">
        <v>3</v>
      </c>
      <c r="M833">
        <v>5</v>
      </c>
      <c r="N833">
        <v>1</v>
      </c>
      <c r="O833">
        <v>5</v>
      </c>
      <c r="P833">
        <v>4</v>
      </c>
      <c r="Q833">
        <v>1</v>
      </c>
      <c r="R833">
        <v>4</v>
      </c>
      <c r="S833">
        <v>1</v>
      </c>
      <c r="T833">
        <v>4</v>
      </c>
      <c r="U833" t="s">
        <v>30</v>
      </c>
      <c r="V833" t="s">
        <v>31</v>
      </c>
      <c r="W833" t="s">
        <v>39</v>
      </c>
      <c r="X833" t="s">
        <v>40</v>
      </c>
      <c r="Y833">
        <v>54</v>
      </c>
      <c r="Z833" s="1">
        <v>45650</v>
      </c>
      <c r="AA833" t="str" cm="1">
        <f t="array" ref="AA833">_xlfn.IFS(AND(Table2[[#This Row],[Guest_Age]]&gt;=18,Table2[[#This Row],[Guest_Age]]&lt;=25),"Young Adults",AND(Table2[[#This Row],[Guest_Age]]&gt;=26,Table2[[#This Row],[Guest_Age]]&lt;=35),"Adults",AND(Table2[[#This Row],[Guest_Age]]&gt;=36,Table2[[#This Row],[Guest_Age]]&lt;=50),"Middle Aged Adults",Table2[[#This Row],[Guest_Age]]&gt;50,"Senior")</f>
        <v>Senior</v>
      </c>
      <c r="AB8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33" t="str" cm="1">
        <f t="array" ref="AC833">_xlfn.IFS(Table2[[#This Row],[Satification_points]]&gt;=4.5,"GREAT",AND(Table2[[#This Row],[Satification_points]]&gt;=4,Table2[[#This Row],[Satification_points]]&lt;4.5),"GOOD",AND(Table2[[#This Row],[Satification_points]]&gt;=3,Table2[[#This Row],[Satification_points]]&lt;4),"AVERAGE",Table2[[#This Row],[Satification_points]]&lt;3,"POOR")</f>
        <v>AVERAGE</v>
      </c>
    </row>
    <row r="834" spans="1:29" x14ac:dyDescent="0.3">
      <c r="A834">
        <v>833</v>
      </c>
      <c r="B834">
        <v>69057</v>
      </c>
      <c r="C834" t="s">
        <v>885</v>
      </c>
      <c r="D834" t="s">
        <v>41</v>
      </c>
      <c r="E834" t="s">
        <v>35</v>
      </c>
      <c r="F834" s="1">
        <v>45072</v>
      </c>
      <c r="G834" s="1">
        <v>45507</v>
      </c>
      <c r="H834">
        <v>10</v>
      </c>
      <c r="I834" t="s">
        <v>50</v>
      </c>
      <c r="J834" t="s">
        <v>43</v>
      </c>
      <c r="K834">
        <v>2</v>
      </c>
      <c r="L834">
        <v>4</v>
      </c>
      <c r="M834">
        <v>4</v>
      </c>
      <c r="N834">
        <v>1</v>
      </c>
      <c r="O834">
        <v>2</v>
      </c>
      <c r="P834">
        <v>4</v>
      </c>
      <c r="Q834">
        <v>3</v>
      </c>
      <c r="R834">
        <v>5</v>
      </c>
      <c r="S834">
        <v>4</v>
      </c>
      <c r="T834">
        <v>2</v>
      </c>
      <c r="U834" t="s">
        <v>37</v>
      </c>
      <c r="V834" t="s">
        <v>58</v>
      </c>
      <c r="W834" t="s">
        <v>56</v>
      </c>
      <c r="X834" t="s">
        <v>44</v>
      </c>
      <c r="Y834">
        <v>23</v>
      </c>
      <c r="Z834" s="1">
        <v>45507</v>
      </c>
      <c r="AA834" t="str" cm="1">
        <f t="array" ref="AA834">_xlfn.IFS(AND(Table2[[#This Row],[Guest_Age]]&gt;=18,Table2[[#This Row],[Guest_Age]]&lt;=25),"Young Adults",AND(Table2[[#This Row],[Guest_Age]]&gt;=26,Table2[[#This Row],[Guest_Age]]&lt;=35),"Adults",AND(Table2[[#This Row],[Guest_Age]]&gt;=36,Table2[[#This Row],[Guest_Age]]&lt;=50),"Middle Aged Adults",Table2[[#This Row],[Guest_Age]]&gt;50,"Senior")</f>
        <v>Young Adults</v>
      </c>
      <c r="AB8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34" t="str" cm="1">
        <f t="array" ref="AC834">_xlfn.IFS(Table2[[#This Row],[Satification_points]]&gt;=4.5,"GREAT",AND(Table2[[#This Row],[Satification_points]]&gt;=4,Table2[[#This Row],[Satification_points]]&lt;4.5),"GOOD",AND(Table2[[#This Row],[Satification_points]]&gt;=3,Table2[[#This Row],[Satification_points]]&lt;4),"AVERAGE",Table2[[#This Row],[Satification_points]]&lt;3,"POOR")</f>
        <v>AVERAGE</v>
      </c>
    </row>
    <row r="835" spans="1:29" x14ac:dyDescent="0.3">
      <c r="A835">
        <v>834</v>
      </c>
      <c r="B835">
        <v>97633</v>
      </c>
      <c r="C835" t="s">
        <v>886</v>
      </c>
      <c r="D835" t="s">
        <v>48</v>
      </c>
      <c r="E835" t="s">
        <v>27</v>
      </c>
      <c r="F835" s="1">
        <v>44967</v>
      </c>
      <c r="G835" s="1">
        <v>44984</v>
      </c>
      <c r="H835">
        <v>2</v>
      </c>
      <c r="I835" t="s">
        <v>28</v>
      </c>
      <c r="J835" t="s">
        <v>36</v>
      </c>
      <c r="K835">
        <v>2</v>
      </c>
      <c r="L835">
        <v>4</v>
      </c>
      <c r="M835">
        <v>4</v>
      </c>
      <c r="N835">
        <v>4</v>
      </c>
      <c r="O835">
        <v>1</v>
      </c>
      <c r="P835">
        <v>3</v>
      </c>
      <c r="Q835">
        <v>3</v>
      </c>
      <c r="R835">
        <v>5</v>
      </c>
      <c r="S835">
        <v>3</v>
      </c>
      <c r="T835">
        <v>1</v>
      </c>
      <c r="U835" t="s">
        <v>30</v>
      </c>
      <c r="V835" t="s">
        <v>38</v>
      </c>
      <c r="W835" t="s">
        <v>47</v>
      </c>
      <c r="X835" t="s">
        <v>33</v>
      </c>
      <c r="Y835">
        <v>53</v>
      </c>
      <c r="Z835" s="1">
        <v>45334</v>
      </c>
      <c r="AA835" t="str" cm="1">
        <f t="array" ref="AA835">_xlfn.IFS(AND(Table2[[#This Row],[Guest_Age]]&gt;=18,Table2[[#This Row],[Guest_Age]]&lt;=25),"Young Adults",AND(Table2[[#This Row],[Guest_Age]]&gt;=26,Table2[[#This Row],[Guest_Age]]&lt;=35),"Adults",AND(Table2[[#This Row],[Guest_Age]]&gt;=36,Table2[[#This Row],[Guest_Age]]&lt;=50),"Middle Aged Adults",Table2[[#This Row],[Guest_Age]]&gt;50,"Senior")</f>
        <v>Senior</v>
      </c>
      <c r="AB8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35" t="str" cm="1">
        <f t="array" ref="AC835">_xlfn.IFS(Table2[[#This Row],[Satification_points]]&gt;=4.5,"GREAT",AND(Table2[[#This Row],[Satification_points]]&gt;=4,Table2[[#This Row],[Satification_points]]&lt;4.5),"GOOD",AND(Table2[[#This Row],[Satification_points]]&gt;=3,Table2[[#This Row],[Satification_points]]&lt;4),"AVERAGE",Table2[[#This Row],[Satification_points]]&lt;3,"POOR")</f>
        <v>AVERAGE</v>
      </c>
    </row>
    <row r="836" spans="1:29" x14ac:dyDescent="0.3">
      <c r="A836">
        <v>835</v>
      </c>
      <c r="B836">
        <v>64895</v>
      </c>
      <c r="C836" t="s">
        <v>887</v>
      </c>
      <c r="D836" t="s">
        <v>51</v>
      </c>
      <c r="E836" t="s">
        <v>27</v>
      </c>
      <c r="F836" s="1">
        <v>45281</v>
      </c>
      <c r="G836" s="1">
        <v>45282</v>
      </c>
      <c r="H836">
        <v>5</v>
      </c>
      <c r="I836" t="s">
        <v>49</v>
      </c>
      <c r="J836" t="s">
        <v>29</v>
      </c>
      <c r="K836">
        <v>1</v>
      </c>
      <c r="L836">
        <v>3</v>
      </c>
      <c r="M836">
        <v>5</v>
      </c>
      <c r="N836">
        <v>3</v>
      </c>
      <c r="O836">
        <v>4</v>
      </c>
      <c r="P836">
        <v>1</v>
      </c>
      <c r="Q836">
        <v>1</v>
      </c>
      <c r="R836">
        <v>1</v>
      </c>
      <c r="S836">
        <v>2</v>
      </c>
      <c r="T836">
        <v>5</v>
      </c>
      <c r="U836" t="s">
        <v>37</v>
      </c>
      <c r="V836" t="s">
        <v>54</v>
      </c>
      <c r="W836" t="s">
        <v>55</v>
      </c>
      <c r="X836" t="s">
        <v>44</v>
      </c>
      <c r="Y836">
        <v>54</v>
      </c>
      <c r="Z836" s="1">
        <v>45282</v>
      </c>
      <c r="AA836" t="str" cm="1">
        <f t="array" ref="AA836">_xlfn.IFS(AND(Table2[[#This Row],[Guest_Age]]&gt;=18,Table2[[#This Row],[Guest_Age]]&lt;=25),"Young Adults",AND(Table2[[#This Row],[Guest_Age]]&gt;=26,Table2[[#This Row],[Guest_Age]]&lt;=35),"Adults",AND(Table2[[#This Row],[Guest_Age]]&gt;=36,Table2[[#This Row],[Guest_Age]]&lt;=50),"Middle Aged Adults",Table2[[#This Row],[Guest_Age]]&gt;50,"Senior")</f>
        <v>Senior</v>
      </c>
      <c r="AB8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36" t="str" cm="1">
        <f t="array" ref="AC836">_xlfn.IFS(Table2[[#This Row],[Satification_points]]&gt;=4.5,"GREAT",AND(Table2[[#This Row],[Satification_points]]&gt;=4,Table2[[#This Row],[Satification_points]]&lt;4.5),"GOOD",AND(Table2[[#This Row],[Satification_points]]&gt;=3,Table2[[#This Row],[Satification_points]]&lt;4),"AVERAGE",Table2[[#This Row],[Satification_points]]&lt;3,"POOR")</f>
        <v>POOR</v>
      </c>
    </row>
    <row r="837" spans="1:29" x14ac:dyDescent="0.3">
      <c r="A837">
        <v>836</v>
      </c>
      <c r="B837">
        <v>57974</v>
      </c>
      <c r="C837" t="s">
        <v>888</v>
      </c>
      <c r="D837" t="s">
        <v>34</v>
      </c>
      <c r="E837" t="s">
        <v>52</v>
      </c>
      <c r="F837" s="1">
        <v>45371</v>
      </c>
      <c r="G837" s="1">
        <v>45372</v>
      </c>
      <c r="H837">
        <v>13</v>
      </c>
      <c r="I837" t="s">
        <v>28</v>
      </c>
      <c r="J837" t="s">
        <v>53</v>
      </c>
      <c r="K837">
        <v>5</v>
      </c>
      <c r="L837">
        <v>2</v>
      </c>
      <c r="M837">
        <v>2</v>
      </c>
      <c r="N837">
        <v>5</v>
      </c>
      <c r="O837">
        <v>2</v>
      </c>
      <c r="P837">
        <v>1</v>
      </c>
      <c r="Q837">
        <v>5</v>
      </c>
      <c r="R837">
        <v>3</v>
      </c>
      <c r="S837">
        <v>1</v>
      </c>
      <c r="T837">
        <v>4</v>
      </c>
      <c r="U837" t="s">
        <v>37</v>
      </c>
      <c r="V837" t="s">
        <v>46</v>
      </c>
      <c r="W837" t="s">
        <v>32</v>
      </c>
      <c r="X837" t="s">
        <v>40</v>
      </c>
      <c r="Y837">
        <v>30</v>
      </c>
      <c r="Z837" s="1">
        <v>45433</v>
      </c>
      <c r="AA837" t="str" cm="1">
        <f t="array" ref="AA837">_xlfn.IFS(AND(Table2[[#This Row],[Guest_Age]]&gt;=18,Table2[[#This Row],[Guest_Age]]&lt;=25),"Young Adults",AND(Table2[[#This Row],[Guest_Age]]&gt;=26,Table2[[#This Row],[Guest_Age]]&lt;=35),"Adults",AND(Table2[[#This Row],[Guest_Age]]&gt;=36,Table2[[#This Row],[Guest_Age]]&lt;=50),"Middle Aged Adults",Table2[[#This Row],[Guest_Age]]&gt;50,"Senior")</f>
        <v>Adults</v>
      </c>
      <c r="AB8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37" t="str" cm="1">
        <f t="array" ref="AC837">_xlfn.IFS(Table2[[#This Row],[Satification_points]]&gt;=4.5,"GREAT",AND(Table2[[#This Row],[Satification_points]]&gt;=4,Table2[[#This Row],[Satification_points]]&lt;4.5),"GOOD",AND(Table2[[#This Row],[Satification_points]]&gt;=3,Table2[[#This Row],[Satification_points]]&lt;4),"AVERAGE",Table2[[#This Row],[Satification_points]]&lt;3,"POOR")</f>
        <v>AVERAGE</v>
      </c>
    </row>
    <row r="838" spans="1:29" x14ac:dyDescent="0.3">
      <c r="A838">
        <v>837</v>
      </c>
      <c r="B838">
        <v>21284</v>
      </c>
      <c r="C838" t="s">
        <v>889</v>
      </c>
      <c r="D838" t="s">
        <v>48</v>
      </c>
      <c r="E838" t="s">
        <v>27</v>
      </c>
      <c r="F838" s="1">
        <v>45289</v>
      </c>
      <c r="G838" s="1">
        <v>45502</v>
      </c>
      <c r="H838">
        <v>8</v>
      </c>
      <c r="I838" t="s">
        <v>49</v>
      </c>
      <c r="J838" t="s">
        <v>29</v>
      </c>
      <c r="K838">
        <v>1</v>
      </c>
      <c r="L838">
        <v>2</v>
      </c>
      <c r="M838">
        <v>5</v>
      </c>
      <c r="N838">
        <v>4</v>
      </c>
      <c r="O838">
        <v>1</v>
      </c>
      <c r="P838">
        <v>2</v>
      </c>
      <c r="Q838">
        <v>2</v>
      </c>
      <c r="R838">
        <v>1</v>
      </c>
      <c r="S838">
        <v>5</v>
      </c>
      <c r="T838">
        <v>3</v>
      </c>
      <c r="U838" t="s">
        <v>30</v>
      </c>
      <c r="V838" t="s">
        <v>58</v>
      </c>
      <c r="W838" t="s">
        <v>56</v>
      </c>
      <c r="X838" t="s">
        <v>33</v>
      </c>
      <c r="Y838">
        <v>29</v>
      </c>
      <c r="Z838" s="1">
        <v>45502</v>
      </c>
      <c r="AA838" t="str" cm="1">
        <f t="array" ref="AA838">_xlfn.IFS(AND(Table2[[#This Row],[Guest_Age]]&gt;=18,Table2[[#This Row],[Guest_Age]]&lt;=25),"Young Adults",AND(Table2[[#This Row],[Guest_Age]]&gt;=26,Table2[[#This Row],[Guest_Age]]&lt;=35),"Adults",AND(Table2[[#This Row],[Guest_Age]]&gt;=36,Table2[[#This Row],[Guest_Age]]&lt;=50),"Middle Aged Adults",Table2[[#This Row],[Guest_Age]]&gt;50,"Senior")</f>
        <v>Adults</v>
      </c>
      <c r="AB8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38" t="str" cm="1">
        <f t="array" ref="AC838">_xlfn.IFS(Table2[[#This Row],[Satification_points]]&gt;=4.5,"GREAT",AND(Table2[[#This Row],[Satification_points]]&gt;=4,Table2[[#This Row],[Satification_points]]&lt;4.5),"GOOD",AND(Table2[[#This Row],[Satification_points]]&gt;=3,Table2[[#This Row],[Satification_points]]&lt;4),"AVERAGE",Table2[[#This Row],[Satification_points]]&lt;3,"POOR")</f>
        <v>POOR</v>
      </c>
    </row>
    <row r="839" spans="1:29" x14ac:dyDescent="0.3">
      <c r="A839">
        <v>838</v>
      </c>
      <c r="B839">
        <v>23857</v>
      </c>
      <c r="C839" t="s">
        <v>890</v>
      </c>
      <c r="D839" t="s">
        <v>41</v>
      </c>
      <c r="E839" t="s">
        <v>27</v>
      </c>
      <c r="F839" s="1">
        <v>45462</v>
      </c>
      <c r="G839" s="1">
        <v>45463</v>
      </c>
      <c r="H839">
        <v>6</v>
      </c>
      <c r="I839" t="s">
        <v>49</v>
      </c>
      <c r="J839" t="s">
        <v>36</v>
      </c>
      <c r="K839">
        <v>1</v>
      </c>
      <c r="L839">
        <v>3</v>
      </c>
      <c r="M839">
        <v>5</v>
      </c>
      <c r="N839">
        <v>4</v>
      </c>
      <c r="O839">
        <v>2</v>
      </c>
      <c r="P839">
        <v>5</v>
      </c>
      <c r="Q839">
        <v>5</v>
      </c>
      <c r="R839">
        <v>2</v>
      </c>
      <c r="S839">
        <v>3</v>
      </c>
      <c r="T839">
        <v>3</v>
      </c>
      <c r="U839" t="s">
        <v>37</v>
      </c>
      <c r="V839" t="s">
        <v>54</v>
      </c>
      <c r="W839" t="s">
        <v>55</v>
      </c>
      <c r="X839" t="s">
        <v>44</v>
      </c>
      <c r="Y839">
        <v>23</v>
      </c>
      <c r="Z839" s="1">
        <v>45464</v>
      </c>
      <c r="AA839" t="str" cm="1">
        <f t="array" ref="AA839">_xlfn.IFS(AND(Table2[[#This Row],[Guest_Age]]&gt;=18,Table2[[#This Row],[Guest_Age]]&lt;=25),"Young Adults",AND(Table2[[#This Row],[Guest_Age]]&gt;=26,Table2[[#This Row],[Guest_Age]]&lt;=35),"Adults",AND(Table2[[#This Row],[Guest_Age]]&gt;=36,Table2[[#This Row],[Guest_Age]]&lt;=50),"Middle Aged Adults",Table2[[#This Row],[Guest_Age]]&gt;50,"Senior")</f>
        <v>Young Adults</v>
      </c>
      <c r="AB8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39" t="str" cm="1">
        <f t="array" ref="AC839">_xlfn.IFS(Table2[[#This Row],[Satification_points]]&gt;=4.5,"GREAT",AND(Table2[[#This Row],[Satification_points]]&gt;=4,Table2[[#This Row],[Satification_points]]&lt;4.5),"GOOD",AND(Table2[[#This Row],[Satification_points]]&gt;=3,Table2[[#This Row],[Satification_points]]&lt;4),"AVERAGE",Table2[[#This Row],[Satification_points]]&lt;3,"POOR")</f>
        <v>AVERAGE</v>
      </c>
    </row>
    <row r="840" spans="1:29" x14ac:dyDescent="0.3">
      <c r="A840">
        <v>839</v>
      </c>
      <c r="B840">
        <v>95424</v>
      </c>
      <c r="C840" t="s">
        <v>891</v>
      </c>
      <c r="D840" t="s">
        <v>26</v>
      </c>
      <c r="E840" t="s">
        <v>57</v>
      </c>
      <c r="F840" s="1">
        <v>45210</v>
      </c>
      <c r="G840" s="1">
        <v>45211</v>
      </c>
      <c r="H840">
        <v>6</v>
      </c>
      <c r="I840" t="s">
        <v>49</v>
      </c>
      <c r="J840" t="s">
        <v>40</v>
      </c>
      <c r="K840">
        <v>4</v>
      </c>
      <c r="L840">
        <v>1</v>
      </c>
      <c r="M840">
        <v>3</v>
      </c>
      <c r="N840">
        <v>5</v>
      </c>
      <c r="O840">
        <v>4</v>
      </c>
      <c r="P840">
        <v>4</v>
      </c>
      <c r="Q840">
        <v>2</v>
      </c>
      <c r="R840">
        <v>2</v>
      </c>
      <c r="S840">
        <v>2</v>
      </c>
      <c r="T840">
        <v>4</v>
      </c>
      <c r="U840" t="s">
        <v>37</v>
      </c>
      <c r="V840" t="s">
        <v>46</v>
      </c>
      <c r="W840" t="s">
        <v>32</v>
      </c>
      <c r="X840" t="s">
        <v>40</v>
      </c>
      <c r="Y840">
        <v>47</v>
      </c>
      <c r="Z840" s="1">
        <v>45605</v>
      </c>
      <c r="AA840" t="str" cm="1">
        <f t="array" ref="AA8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8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40" t="str" cm="1">
        <f t="array" ref="AC840">_xlfn.IFS(Table2[[#This Row],[Satification_points]]&gt;=4.5,"GREAT",AND(Table2[[#This Row],[Satification_points]]&gt;=4,Table2[[#This Row],[Satification_points]]&lt;4.5),"GOOD",AND(Table2[[#This Row],[Satification_points]]&gt;=3,Table2[[#This Row],[Satification_points]]&lt;4),"AVERAGE",Table2[[#This Row],[Satification_points]]&lt;3,"POOR")</f>
        <v>AVERAGE</v>
      </c>
    </row>
    <row r="841" spans="1:29" x14ac:dyDescent="0.3">
      <c r="A841">
        <v>840</v>
      </c>
      <c r="B841">
        <v>50440</v>
      </c>
      <c r="C841" t="s">
        <v>892</v>
      </c>
      <c r="D841" t="s">
        <v>34</v>
      </c>
      <c r="E841" t="s">
        <v>45</v>
      </c>
      <c r="F841" s="1">
        <v>44962</v>
      </c>
      <c r="G841" s="1">
        <v>44963</v>
      </c>
      <c r="H841">
        <v>1</v>
      </c>
      <c r="I841" t="s">
        <v>49</v>
      </c>
      <c r="J841" t="s">
        <v>43</v>
      </c>
      <c r="K841">
        <v>4</v>
      </c>
      <c r="L841">
        <v>4</v>
      </c>
      <c r="M841">
        <v>4</v>
      </c>
      <c r="N841">
        <v>5</v>
      </c>
      <c r="O841">
        <v>5</v>
      </c>
      <c r="P841">
        <v>1</v>
      </c>
      <c r="Q841">
        <v>2</v>
      </c>
      <c r="R841">
        <v>5</v>
      </c>
      <c r="S841">
        <v>5</v>
      </c>
      <c r="T841">
        <v>2</v>
      </c>
      <c r="U841" t="s">
        <v>30</v>
      </c>
      <c r="V841" t="s">
        <v>58</v>
      </c>
      <c r="W841" t="s">
        <v>47</v>
      </c>
      <c r="X841" t="s">
        <v>44</v>
      </c>
      <c r="Y841">
        <v>54</v>
      </c>
      <c r="Z841" s="1">
        <v>45098</v>
      </c>
      <c r="AA841" t="str" cm="1">
        <f t="array" ref="AA841">_xlfn.IFS(AND(Table2[[#This Row],[Guest_Age]]&gt;=18,Table2[[#This Row],[Guest_Age]]&lt;=25),"Young Adults",AND(Table2[[#This Row],[Guest_Age]]&gt;=26,Table2[[#This Row],[Guest_Age]]&lt;=35),"Adults",AND(Table2[[#This Row],[Guest_Age]]&gt;=36,Table2[[#This Row],[Guest_Age]]&lt;=50),"Middle Aged Adults",Table2[[#This Row],[Guest_Age]]&gt;50,"Senior")</f>
        <v>Senior</v>
      </c>
      <c r="AB8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41" t="str" cm="1">
        <f t="array" ref="AC841">_xlfn.IFS(Table2[[#This Row],[Satification_points]]&gt;=4.5,"GREAT",AND(Table2[[#This Row],[Satification_points]]&gt;=4,Table2[[#This Row],[Satification_points]]&lt;4.5),"GOOD",AND(Table2[[#This Row],[Satification_points]]&gt;=3,Table2[[#This Row],[Satification_points]]&lt;4),"AVERAGE",Table2[[#This Row],[Satification_points]]&lt;3,"POOR")</f>
        <v>AVERAGE</v>
      </c>
    </row>
    <row r="842" spans="1:29" x14ac:dyDescent="0.3">
      <c r="A842">
        <v>841</v>
      </c>
      <c r="B842">
        <v>56106</v>
      </c>
      <c r="C842" t="s">
        <v>893</v>
      </c>
      <c r="D842" t="s">
        <v>48</v>
      </c>
      <c r="E842" t="s">
        <v>57</v>
      </c>
      <c r="F842" s="1">
        <v>45203</v>
      </c>
      <c r="G842" s="1">
        <v>45204</v>
      </c>
      <c r="H842">
        <v>2</v>
      </c>
      <c r="I842" t="s">
        <v>42</v>
      </c>
      <c r="J842" t="s">
        <v>29</v>
      </c>
      <c r="K842">
        <v>1</v>
      </c>
      <c r="L842">
        <v>1</v>
      </c>
      <c r="M842">
        <v>2</v>
      </c>
      <c r="N842">
        <v>2</v>
      </c>
      <c r="O842">
        <v>2</v>
      </c>
      <c r="P842">
        <v>3</v>
      </c>
      <c r="Q842">
        <v>1</v>
      </c>
      <c r="R842">
        <v>2</v>
      </c>
      <c r="S842">
        <v>5</v>
      </c>
      <c r="T842">
        <v>4</v>
      </c>
      <c r="U842" t="s">
        <v>30</v>
      </c>
      <c r="V842" t="s">
        <v>38</v>
      </c>
      <c r="W842" t="s">
        <v>47</v>
      </c>
      <c r="X842" t="s">
        <v>44</v>
      </c>
      <c r="Y842">
        <v>45</v>
      </c>
      <c r="Z842" s="1">
        <v>45246</v>
      </c>
      <c r="AA842" t="str" cm="1">
        <f t="array" ref="AA8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8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842" t="str" cm="1">
        <f t="array" ref="AC842">_xlfn.IFS(Table2[[#This Row],[Satification_points]]&gt;=4.5,"GREAT",AND(Table2[[#This Row],[Satification_points]]&gt;=4,Table2[[#This Row],[Satification_points]]&lt;4.5),"GOOD",AND(Table2[[#This Row],[Satification_points]]&gt;=3,Table2[[#This Row],[Satification_points]]&lt;4),"AVERAGE",Table2[[#This Row],[Satification_points]]&lt;3,"POOR")</f>
        <v>POOR</v>
      </c>
    </row>
    <row r="843" spans="1:29" x14ac:dyDescent="0.3">
      <c r="A843">
        <v>842</v>
      </c>
      <c r="B843">
        <v>28951</v>
      </c>
      <c r="C843" t="s">
        <v>894</v>
      </c>
      <c r="D843" t="s">
        <v>48</v>
      </c>
      <c r="E843" t="s">
        <v>57</v>
      </c>
      <c r="F843" s="1">
        <v>45622</v>
      </c>
      <c r="G843" s="1">
        <v>45623</v>
      </c>
      <c r="H843">
        <v>3</v>
      </c>
      <c r="I843" t="s">
        <v>50</v>
      </c>
      <c r="J843" t="s">
        <v>40</v>
      </c>
      <c r="K843">
        <v>4</v>
      </c>
      <c r="L843">
        <v>5</v>
      </c>
      <c r="M843">
        <v>3</v>
      </c>
      <c r="N843">
        <v>5</v>
      </c>
      <c r="O843">
        <v>1</v>
      </c>
      <c r="P843">
        <v>4</v>
      </c>
      <c r="Q843">
        <v>5</v>
      </c>
      <c r="R843">
        <v>5</v>
      </c>
      <c r="S843">
        <v>4</v>
      </c>
      <c r="T843">
        <v>5</v>
      </c>
      <c r="U843" t="s">
        <v>37</v>
      </c>
      <c r="V843" t="s">
        <v>54</v>
      </c>
      <c r="W843" t="s">
        <v>39</v>
      </c>
      <c r="X843" t="s">
        <v>40</v>
      </c>
      <c r="Y843">
        <v>27</v>
      </c>
      <c r="Z843" s="1">
        <v>45623</v>
      </c>
      <c r="AA843" t="str" cm="1">
        <f t="array" ref="AA843">_xlfn.IFS(AND(Table2[[#This Row],[Guest_Age]]&gt;=18,Table2[[#This Row],[Guest_Age]]&lt;=25),"Young Adults",AND(Table2[[#This Row],[Guest_Age]]&gt;=26,Table2[[#This Row],[Guest_Age]]&lt;=35),"Adults",AND(Table2[[#This Row],[Guest_Age]]&gt;=36,Table2[[#This Row],[Guest_Age]]&lt;=50),"Middle Aged Adults",Table2[[#This Row],[Guest_Age]]&gt;50,"Senior")</f>
        <v>Adults</v>
      </c>
      <c r="AB8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843" t="str" cm="1">
        <f t="array" ref="AC843">_xlfn.IFS(Table2[[#This Row],[Satification_points]]&gt;=4.5,"GREAT",AND(Table2[[#This Row],[Satification_points]]&gt;=4,Table2[[#This Row],[Satification_points]]&lt;4.5),"GOOD",AND(Table2[[#This Row],[Satification_points]]&gt;=3,Table2[[#This Row],[Satification_points]]&lt;4),"AVERAGE",Table2[[#This Row],[Satification_points]]&lt;3,"POOR")</f>
        <v>GOOD</v>
      </c>
    </row>
    <row r="844" spans="1:29" x14ac:dyDescent="0.3">
      <c r="A844">
        <v>843</v>
      </c>
      <c r="B844">
        <v>31009</v>
      </c>
      <c r="C844" t="s">
        <v>895</v>
      </c>
      <c r="D844" t="s">
        <v>41</v>
      </c>
      <c r="E844" t="s">
        <v>27</v>
      </c>
      <c r="F844" s="1">
        <v>45251</v>
      </c>
      <c r="G844" s="1">
        <v>45628</v>
      </c>
      <c r="H844">
        <v>7</v>
      </c>
      <c r="I844" t="s">
        <v>49</v>
      </c>
      <c r="J844" t="s">
        <v>53</v>
      </c>
      <c r="K844">
        <v>2</v>
      </c>
      <c r="L844">
        <v>1</v>
      </c>
      <c r="M844">
        <v>3</v>
      </c>
      <c r="N844">
        <v>5</v>
      </c>
      <c r="O844">
        <v>1</v>
      </c>
      <c r="P844">
        <v>5</v>
      </c>
      <c r="Q844">
        <v>3</v>
      </c>
      <c r="R844">
        <v>4</v>
      </c>
      <c r="S844">
        <v>2</v>
      </c>
      <c r="T844">
        <v>3</v>
      </c>
      <c r="U844" t="s">
        <v>37</v>
      </c>
      <c r="V844" t="s">
        <v>54</v>
      </c>
      <c r="W844" t="s">
        <v>39</v>
      </c>
      <c r="X844" t="s">
        <v>33</v>
      </c>
      <c r="Y844">
        <v>45</v>
      </c>
      <c r="Z844" s="1">
        <v>45628</v>
      </c>
      <c r="AA844" t="str" cm="1">
        <f t="array" ref="AA8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8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44" t="str" cm="1">
        <f t="array" ref="AC844">_xlfn.IFS(Table2[[#This Row],[Satification_points]]&gt;=4.5,"GREAT",AND(Table2[[#This Row],[Satification_points]]&gt;=4,Table2[[#This Row],[Satification_points]]&lt;4.5),"GOOD",AND(Table2[[#This Row],[Satification_points]]&gt;=3,Table2[[#This Row],[Satification_points]]&lt;4),"AVERAGE",Table2[[#This Row],[Satification_points]]&lt;3,"POOR")</f>
        <v>POOR</v>
      </c>
    </row>
    <row r="845" spans="1:29" x14ac:dyDescent="0.3">
      <c r="A845">
        <v>844</v>
      </c>
      <c r="B845">
        <v>99010</v>
      </c>
      <c r="C845" t="s">
        <v>896</v>
      </c>
      <c r="D845" t="s">
        <v>34</v>
      </c>
      <c r="E845" t="s">
        <v>45</v>
      </c>
      <c r="F845" s="1">
        <v>45592</v>
      </c>
      <c r="G845" s="1">
        <v>45593</v>
      </c>
      <c r="H845">
        <v>12</v>
      </c>
      <c r="I845" t="s">
        <v>28</v>
      </c>
      <c r="J845" t="s">
        <v>29</v>
      </c>
      <c r="K845">
        <v>2</v>
      </c>
      <c r="L845">
        <v>4</v>
      </c>
      <c r="M845">
        <v>2</v>
      </c>
      <c r="N845">
        <v>4</v>
      </c>
      <c r="O845">
        <v>1</v>
      </c>
      <c r="P845">
        <v>1</v>
      </c>
      <c r="Q845">
        <v>5</v>
      </c>
      <c r="R845">
        <v>3</v>
      </c>
      <c r="S845">
        <v>5</v>
      </c>
      <c r="T845">
        <v>5</v>
      </c>
      <c r="U845" t="s">
        <v>37</v>
      </c>
      <c r="V845" t="s">
        <v>58</v>
      </c>
      <c r="W845" t="s">
        <v>55</v>
      </c>
      <c r="X845" t="s">
        <v>40</v>
      </c>
      <c r="Y845">
        <v>23</v>
      </c>
      <c r="Z845" s="1">
        <v>45593</v>
      </c>
      <c r="AA845" t="str" cm="1">
        <f t="array" ref="AA845">_xlfn.IFS(AND(Table2[[#This Row],[Guest_Age]]&gt;=18,Table2[[#This Row],[Guest_Age]]&lt;=25),"Young Adults",AND(Table2[[#This Row],[Guest_Age]]&gt;=26,Table2[[#This Row],[Guest_Age]]&lt;=35),"Adults",AND(Table2[[#This Row],[Guest_Age]]&gt;=36,Table2[[#This Row],[Guest_Age]]&lt;=50),"Middle Aged Adults",Table2[[#This Row],[Guest_Age]]&gt;50,"Senior")</f>
        <v>Young Adults</v>
      </c>
      <c r="AB8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45" t="str" cm="1">
        <f t="array" ref="AC845">_xlfn.IFS(Table2[[#This Row],[Satification_points]]&gt;=4.5,"GREAT",AND(Table2[[#This Row],[Satification_points]]&gt;=4,Table2[[#This Row],[Satification_points]]&lt;4.5),"GOOD",AND(Table2[[#This Row],[Satification_points]]&gt;=3,Table2[[#This Row],[Satification_points]]&lt;4),"AVERAGE",Table2[[#This Row],[Satification_points]]&lt;3,"POOR")</f>
        <v>AVERAGE</v>
      </c>
    </row>
    <row r="846" spans="1:29" x14ac:dyDescent="0.3">
      <c r="A846">
        <v>845</v>
      </c>
      <c r="B846">
        <v>24835</v>
      </c>
      <c r="C846" t="s">
        <v>897</v>
      </c>
      <c r="D846" t="s">
        <v>34</v>
      </c>
      <c r="E846" t="s">
        <v>27</v>
      </c>
      <c r="F846" s="1">
        <v>45108</v>
      </c>
      <c r="G846" s="1">
        <v>45237</v>
      </c>
      <c r="H846">
        <v>10</v>
      </c>
      <c r="I846" t="s">
        <v>28</v>
      </c>
      <c r="J846" t="s">
        <v>29</v>
      </c>
      <c r="K846">
        <v>5</v>
      </c>
      <c r="L846">
        <v>2</v>
      </c>
      <c r="M846">
        <v>2</v>
      </c>
      <c r="N846">
        <v>4</v>
      </c>
      <c r="O846">
        <v>2</v>
      </c>
      <c r="P846">
        <v>4</v>
      </c>
      <c r="Q846">
        <v>5</v>
      </c>
      <c r="R846">
        <v>2</v>
      </c>
      <c r="S846">
        <v>5</v>
      </c>
      <c r="T846">
        <v>1</v>
      </c>
      <c r="U846" t="s">
        <v>37</v>
      </c>
      <c r="V846" t="s">
        <v>58</v>
      </c>
      <c r="W846" t="s">
        <v>32</v>
      </c>
      <c r="X846" t="s">
        <v>40</v>
      </c>
      <c r="Y846">
        <v>26</v>
      </c>
      <c r="Z846" s="1">
        <v>45237</v>
      </c>
      <c r="AA846" t="str" cm="1">
        <f t="array" ref="AA846">_xlfn.IFS(AND(Table2[[#This Row],[Guest_Age]]&gt;=18,Table2[[#This Row],[Guest_Age]]&lt;=25),"Young Adults",AND(Table2[[#This Row],[Guest_Age]]&gt;=26,Table2[[#This Row],[Guest_Age]]&lt;=35),"Adults",AND(Table2[[#This Row],[Guest_Age]]&gt;=36,Table2[[#This Row],[Guest_Age]]&lt;=50),"Middle Aged Adults",Table2[[#This Row],[Guest_Age]]&gt;50,"Senior")</f>
        <v>Adults</v>
      </c>
      <c r="AB8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46" t="str" cm="1">
        <f t="array" ref="AC846">_xlfn.IFS(Table2[[#This Row],[Satification_points]]&gt;=4.5,"GREAT",AND(Table2[[#This Row],[Satification_points]]&gt;=4,Table2[[#This Row],[Satification_points]]&lt;4.5),"GOOD",AND(Table2[[#This Row],[Satification_points]]&gt;=3,Table2[[#This Row],[Satification_points]]&lt;4),"AVERAGE",Table2[[#This Row],[Satification_points]]&lt;3,"POOR")</f>
        <v>AVERAGE</v>
      </c>
    </row>
    <row r="847" spans="1:29" x14ac:dyDescent="0.3">
      <c r="A847">
        <v>846</v>
      </c>
      <c r="B847">
        <v>80888</v>
      </c>
      <c r="C847" t="s">
        <v>898</v>
      </c>
      <c r="D847" t="s">
        <v>34</v>
      </c>
      <c r="E847" t="s">
        <v>27</v>
      </c>
      <c r="F847" s="1">
        <v>45397</v>
      </c>
      <c r="G847" s="1">
        <v>45548</v>
      </c>
      <c r="H847">
        <v>6</v>
      </c>
      <c r="I847" t="s">
        <v>42</v>
      </c>
      <c r="J847" t="s">
        <v>53</v>
      </c>
      <c r="K847">
        <v>2</v>
      </c>
      <c r="L847">
        <v>4</v>
      </c>
      <c r="M847">
        <v>3</v>
      </c>
      <c r="N847">
        <v>1</v>
      </c>
      <c r="O847">
        <v>1</v>
      </c>
      <c r="P847">
        <v>1</v>
      </c>
      <c r="Q847">
        <v>2</v>
      </c>
      <c r="R847">
        <v>1</v>
      </c>
      <c r="S847">
        <v>5</v>
      </c>
      <c r="T847">
        <v>2</v>
      </c>
      <c r="U847" t="s">
        <v>37</v>
      </c>
      <c r="V847" t="s">
        <v>38</v>
      </c>
      <c r="W847" t="s">
        <v>39</v>
      </c>
      <c r="X847" t="s">
        <v>44</v>
      </c>
      <c r="Y847">
        <v>41</v>
      </c>
      <c r="Z847" s="1">
        <v>45548</v>
      </c>
      <c r="AA847" t="str" cm="1">
        <f t="array" ref="AA8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8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847" t="str" cm="1">
        <f t="array" ref="AC847">_xlfn.IFS(Table2[[#This Row],[Satification_points]]&gt;=4.5,"GREAT",AND(Table2[[#This Row],[Satification_points]]&gt;=4,Table2[[#This Row],[Satification_points]]&lt;4.5),"GOOD",AND(Table2[[#This Row],[Satification_points]]&gt;=3,Table2[[#This Row],[Satification_points]]&lt;4),"AVERAGE",Table2[[#This Row],[Satification_points]]&lt;3,"POOR")</f>
        <v>POOR</v>
      </c>
    </row>
    <row r="848" spans="1:29" x14ac:dyDescent="0.3">
      <c r="A848">
        <v>847</v>
      </c>
      <c r="B848">
        <v>52290</v>
      </c>
      <c r="C848" t="s">
        <v>899</v>
      </c>
      <c r="D848" t="s">
        <v>48</v>
      </c>
      <c r="E848" t="s">
        <v>57</v>
      </c>
      <c r="F848" s="1">
        <v>45343</v>
      </c>
      <c r="G848" s="1">
        <v>45344</v>
      </c>
      <c r="H848">
        <v>5</v>
      </c>
      <c r="I848" t="s">
        <v>50</v>
      </c>
      <c r="J848" t="s">
        <v>36</v>
      </c>
      <c r="K848">
        <v>1</v>
      </c>
      <c r="L848">
        <v>4</v>
      </c>
      <c r="M848">
        <v>5</v>
      </c>
      <c r="N848">
        <v>1</v>
      </c>
      <c r="O848">
        <v>3</v>
      </c>
      <c r="P848">
        <v>5</v>
      </c>
      <c r="Q848">
        <v>2</v>
      </c>
      <c r="R848">
        <v>2</v>
      </c>
      <c r="S848">
        <v>3</v>
      </c>
      <c r="T848">
        <v>4</v>
      </c>
      <c r="U848" t="s">
        <v>30</v>
      </c>
      <c r="V848" t="s">
        <v>38</v>
      </c>
      <c r="W848" t="s">
        <v>56</v>
      </c>
      <c r="X848" t="s">
        <v>33</v>
      </c>
      <c r="Y848">
        <v>69</v>
      </c>
      <c r="Z848" s="1">
        <v>45344</v>
      </c>
      <c r="AA848" t="str" cm="1">
        <f t="array" ref="AA848">_xlfn.IFS(AND(Table2[[#This Row],[Guest_Age]]&gt;=18,Table2[[#This Row],[Guest_Age]]&lt;=25),"Young Adults",AND(Table2[[#This Row],[Guest_Age]]&gt;=26,Table2[[#This Row],[Guest_Age]]&lt;=35),"Adults",AND(Table2[[#This Row],[Guest_Age]]&gt;=36,Table2[[#This Row],[Guest_Age]]&lt;=50),"Middle Aged Adults",Table2[[#This Row],[Guest_Age]]&gt;50,"Senior")</f>
        <v>Senior</v>
      </c>
      <c r="AB8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48" t="str" cm="1">
        <f t="array" ref="AC848">_xlfn.IFS(Table2[[#This Row],[Satification_points]]&gt;=4.5,"GREAT",AND(Table2[[#This Row],[Satification_points]]&gt;=4,Table2[[#This Row],[Satification_points]]&lt;4.5),"GOOD",AND(Table2[[#This Row],[Satification_points]]&gt;=3,Table2[[#This Row],[Satification_points]]&lt;4),"AVERAGE",Table2[[#This Row],[Satification_points]]&lt;3,"POOR")</f>
        <v>AVERAGE</v>
      </c>
    </row>
    <row r="849" spans="1:29" x14ac:dyDescent="0.3">
      <c r="A849">
        <v>848</v>
      </c>
      <c r="B849">
        <v>28941</v>
      </c>
      <c r="C849" t="s">
        <v>900</v>
      </c>
      <c r="D849" t="s">
        <v>34</v>
      </c>
      <c r="E849" t="s">
        <v>35</v>
      </c>
      <c r="F849" s="1">
        <v>45592</v>
      </c>
      <c r="G849" s="1">
        <v>45593</v>
      </c>
      <c r="H849">
        <v>9</v>
      </c>
      <c r="I849" t="s">
        <v>49</v>
      </c>
      <c r="J849" t="s">
        <v>40</v>
      </c>
      <c r="K849">
        <v>3</v>
      </c>
      <c r="L849">
        <v>4</v>
      </c>
      <c r="M849">
        <v>2</v>
      </c>
      <c r="N849">
        <v>1</v>
      </c>
      <c r="O849">
        <v>1</v>
      </c>
      <c r="P849">
        <v>2</v>
      </c>
      <c r="Q849">
        <v>3</v>
      </c>
      <c r="R849">
        <v>3</v>
      </c>
      <c r="S849">
        <v>2</v>
      </c>
      <c r="T849">
        <v>4</v>
      </c>
      <c r="U849" t="s">
        <v>30</v>
      </c>
      <c r="V849" t="s">
        <v>31</v>
      </c>
      <c r="W849" t="s">
        <v>39</v>
      </c>
      <c r="X849" t="s">
        <v>40</v>
      </c>
      <c r="Y849">
        <v>35</v>
      </c>
      <c r="Z849" s="1">
        <v>45593</v>
      </c>
      <c r="AA849" t="str" cm="1">
        <f t="array" ref="AA849">_xlfn.IFS(AND(Table2[[#This Row],[Guest_Age]]&gt;=18,Table2[[#This Row],[Guest_Age]]&lt;=25),"Young Adults",AND(Table2[[#This Row],[Guest_Age]]&gt;=26,Table2[[#This Row],[Guest_Age]]&lt;=35),"Adults",AND(Table2[[#This Row],[Guest_Age]]&gt;=36,Table2[[#This Row],[Guest_Age]]&lt;=50),"Middle Aged Adults",Table2[[#This Row],[Guest_Age]]&gt;50,"Senior")</f>
        <v>Adults</v>
      </c>
      <c r="AB8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849" t="str" cm="1">
        <f t="array" ref="AC849">_xlfn.IFS(Table2[[#This Row],[Satification_points]]&gt;=4.5,"GREAT",AND(Table2[[#This Row],[Satification_points]]&gt;=4,Table2[[#This Row],[Satification_points]]&lt;4.5),"GOOD",AND(Table2[[#This Row],[Satification_points]]&gt;=3,Table2[[#This Row],[Satification_points]]&lt;4),"AVERAGE",Table2[[#This Row],[Satification_points]]&lt;3,"POOR")</f>
        <v>POOR</v>
      </c>
    </row>
    <row r="850" spans="1:29" x14ac:dyDescent="0.3">
      <c r="A850">
        <v>849</v>
      </c>
      <c r="B850">
        <v>42917</v>
      </c>
      <c r="C850" t="s">
        <v>901</v>
      </c>
      <c r="D850" t="s">
        <v>48</v>
      </c>
      <c r="E850" t="s">
        <v>35</v>
      </c>
      <c r="F850" s="1">
        <v>45076</v>
      </c>
      <c r="G850" s="1">
        <v>45499</v>
      </c>
      <c r="H850">
        <v>10</v>
      </c>
      <c r="I850" t="s">
        <v>42</v>
      </c>
      <c r="J850" t="s">
        <v>29</v>
      </c>
      <c r="K850">
        <v>4</v>
      </c>
      <c r="L850">
        <v>1</v>
      </c>
      <c r="M850">
        <v>1</v>
      </c>
      <c r="N850">
        <v>5</v>
      </c>
      <c r="O850">
        <v>1</v>
      </c>
      <c r="P850">
        <v>4</v>
      </c>
      <c r="Q850">
        <v>3</v>
      </c>
      <c r="R850">
        <v>2</v>
      </c>
      <c r="S850">
        <v>4</v>
      </c>
      <c r="T850">
        <v>2</v>
      </c>
      <c r="U850" t="s">
        <v>30</v>
      </c>
      <c r="V850" t="s">
        <v>58</v>
      </c>
      <c r="W850" t="s">
        <v>55</v>
      </c>
      <c r="X850" t="s">
        <v>33</v>
      </c>
      <c r="Y850">
        <v>21</v>
      </c>
      <c r="Z850" s="1">
        <v>45499</v>
      </c>
      <c r="AA850" t="str" cm="1">
        <f t="array" ref="AA850">_xlfn.IFS(AND(Table2[[#This Row],[Guest_Age]]&gt;=18,Table2[[#This Row],[Guest_Age]]&lt;=25),"Young Adults",AND(Table2[[#This Row],[Guest_Age]]&gt;=26,Table2[[#This Row],[Guest_Age]]&lt;=35),"Adults",AND(Table2[[#This Row],[Guest_Age]]&gt;=36,Table2[[#This Row],[Guest_Age]]&lt;=50),"Middle Aged Adults",Table2[[#This Row],[Guest_Age]]&gt;50,"Senior")</f>
        <v>Young Adults</v>
      </c>
      <c r="AB8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50" t="str" cm="1">
        <f t="array" ref="AC850">_xlfn.IFS(Table2[[#This Row],[Satification_points]]&gt;=4.5,"GREAT",AND(Table2[[#This Row],[Satification_points]]&gt;=4,Table2[[#This Row],[Satification_points]]&lt;4.5),"GOOD",AND(Table2[[#This Row],[Satification_points]]&gt;=3,Table2[[#This Row],[Satification_points]]&lt;4),"AVERAGE",Table2[[#This Row],[Satification_points]]&lt;3,"POOR")</f>
        <v>POOR</v>
      </c>
    </row>
    <row r="851" spans="1:29" x14ac:dyDescent="0.3">
      <c r="A851">
        <v>850</v>
      </c>
      <c r="B851">
        <v>38039</v>
      </c>
      <c r="C851" t="s">
        <v>902</v>
      </c>
      <c r="D851" t="s">
        <v>48</v>
      </c>
      <c r="E851" t="s">
        <v>57</v>
      </c>
      <c r="F851" s="1">
        <v>45330</v>
      </c>
      <c r="G851" s="1">
        <v>45331</v>
      </c>
      <c r="H851">
        <v>7</v>
      </c>
      <c r="I851" t="s">
        <v>28</v>
      </c>
      <c r="J851" t="s">
        <v>40</v>
      </c>
      <c r="K851">
        <v>1</v>
      </c>
      <c r="L851">
        <v>2</v>
      </c>
      <c r="M851">
        <v>2</v>
      </c>
      <c r="N851">
        <v>2</v>
      </c>
      <c r="O851">
        <v>2</v>
      </c>
      <c r="P851">
        <v>5</v>
      </c>
      <c r="Q851">
        <v>2</v>
      </c>
      <c r="R851">
        <v>5</v>
      </c>
      <c r="S851">
        <v>3</v>
      </c>
      <c r="T851">
        <v>3</v>
      </c>
      <c r="U851" t="s">
        <v>37</v>
      </c>
      <c r="V851" t="s">
        <v>38</v>
      </c>
      <c r="W851" t="s">
        <v>56</v>
      </c>
      <c r="X851" t="s">
        <v>44</v>
      </c>
      <c r="Y851">
        <v>62</v>
      </c>
      <c r="Z851" s="1">
        <v>45649</v>
      </c>
      <c r="AA851" t="str" cm="1">
        <f t="array" ref="AA851">_xlfn.IFS(AND(Table2[[#This Row],[Guest_Age]]&gt;=18,Table2[[#This Row],[Guest_Age]]&lt;=25),"Young Adults",AND(Table2[[#This Row],[Guest_Age]]&gt;=26,Table2[[#This Row],[Guest_Age]]&lt;=35),"Adults",AND(Table2[[#This Row],[Guest_Age]]&gt;=36,Table2[[#This Row],[Guest_Age]]&lt;=50),"Middle Aged Adults",Table2[[#This Row],[Guest_Age]]&gt;50,"Senior")</f>
        <v>Senior</v>
      </c>
      <c r="AB8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51" t="str" cm="1">
        <f t="array" ref="AC851">_xlfn.IFS(Table2[[#This Row],[Satification_points]]&gt;=4.5,"GREAT",AND(Table2[[#This Row],[Satification_points]]&gt;=4,Table2[[#This Row],[Satification_points]]&lt;4.5),"GOOD",AND(Table2[[#This Row],[Satification_points]]&gt;=3,Table2[[#This Row],[Satification_points]]&lt;4),"AVERAGE",Table2[[#This Row],[Satification_points]]&lt;3,"POOR")</f>
        <v>POOR</v>
      </c>
    </row>
    <row r="852" spans="1:29" x14ac:dyDescent="0.3">
      <c r="A852">
        <v>851</v>
      </c>
      <c r="B852">
        <v>36089</v>
      </c>
      <c r="C852" t="s">
        <v>903</v>
      </c>
      <c r="D852" t="s">
        <v>34</v>
      </c>
      <c r="E852" t="s">
        <v>57</v>
      </c>
      <c r="F852" s="1">
        <v>45440</v>
      </c>
      <c r="G852" s="1">
        <v>45441</v>
      </c>
      <c r="H852">
        <v>9</v>
      </c>
      <c r="I852" t="s">
        <v>50</v>
      </c>
      <c r="J852" t="s">
        <v>43</v>
      </c>
      <c r="K852">
        <v>4</v>
      </c>
      <c r="L852">
        <v>2</v>
      </c>
      <c r="M852">
        <v>3</v>
      </c>
      <c r="N852">
        <v>4</v>
      </c>
      <c r="O852">
        <v>4</v>
      </c>
      <c r="P852">
        <v>2</v>
      </c>
      <c r="Q852">
        <v>5</v>
      </c>
      <c r="R852">
        <v>2</v>
      </c>
      <c r="S852">
        <v>3</v>
      </c>
      <c r="T852">
        <v>4</v>
      </c>
      <c r="U852" t="s">
        <v>30</v>
      </c>
      <c r="V852" t="s">
        <v>58</v>
      </c>
      <c r="W852" t="s">
        <v>47</v>
      </c>
      <c r="X852" t="s">
        <v>40</v>
      </c>
      <c r="Y852">
        <v>40</v>
      </c>
      <c r="Z852" s="1">
        <v>45441</v>
      </c>
      <c r="AA852" t="str" cm="1">
        <f t="array" ref="AA8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8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52" t="str" cm="1">
        <f t="array" ref="AC852">_xlfn.IFS(Table2[[#This Row],[Satification_points]]&gt;=4.5,"GREAT",AND(Table2[[#This Row],[Satification_points]]&gt;=4,Table2[[#This Row],[Satification_points]]&lt;4.5),"GOOD",AND(Table2[[#This Row],[Satification_points]]&gt;=3,Table2[[#This Row],[Satification_points]]&lt;4),"AVERAGE",Table2[[#This Row],[Satification_points]]&lt;3,"POOR")</f>
        <v>AVERAGE</v>
      </c>
    </row>
    <row r="853" spans="1:29" x14ac:dyDescent="0.3">
      <c r="A853">
        <v>852</v>
      </c>
      <c r="B853">
        <v>70059</v>
      </c>
      <c r="C853" t="s">
        <v>904</v>
      </c>
      <c r="D853" t="s">
        <v>51</v>
      </c>
      <c r="E853" t="s">
        <v>27</v>
      </c>
      <c r="F853" s="1">
        <v>45492</v>
      </c>
      <c r="G853" s="1">
        <v>45493</v>
      </c>
      <c r="H853">
        <v>11</v>
      </c>
      <c r="I853" t="s">
        <v>49</v>
      </c>
      <c r="J853" t="s">
        <v>40</v>
      </c>
      <c r="K853">
        <v>5</v>
      </c>
      <c r="L853">
        <v>1</v>
      </c>
      <c r="M853">
        <v>1</v>
      </c>
      <c r="N853">
        <v>3</v>
      </c>
      <c r="O853">
        <v>2</v>
      </c>
      <c r="P853">
        <v>2</v>
      </c>
      <c r="Q853">
        <v>2</v>
      </c>
      <c r="R853">
        <v>4</v>
      </c>
      <c r="S853">
        <v>3</v>
      </c>
      <c r="T853">
        <v>2</v>
      </c>
      <c r="U853" t="s">
        <v>30</v>
      </c>
      <c r="V853" t="s">
        <v>38</v>
      </c>
      <c r="W853" t="s">
        <v>56</v>
      </c>
      <c r="X853" t="s">
        <v>33</v>
      </c>
      <c r="Y853">
        <v>44</v>
      </c>
      <c r="Z853" s="1">
        <v>45578</v>
      </c>
      <c r="AA853" t="str" cm="1">
        <f t="array" ref="AA8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8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853" t="str" cm="1">
        <f t="array" ref="AC853">_xlfn.IFS(Table2[[#This Row],[Satification_points]]&gt;=4.5,"GREAT",AND(Table2[[#This Row],[Satification_points]]&gt;=4,Table2[[#This Row],[Satification_points]]&lt;4.5),"GOOD",AND(Table2[[#This Row],[Satification_points]]&gt;=3,Table2[[#This Row],[Satification_points]]&lt;4),"AVERAGE",Table2[[#This Row],[Satification_points]]&lt;3,"POOR")</f>
        <v>POOR</v>
      </c>
    </row>
    <row r="854" spans="1:29" x14ac:dyDescent="0.3">
      <c r="A854">
        <v>853</v>
      </c>
      <c r="B854">
        <v>67247</v>
      </c>
      <c r="C854" t="s">
        <v>905</v>
      </c>
      <c r="D854" t="s">
        <v>26</v>
      </c>
      <c r="E854" t="s">
        <v>45</v>
      </c>
      <c r="F854" s="1">
        <v>45367</v>
      </c>
      <c r="G854" s="1">
        <v>45580</v>
      </c>
      <c r="H854">
        <v>11</v>
      </c>
      <c r="I854" t="s">
        <v>50</v>
      </c>
      <c r="J854" t="s">
        <v>40</v>
      </c>
      <c r="K854">
        <v>1</v>
      </c>
      <c r="L854">
        <v>1</v>
      </c>
      <c r="M854">
        <v>3</v>
      </c>
      <c r="N854">
        <v>2</v>
      </c>
      <c r="O854">
        <v>2</v>
      </c>
      <c r="P854">
        <v>5</v>
      </c>
      <c r="Q854">
        <v>4</v>
      </c>
      <c r="R854">
        <v>4</v>
      </c>
      <c r="S854">
        <v>4</v>
      </c>
      <c r="T854">
        <v>4</v>
      </c>
      <c r="U854" t="s">
        <v>30</v>
      </c>
      <c r="V854" t="s">
        <v>46</v>
      </c>
      <c r="W854" t="s">
        <v>55</v>
      </c>
      <c r="X854" t="s">
        <v>33</v>
      </c>
      <c r="Y854">
        <v>21</v>
      </c>
      <c r="Z854" s="1">
        <v>45580</v>
      </c>
      <c r="AA854" t="str" cm="1">
        <f t="array" ref="AA854">_xlfn.IFS(AND(Table2[[#This Row],[Guest_Age]]&gt;=18,Table2[[#This Row],[Guest_Age]]&lt;=25),"Young Adults",AND(Table2[[#This Row],[Guest_Age]]&gt;=26,Table2[[#This Row],[Guest_Age]]&lt;=35),"Adults",AND(Table2[[#This Row],[Guest_Age]]&gt;=36,Table2[[#This Row],[Guest_Age]]&lt;=50),"Middle Aged Adults",Table2[[#This Row],[Guest_Age]]&gt;50,"Senior")</f>
        <v>Young Adults</v>
      </c>
      <c r="AB8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54" t="str" cm="1">
        <f t="array" ref="AC854">_xlfn.IFS(Table2[[#This Row],[Satification_points]]&gt;=4.5,"GREAT",AND(Table2[[#This Row],[Satification_points]]&gt;=4,Table2[[#This Row],[Satification_points]]&lt;4.5),"GOOD",AND(Table2[[#This Row],[Satification_points]]&gt;=3,Table2[[#This Row],[Satification_points]]&lt;4),"AVERAGE",Table2[[#This Row],[Satification_points]]&lt;3,"POOR")</f>
        <v>AVERAGE</v>
      </c>
    </row>
    <row r="855" spans="1:29" x14ac:dyDescent="0.3">
      <c r="A855">
        <v>854</v>
      </c>
      <c r="B855">
        <v>49833</v>
      </c>
      <c r="C855" t="s">
        <v>906</v>
      </c>
      <c r="D855" t="s">
        <v>26</v>
      </c>
      <c r="E855" t="s">
        <v>27</v>
      </c>
      <c r="F855" s="1">
        <v>45172</v>
      </c>
      <c r="G855" s="1">
        <v>45491</v>
      </c>
      <c r="H855">
        <v>3</v>
      </c>
      <c r="I855" t="s">
        <v>28</v>
      </c>
      <c r="J855" t="s">
        <v>53</v>
      </c>
      <c r="K855">
        <v>1</v>
      </c>
      <c r="L855">
        <v>1</v>
      </c>
      <c r="M855">
        <v>4</v>
      </c>
      <c r="N855">
        <v>3</v>
      </c>
      <c r="O855">
        <v>3</v>
      </c>
      <c r="P855">
        <v>3</v>
      </c>
      <c r="Q855">
        <v>4</v>
      </c>
      <c r="R855">
        <v>2</v>
      </c>
      <c r="S855">
        <v>4</v>
      </c>
      <c r="T855">
        <v>3</v>
      </c>
      <c r="U855" t="s">
        <v>37</v>
      </c>
      <c r="V855" t="s">
        <v>38</v>
      </c>
      <c r="W855" t="s">
        <v>47</v>
      </c>
      <c r="X855" t="s">
        <v>44</v>
      </c>
      <c r="Y855">
        <v>30</v>
      </c>
      <c r="Z855" s="1">
        <v>45491</v>
      </c>
      <c r="AA855" t="str" cm="1">
        <f t="array" ref="AA855">_xlfn.IFS(AND(Table2[[#This Row],[Guest_Age]]&gt;=18,Table2[[#This Row],[Guest_Age]]&lt;=25),"Young Adults",AND(Table2[[#This Row],[Guest_Age]]&gt;=26,Table2[[#This Row],[Guest_Age]]&lt;=35),"Adults",AND(Table2[[#This Row],[Guest_Age]]&gt;=36,Table2[[#This Row],[Guest_Age]]&lt;=50),"Middle Aged Adults",Table2[[#This Row],[Guest_Age]]&gt;50,"Senior")</f>
        <v>Adults</v>
      </c>
      <c r="AB8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55" t="str" cm="1">
        <f t="array" ref="AC855">_xlfn.IFS(Table2[[#This Row],[Satification_points]]&gt;=4.5,"GREAT",AND(Table2[[#This Row],[Satification_points]]&gt;=4,Table2[[#This Row],[Satification_points]]&lt;4.5),"GOOD",AND(Table2[[#This Row],[Satification_points]]&gt;=3,Table2[[#This Row],[Satification_points]]&lt;4),"AVERAGE",Table2[[#This Row],[Satification_points]]&lt;3,"POOR")</f>
        <v>POOR</v>
      </c>
    </row>
    <row r="856" spans="1:29" x14ac:dyDescent="0.3">
      <c r="A856">
        <v>855</v>
      </c>
      <c r="B856">
        <v>87453</v>
      </c>
      <c r="C856" t="s">
        <v>907</v>
      </c>
      <c r="D856" t="s">
        <v>51</v>
      </c>
      <c r="E856" t="s">
        <v>27</v>
      </c>
      <c r="F856" s="1">
        <v>44972</v>
      </c>
      <c r="G856" s="1">
        <v>45107</v>
      </c>
      <c r="H856">
        <v>11</v>
      </c>
      <c r="I856" t="s">
        <v>42</v>
      </c>
      <c r="J856" t="s">
        <v>40</v>
      </c>
      <c r="K856">
        <v>1</v>
      </c>
      <c r="L856">
        <v>5</v>
      </c>
      <c r="M856">
        <v>4</v>
      </c>
      <c r="N856">
        <v>5</v>
      </c>
      <c r="O856">
        <v>4</v>
      </c>
      <c r="P856">
        <v>5</v>
      </c>
      <c r="Q856">
        <v>2</v>
      </c>
      <c r="R856">
        <v>1</v>
      </c>
      <c r="S856">
        <v>3</v>
      </c>
      <c r="T856">
        <v>2</v>
      </c>
      <c r="U856" t="s">
        <v>30</v>
      </c>
      <c r="V856" t="s">
        <v>38</v>
      </c>
      <c r="W856" t="s">
        <v>32</v>
      </c>
      <c r="X856" t="s">
        <v>33</v>
      </c>
      <c r="Y856">
        <v>28</v>
      </c>
      <c r="Z856" s="1">
        <v>45166</v>
      </c>
      <c r="AA856" t="str" cm="1">
        <f t="array" ref="AA856">_xlfn.IFS(AND(Table2[[#This Row],[Guest_Age]]&gt;=18,Table2[[#This Row],[Guest_Age]]&lt;=25),"Young Adults",AND(Table2[[#This Row],[Guest_Age]]&gt;=26,Table2[[#This Row],[Guest_Age]]&lt;=35),"Adults",AND(Table2[[#This Row],[Guest_Age]]&gt;=36,Table2[[#This Row],[Guest_Age]]&lt;=50),"Middle Aged Adults",Table2[[#This Row],[Guest_Age]]&gt;50,"Senior")</f>
        <v>Adults</v>
      </c>
      <c r="AB8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56" t="str" cm="1">
        <f t="array" ref="AC856">_xlfn.IFS(Table2[[#This Row],[Satification_points]]&gt;=4.5,"GREAT",AND(Table2[[#This Row],[Satification_points]]&gt;=4,Table2[[#This Row],[Satification_points]]&lt;4.5),"GOOD",AND(Table2[[#This Row],[Satification_points]]&gt;=3,Table2[[#This Row],[Satification_points]]&lt;4),"AVERAGE",Table2[[#This Row],[Satification_points]]&lt;3,"POOR")</f>
        <v>AVERAGE</v>
      </c>
    </row>
    <row r="857" spans="1:29" x14ac:dyDescent="0.3">
      <c r="A857">
        <v>856</v>
      </c>
      <c r="B857">
        <v>28254</v>
      </c>
      <c r="C857" t="s">
        <v>908</v>
      </c>
      <c r="D857" t="s">
        <v>34</v>
      </c>
      <c r="E857" t="s">
        <v>52</v>
      </c>
      <c r="F857" s="1">
        <v>45001</v>
      </c>
      <c r="G857" s="1">
        <v>45471</v>
      </c>
      <c r="H857">
        <v>8</v>
      </c>
      <c r="I857" t="s">
        <v>42</v>
      </c>
      <c r="J857" t="s">
        <v>36</v>
      </c>
      <c r="K857">
        <v>5</v>
      </c>
      <c r="L857">
        <v>5</v>
      </c>
      <c r="M857">
        <v>5</v>
      </c>
      <c r="N857">
        <v>3</v>
      </c>
      <c r="O857">
        <v>2</v>
      </c>
      <c r="P857">
        <v>1</v>
      </c>
      <c r="Q857">
        <v>3</v>
      </c>
      <c r="R857">
        <v>2</v>
      </c>
      <c r="S857">
        <v>3</v>
      </c>
      <c r="T857">
        <v>3</v>
      </c>
      <c r="U857" t="s">
        <v>37</v>
      </c>
      <c r="V857" t="s">
        <v>46</v>
      </c>
      <c r="W857" t="s">
        <v>55</v>
      </c>
      <c r="X857" t="s">
        <v>33</v>
      </c>
      <c r="Y857">
        <v>28</v>
      </c>
      <c r="Z857" s="1">
        <v>45569</v>
      </c>
      <c r="AA857" t="str" cm="1">
        <f t="array" ref="AA857">_xlfn.IFS(AND(Table2[[#This Row],[Guest_Age]]&gt;=18,Table2[[#This Row],[Guest_Age]]&lt;=25),"Young Adults",AND(Table2[[#This Row],[Guest_Age]]&gt;=26,Table2[[#This Row],[Guest_Age]]&lt;=35),"Adults",AND(Table2[[#This Row],[Guest_Age]]&gt;=36,Table2[[#This Row],[Guest_Age]]&lt;=50),"Middle Aged Adults",Table2[[#This Row],[Guest_Age]]&gt;50,"Senior")</f>
        <v>Adults</v>
      </c>
      <c r="AB8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57" t="str" cm="1">
        <f t="array" ref="AC857">_xlfn.IFS(Table2[[#This Row],[Satification_points]]&gt;=4.5,"GREAT",AND(Table2[[#This Row],[Satification_points]]&gt;=4,Table2[[#This Row],[Satification_points]]&lt;4.5),"GOOD",AND(Table2[[#This Row],[Satification_points]]&gt;=3,Table2[[#This Row],[Satification_points]]&lt;4),"AVERAGE",Table2[[#This Row],[Satification_points]]&lt;3,"POOR")</f>
        <v>AVERAGE</v>
      </c>
    </row>
    <row r="858" spans="1:29" x14ac:dyDescent="0.3">
      <c r="A858">
        <v>857</v>
      </c>
      <c r="B858">
        <v>93981</v>
      </c>
      <c r="C858" t="s">
        <v>909</v>
      </c>
      <c r="D858" t="s">
        <v>48</v>
      </c>
      <c r="E858" t="s">
        <v>27</v>
      </c>
      <c r="F858" s="1">
        <v>45075</v>
      </c>
      <c r="G858" s="1">
        <v>45653</v>
      </c>
      <c r="H858">
        <v>12</v>
      </c>
      <c r="I858" t="s">
        <v>28</v>
      </c>
      <c r="J858" t="s">
        <v>40</v>
      </c>
      <c r="K858">
        <v>1</v>
      </c>
      <c r="L858">
        <v>4</v>
      </c>
      <c r="M858">
        <v>2</v>
      </c>
      <c r="N858">
        <v>1</v>
      </c>
      <c r="O858">
        <v>3</v>
      </c>
      <c r="P858">
        <v>3</v>
      </c>
      <c r="Q858">
        <v>2</v>
      </c>
      <c r="R858">
        <v>5</v>
      </c>
      <c r="S858">
        <v>1</v>
      </c>
      <c r="T858">
        <v>4</v>
      </c>
      <c r="U858" t="s">
        <v>37</v>
      </c>
      <c r="V858" t="s">
        <v>46</v>
      </c>
      <c r="W858" t="s">
        <v>39</v>
      </c>
      <c r="X858" t="s">
        <v>33</v>
      </c>
      <c r="Y858">
        <v>36</v>
      </c>
      <c r="Z858" s="1">
        <v>45653</v>
      </c>
      <c r="AA858" t="str" cm="1">
        <f t="array" ref="AA858">_xlfn.IFS(AND(Table2[[#This Row],[Guest_Age]]&gt;=18,Table2[[#This Row],[Guest_Age]]&lt;=25),"Young Adults",AND(Table2[[#This Row],[Guest_Age]]&gt;=26,Table2[[#This Row],[Guest_Age]]&lt;=35),"Adults",AND(Table2[[#This Row],[Guest_Age]]&gt;=36,Table2[[#This Row],[Guest_Age]]&lt;=50),"Middle Aged Adults",Table2[[#This Row],[Guest_Age]]&gt;50,"Senior")</f>
        <v>Middle Aged Adults</v>
      </c>
      <c r="AB8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58" t="str" cm="1">
        <f t="array" ref="AC858">_xlfn.IFS(Table2[[#This Row],[Satification_points]]&gt;=4.5,"GREAT",AND(Table2[[#This Row],[Satification_points]]&gt;=4,Table2[[#This Row],[Satification_points]]&lt;4.5),"GOOD",AND(Table2[[#This Row],[Satification_points]]&gt;=3,Table2[[#This Row],[Satification_points]]&lt;4),"AVERAGE",Table2[[#This Row],[Satification_points]]&lt;3,"POOR")</f>
        <v>POOR</v>
      </c>
    </row>
    <row r="859" spans="1:29" x14ac:dyDescent="0.3">
      <c r="A859">
        <v>858</v>
      </c>
      <c r="B859">
        <v>42611</v>
      </c>
      <c r="C859" t="s">
        <v>910</v>
      </c>
      <c r="D859" t="s">
        <v>41</v>
      </c>
      <c r="E859" t="s">
        <v>45</v>
      </c>
      <c r="F859" s="1">
        <v>45332</v>
      </c>
      <c r="G859" s="1">
        <v>45333</v>
      </c>
      <c r="H859">
        <v>9</v>
      </c>
      <c r="I859" t="s">
        <v>49</v>
      </c>
      <c r="J859" t="s">
        <v>43</v>
      </c>
      <c r="K859">
        <v>4</v>
      </c>
      <c r="L859">
        <v>5</v>
      </c>
      <c r="M859">
        <v>3</v>
      </c>
      <c r="N859">
        <v>4</v>
      </c>
      <c r="O859">
        <v>2</v>
      </c>
      <c r="P859">
        <v>2</v>
      </c>
      <c r="Q859">
        <v>5</v>
      </c>
      <c r="R859">
        <v>5</v>
      </c>
      <c r="S859">
        <v>4</v>
      </c>
      <c r="T859">
        <v>2</v>
      </c>
      <c r="U859" t="s">
        <v>37</v>
      </c>
      <c r="V859" t="s">
        <v>31</v>
      </c>
      <c r="W859" t="s">
        <v>55</v>
      </c>
      <c r="X859" t="s">
        <v>40</v>
      </c>
      <c r="Y859">
        <v>50</v>
      </c>
      <c r="Z859" s="1">
        <v>45563</v>
      </c>
      <c r="AA859" t="str" cm="1">
        <f t="array" ref="AA859">_xlfn.IFS(AND(Table2[[#This Row],[Guest_Age]]&gt;=18,Table2[[#This Row],[Guest_Age]]&lt;=25),"Young Adults",AND(Table2[[#This Row],[Guest_Age]]&gt;=26,Table2[[#This Row],[Guest_Age]]&lt;=35),"Adults",AND(Table2[[#This Row],[Guest_Age]]&gt;=36,Table2[[#This Row],[Guest_Age]]&lt;=50),"Middle Aged Adults",Table2[[#This Row],[Guest_Age]]&gt;50,"Senior")</f>
        <v>Middle Aged Adults</v>
      </c>
      <c r="AB8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859" t="str" cm="1">
        <f t="array" ref="AC859">_xlfn.IFS(Table2[[#This Row],[Satification_points]]&gt;=4.5,"GREAT",AND(Table2[[#This Row],[Satification_points]]&gt;=4,Table2[[#This Row],[Satification_points]]&lt;4.5),"GOOD",AND(Table2[[#This Row],[Satification_points]]&gt;=3,Table2[[#This Row],[Satification_points]]&lt;4),"AVERAGE",Table2[[#This Row],[Satification_points]]&lt;3,"POOR")</f>
        <v>AVERAGE</v>
      </c>
    </row>
    <row r="860" spans="1:29" x14ac:dyDescent="0.3">
      <c r="A860">
        <v>859</v>
      </c>
      <c r="B860">
        <v>56827</v>
      </c>
      <c r="C860" t="s">
        <v>911</v>
      </c>
      <c r="D860" t="s">
        <v>51</v>
      </c>
      <c r="E860" t="s">
        <v>27</v>
      </c>
      <c r="F860" s="1">
        <v>44929</v>
      </c>
      <c r="G860" s="1">
        <v>45053</v>
      </c>
      <c r="H860">
        <v>2</v>
      </c>
      <c r="I860" t="s">
        <v>49</v>
      </c>
      <c r="J860" t="s">
        <v>40</v>
      </c>
      <c r="K860">
        <v>3</v>
      </c>
      <c r="L860">
        <v>1</v>
      </c>
      <c r="M860">
        <v>1</v>
      </c>
      <c r="N860">
        <v>2</v>
      </c>
      <c r="O860">
        <v>3</v>
      </c>
      <c r="P860">
        <v>4</v>
      </c>
      <c r="Q860">
        <v>4</v>
      </c>
      <c r="R860">
        <v>5</v>
      </c>
      <c r="S860">
        <v>5</v>
      </c>
      <c r="T860">
        <v>1</v>
      </c>
      <c r="U860" t="s">
        <v>30</v>
      </c>
      <c r="V860" t="s">
        <v>38</v>
      </c>
      <c r="W860" t="s">
        <v>55</v>
      </c>
      <c r="X860" t="s">
        <v>40</v>
      </c>
      <c r="Y860">
        <v>31</v>
      </c>
      <c r="Z860" s="1">
        <v>45224</v>
      </c>
      <c r="AA860" t="str" cm="1">
        <f t="array" ref="AA860">_xlfn.IFS(AND(Table2[[#This Row],[Guest_Age]]&gt;=18,Table2[[#This Row],[Guest_Age]]&lt;=25),"Young Adults",AND(Table2[[#This Row],[Guest_Age]]&gt;=26,Table2[[#This Row],[Guest_Age]]&lt;=35),"Adults",AND(Table2[[#This Row],[Guest_Age]]&gt;=36,Table2[[#This Row],[Guest_Age]]&lt;=50),"Middle Aged Adults",Table2[[#This Row],[Guest_Age]]&gt;50,"Senior")</f>
        <v>Adults</v>
      </c>
      <c r="AB8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60" t="str" cm="1">
        <f t="array" ref="AC860">_xlfn.IFS(Table2[[#This Row],[Satification_points]]&gt;=4.5,"GREAT",AND(Table2[[#This Row],[Satification_points]]&gt;=4,Table2[[#This Row],[Satification_points]]&lt;4.5),"GOOD",AND(Table2[[#This Row],[Satification_points]]&gt;=3,Table2[[#This Row],[Satification_points]]&lt;4),"AVERAGE",Table2[[#This Row],[Satification_points]]&lt;3,"POOR")</f>
        <v>POOR</v>
      </c>
    </row>
    <row r="861" spans="1:29" x14ac:dyDescent="0.3">
      <c r="A861">
        <v>860</v>
      </c>
      <c r="B861">
        <v>67272</v>
      </c>
      <c r="C861" t="s">
        <v>912</v>
      </c>
      <c r="D861" t="s">
        <v>26</v>
      </c>
      <c r="E861" t="s">
        <v>57</v>
      </c>
      <c r="F861" s="1">
        <v>44935</v>
      </c>
      <c r="G861" s="1">
        <v>45009</v>
      </c>
      <c r="H861">
        <v>4</v>
      </c>
      <c r="I861" t="s">
        <v>50</v>
      </c>
      <c r="J861" t="s">
        <v>53</v>
      </c>
      <c r="K861">
        <v>1</v>
      </c>
      <c r="L861">
        <v>1</v>
      </c>
      <c r="M861">
        <v>2</v>
      </c>
      <c r="N861">
        <v>1</v>
      </c>
      <c r="O861">
        <v>5</v>
      </c>
      <c r="P861">
        <v>2</v>
      </c>
      <c r="Q861">
        <v>1</v>
      </c>
      <c r="R861">
        <v>1</v>
      </c>
      <c r="S861">
        <v>2</v>
      </c>
      <c r="T861">
        <v>4</v>
      </c>
      <c r="U861" t="s">
        <v>30</v>
      </c>
      <c r="V861" t="s">
        <v>46</v>
      </c>
      <c r="W861" t="s">
        <v>55</v>
      </c>
      <c r="X861" t="s">
        <v>44</v>
      </c>
      <c r="Y861">
        <v>30</v>
      </c>
      <c r="Z861" s="1">
        <v>45175</v>
      </c>
      <c r="AA861" t="str" cm="1">
        <f t="array" ref="AA861">_xlfn.IFS(AND(Table2[[#This Row],[Guest_Age]]&gt;=18,Table2[[#This Row],[Guest_Age]]&lt;=25),"Young Adults",AND(Table2[[#This Row],[Guest_Age]]&gt;=26,Table2[[#This Row],[Guest_Age]]&lt;=35),"Adults",AND(Table2[[#This Row],[Guest_Age]]&gt;=36,Table2[[#This Row],[Guest_Age]]&lt;=50),"Middle Aged Adults",Table2[[#This Row],[Guest_Age]]&gt;50,"Senior")</f>
        <v>Adults</v>
      </c>
      <c r="AB8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861" t="str" cm="1">
        <f t="array" ref="AC861">_xlfn.IFS(Table2[[#This Row],[Satification_points]]&gt;=4.5,"GREAT",AND(Table2[[#This Row],[Satification_points]]&gt;=4,Table2[[#This Row],[Satification_points]]&lt;4.5),"GOOD",AND(Table2[[#This Row],[Satification_points]]&gt;=3,Table2[[#This Row],[Satification_points]]&lt;4),"AVERAGE",Table2[[#This Row],[Satification_points]]&lt;3,"POOR")</f>
        <v>POOR</v>
      </c>
    </row>
    <row r="862" spans="1:29" x14ac:dyDescent="0.3">
      <c r="A862">
        <v>861</v>
      </c>
      <c r="B862">
        <v>69257</v>
      </c>
      <c r="C862" t="s">
        <v>913</v>
      </c>
      <c r="D862" t="s">
        <v>26</v>
      </c>
      <c r="E862" t="s">
        <v>45</v>
      </c>
      <c r="F862" s="1">
        <v>45440</v>
      </c>
      <c r="G862" s="1">
        <v>45441</v>
      </c>
      <c r="H862">
        <v>2</v>
      </c>
      <c r="I862" t="s">
        <v>28</v>
      </c>
      <c r="J862" t="s">
        <v>43</v>
      </c>
      <c r="K862">
        <v>5</v>
      </c>
      <c r="L862">
        <v>1</v>
      </c>
      <c r="M862">
        <v>5</v>
      </c>
      <c r="N862">
        <v>4</v>
      </c>
      <c r="O862">
        <v>1</v>
      </c>
      <c r="P862">
        <v>4</v>
      </c>
      <c r="Q862">
        <v>3</v>
      </c>
      <c r="R862">
        <v>4</v>
      </c>
      <c r="S862">
        <v>2</v>
      </c>
      <c r="T862">
        <v>2</v>
      </c>
      <c r="U862" t="s">
        <v>30</v>
      </c>
      <c r="V862" t="s">
        <v>31</v>
      </c>
      <c r="W862" t="s">
        <v>47</v>
      </c>
      <c r="X862" t="s">
        <v>44</v>
      </c>
      <c r="Y862">
        <v>24</v>
      </c>
      <c r="Z862" s="1">
        <v>45441</v>
      </c>
      <c r="AA862" t="str" cm="1">
        <f t="array" ref="AA862">_xlfn.IFS(AND(Table2[[#This Row],[Guest_Age]]&gt;=18,Table2[[#This Row],[Guest_Age]]&lt;=25),"Young Adults",AND(Table2[[#This Row],[Guest_Age]]&gt;=26,Table2[[#This Row],[Guest_Age]]&lt;=35),"Adults",AND(Table2[[#This Row],[Guest_Age]]&gt;=36,Table2[[#This Row],[Guest_Age]]&lt;=50),"Middle Aged Adults",Table2[[#This Row],[Guest_Age]]&gt;50,"Senior")</f>
        <v>Young Adults</v>
      </c>
      <c r="AB8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62" t="str" cm="1">
        <f t="array" ref="AC862">_xlfn.IFS(Table2[[#This Row],[Satification_points]]&gt;=4.5,"GREAT",AND(Table2[[#This Row],[Satification_points]]&gt;=4,Table2[[#This Row],[Satification_points]]&lt;4.5),"GOOD",AND(Table2[[#This Row],[Satification_points]]&gt;=3,Table2[[#This Row],[Satification_points]]&lt;4),"AVERAGE",Table2[[#This Row],[Satification_points]]&lt;3,"POOR")</f>
        <v>AVERAGE</v>
      </c>
    </row>
    <row r="863" spans="1:29" x14ac:dyDescent="0.3">
      <c r="A863">
        <v>862</v>
      </c>
      <c r="B863">
        <v>23830</v>
      </c>
      <c r="C863" t="s">
        <v>914</v>
      </c>
      <c r="D863" t="s">
        <v>48</v>
      </c>
      <c r="E863" t="s">
        <v>57</v>
      </c>
      <c r="F863" s="1">
        <v>45164</v>
      </c>
      <c r="G863" s="1">
        <v>45543</v>
      </c>
      <c r="H863">
        <v>13</v>
      </c>
      <c r="I863" t="s">
        <v>28</v>
      </c>
      <c r="J863" t="s">
        <v>53</v>
      </c>
      <c r="K863">
        <v>5</v>
      </c>
      <c r="L863">
        <v>2</v>
      </c>
      <c r="M863">
        <v>3</v>
      </c>
      <c r="N863">
        <v>1</v>
      </c>
      <c r="O863">
        <v>1</v>
      </c>
      <c r="P863">
        <v>4</v>
      </c>
      <c r="Q863">
        <v>1</v>
      </c>
      <c r="R863">
        <v>5</v>
      </c>
      <c r="S863">
        <v>2</v>
      </c>
      <c r="T863">
        <v>1</v>
      </c>
      <c r="U863" t="s">
        <v>37</v>
      </c>
      <c r="V863" t="s">
        <v>31</v>
      </c>
      <c r="W863" t="s">
        <v>55</v>
      </c>
      <c r="X863" t="s">
        <v>40</v>
      </c>
      <c r="Y863">
        <v>50</v>
      </c>
      <c r="Z863" s="1">
        <v>45543</v>
      </c>
      <c r="AA863" t="str" cm="1">
        <f t="array" ref="AA863">_xlfn.IFS(AND(Table2[[#This Row],[Guest_Age]]&gt;=18,Table2[[#This Row],[Guest_Age]]&lt;=25),"Young Adults",AND(Table2[[#This Row],[Guest_Age]]&gt;=26,Table2[[#This Row],[Guest_Age]]&lt;=35),"Adults",AND(Table2[[#This Row],[Guest_Age]]&gt;=36,Table2[[#This Row],[Guest_Age]]&lt;=50),"Middle Aged Adults",Table2[[#This Row],[Guest_Age]]&gt;50,"Senior")</f>
        <v>Middle Aged Adults</v>
      </c>
      <c r="AB8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863" t="str" cm="1">
        <f t="array" ref="AC863">_xlfn.IFS(Table2[[#This Row],[Satification_points]]&gt;=4.5,"GREAT",AND(Table2[[#This Row],[Satification_points]]&gt;=4,Table2[[#This Row],[Satification_points]]&lt;4.5),"GOOD",AND(Table2[[#This Row],[Satification_points]]&gt;=3,Table2[[#This Row],[Satification_points]]&lt;4),"AVERAGE",Table2[[#This Row],[Satification_points]]&lt;3,"POOR")</f>
        <v>POOR</v>
      </c>
    </row>
    <row r="864" spans="1:29" x14ac:dyDescent="0.3">
      <c r="A864">
        <v>863</v>
      </c>
      <c r="B864">
        <v>15696</v>
      </c>
      <c r="C864" t="s">
        <v>915</v>
      </c>
      <c r="D864" t="s">
        <v>26</v>
      </c>
      <c r="E864" t="s">
        <v>52</v>
      </c>
      <c r="F864" s="1">
        <v>45466</v>
      </c>
      <c r="G864" s="1">
        <v>45467</v>
      </c>
      <c r="H864">
        <v>7</v>
      </c>
      <c r="I864" t="s">
        <v>49</v>
      </c>
      <c r="J864" t="s">
        <v>36</v>
      </c>
      <c r="K864">
        <v>1</v>
      </c>
      <c r="L864">
        <v>2</v>
      </c>
      <c r="M864">
        <v>3</v>
      </c>
      <c r="N864">
        <v>2</v>
      </c>
      <c r="O864">
        <v>2</v>
      </c>
      <c r="P864">
        <v>5</v>
      </c>
      <c r="Q864">
        <v>3</v>
      </c>
      <c r="R864">
        <v>5</v>
      </c>
      <c r="S864">
        <v>3</v>
      </c>
      <c r="T864">
        <v>2</v>
      </c>
      <c r="U864" t="s">
        <v>30</v>
      </c>
      <c r="V864" t="s">
        <v>58</v>
      </c>
      <c r="W864" t="s">
        <v>32</v>
      </c>
      <c r="X864" t="s">
        <v>33</v>
      </c>
      <c r="Y864">
        <v>49</v>
      </c>
      <c r="Z864" s="1">
        <v>45467</v>
      </c>
      <c r="AA864" t="str" cm="1">
        <f t="array" ref="AA8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8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64" t="str" cm="1">
        <f t="array" ref="AC864">_xlfn.IFS(Table2[[#This Row],[Satification_points]]&gt;=4.5,"GREAT",AND(Table2[[#This Row],[Satification_points]]&gt;=4,Table2[[#This Row],[Satification_points]]&lt;4.5),"GOOD",AND(Table2[[#This Row],[Satification_points]]&gt;=3,Table2[[#This Row],[Satification_points]]&lt;4),"AVERAGE",Table2[[#This Row],[Satification_points]]&lt;3,"POOR")</f>
        <v>POOR</v>
      </c>
    </row>
    <row r="865" spans="1:29" x14ac:dyDescent="0.3">
      <c r="A865">
        <v>864</v>
      </c>
      <c r="B865">
        <v>76278</v>
      </c>
      <c r="C865" t="s">
        <v>916</v>
      </c>
      <c r="D865" t="s">
        <v>26</v>
      </c>
      <c r="E865" t="s">
        <v>52</v>
      </c>
      <c r="F865" s="1">
        <v>45216</v>
      </c>
      <c r="G865" s="1">
        <v>45217</v>
      </c>
      <c r="H865">
        <v>14</v>
      </c>
      <c r="I865" t="s">
        <v>28</v>
      </c>
      <c r="J865" t="s">
        <v>36</v>
      </c>
      <c r="K865">
        <v>5</v>
      </c>
      <c r="L865">
        <v>5</v>
      </c>
      <c r="M865">
        <v>4</v>
      </c>
      <c r="N865">
        <v>5</v>
      </c>
      <c r="O865">
        <v>3</v>
      </c>
      <c r="P865">
        <v>5</v>
      </c>
      <c r="Q865">
        <v>1</v>
      </c>
      <c r="R865">
        <v>2</v>
      </c>
      <c r="S865">
        <v>4</v>
      </c>
      <c r="T865">
        <v>5</v>
      </c>
      <c r="U865" t="s">
        <v>37</v>
      </c>
      <c r="V865" t="s">
        <v>46</v>
      </c>
      <c r="W865" t="s">
        <v>55</v>
      </c>
      <c r="X865" t="s">
        <v>40</v>
      </c>
      <c r="Y865">
        <v>62</v>
      </c>
      <c r="Z865" s="1">
        <v>45220</v>
      </c>
      <c r="AA865" t="str" cm="1">
        <f t="array" ref="AA865">_xlfn.IFS(AND(Table2[[#This Row],[Guest_Age]]&gt;=18,Table2[[#This Row],[Guest_Age]]&lt;=25),"Young Adults",AND(Table2[[#This Row],[Guest_Age]]&gt;=26,Table2[[#This Row],[Guest_Age]]&lt;=35),"Adults",AND(Table2[[#This Row],[Guest_Age]]&gt;=36,Table2[[#This Row],[Guest_Age]]&lt;=50),"Middle Aged Adults",Table2[[#This Row],[Guest_Age]]&gt;50,"Senior")</f>
        <v>Senior</v>
      </c>
      <c r="AB8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865" t="str" cm="1">
        <f t="array" ref="AC865">_xlfn.IFS(Table2[[#This Row],[Satification_points]]&gt;=4.5,"GREAT",AND(Table2[[#This Row],[Satification_points]]&gt;=4,Table2[[#This Row],[Satification_points]]&lt;4.5),"GOOD",AND(Table2[[#This Row],[Satification_points]]&gt;=3,Table2[[#This Row],[Satification_points]]&lt;4),"AVERAGE",Table2[[#This Row],[Satification_points]]&lt;3,"POOR")</f>
        <v>AVERAGE</v>
      </c>
    </row>
    <row r="866" spans="1:29" x14ac:dyDescent="0.3">
      <c r="A866">
        <v>865</v>
      </c>
      <c r="B866">
        <v>41262</v>
      </c>
      <c r="C866" t="s">
        <v>917</v>
      </c>
      <c r="D866" t="s">
        <v>48</v>
      </c>
      <c r="E866" t="s">
        <v>45</v>
      </c>
      <c r="F866" s="1">
        <v>45107</v>
      </c>
      <c r="G866" s="1">
        <v>45365</v>
      </c>
      <c r="H866">
        <v>4</v>
      </c>
      <c r="I866" t="s">
        <v>42</v>
      </c>
      <c r="J866" t="s">
        <v>53</v>
      </c>
      <c r="K866">
        <v>2</v>
      </c>
      <c r="L866">
        <v>3</v>
      </c>
      <c r="M866">
        <v>5</v>
      </c>
      <c r="N866">
        <v>3</v>
      </c>
      <c r="O866">
        <v>5</v>
      </c>
      <c r="P866">
        <v>2</v>
      </c>
      <c r="Q866">
        <v>1</v>
      </c>
      <c r="R866">
        <v>4</v>
      </c>
      <c r="S866">
        <v>1</v>
      </c>
      <c r="T866">
        <v>5</v>
      </c>
      <c r="U866" t="s">
        <v>37</v>
      </c>
      <c r="V866" t="s">
        <v>54</v>
      </c>
      <c r="W866" t="s">
        <v>39</v>
      </c>
      <c r="X866" t="s">
        <v>44</v>
      </c>
      <c r="Y866">
        <v>54</v>
      </c>
      <c r="Z866" s="1">
        <v>45365</v>
      </c>
      <c r="AA866" t="str" cm="1">
        <f t="array" ref="AA866">_xlfn.IFS(AND(Table2[[#This Row],[Guest_Age]]&gt;=18,Table2[[#This Row],[Guest_Age]]&lt;=25),"Young Adults",AND(Table2[[#This Row],[Guest_Age]]&gt;=26,Table2[[#This Row],[Guest_Age]]&lt;=35),"Adults",AND(Table2[[#This Row],[Guest_Age]]&gt;=36,Table2[[#This Row],[Guest_Age]]&lt;=50),"Middle Aged Adults",Table2[[#This Row],[Guest_Age]]&gt;50,"Senior")</f>
        <v>Senior</v>
      </c>
      <c r="AB8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66" t="str" cm="1">
        <f t="array" ref="AC866">_xlfn.IFS(Table2[[#This Row],[Satification_points]]&gt;=4.5,"GREAT",AND(Table2[[#This Row],[Satification_points]]&gt;=4,Table2[[#This Row],[Satification_points]]&lt;4.5),"GOOD",AND(Table2[[#This Row],[Satification_points]]&gt;=3,Table2[[#This Row],[Satification_points]]&lt;4),"AVERAGE",Table2[[#This Row],[Satification_points]]&lt;3,"POOR")</f>
        <v>AVERAGE</v>
      </c>
    </row>
    <row r="867" spans="1:29" x14ac:dyDescent="0.3">
      <c r="A867">
        <v>866</v>
      </c>
      <c r="B867">
        <v>46949</v>
      </c>
      <c r="C867" t="s">
        <v>918</v>
      </c>
      <c r="D867" t="s">
        <v>34</v>
      </c>
      <c r="E867" t="s">
        <v>35</v>
      </c>
      <c r="F867" s="1">
        <v>45241</v>
      </c>
      <c r="G867" s="1">
        <v>45595</v>
      </c>
      <c r="H867">
        <v>14</v>
      </c>
      <c r="I867" t="s">
        <v>49</v>
      </c>
      <c r="J867" t="s">
        <v>36</v>
      </c>
      <c r="K867">
        <v>5</v>
      </c>
      <c r="L867">
        <v>3</v>
      </c>
      <c r="M867">
        <v>3</v>
      </c>
      <c r="N867">
        <v>5</v>
      </c>
      <c r="O867">
        <v>1</v>
      </c>
      <c r="P867">
        <v>5</v>
      </c>
      <c r="Q867">
        <v>2</v>
      </c>
      <c r="R867">
        <v>5</v>
      </c>
      <c r="S867">
        <v>1</v>
      </c>
      <c r="T867">
        <v>2</v>
      </c>
      <c r="U867" t="s">
        <v>30</v>
      </c>
      <c r="V867" t="s">
        <v>46</v>
      </c>
      <c r="W867" t="s">
        <v>56</v>
      </c>
      <c r="X867" t="s">
        <v>44</v>
      </c>
      <c r="Y867">
        <v>25</v>
      </c>
      <c r="Z867" s="1">
        <v>45595</v>
      </c>
      <c r="AA867" t="str" cm="1">
        <f t="array" ref="AA867">_xlfn.IFS(AND(Table2[[#This Row],[Guest_Age]]&gt;=18,Table2[[#This Row],[Guest_Age]]&lt;=25),"Young Adults",AND(Table2[[#This Row],[Guest_Age]]&gt;=26,Table2[[#This Row],[Guest_Age]]&lt;=35),"Adults",AND(Table2[[#This Row],[Guest_Age]]&gt;=36,Table2[[#This Row],[Guest_Age]]&lt;=50),"Middle Aged Adults",Table2[[#This Row],[Guest_Age]]&gt;50,"Senior")</f>
        <v>Young Adults</v>
      </c>
      <c r="AB8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867" t="str" cm="1">
        <f t="array" ref="AC867">_xlfn.IFS(Table2[[#This Row],[Satification_points]]&gt;=4.5,"GREAT",AND(Table2[[#This Row],[Satification_points]]&gt;=4,Table2[[#This Row],[Satification_points]]&lt;4.5),"GOOD",AND(Table2[[#This Row],[Satification_points]]&gt;=3,Table2[[#This Row],[Satification_points]]&lt;4),"AVERAGE",Table2[[#This Row],[Satification_points]]&lt;3,"POOR")</f>
        <v>AVERAGE</v>
      </c>
    </row>
    <row r="868" spans="1:29" x14ac:dyDescent="0.3">
      <c r="A868">
        <v>867</v>
      </c>
      <c r="B868">
        <v>22425</v>
      </c>
      <c r="C868" t="s">
        <v>919</v>
      </c>
      <c r="D868" t="s">
        <v>26</v>
      </c>
      <c r="E868" t="s">
        <v>35</v>
      </c>
      <c r="F868" s="1">
        <v>45192</v>
      </c>
      <c r="G868" s="1">
        <v>45617</v>
      </c>
      <c r="H868">
        <v>12</v>
      </c>
      <c r="I868" t="s">
        <v>49</v>
      </c>
      <c r="J868" t="s">
        <v>53</v>
      </c>
      <c r="K868">
        <v>3</v>
      </c>
      <c r="L868">
        <v>1</v>
      </c>
      <c r="M868">
        <v>4</v>
      </c>
      <c r="N868">
        <v>3</v>
      </c>
      <c r="O868">
        <v>2</v>
      </c>
      <c r="P868">
        <v>2</v>
      </c>
      <c r="Q868">
        <v>3</v>
      </c>
      <c r="R868">
        <v>5</v>
      </c>
      <c r="S868">
        <v>2</v>
      </c>
      <c r="T868">
        <v>2</v>
      </c>
      <c r="U868" t="s">
        <v>30</v>
      </c>
      <c r="V868" t="s">
        <v>46</v>
      </c>
      <c r="W868" t="s">
        <v>47</v>
      </c>
      <c r="X868" t="s">
        <v>40</v>
      </c>
      <c r="Y868">
        <v>63</v>
      </c>
      <c r="Z868" s="1">
        <v>45617</v>
      </c>
      <c r="AA868" t="str" cm="1">
        <f t="array" ref="AA868">_xlfn.IFS(AND(Table2[[#This Row],[Guest_Age]]&gt;=18,Table2[[#This Row],[Guest_Age]]&lt;=25),"Young Adults",AND(Table2[[#This Row],[Guest_Age]]&gt;=26,Table2[[#This Row],[Guest_Age]]&lt;=35),"Adults",AND(Table2[[#This Row],[Guest_Age]]&gt;=36,Table2[[#This Row],[Guest_Age]]&lt;=50),"Middle Aged Adults",Table2[[#This Row],[Guest_Age]]&gt;50,"Senior")</f>
        <v>Senior</v>
      </c>
      <c r="AB8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68" t="str" cm="1">
        <f t="array" ref="AC868">_xlfn.IFS(Table2[[#This Row],[Satification_points]]&gt;=4.5,"GREAT",AND(Table2[[#This Row],[Satification_points]]&gt;=4,Table2[[#This Row],[Satification_points]]&lt;4.5),"GOOD",AND(Table2[[#This Row],[Satification_points]]&gt;=3,Table2[[#This Row],[Satification_points]]&lt;4),"AVERAGE",Table2[[#This Row],[Satification_points]]&lt;3,"POOR")</f>
        <v>POOR</v>
      </c>
    </row>
    <row r="869" spans="1:29" x14ac:dyDescent="0.3">
      <c r="A869">
        <v>868</v>
      </c>
      <c r="B869">
        <v>54497</v>
      </c>
      <c r="C869" t="s">
        <v>920</v>
      </c>
      <c r="D869" t="s">
        <v>34</v>
      </c>
      <c r="E869" t="s">
        <v>45</v>
      </c>
      <c r="F869" s="1">
        <v>45009</v>
      </c>
      <c r="G869" s="1">
        <v>45457</v>
      </c>
      <c r="H869">
        <v>6</v>
      </c>
      <c r="I869" t="s">
        <v>42</v>
      </c>
      <c r="J869" t="s">
        <v>29</v>
      </c>
      <c r="K869">
        <v>2</v>
      </c>
      <c r="L869">
        <v>2</v>
      </c>
      <c r="M869">
        <v>4</v>
      </c>
      <c r="N869">
        <v>3</v>
      </c>
      <c r="O869">
        <v>2</v>
      </c>
      <c r="P869">
        <v>5</v>
      </c>
      <c r="Q869">
        <v>4</v>
      </c>
      <c r="R869">
        <v>2</v>
      </c>
      <c r="S869">
        <v>5</v>
      </c>
      <c r="T869">
        <v>5</v>
      </c>
      <c r="U869" t="s">
        <v>37</v>
      </c>
      <c r="V869" t="s">
        <v>31</v>
      </c>
      <c r="W869" t="s">
        <v>39</v>
      </c>
      <c r="X869" t="s">
        <v>44</v>
      </c>
      <c r="Y869">
        <v>51</v>
      </c>
      <c r="Z869" s="1">
        <v>45622</v>
      </c>
      <c r="AA869" t="str" cm="1">
        <f t="array" ref="AA869">_xlfn.IFS(AND(Table2[[#This Row],[Guest_Age]]&gt;=18,Table2[[#This Row],[Guest_Age]]&lt;=25),"Young Adults",AND(Table2[[#This Row],[Guest_Age]]&gt;=26,Table2[[#This Row],[Guest_Age]]&lt;=35),"Adults",AND(Table2[[#This Row],[Guest_Age]]&gt;=36,Table2[[#This Row],[Guest_Age]]&lt;=50),"Middle Aged Adults",Table2[[#This Row],[Guest_Age]]&gt;50,"Senior")</f>
        <v>Senior</v>
      </c>
      <c r="AB8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869" t="str" cm="1">
        <f t="array" ref="AC869">_xlfn.IFS(Table2[[#This Row],[Satification_points]]&gt;=4.5,"GREAT",AND(Table2[[#This Row],[Satification_points]]&gt;=4,Table2[[#This Row],[Satification_points]]&lt;4.5),"GOOD",AND(Table2[[#This Row],[Satification_points]]&gt;=3,Table2[[#This Row],[Satification_points]]&lt;4),"AVERAGE",Table2[[#This Row],[Satification_points]]&lt;3,"POOR")</f>
        <v>AVERAGE</v>
      </c>
    </row>
    <row r="870" spans="1:29" x14ac:dyDescent="0.3">
      <c r="A870">
        <v>869</v>
      </c>
      <c r="B870">
        <v>67420</v>
      </c>
      <c r="C870" t="s">
        <v>921</v>
      </c>
      <c r="D870" t="s">
        <v>41</v>
      </c>
      <c r="E870" t="s">
        <v>45</v>
      </c>
      <c r="F870" s="1">
        <v>45184</v>
      </c>
      <c r="G870" s="1">
        <v>45580</v>
      </c>
      <c r="H870">
        <v>8</v>
      </c>
      <c r="I870" t="s">
        <v>28</v>
      </c>
      <c r="J870" t="s">
        <v>40</v>
      </c>
      <c r="K870">
        <v>4</v>
      </c>
      <c r="L870">
        <v>4</v>
      </c>
      <c r="M870">
        <v>1</v>
      </c>
      <c r="N870">
        <v>2</v>
      </c>
      <c r="O870">
        <v>3</v>
      </c>
      <c r="P870">
        <v>5</v>
      </c>
      <c r="Q870">
        <v>1</v>
      </c>
      <c r="R870">
        <v>2</v>
      </c>
      <c r="S870">
        <v>5</v>
      </c>
      <c r="T870">
        <v>4</v>
      </c>
      <c r="U870" t="s">
        <v>37</v>
      </c>
      <c r="V870" t="s">
        <v>46</v>
      </c>
      <c r="W870" t="s">
        <v>32</v>
      </c>
      <c r="X870" t="s">
        <v>44</v>
      </c>
      <c r="Y870">
        <v>36</v>
      </c>
      <c r="Z870" s="1">
        <v>45580</v>
      </c>
      <c r="AA870" t="str" cm="1">
        <f t="array" ref="AA8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8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70" t="str" cm="1">
        <f t="array" ref="AC870">_xlfn.IFS(Table2[[#This Row],[Satification_points]]&gt;=4.5,"GREAT",AND(Table2[[#This Row],[Satification_points]]&gt;=4,Table2[[#This Row],[Satification_points]]&lt;4.5),"GOOD",AND(Table2[[#This Row],[Satification_points]]&gt;=3,Table2[[#This Row],[Satification_points]]&lt;4),"AVERAGE",Table2[[#This Row],[Satification_points]]&lt;3,"POOR")</f>
        <v>AVERAGE</v>
      </c>
    </row>
    <row r="871" spans="1:29" x14ac:dyDescent="0.3">
      <c r="A871">
        <v>870</v>
      </c>
      <c r="B871">
        <v>31640</v>
      </c>
      <c r="C871" t="s">
        <v>922</v>
      </c>
      <c r="D871" t="s">
        <v>34</v>
      </c>
      <c r="E871" t="s">
        <v>57</v>
      </c>
      <c r="F871" s="1">
        <v>45486</v>
      </c>
      <c r="G871" s="1">
        <v>45487</v>
      </c>
      <c r="H871">
        <v>14</v>
      </c>
      <c r="I871" t="s">
        <v>49</v>
      </c>
      <c r="J871" t="s">
        <v>29</v>
      </c>
      <c r="K871">
        <v>2</v>
      </c>
      <c r="L871">
        <v>5</v>
      </c>
      <c r="M871">
        <v>5</v>
      </c>
      <c r="N871">
        <v>2</v>
      </c>
      <c r="O871">
        <v>4</v>
      </c>
      <c r="P871">
        <v>4</v>
      </c>
      <c r="Q871">
        <v>2</v>
      </c>
      <c r="R871">
        <v>3</v>
      </c>
      <c r="S871">
        <v>5</v>
      </c>
      <c r="T871">
        <v>5</v>
      </c>
      <c r="U871" t="s">
        <v>30</v>
      </c>
      <c r="V871" t="s">
        <v>46</v>
      </c>
      <c r="W871" t="s">
        <v>55</v>
      </c>
      <c r="X871" t="s">
        <v>44</v>
      </c>
      <c r="Y871">
        <v>53</v>
      </c>
      <c r="Z871" s="1">
        <v>45573</v>
      </c>
      <c r="AA871" t="str" cm="1">
        <f t="array" ref="AA871">_xlfn.IFS(AND(Table2[[#This Row],[Guest_Age]]&gt;=18,Table2[[#This Row],[Guest_Age]]&lt;=25),"Young Adults",AND(Table2[[#This Row],[Guest_Age]]&gt;=26,Table2[[#This Row],[Guest_Age]]&lt;=35),"Adults",AND(Table2[[#This Row],[Guest_Age]]&gt;=36,Table2[[#This Row],[Guest_Age]]&lt;=50),"Middle Aged Adults",Table2[[#This Row],[Guest_Age]]&gt;50,"Senior")</f>
        <v>Senior</v>
      </c>
      <c r="AB8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71" t="str" cm="1">
        <f t="array" ref="AC871">_xlfn.IFS(Table2[[#This Row],[Satification_points]]&gt;=4.5,"GREAT",AND(Table2[[#This Row],[Satification_points]]&gt;=4,Table2[[#This Row],[Satification_points]]&lt;4.5),"GOOD",AND(Table2[[#This Row],[Satification_points]]&gt;=3,Table2[[#This Row],[Satification_points]]&lt;4),"AVERAGE",Table2[[#This Row],[Satification_points]]&lt;3,"POOR")</f>
        <v>AVERAGE</v>
      </c>
    </row>
    <row r="872" spans="1:29" x14ac:dyDescent="0.3">
      <c r="A872">
        <v>871</v>
      </c>
      <c r="B872">
        <v>83824</v>
      </c>
      <c r="C872" t="s">
        <v>923</v>
      </c>
      <c r="D872" t="s">
        <v>48</v>
      </c>
      <c r="E872" t="s">
        <v>52</v>
      </c>
      <c r="F872" s="1">
        <v>45572</v>
      </c>
      <c r="G872" s="1">
        <v>45653</v>
      </c>
      <c r="H872">
        <v>13</v>
      </c>
      <c r="I872" t="s">
        <v>49</v>
      </c>
      <c r="J872" t="s">
        <v>36</v>
      </c>
      <c r="K872">
        <v>3</v>
      </c>
      <c r="L872">
        <v>2</v>
      </c>
      <c r="M872">
        <v>5</v>
      </c>
      <c r="N872">
        <v>5</v>
      </c>
      <c r="O872">
        <v>2</v>
      </c>
      <c r="P872">
        <v>3</v>
      </c>
      <c r="Q872">
        <v>5</v>
      </c>
      <c r="R872">
        <v>2</v>
      </c>
      <c r="S872">
        <v>5</v>
      </c>
      <c r="T872">
        <v>5</v>
      </c>
      <c r="U872" t="s">
        <v>37</v>
      </c>
      <c r="V872" t="s">
        <v>31</v>
      </c>
      <c r="W872" t="s">
        <v>47</v>
      </c>
      <c r="X872" t="s">
        <v>44</v>
      </c>
      <c r="Y872">
        <v>51</v>
      </c>
      <c r="Z872" s="1">
        <v>45653</v>
      </c>
      <c r="AA872" t="str" cm="1">
        <f t="array" ref="AA872">_xlfn.IFS(AND(Table2[[#This Row],[Guest_Age]]&gt;=18,Table2[[#This Row],[Guest_Age]]&lt;=25),"Young Adults",AND(Table2[[#This Row],[Guest_Age]]&gt;=26,Table2[[#This Row],[Guest_Age]]&lt;=35),"Adults",AND(Table2[[#This Row],[Guest_Age]]&gt;=36,Table2[[#This Row],[Guest_Age]]&lt;=50),"Middle Aged Adults",Table2[[#This Row],[Guest_Age]]&gt;50,"Senior")</f>
        <v>Senior</v>
      </c>
      <c r="AB8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72" t="str" cm="1">
        <f t="array" ref="AC872">_xlfn.IFS(Table2[[#This Row],[Satification_points]]&gt;=4.5,"GREAT",AND(Table2[[#This Row],[Satification_points]]&gt;=4,Table2[[#This Row],[Satification_points]]&lt;4.5),"GOOD",AND(Table2[[#This Row],[Satification_points]]&gt;=3,Table2[[#This Row],[Satification_points]]&lt;4),"AVERAGE",Table2[[#This Row],[Satification_points]]&lt;3,"POOR")</f>
        <v>AVERAGE</v>
      </c>
    </row>
    <row r="873" spans="1:29" x14ac:dyDescent="0.3">
      <c r="A873">
        <v>872</v>
      </c>
      <c r="B873">
        <v>92914</v>
      </c>
      <c r="C873" t="s">
        <v>924</v>
      </c>
      <c r="D873" t="s">
        <v>48</v>
      </c>
      <c r="E873" t="s">
        <v>45</v>
      </c>
      <c r="F873" s="1">
        <v>45125</v>
      </c>
      <c r="G873" s="1">
        <v>45661</v>
      </c>
      <c r="H873">
        <v>6</v>
      </c>
      <c r="I873" t="s">
        <v>49</v>
      </c>
      <c r="J873" t="s">
        <v>53</v>
      </c>
      <c r="K873">
        <v>2</v>
      </c>
      <c r="L873">
        <v>1</v>
      </c>
      <c r="M873">
        <v>3</v>
      </c>
      <c r="N873">
        <v>4</v>
      </c>
      <c r="O873">
        <v>5</v>
      </c>
      <c r="P873">
        <v>5</v>
      </c>
      <c r="Q873">
        <v>3</v>
      </c>
      <c r="R873">
        <v>2</v>
      </c>
      <c r="S873">
        <v>1</v>
      </c>
      <c r="T873">
        <v>5</v>
      </c>
      <c r="U873" t="s">
        <v>30</v>
      </c>
      <c r="V873" t="s">
        <v>31</v>
      </c>
      <c r="W873" t="s">
        <v>47</v>
      </c>
      <c r="X873" t="s">
        <v>44</v>
      </c>
      <c r="Y873">
        <v>53</v>
      </c>
      <c r="Z873" s="1">
        <v>45661</v>
      </c>
      <c r="AA873" t="str" cm="1">
        <f t="array" ref="AA873">_xlfn.IFS(AND(Table2[[#This Row],[Guest_Age]]&gt;=18,Table2[[#This Row],[Guest_Age]]&lt;=25),"Young Adults",AND(Table2[[#This Row],[Guest_Age]]&gt;=26,Table2[[#This Row],[Guest_Age]]&lt;=35),"Adults",AND(Table2[[#This Row],[Guest_Age]]&gt;=36,Table2[[#This Row],[Guest_Age]]&lt;=50),"Middle Aged Adults",Table2[[#This Row],[Guest_Age]]&gt;50,"Senior")</f>
        <v>Senior</v>
      </c>
      <c r="AB8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873" t="str" cm="1">
        <f t="array" ref="AC873">_xlfn.IFS(Table2[[#This Row],[Satification_points]]&gt;=4.5,"GREAT",AND(Table2[[#This Row],[Satification_points]]&gt;=4,Table2[[#This Row],[Satification_points]]&lt;4.5),"GOOD",AND(Table2[[#This Row],[Satification_points]]&gt;=3,Table2[[#This Row],[Satification_points]]&lt;4),"AVERAGE",Table2[[#This Row],[Satification_points]]&lt;3,"POOR")</f>
        <v>AVERAGE</v>
      </c>
    </row>
    <row r="874" spans="1:29" x14ac:dyDescent="0.3">
      <c r="A874">
        <v>873</v>
      </c>
      <c r="B874">
        <v>66093</v>
      </c>
      <c r="C874" t="s">
        <v>925</v>
      </c>
      <c r="D874" t="s">
        <v>48</v>
      </c>
      <c r="E874" t="s">
        <v>27</v>
      </c>
      <c r="F874" s="1">
        <v>45218</v>
      </c>
      <c r="G874" s="1">
        <v>45484</v>
      </c>
      <c r="H874">
        <v>4</v>
      </c>
      <c r="I874" t="s">
        <v>28</v>
      </c>
      <c r="J874" t="s">
        <v>53</v>
      </c>
      <c r="K874">
        <v>1</v>
      </c>
      <c r="L874">
        <v>1</v>
      </c>
      <c r="M874">
        <v>1</v>
      </c>
      <c r="N874">
        <v>4</v>
      </c>
      <c r="O874">
        <v>5</v>
      </c>
      <c r="P874">
        <v>5</v>
      </c>
      <c r="Q874">
        <v>3</v>
      </c>
      <c r="R874">
        <v>3</v>
      </c>
      <c r="S874">
        <v>1</v>
      </c>
      <c r="T874">
        <v>3</v>
      </c>
      <c r="U874" t="s">
        <v>37</v>
      </c>
      <c r="V874" t="s">
        <v>58</v>
      </c>
      <c r="W874" t="s">
        <v>47</v>
      </c>
      <c r="X874" t="s">
        <v>33</v>
      </c>
      <c r="Y874">
        <v>23</v>
      </c>
      <c r="Z874" s="1">
        <v>45554</v>
      </c>
      <c r="AA874" t="str" cm="1">
        <f t="array" ref="AA874">_xlfn.IFS(AND(Table2[[#This Row],[Guest_Age]]&gt;=18,Table2[[#This Row],[Guest_Age]]&lt;=25),"Young Adults",AND(Table2[[#This Row],[Guest_Age]]&gt;=26,Table2[[#This Row],[Guest_Age]]&lt;=35),"Adults",AND(Table2[[#This Row],[Guest_Age]]&gt;=36,Table2[[#This Row],[Guest_Age]]&lt;=50),"Middle Aged Adults",Table2[[#This Row],[Guest_Age]]&gt;50,"Senior")</f>
        <v>Young Adults</v>
      </c>
      <c r="AB8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74" t="str" cm="1">
        <f t="array" ref="AC874">_xlfn.IFS(Table2[[#This Row],[Satification_points]]&gt;=4.5,"GREAT",AND(Table2[[#This Row],[Satification_points]]&gt;=4,Table2[[#This Row],[Satification_points]]&lt;4.5),"GOOD",AND(Table2[[#This Row],[Satification_points]]&gt;=3,Table2[[#This Row],[Satification_points]]&lt;4),"AVERAGE",Table2[[#This Row],[Satification_points]]&lt;3,"POOR")</f>
        <v>POOR</v>
      </c>
    </row>
    <row r="875" spans="1:29" x14ac:dyDescent="0.3">
      <c r="A875">
        <v>874</v>
      </c>
      <c r="B875">
        <v>57150</v>
      </c>
      <c r="C875" t="s">
        <v>284</v>
      </c>
      <c r="D875" t="s">
        <v>26</v>
      </c>
      <c r="E875" t="s">
        <v>57</v>
      </c>
      <c r="F875" s="1">
        <v>45574</v>
      </c>
      <c r="G875" s="1">
        <v>45575</v>
      </c>
      <c r="H875">
        <v>6</v>
      </c>
      <c r="I875" t="s">
        <v>49</v>
      </c>
      <c r="J875" t="s">
        <v>53</v>
      </c>
      <c r="K875">
        <v>5</v>
      </c>
      <c r="L875">
        <v>3</v>
      </c>
      <c r="M875">
        <v>2</v>
      </c>
      <c r="N875">
        <v>5</v>
      </c>
      <c r="O875">
        <v>4</v>
      </c>
      <c r="P875">
        <v>2</v>
      </c>
      <c r="Q875">
        <v>4</v>
      </c>
      <c r="R875">
        <v>5</v>
      </c>
      <c r="S875">
        <v>4</v>
      </c>
      <c r="T875">
        <v>4</v>
      </c>
      <c r="U875" t="s">
        <v>30</v>
      </c>
      <c r="V875" t="s">
        <v>58</v>
      </c>
      <c r="W875" t="s">
        <v>39</v>
      </c>
      <c r="X875" t="s">
        <v>40</v>
      </c>
      <c r="Y875">
        <v>67</v>
      </c>
      <c r="Z875" s="1">
        <v>45575</v>
      </c>
      <c r="AA875" t="str" cm="1">
        <f t="array" ref="AA875">_xlfn.IFS(AND(Table2[[#This Row],[Guest_Age]]&gt;=18,Table2[[#This Row],[Guest_Age]]&lt;=25),"Young Adults",AND(Table2[[#This Row],[Guest_Age]]&gt;=26,Table2[[#This Row],[Guest_Age]]&lt;=35),"Adults",AND(Table2[[#This Row],[Guest_Age]]&gt;=36,Table2[[#This Row],[Guest_Age]]&lt;=50),"Middle Aged Adults",Table2[[#This Row],[Guest_Age]]&gt;50,"Senior")</f>
        <v>Senior</v>
      </c>
      <c r="AB8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875" t="str" cm="1">
        <f t="array" ref="AC875">_xlfn.IFS(Table2[[#This Row],[Satification_points]]&gt;=4.5,"GREAT",AND(Table2[[#This Row],[Satification_points]]&gt;=4,Table2[[#This Row],[Satification_points]]&lt;4.5),"GOOD",AND(Table2[[#This Row],[Satification_points]]&gt;=3,Table2[[#This Row],[Satification_points]]&lt;4),"AVERAGE",Table2[[#This Row],[Satification_points]]&lt;3,"POOR")</f>
        <v>AVERAGE</v>
      </c>
    </row>
    <row r="876" spans="1:29" x14ac:dyDescent="0.3">
      <c r="A876">
        <v>875</v>
      </c>
      <c r="B876">
        <v>36111</v>
      </c>
      <c r="C876" t="s">
        <v>926</v>
      </c>
      <c r="D876" t="s">
        <v>51</v>
      </c>
      <c r="E876" t="s">
        <v>52</v>
      </c>
      <c r="F876" s="1">
        <v>45009</v>
      </c>
      <c r="G876" s="1">
        <v>45281</v>
      </c>
      <c r="H876">
        <v>1</v>
      </c>
      <c r="I876" t="s">
        <v>28</v>
      </c>
      <c r="J876" t="s">
        <v>53</v>
      </c>
      <c r="K876">
        <v>1</v>
      </c>
      <c r="L876">
        <v>1</v>
      </c>
      <c r="M876">
        <v>3</v>
      </c>
      <c r="N876">
        <v>3</v>
      </c>
      <c r="O876">
        <v>5</v>
      </c>
      <c r="P876">
        <v>4</v>
      </c>
      <c r="Q876">
        <v>1</v>
      </c>
      <c r="R876">
        <v>2</v>
      </c>
      <c r="S876">
        <v>1</v>
      </c>
      <c r="T876">
        <v>3</v>
      </c>
      <c r="U876" t="s">
        <v>37</v>
      </c>
      <c r="V876" t="s">
        <v>46</v>
      </c>
      <c r="W876" t="s">
        <v>56</v>
      </c>
      <c r="X876" t="s">
        <v>44</v>
      </c>
      <c r="Y876">
        <v>18</v>
      </c>
      <c r="Z876" s="1">
        <v>45642</v>
      </c>
      <c r="AA876" t="str" cm="1">
        <f t="array" ref="AA876">_xlfn.IFS(AND(Table2[[#This Row],[Guest_Age]]&gt;=18,Table2[[#This Row],[Guest_Age]]&lt;=25),"Young Adults",AND(Table2[[#This Row],[Guest_Age]]&gt;=26,Table2[[#This Row],[Guest_Age]]&lt;=35),"Adults",AND(Table2[[#This Row],[Guest_Age]]&gt;=36,Table2[[#This Row],[Guest_Age]]&lt;=50),"Middle Aged Adults",Table2[[#This Row],[Guest_Age]]&gt;50,"Senior")</f>
        <v>Young Adults</v>
      </c>
      <c r="AB8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876" t="str" cm="1">
        <f t="array" ref="AC876">_xlfn.IFS(Table2[[#This Row],[Satification_points]]&gt;=4.5,"GREAT",AND(Table2[[#This Row],[Satification_points]]&gt;=4,Table2[[#This Row],[Satification_points]]&lt;4.5),"GOOD",AND(Table2[[#This Row],[Satification_points]]&gt;=3,Table2[[#This Row],[Satification_points]]&lt;4),"AVERAGE",Table2[[#This Row],[Satification_points]]&lt;3,"POOR")</f>
        <v>POOR</v>
      </c>
    </row>
    <row r="877" spans="1:29" x14ac:dyDescent="0.3">
      <c r="A877">
        <v>876</v>
      </c>
      <c r="B877">
        <v>47293</v>
      </c>
      <c r="C877" t="s">
        <v>927</v>
      </c>
      <c r="D877" t="s">
        <v>26</v>
      </c>
      <c r="E877" t="s">
        <v>57</v>
      </c>
      <c r="F877" s="1">
        <v>45192</v>
      </c>
      <c r="G877" s="1">
        <v>45302</v>
      </c>
      <c r="H877">
        <v>6</v>
      </c>
      <c r="I877" t="s">
        <v>50</v>
      </c>
      <c r="J877" t="s">
        <v>40</v>
      </c>
      <c r="K877">
        <v>1</v>
      </c>
      <c r="L877">
        <v>1</v>
      </c>
      <c r="M877">
        <v>4</v>
      </c>
      <c r="N877">
        <v>2</v>
      </c>
      <c r="O877">
        <v>3</v>
      </c>
      <c r="P877">
        <v>4</v>
      </c>
      <c r="Q877">
        <v>2</v>
      </c>
      <c r="R877">
        <v>1</v>
      </c>
      <c r="S877">
        <v>4</v>
      </c>
      <c r="T877">
        <v>4</v>
      </c>
      <c r="U877" t="s">
        <v>30</v>
      </c>
      <c r="V877" t="s">
        <v>46</v>
      </c>
      <c r="W877" t="s">
        <v>56</v>
      </c>
      <c r="X877" t="s">
        <v>44</v>
      </c>
      <c r="Y877">
        <v>62</v>
      </c>
      <c r="Z877" s="1">
        <v>45302</v>
      </c>
      <c r="AA877" t="str" cm="1">
        <f t="array" ref="AA877">_xlfn.IFS(AND(Table2[[#This Row],[Guest_Age]]&gt;=18,Table2[[#This Row],[Guest_Age]]&lt;=25),"Young Adults",AND(Table2[[#This Row],[Guest_Age]]&gt;=26,Table2[[#This Row],[Guest_Age]]&lt;=35),"Adults",AND(Table2[[#This Row],[Guest_Age]]&gt;=36,Table2[[#This Row],[Guest_Age]]&lt;=50),"Middle Aged Adults",Table2[[#This Row],[Guest_Age]]&gt;50,"Senior")</f>
        <v>Senior</v>
      </c>
      <c r="AB8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77" t="str" cm="1">
        <f t="array" ref="AC877">_xlfn.IFS(Table2[[#This Row],[Satification_points]]&gt;=4.5,"GREAT",AND(Table2[[#This Row],[Satification_points]]&gt;=4,Table2[[#This Row],[Satification_points]]&lt;4.5),"GOOD",AND(Table2[[#This Row],[Satification_points]]&gt;=3,Table2[[#This Row],[Satification_points]]&lt;4),"AVERAGE",Table2[[#This Row],[Satification_points]]&lt;3,"POOR")</f>
        <v>POOR</v>
      </c>
    </row>
    <row r="878" spans="1:29" x14ac:dyDescent="0.3">
      <c r="A878">
        <v>877</v>
      </c>
      <c r="B878">
        <v>59664</v>
      </c>
      <c r="C878" t="s">
        <v>928</v>
      </c>
      <c r="D878" t="s">
        <v>34</v>
      </c>
      <c r="E878" t="s">
        <v>52</v>
      </c>
      <c r="F878" s="1">
        <v>45343</v>
      </c>
      <c r="G878" s="1">
        <v>45394</v>
      </c>
      <c r="H878">
        <v>11</v>
      </c>
      <c r="I878" t="s">
        <v>42</v>
      </c>
      <c r="J878" t="s">
        <v>43</v>
      </c>
      <c r="K878">
        <v>1</v>
      </c>
      <c r="L878">
        <v>4</v>
      </c>
      <c r="M878">
        <v>2</v>
      </c>
      <c r="N878">
        <v>5</v>
      </c>
      <c r="O878">
        <v>2</v>
      </c>
      <c r="P878">
        <v>3</v>
      </c>
      <c r="Q878">
        <v>1</v>
      </c>
      <c r="R878">
        <v>3</v>
      </c>
      <c r="S878">
        <v>4</v>
      </c>
      <c r="T878">
        <v>3</v>
      </c>
      <c r="U878" t="s">
        <v>37</v>
      </c>
      <c r="V878" t="s">
        <v>38</v>
      </c>
      <c r="W878" t="s">
        <v>32</v>
      </c>
      <c r="X878" t="s">
        <v>44</v>
      </c>
      <c r="Y878">
        <v>47</v>
      </c>
      <c r="Z878" s="1">
        <v>45466</v>
      </c>
      <c r="AA878" t="str" cm="1">
        <f t="array" ref="AA878">_xlfn.IFS(AND(Table2[[#This Row],[Guest_Age]]&gt;=18,Table2[[#This Row],[Guest_Age]]&lt;=25),"Young Adults",AND(Table2[[#This Row],[Guest_Age]]&gt;=26,Table2[[#This Row],[Guest_Age]]&lt;=35),"Adults",AND(Table2[[#This Row],[Guest_Age]]&gt;=36,Table2[[#This Row],[Guest_Age]]&lt;=50),"Middle Aged Adults",Table2[[#This Row],[Guest_Age]]&gt;50,"Senior")</f>
        <v>Middle Aged Adults</v>
      </c>
      <c r="AB8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878" t="str" cm="1">
        <f t="array" ref="AC878">_xlfn.IFS(Table2[[#This Row],[Satification_points]]&gt;=4.5,"GREAT",AND(Table2[[#This Row],[Satification_points]]&gt;=4,Table2[[#This Row],[Satification_points]]&lt;4.5),"GOOD",AND(Table2[[#This Row],[Satification_points]]&gt;=3,Table2[[#This Row],[Satification_points]]&lt;4),"AVERAGE",Table2[[#This Row],[Satification_points]]&lt;3,"POOR")</f>
        <v>POOR</v>
      </c>
    </row>
    <row r="879" spans="1:29" x14ac:dyDescent="0.3">
      <c r="A879">
        <v>878</v>
      </c>
      <c r="B879">
        <v>28306</v>
      </c>
      <c r="C879" t="s">
        <v>929</v>
      </c>
      <c r="D879" t="s">
        <v>41</v>
      </c>
      <c r="E879" t="s">
        <v>27</v>
      </c>
      <c r="F879" s="1">
        <v>45657</v>
      </c>
      <c r="G879" s="1">
        <v>45658</v>
      </c>
      <c r="H879">
        <v>14</v>
      </c>
      <c r="I879" t="s">
        <v>28</v>
      </c>
      <c r="J879" t="s">
        <v>29</v>
      </c>
      <c r="K879">
        <v>2</v>
      </c>
      <c r="L879">
        <v>5</v>
      </c>
      <c r="M879">
        <v>2</v>
      </c>
      <c r="N879">
        <v>4</v>
      </c>
      <c r="O879">
        <v>3</v>
      </c>
      <c r="P879">
        <v>3</v>
      </c>
      <c r="Q879">
        <v>2</v>
      </c>
      <c r="R879">
        <v>3</v>
      </c>
      <c r="S879">
        <v>3</v>
      </c>
      <c r="T879">
        <v>3</v>
      </c>
      <c r="U879" t="s">
        <v>30</v>
      </c>
      <c r="V879" t="s">
        <v>54</v>
      </c>
      <c r="W879" t="s">
        <v>39</v>
      </c>
      <c r="X879" t="s">
        <v>40</v>
      </c>
      <c r="Y879">
        <v>32</v>
      </c>
      <c r="Z879" s="1">
        <v>45658</v>
      </c>
      <c r="AA879" t="str" cm="1">
        <f t="array" ref="AA879">_xlfn.IFS(AND(Table2[[#This Row],[Guest_Age]]&gt;=18,Table2[[#This Row],[Guest_Age]]&lt;=25),"Young Adults",AND(Table2[[#This Row],[Guest_Age]]&gt;=26,Table2[[#This Row],[Guest_Age]]&lt;=35),"Adults",AND(Table2[[#This Row],[Guest_Age]]&gt;=36,Table2[[#This Row],[Guest_Age]]&lt;=50),"Middle Aged Adults",Table2[[#This Row],[Guest_Age]]&gt;50,"Senior")</f>
        <v>Adults</v>
      </c>
      <c r="AB8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79" t="str" cm="1">
        <f t="array" ref="AC879">_xlfn.IFS(Table2[[#This Row],[Satification_points]]&gt;=4.5,"GREAT",AND(Table2[[#This Row],[Satification_points]]&gt;=4,Table2[[#This Row],[Satification_points]]&lt;4.5),"GOOD",AND(Table2[[#This Row],[Satification_points]]&gt;=3,Table2[[#This Row],[Satification_points]]&lt;4),"AVERAGE",Table2[[#This Row],[Satification_points]]&lt;3,"POOR")</f>
        <v>AVERAGE</v>
      </c>
    </row>
    <row r="880" spans="1:29" x14ac:dyDescent="0.3">
      <c r="A880">
        <v>879</v>
      </c>
      <c r="B880">
        <v>87213</v>
      </c>
      <c r="C880" t="s">
        <v>930</v>
      </c>
      <c r="D880" t="s">
        <v>41</v>
      </c>
      <c r="E880" t="s">
        <v>52</v>
      </c>
      <c r="F880" s="1">
        <v>44945</v>
      </c>
      <c r="G880" s="1">
        <v>45664</v>
      </c>
      <c r="H880">
        <v>10</v>
      </c>
      <c r="I880" t="s">
        <v>28</v>
      </c>
      <c r="J880" t="s">
        <v>36</v>
      </c>
      <c r="K880">
        <v>4</v>
      </c>
      <c r="L880">
        <v>4</v>
      </c>
      <c r="M880">
        <v>3</v>
      </c>
      <c r="N880">
        <v>3</v>
      </c>
      <c r="O880">
        <v>4</v>
      </c>
      <c r="P880">
        <v>3</v>
      </c>
      <c r="Q880">
        <v>4</v>
      </c>
      <c r="R880">
        <v>5</v>
      </c>
      <c r="S880">
        <v>1</v>
      </c>
      <c r="T880">
        <v>2</v>
      </c>
      <c r="U880" t="s">
        <v>37</v>
      </c>
      <c r="V880" t="s">
        <v>38</v>
      </c>
      <c r="W880" t="s">
        <v>39</v>
      </c>
      <c r="X880" t="s">
        <v>40</v>
      </c>
      <c r="Y880">
        <v>26</v>
      </c>
      <c r="Z880" s="1">
        <v>45664</v>
      </c>
      <c r="AA880" t="str" cm="1">
        <f t="array" ref="AA880">_xlfn.IFS(AND(Table2[[#This Row],[Guest_Age]]&gt;=18,Table2[[#This Row],[Guest_Age]]&lt;=25),"Young Adults",AND(Table2[[#This Row],[Guest_Age]]&gt;=26,Table2[[#This Row],[Guest_Age]]&lt;=35),"Adults",AND(Table2[[#This Row],[Guest_Age]]&gt;=36,Table2[[#This Row],[Guest_Age]]&lt;=50),"Middle Aged Adults",Table2[[#This Row],[Guest_Age]]&gt;50,"Senior")</f>
        <v>Adults</v>
      </c>
      <c r="AB8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80" t="str" cm="1">
        <f t="array" ref="AC880">_xlfn.IFS(Table2[[#This Row],[Satification_points]]&gt;=4.5,"GREAT",AND(Table2[[#This Row],[Satification_points]]&gt;=4,Table2[[#This Row],[Satification_points]]&lt;4.5),"GOOD",AND(Table2[[#This Row],[Satification_points]]&gt;=3,Table2[[#This Row],[Satification_points]]&lt;4),"AVERAGE",Table2[[#This Row],[Satification_points]]&lt;3,"POOR")</f>
        <v>AVERAGE</v>
      </c>
    </row>
    <row r="881" spans="1:29" x14ac:dyDescent="0.3">
      <c r="A881">
        <v>880</v>
      </c>
      <c r="B881">
        <v>28298</v>
      </c>
      <c r="C881" t="s">
        <v>676</v>
      </c>
      <c r="D881" t="s">
        <v>41</v>
      </c>
      <c r="E881" t="s">
        <v>57</v>
      </c>
      <c r="F881" s="1">
        <v>45456</v>
      </c>
      <c r="G881" s="1">
        <v>45457</v>
      </c>
      <c r="H881">
        <v>13</v>
      </c>
      <c r="I881" t="s">
        <v>42</v>
      </c>
      <c r="J881" t="s">
        <v>53</v>
      </c>
      <c r="K881">
        <v>5</v>
      </c>
      <c r="L881">
        <v>3</v>
      </c>
      <c r="M881">
        <v>1</v>
      </c>
      <c r="N881">
        <v>4</v>
      </c>
      <c r="O881">
        <v>4</v>
      </c>
      <c r="P881">
        <v>5</v>
      </c>
      <c r="Q881">
        <v>1</v>
      </c>
      <c r="R881">
        <v>2</v>
      </c>
      <c r="S881">
        <v>5</v>
      </c>
      <c r="T881">
        <v>5</v>
      </c>
      <c r="U881" t="s">
        <v>30</v>
      </c>
      <c r="V881" t="s">
        <v>38</v>
      </c>
      <c r="W881" t="s">
        <v>39</v>
      </c>
      <c r="X881" t="s">
        <v>40</v>
      </c>
      <c r="Y881">
        <v>46</v>
      </c>
      <c r="Z881" s="1">
        <v>45457</v>
      </c>
      <c r="AA881" t="str" cm="1">
        <f t="array" ref="AA8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8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881" t="str" cm="1">
        <f t="array" ref="AC881">_xlfn.IFS(Table2[[#This Row],[Satification_points]]&gt;=4.5,"GREAT",AND(Table2[[#This Row],[Satification_points]]&gt;=4,Table2[[#This Row],[Satification_points]]&lt;4.5),"GOOD",AND(Table2[[#This Row],[Satification_points]]&gt;=3,Table2[[#This Row],[Satification_points]]&lt;4),"AVERAGE",Table2[[#This Row],[Satification_points]]&lt;3,"POOR")</f>
        <v>AVERAGE</v>
      </c>
    </row>
    <row r="882" spans="1:29" x14ac:dyDescent="0.3">
      <c r="A882">
        <v>881</v>
      </c>
      <c r="B882">
        <v>14753</v>
      </c>
      <c r="C882" t="s">
        <v>931</v>
      </c>
      <c r="D882" t="s">
        <v>41</v>
      </c>
      <c r="E882" t="s">
        <v>52</v>
      </c>
      <c r="F882" s="1">
        <v>45297</v>
      </c>
      <c r="G882" s="1">
        <v>45298</v>
      </c>
      <c r="H882">
        <v>11</v>
      </c>
      <c r="I882" t="s">
        <v>28</v>
      </c>
      <c r="J882" t="s">
        <v>29</v>
      </c>
      <c r="K882">
        <v>2</v>
      </c>
      <c r="L882">
        <v>2</v>
      </c>
      <c r="M882">
        <v>5</v>
      </c>
      <c r="N882">
        <v>3</v>
      </c>
      <c r="O882">
        <v>3</v>
      </c>
      <c r="P882">
        <v>2</v>
      </c>
      <c r="Q882">
        <v>5</v>
      </c>
      <c r="R882">
        <v>1</v>
      </c>
      <c r="S882">
        <v>2</v>
      </c>
      <c r="T882">
        <v>2</v>
      </c>
      <c r="U882" t="s">
        <v>37</v>
      </c>
      <c r="V882" t="s">
        <v>46</v>
      </c>
      <c r="W882" t="s">
        <v>55</v>
      </c>
      <c r="X882" t="s">
        <v>44</v>
      </c>
      <c r="Y882">
        <v>19</v>
      </c>
      <c r="Z882" s="1">
        <v>45298</v>
      </c>
      <c r="AA882" t="str" cm="1">
        <f t="array" ref="AA882">_xlfn.IFS(AND(Table2[[#This Row],[Guest_Age]]&gt;=18,Table2[[#This Row],[Guest_Age]]&lt;=25),"Young Adults",AND(Table2[[#This Row],[Guest_Age]]&gt;=26,Table2[[#This Row],[Guest_Age]]&lt;=35),"Adults",AND(Table2[[#This Row],[Guest_Age]]&gt;=36,Table2[[#This Row],[Guest_Age]]&lt;=50),"Middle Aged Adults",Table2[[#This Row],[Guest_Age]]&gt;50,"Senior")</f>
        <v>Young Adults</v>
      </c>
      <c r="AB8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82" t="str" cm="1">
        <f t="array" ref="AC882">_xlfn.IFS(Table2[[#This Row],[Satification_points]]&gt;=4.5,"GREAT",AND(Table2[[#This Row],[Satification_points]]&gt;=4,Table2[[#This Row],[Satification_points]]&lt;4.5),"GOOD",AND(Table2[[#This Row],[Satification_points]]&gt;=3,Table2[[#This Row],[Satification_points]]&lt;4),"AVERAGE",Table2[[#This Row],[Satification_points]]&lt;3,"POOR")</f>
        <v>POOR</v>
      </c>
    </row>
    <row r="883" spans="1:29" x14ac:dyDescent="0.3">
      <c r="A883">
        <v>882</v>
      </c>
      <c r="B883">
        <v>82352</v>
      </c>
      <c r="C883" t="s">
        <v>932</v>
      </c>
      <c r="D883" t="s">
        <v>51</v>
      </c>
      <c r="E883" t="s">
        <v>57</v>
      </c>
      <c r="F883" s="1">
        <v>45617</v>
      </c>
      <c r="G883" s="1">
        <v>45618</v>
      </c>
      <c r="H883">
        <v>8</v>
      </c>
      <c r="I883" t="s">
        <v>42</v>
      </c>
      <c r="J883" t="s">
        <v>43</v>
      </c>
      <c r="K883">
        <v>1</v>
      </c>
      <c r="L883">
        <v>3</v>
      </c>
      <c r="M883">
        <v>1</v>
      </c>
      <c r="N883">
        <v>4</v>
      </c>
      <c r="O883">
        <v>1</v>
      </c>
      <c r="P883">
        <v>1</v>
      </c>
      <c r="Q883">
        <v>4</v>
      </c>
      <c r="R883">
        <v>5</v>
      </c>
      <c r="S883">
        <v>4</v>
      </c>
      <c r="T883">
        <v>2</v>
      </c>
      <c r="U883" t="s">
        <v>37</v>
      </c>
      <c r="V883" t="s">
        <v>31</v>
      </c>
      <c r="W883" t="s">
        <v>39</v>
      </c>
      <c r="X883" t="s">
        <v>44</v>
      </c>
      <c r="Y883">
        <v>47</v>
      </c>
      <c r="Z883" s="1">
        <v>45618</v>
      </c>
      <c r="AA883" t="str" cm="1">
        <f t="array" ref="AA883">_xlfn.IFS(AND(Table2[[#This Row],[Guest_Age]]&gt;=18,Table2[[#This Row],[Guest_Age]]&lt;=25),"Young Adults",AND(Table2[[#This Row],[Guest_Age]]&gt;=26,Table2[[#This Row],[Guest_Age]]&lt;=35),"Adults",AND(Table2[[#This Row],[Guest_Age]]&gt;=36,Table2[[#This Row],[Guest_Age]]&lt;=50),"Middle Aged Adults",Table2[[#This Row],[Guest_Age]]&gt;50,"Senior")</f>
        <v>Middle Aged Adults</v>
      </c>
      <c r="AB8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83" t="str" cm="1">
        <f t="array" ref="AC883">_xlfn.IFS(Table2[[#This Row],[Satification_points]]&gt;=4.5,"GREAT",AND(Table2[[#This Row],[Satification_points]]&gt;=4,Table2[[#This Row],[Satification_points]]&lt;4.5),"GOOD",AND(Table2[[#This Row],[Satification_points]]&gt;=3,Table2[[#This Row],[Satification_points]]&lt;4),"AVERAGE",Table2[[#This Row],[Satification_points]]&lt;3,"POOR")</f>
        <v>POOR</v>
      </c>
    </row>
    <row r="884" spans="1:29" x14ac:dyDescent="0.3">
      <c r="A884">
        <v>883</v>
      </c>
      <c r="B884">
        <v>87704</v>
      </c>
      <c r="C884" t="s">
        <v>933</v>
      </c>
      <c r="D884" t="s">
        <v>41</v>
      </c>
      <c r="E884" t="s">
        <v>45</v>
      </c>
      <c r="F884" s="1">
        <v>44949</v>
      </c>
      <c r="G884" s="1">
        <v>45522</v>
      </c>
      <c r="H884">
        <v>4</v>
      </c>
      <c r="I884" t="s">
        <v>50</v>
      </c>
      <c r="J884" t="s">
        <v>29</v>
      </c>
      <c r="K884">
        <v>3</v>
      </c>
      <c r="L884">
        <v>1</v>
      </c>
      <c r="M884">
        <v>3</v>
      </c>
      <c r="N884">
        <v>1</v>
      </c>
      <c r="O884">
        <v>4</v>
      </c>
      <c r="P884">
        <v>2</v>
      </c>
      <c r="Q884">
        <v>4</v>
      </c>
      <c r="R884">
        <v>2</v>
      </c>
      <c r="S884">
        <v>2</v>
      </c>
      <c r="T884">
        <v>2</v>
      </c>
      <c r="U884" t="s">
        <v>30</v>
      </c>
      <c r="V884" t="s">
        <v>31</v>
      </c>
      <c r="W884" t="s">
        <v>39</v>
      </c>
      <c r="X884" t="s">
        <v>40</v>
      </c>
      <c r="Y884">
        <v>63</v>
      </c>
      <c r="Z884" s="1">
        <v>45522</v>
      </c>
      <c r="AA884" t="str" cm="1">
        <f t="array" ref="AA884">_xlfn.IFS(AND(Table2[[#This Row],[Guest_Age]]&gt;=18,Table2[[#This Row],[Guest_Age]]&lt;=25),"Young Adults",AND(Table2[[#This Row],[Guest_Age]]&gt;=26,Table2[[#This Row],[Guest_Age]]&lt;=35),"Adults",AND(Table2[[#This Row],[Guest_Age]]&gt;=36,Table2[[#This Row],[Guest_Age]]&lt;=50),"Middle Aged Adults",Table2[[#This Row],[Guest_Age]]&gt;50,"Senior")</f>
        <v>Senior</v>
      </c>
      <c r="AB8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884" t="str" cm="1">
        <f t="array" ref="AC884">_xlfn.IFS(Table2[[#This Row],[Satification_points]]&gt;=4.5,"GREAT",AND(Table2[[#This Row],[Satification_points]]&gt;=4,Table2[[#This Row],[Satification_points]]&lt;4.5),"GOOD",AND(Table2[[#This Row],[Satification_points]]&gt;=3,Table2[[#This Row],[Satification_points]]&lt;4),"AVERAGE",Table2[[#This Row],[Satification_points]]&lt;3,"POOR")</f>
        <v>POOR</v>
      </c>
    </row>
    <row r="885" spans="1:29" x14ac:dyDescent="0.3">
      <c r="A885">
        <v>884</v>
      </c>
      <c r="B885">
        <v>84374</v>
      </c>
      <c r="C885" t="s">
        <v>934</v>
      </c>
      <c r="D885" t="s">
        <v>26</v>
      </c>
      <c r="E885" t="s">
        <v>27</v>
      </c>
      <c r="F885" s="1">
        <v>45311</v>
      </c>
      <c r="G885" s="1">
        <v>45312</v>
      </c>
      <c r="H885">
        <v>9</v>
      </c>
      <c r="I885" t="s">
        <v>49</v>
      </c>
      <c r="J885" t="s">
        <v>36</v>
      </c>
      <c r="K885">
        <v>3</v>
      </c>
      <c r="L885">
        <v>5</v>
      </c>
      <c r="M885">
        <v>5</v>
      </c>
      <c r="N885">
        <v>3</v>
      </c>
      <c r="O885">
        <v>2</v>
      </c>
      <c r="P885">
        <v>4</v>
      </c>
      <c r="Q885">
        <v>3</v>
      </c>
      <c r="R885">
        <v>5</v>
      </c>
      <c r="S885">
        <v>5</v>
      </c>
      <c r="T885">
        <v>1</v>
      </c>
      <c r="U885" t="s">
        <v>37</v>
      </c>
      <c r="V885" t="s">
        <v>54</v>
      </c>
      <c r="W885" t="s">
        <v>47</v>
      </c>
      <c r="X885" t="s">
        <v>33</v>
      </c>
      <c r="Y885">
        <v>21</v>
      </c>
      <c r="Z885" s="1">
        <v>45312</v>
      </c>
      <c r="AA885" t="str" cm="1">
        <f t="array" ref="AA885">_xlfn.IFS(AND(Table2[[#This Row],[Guest_Age]]&gt;=18,Table2[[#This Row],[Guest_Age]]&lt;=25),"Young Adults",AND(Table2[[#This Row],[Guest_Age]]&gt;=26,Table2[[#This Row],[Guest_Age]]&lt;=35),"Adults",AND(Table2[[#This Row],[Guest_Age]]&gt;=36,Table2[[#This Row],[Guest_Age]]&lt;=50),"Middle Aged Adults",Table2[[#This Row],[Guest_Age]]&gt;50,"Senior")</f>
        <v>Young Adults</v>
      </c>
      <c r="AB8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885" t="str" cm="1">
        <f t="array" ref="AC885">_xlfn.IFS(Table2[[#This Row],[Satification_points]]&gt;=4.5,"GREAT",AND(Table2[[#This Row],[Satification_points]]&gt;=4,Table2[[#This Row],[Satification_points]]&lt;4.5),"GOOD",AND(Table2[[#This Row],[Satification_points]]&gt;=3,Table2[[#This Row],[Satification_points]]&lt;4),"AVERAGE",Table2[[#This Row],[Satification_points]]&lt;3,"POOR")</f>
        <v>AVERAGE</v>
      </c>
    </row>
    <row r="886" spans="1:29" x14ac:dyDescent="0.3">
      <c r="A886">
        <v>885</v>
      </c>
      <c r="B886">
        <v>43565</v>
      </c>
      <c r="C886" t="s">
        <v>935</v>
      </c>
      <c r="D886" t="s">
        <v>41</v>
      </c>
      <c r="E886" t="s">
        <v>57</v>
      </c>
      <c r="F886" s="1">
        <v>45545</v>
      </c>
      <c r="G886" s="1">
        <v>45546</v>
      </c>
      <c r="H886">
        <v>6</v>
      </c>
      <c r="I886" t="s">
        <v>42</v>
      </c>
      <c r="J886" t="s">
        <v>53</v>
      </c>
      <c r="K886">
        <v>1</v>
      </c>
      <c r="L886">
        <v>1</v>
      </c>
      <c r="M886">
        <v>2</v>
      </c>
      <c r="N886">
        <v>3</v>
      </c>
      <c r="O886">
        <v>4</v>
      </c>
      <c r="P886">
        <v>3</v>
      </c>
      <c r="Q886">
        <v>2</v>
      </c>
      <c r="R886">
        <v>3</v>
      </c>
      <c r="S886">
        <v>4</v>
      </c>
      <c r="T886">
        <v>4</v>
      </c>
      <c r="U886" t="s">
        <v>37</v>
      </c>
      <c r="V886" t="s">
        <v>31</v>
      </c>
      <c r="W886" t="s">
        <v>47</v>
      </c>
      <c r="X886" t="s">
        <v>33</v>
      </c>
      <c r="Y886">
        <v>36</v>
      </c>
      <c r="Z886" s="1">
        <v>45546</v>
      </c>
      <c r="AA886" t="str" cm="1">
        <f t="array" ref="AA8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8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886" t="str" cm="1">
        <f t="array" ref="AC886">_xlfn.IFS(Table2[[#This Row],[Satification_points]]&gt;=4.5,"GREAT",AND(Table2[[#This Row],[Satification_points]]&gt;=4,Table2[[#This Row],[Satification_points]]&lt;4.5),"GOOD",AND(Table2[[#This Row],[Satification_points]]&gt;=3,Table2[[#This Row],[Satification_points]]&lt;4),"AVERAGE",Table2[[#This Row],[Satification_points]]&lt;3,"POOR")</f>
        <v>POOR</v>
      </c>
    </row>
    <row r="887" spans="1:29" x14ac:dyDescent="0.3">
      <c r="A887">
        <v>886</v>
      </c>
      <c r="B887">
        <v>34652</v>
      </c>
      <c r="C887" t="s">
        <v>936</v>
      </c>
      <c r="D887" t="s">
        <v>48</v>
      </c>
      <c r="E887" t="s">
        <v>35</v>
      </c>
      <c r="F887" s="1">
        <v>45569</v>
      </c>
      <c r="G887" s="1">
        <v>45570</v>
      </c>
      <c r="H887">
        <v>6</v>
      </c>
      <c r="I887" t="s">
        <v>42</v>
      </c>
      <c r="J887" t="s">
        <v>36</v>
      </c>
      <c r="K887">
        <v>4</v>
      </c>
      <c r="L887">
        <v>5</v>
      </c>
      <c r="M887">
        <v>4</v>
      </c>
      <c r="N887">
        <v>3</v>
      </c>
      <c r="O887">
        <v>3</v>
      </c>
      <c r="P887">
        <v>1</v>
      </c>
      <c r="Q887">
        <v>1</v>
      </c>
      <c r="R887">
        <v>3</v>
      </c>
      <c r="S887">
        <v>4</v>
      </c>
      <c r="T887">
        <v>2</v>
      </c>
      <c r="U887" t="s">
        <v>37</v>
      </c>
      <c r="V887" t="s">
        <v>46</v>
      </c>
      <c r="W887" t="s">
        <v>47</v>
      </c>
      <c r="X887" t="s">
        <v>40</v>
      </c>
      <c r="Y887">
        <v>37</v>
      </c>
      <c r="Z887" s="1">
        <v>45645</v>
      </c>
      <c r="AA887" t="str" cm="1">
        <f t="array" ref="AA8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8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887" t="str" cm="1">
        <f t="array" ref="AC887">_xlfn.IFS(Table2[[#This Row],[Satification_points]]&gt;=4.5,"GREAT",AND(Table2[[#This Row],[Satification_points]]&gt;=4,Table2[[#This Row],[Satification_points]]&lt;4.5),"GOOD",AND(Table2[[#This Row],[Satification_points]]&gt;=3,Table2[[#This Row],[Satification_points]]&lt;4),"AVERAGE",Table2[[#This Row],[Satification_points]]&lt;3,"POOR")</f>
        <v>AVERAGE</v>
      </c>
    </row>
    <row r="888" spans="1:29" x14ac:dyDescent="0.3">
      <c r="A888">
        <v>887</v>
      </c>
      <c r="B888">
        <v>98144</v>
      </c>
      <c r="C888" t="s">
        <v>937</v>
      </c>
      <c r="D888" t="s">
        <v>34</v>
      </c>
      <c r="E888" t="s">
        <v>35</v>
      </c>
      <c r="F888" s="1">
        <v>45448</v>
      </c>
      <c r="G888" s="1">
        <v>45494</v>
      </c>
      <c r="H888">
        <v>4</v>
      </c>
      <c r="I888" t="s">
        <v>49</v>
      </c>
      <c r="J888" t="s">
        <v>53</v>
      </c>
      <c r="K888">
        <v>5</v>
      </c>
      <c r="L888">
        <v>5</v>
      </c>
      <c r="M888">
        <v>1</v>
      </c>
      <c r="N888">
        <v>1</v>
      </c>
      <c r="O888">
        <v>3</v>
      </c>
      <c r="P888">
        <v>4</v>
      </c>
      <c r="Q888">
        <v>2</v>
      </c>
      <c r="R888">
        <v>2</v>
      </c>
      <c r="S888">
        <v>1</v>
      </c>
      <c r="T888">
        <v>2</v>
      </c>
      <c r="U888" t="s">
        <v>37</v>
      </c>
      <c r="V888" t="s">
        <v>31</v>
      </c>
      <c r="W888" t="s">
        <v>39</v>
      </c>
      <c r="X888" t="s">
        <v>44</v>
      </c>
      <c r="Y888">
        <v>22</v>
      </c>
      <c r="Z888" s="1">
        <v>45615</v>
      </c>
      <c r="AA888" t="str" cm="1">
        <f t="array" ref="AA888">_xlfn.IFS(AND(Table2[[#This Row],[Guest_Age]]&gt;=18,Table2[[#This Row],[Guest_Age]]&lt;=25),"Young Adults",AND(Table2[[#This Row],[Guest_Age]]&gt;=26,Table2[[#This Row],[Guest_Age]]&lt;=35),"Adults",AND(Table2[[#This Row],[Guest_Age]]&gt;=36,Table2[[#This Row],[Guest_Age]]&lt;=50),"Middle Aged Adults",Table2[[#This Row],[Guest_Age]]&gt;50,"Senior")</f>
        <v>Young Adults</v>
      </c>
      <c r="AB8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88" t="str" cm="1">
        <f t="array" ref="AC888">_xlfn.IFS(Table2[[#This Row],[Satification_points]]&gt;=4.5,"GREAT",AND(Table2[[#This Row],[Satification_points]]&gt;=4,Table2[[#This Row],[Satification_points]]&lt;4.5),"GOOD",AND(Table2[[#This Row],[Satification_points]]&gt;=3,Table2[[#This Row],[Satification_points]]&lt;4),"AVERAGE",Table2[[#This Row],[Satification_points]]&lt;3,"POOR")</f>
        <v>POOR</v>
      </c>
    </row>
    <row r="889" spans="1:29" x14ac:dyDescent="0.3">
      <c r="A889">
        <v>888</v>
      </c>
      <c r="B889">
        <v>91676</v>
      </c>
      <c r="C889" t="s">
        <v>938</v>
      </c>
      <c r="D889" t="s">
        <v>26</v>
      </c>
      <c r="E889" t="s">
        <v>52</v>
      </c>
      <c r="F889" s="1">
        <v>45305</v>
      </c>
      <c r="G889" s="1">
        <v>45306</v>
      </c>
      <c r="H889">
        <v>8</v>
      </c>
      <c r="I889" t="s">
        <v>49</v>
      </c>
      <c r="J889" t="s">
        <v>43</v>
      </c>
      <c r="K889">
        <v>2</v>
      </c>
      <c r="L889">
        <v>5</v>
      </c>
      <c r="M889">
        <v>5</v>
      </c>
      <c r="N889">
        <v>1</v>
      </c>
      <c r="O889">
        <v>5</v>
      </c>
      <c r="P889">
        <v>3</v>
      </c>
      <c r="Q889">
        <v>4</v>
      </c>
      <c r="R889">
        <v>5</v>
      </c>
      <c r="S889">
        <v>3</v>
      </c>
      <c r="T889">
        <v>1</v>
      </c>
      <c r="U889" t="s">
        <v>30</v>
      </c>
      <c r="V889" t="s">
        <v>58</v>
      </c>
      <c r="W889" t="s">
        <v>39</v>
      </c>
      <c r="X889" t="s">
        <v>44</v>
      </c>
      <c r="Y889">
        <v>26</v>
      </c>
      <c r="Z889" s="1">
        <v>45306</v>
      </c>
      <c r="AA889" t="str" cm="1">
        <f t="array" ref="AA889">_xlfn.IFS(AND(Table2[[#This Row],[Guest_Age]]&gt;=18,Table2[[#This Row],[Guest_Age]]&lt;=25),"Young Adults",AND(Table2[[#This Row],[Guest_Age]]&gt;=26,Table2[[#This Row],[Guest_Age]]&lt;=35),"Adults",AND(Table2[[#This Row],[Guest_Age]]&gt;=36,Table2[[#This Row],[Guest_Age]]&lt;=50),"Middle Aged Adults",Table2[[#This Row],[Guest_Age]]&gt;50,"Senior")</f>
        <v>Adults</v>
      </c>
      <c r="AB8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889" t="str" cm="1">
        <f t="array" ref="AC889">_xlfn.IFS(Table2[[#This Row],[Satification_points]]&gt;=4.5,"GREAT",AND(Table2[[#This Row],[Satification_points]]&gt;=4,Table2[[#This Row],[Satification_points]]&lt;4.5),"GOOD",AND(Table2[[#This Row],[Satification_points]]&gt;=3,Table2[[#This Row],[Satification_points]]&lt;4),"AVERAGE",Table2[[#This Row],[Satification_points]]&lt;3,"POOR")</f>
        <v>AVERAGE</v>
      </c>
    </row>
    <row r="890" spans="1:29" x14ac:dyDescent="0.3">
      <c r="A890">
        <v>889</v>
      </c>
      <c r="B890">
        <v>89628</v>
      </c>
      <c r="C890" t="s">
        <v>939</v>
      </c>
      <c r="D890" t="s">
        <v>51</v>
      </c>
      <c r="E890" t="s">
        <v>45</v>
      </c>
      <c r="F890" s="1">
        <v>45637</v>
      </c>
      <c r="G890" s="1">
        <v>45638</v>
      </c>
      <c r="H890">
        <v>5</v>
      </c>
      <c r="I890" t="s">
        <v>28</v>
      </c>
      <c r="J890" t="s">
        <v>36</v>
      </c>
      <c r="K890">
        <v>4</v>
      </c>
      <c r="L890">
        <v>2</v>
      </c>
      <c r="M890">
        <v>1</v>
      </c>
      <c r="N890">
        <v>4</v>
      </c>
      <c r="O890">
        <v>1</v>
      </c>
      <c r="P890">
        <v>1</v>
      </c>
      <c r="Q890">
        <v>1</v>
      </c>
      <c r="R890">
        <v>2</v>
      </c>
      <c r="S890">
        <v>2</v>
      </c>
      <c r="T890">
        <v>1</v>
      </c>
      <c r="U890" t="s">
        <v>37</v>
      </c>
      <c r="V890" t="s">
        <v>54</v>
      </c>
      <c r="W890" t="s">
        <v>47</v>
      </c>
      <c r="X890" t="s">
        <v>33</v>
      </c>
      <c r="Y890">
        <v>37</v>
      </c>
      <c r="Z890" s="1">
        <v>45638</v>
      </c>
      <c r="AA890" t="str" cm="1">
        <f t="array" ref="AA8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1.9</v>
      </c>
      <c r="AC890" t="str" cm="1">
        <f t="array" ref="AC890">_xlfn.IFS(Table2[[#This Row],[Satification_points]]&gt;=4.5,"GREAT",AND(Table2[[#This Row],[Satification_points]]&gt;=4,Table2[[#This Row],[Satification_points]]&lt;4.5),"GOOD",AND(Table2[[#This Row],[Satification_points]]&gt;=3,Table2[[#This Row],[Satification_points]]&lt;4),"AVERAGE",Table2[[#This Row],[Satification_points]]&lt;3,"POOR")</f>
        <v>POOR</v>
      </c>
    </row>
    <row r="891" spans="1:29" x14ac:dyDescent="0.3">
      <c r="A891">
        <v>890</v>
      </c>
      <c r="B891">
        <v>98617</v>
      </c>
      <c r="C891" t="s">
        <v>940</v>
      </c>
      <c r="D891" t="s">
        <v>26</v>
      </c>
      <c r="E891" t="s">
        <v>45</v>
      </c>
      <c r="F891" s="1">
        <v>45016</v>
      </c>
      <c r="G891" s="1">
        <v>45299</v>
      </c>
      <c r="H891">
        <v>12</v>
      </c>
      <c r="I891" t="s">
        <v>28</v>
      </c>
      <c r="J891" t="s">
        <v>29</v>
      </c>
      <c r="K891">
        <v>3</v>
      </c>
      <c r="L891">
        <v>3</v>
      </c>
      <c r="M891">
        <v>5</v>
      </c>
      <c r="N891">
        <v>2</v>
      </c>
      <c r="O891">
        <v>3</v>
      </c>
      <c r="P891">
        <v>2</v>
      </c>
      <c r="Q891">
        <v>5</v>
      </c>
      <c r="R891">
        <v>4</v>
      </c>
      <c r="S891">
        <v>5</v>
      </c>
      <c r="T891">
        <v>5</v>
      </c>
      <c r="U891" t="s">
        <v>30</v>
      </c>
      <c r="V891" t="s">
        <v>31</v>
      </c>
      <c r="W891" t="s">
        <v>32</v>
      </c>
      <c r="X891" t="s">
        <v>44</v>
      </c>
      <c r="Y891">
        <v>69</v>
      </c>
      <c r="Z891" s="1">
        <v>45500</v>
      </c>
      <c r="AA891" t="str" cm="1">
        <f t="array" ref="AA891">_xlfn.IFS(AND(Table2[[#This Row],[Guest_Age]]&gt;=18,Table2[[#This Row],[Guest_Age]]&lt;=25),"Young Adults",AND(Table2[[#This Row],[Guest_Age]]&gt;=26,Table2[[#This Row],[Guest_Age]]&lt;=35),"Adults",AND(Table2[[#This Row],[Guest_Age]]&gt;=36,Table2[[#This Row],[Guest_Age]]&lt;=50),"Middle Aged Adults",Table2[[#This Row],[Guest_Age]]&gt;50,"Senior")</f>
        <v>Senior</v>
      </c>
      <c r="AB8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91" t="str" cm="1">
        <f t="array" ref="AC891">_xlfn.IFS(Table2[[#This Row],[Satification_points]]&gt;=4.5,"GREAT",AND(Table2[[#This Row],[Satification_points]]&gt;=4,Table2[[#This Row],[Satification_points]]&lt;4.5),"GOOD",AND(Table2[[#This Row],[Satification_points]]&gt;=3,Table2[[#This Row],[Satification_points]]&lt;4),"AVERAGE",Table2[[#This Row],[Satification_points]]&lt;3,"POOR")</f>
        <v>AVERAGE</v>
      </c>
    </row>
    <row r="892" spans="1:29" x14ac:dyDescent="0.3">
      <c r="A892">
        <v>891</v>
      </c>
      <c r="B892">
        <v>20875</v>
      </c>
      <c r="C892" t="s">
        <v>941</v>
      </c>
      <c r="D892" t="s">
        <v>48</v>
      </c>
      <c r="E892" t="s">
        <v>35</v>
      </c>
      <c r="F892" s="1">
        <v>45070</v>
      </c>
      <c r="G892" s="1">
        <v>45396</v>
      </c>
      <c r="H892">
        <v>1</v>
      </c>
      <c r="I892" t="s">
        <v>28</v>
      </c>
      <c r="J892" t="s">
        <v>43</v>
      </c>
      <c r="K892">
        <v>1</v>
      </c>
      <c r="L892">
        <v>2</v>
      </c>
      <c r="M892">
        <v>4</v>
      </c>
      <c r="N892">
        <v>4</v>
      </c>
      <c r="O892">
        <v>5</v>
      </c>
      <c r="P892">
        <v>4</v>
      </c>
      <c r="Q892">
        <v>2</v>
      </c>
      <c r="R892">
        <v>2</v>
      </c>
      <c r="S892">
        <v>3</v>
      </c>
      <c r="T892">
        <v>2</v>
      </c>
      <c r="U892" t="s">
        <v>30</v>
      </c>
      <c r="V892" t="s">
        <v>31</v>
      </c>
      <c r="W892" t="s">
        <v>32</v>
      </c>
      <c r="X892" t="s">
        <v>40</v>
      </c>
      <c r="Y892">
        <v>66</v>
      </c>
      <c r="Z892" s="1">
        <v>45396</v>
      </c>
      <c r="AA892" t="str" cm="1">
        <f t="array" ref="AA892">_xlfn.IFS(AND(Table2[[#This Row],[Guest_Age]]&gt;=18,Table2[[#This Row],[Guest_Age]]&lt;=25),"Young Adults",AND(Table2[[#This Row],[Guest_Age]]&gt;=26,Table2[[#This Row],[Guest_Age]]&lt;=35),"Adults",AND(Table2[[#This Row],[Guest_Age]]&gt;=36,Table2[[#This Row],[Guest_Age]]&lt;=50),"Middle Aged Adults",Table2[[#This Row],[Guest_Age]]&gt;50,"Senior")</f>
        <v>Senior</v>
      </c>
      <c r="AB8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92" t="str" cm="1">
        <f t="array" ref="AC892">_xlfn.IFS(Table2[[#This Row],[Satification_points]]&gt;=4.5,"GREAT",AND(Table2[[#This Row],[Satification_points]]&gt;=4,Table2[[#This Row],[Satification_points]]&lt;4.5),"GOOD",AND(Table2[[#This Row],[Satification_points]]&gt;=3,Table2[[#This Row],[Satification_points]]&lt;4),"AVERAGE",Table2[[#This Row],[Satification_points]]&lt;3,"POOR")</f>
        <v>POOR</v>
      </c>
    </row>
    <row r="893" spans="1:29" x14ac:dyDescent="0.3">
      <c r="A893">
        <v>892</v>
      </c>
      <c r="B893">
        <v>58996</v>
      </c>
      <c r="C893" t="s">
        <v>942</v>
      </c>
      <c r="D893" t="s">
        <v>41</v>
      </c>
      <c r="E893" t="s">
        <v>52</v>
      </c>
      <c r="F893" s="1">
        <v>45547</v>
      </c>
      <c r="G893" s="1">
        <v>45548</v>
      </c>
      <c r="H893">
        <v>7</v>
      </c>
      <c r="I893" t="s">
        <v>49</v>
      </c>
      <c r="J893" t="s">
        <v>36</v>
      </c>
      <c r="K893">
        <v>2</v>
      </c>
      <c r="L893">
        <v>2</v>
      </c>
      <c r="M893">
        <v>3</v>
      </c>
      <c r="N893">
        <v>3</v>
      </c>
      <c r="O893">
        <v>5</v>
      </c>
      <c r="P893">
        <v>5</v>
      </c>
      <c r="Q893">
        <v>2</v>
      </c>
      <c r="R893">
        <v>4</v>
      </c>
      <c r="S893">
        <v>3</v>
      </c>
      <c r="T893">
        <v>4</v>
      </c>
      <c r="U893" t="s">
        <v>30</v>
      </c>
      <c r="V893" t="s">
        <v>58</v>
      </c>
      <c r="W893" t="s">
        <v>56</v>
      </c>
      <c r="X893" t="s">
        <v>44</v>
      </c>
      <c r="Y893">
        <v>33</v>
      </c>
      <c r="Z893" s="1">
        <v>45548</v>
      </c>
      <c r="AA893" t="str" cm="1">
        <f t="array" ref="AA893">_xlfn.IFS(AND(Table2[[#This Row],[Guest_Age]]&gt;=18,Table2[[#This Row],[Guest_Age]]&lt;=25),"Young Adults",AND(Table2[[#This Row],[Guest_Age]]&gt;=26,Table2[[#This Row],[Guest_Age]]&lt;=35),"Adults",AND(Table2[[#This Row],[Guest_Age]]&gt;=36,Table2[[#This Row],[Guest_Age]]&lt;=50),"Middle Aged Adults",Table2[[#This Row],[Guest_Age]]&gt;50,"Senior")</f>
        <v>Adults</v>
      </c>
      <c r="AB8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93" t="str" cm="1">
        <f t="array" ref="AC893">_xlfn.IFS(Table2[[#This Row],[Satification_points]]&gt;=4.5,"GREAT",AND(Table2[[#This Row],[Satification_points]]&gt;=4,Table2[[#This Row],[Satification_points]]&lt;4.5),"GOOD",AND(Table2[[#This Row],[Satification_points]]&gt;=3,Table2[[#This Row],[Satification_points]]&lt;4),"AVERAGE",Table2[[#This Row],[Satification_points]]&lt;3,"POOR")</f>
        <v>AVERAGE</v>
      </c>
    </row>
    <row r="894" spans="1:29" x14ac:dyDescent="0.3">
      <c r="A894">
        <v>893</v>
      </c>
      <c r="B894">
        <v>43993</v>
      </c>
      <c r="C894" t="s">
        <v>943</v>
      </c>
      <c r="D894" t="s">
        <v>41</v>
      </c>
      <c r="E894" t="s">
        <v>45</v>
      </c>
      <c r="F894" s="1">
        <v>45130</v>
      </c>
      <c r="G894" s="1">
        <v>45515</v>
      </c>
      <c r="H894">
        <v>8</v>
      </c>
      <c r="I894" t="s">
        <v>49</v>
      </c>
      <c r="J894" t="s">
        <v>53</v>
      </c>
      <c r="K894">
        <v>4</v>
      </c>
      <c r="L894">
        <v>2</v>
      </c>
      <c r="M894">
        <v>3</v>
      </c>
      <c r="N894">
        <v>3</v>
      </c>
      <c r="O894">
        <v>2</v>
      </c>
      <c r="P894">
        <v>1</v>
      </c>
      <c r="Q894">
        <v>5</v>
      </c>
      <c r="R894">
        <v>3</v>
      </c>
      <c r="S894">
        <v>1</v>
      </c>
      <c r="T894">
        <v>2</v>
      </c>
      <c r="U894" t="s">
        <v>30</v>
      </c>
      <c r="V894" t="s">
        <v>38</v>
      </c>
      <c r="W894" t="s">
        <v>55</v>
      </c>
      <c r="X894" t="s">
        <v>44</v>
      </c>
      <c r="Y894">
        <v>66</v>
      </c>
      <c r="Z894" s="1">
        <v>45515</v>
      </c>
      <c r="AA894" t="str" cm="1">
        <f t="array" ref="AA894">_xlfn.IFS(AND(Table2[[#This Row],[Guest_Age]]&gt;=18,Table2[[#This Row],[Guest_Age]]&lt;=25),"Young Adults",AND(Table2[[#This Row],[Guest_Age]]&gt;=26,Table2[[#This Row],[Guest_Age]]&lt;=35),"Adults",AND(Table2[[#This Row],[Guest_Age]]&gt;=36,Table2[[#This Row],[Guest_Age]]&lt;=50),"Middle Aged Adults",Table2[[#This Row],[Guest_Age]]&gt;50,"Senior")</f>
        <v>Senior</v>
      </c>
      <c r="AB8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894" t="str" cm="1">
        <f t="array" ref="AC894">_xlfn.IFS(Table2[[#This Row],[Satification_points]]&gt;=4.5,"GREAT",AND(Table2[[#This Row],[Satification_points]]&gt;=4,Table2[[#This Row],[Satification_points]]&lt;4.5),"GOOD",AND(Table2[[#This Row],[Satification_points]]&gt;=3,Table2[[#This Row],[Satification_points]]&lt;4),"AVERAGE",Table2[[#This Row],[Satification_points]]&lt;3,"POOR")</f>
        <v>POOR</v>
      </c>
    </row>
    <row r="895" spans="1:29" x14ac:dyDescent="0.3">
      <c r="A895">
        <v>894</v>
      </c>
      <c r="B895">
        <v>15566</v>
      </c>
      <c r="C895" t="s">
        <v>944</v>
      </c>
      <c r="D895" t="s">
        <v>51</v>
      </c>
      <c r="E895" t="s">
        <v>45</v>
      </c>
      <c r="F895" s="1">
        <v>45482</v>
      </c>
      <c r="G895" s="1">
        <v>45483</v>
      </c>
      <c r="H895">
        <v>6</v>
      </c>
      <c r="I895" t="s">
        <v>49</v>
      </c>
      <c r="J895" t="s">
        <v>43</v>
      </c>
      <c r="K895">
        <v>4</v>
      </c>
      <c r="L895">
        <v>4</v>
      </c>
      <c r="M895">
        <v>5</v>
      </c>
      <c r="N895">
        <v>4</v>
      </c>
      <c r="O895">
        <v>5</v>
      </c>
      <c r="P895">
        <v>1</v>
      </c>
      <c r="Q895">
        <v>4</v>
      </c>
      <c r="R895">
        <v>1</v>
      </c>
      <c r="S895">
        <v>4</v>
      </c>
      <c r="T895">
        <v>5</v>
      </c>
      <c r="U895" t="s">
        <v>37</v>
      </c>
      <c r="V895" t="s">
        <v>46</v>
      </c>
      <c r="W895" t="s">
        <v>55</v>
      </c>
      <c r="X895" t="s">
        <v>40</v>
      </c>
      <c r="Y895">
        <v>37</v>
      </c>
      <c r="Z895" s="1">
        <v>45525</v>
      </c>
      <c r="AA895" t="str" cm="1">
        <f t="array" ref="AA895">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895" t="str" cm="1">
        <f t="array" ref="AC895">_xlfn.IFS(Table2[[#This Row],[Satification_points]]&gt;=4.5,"GREAT",AND(Table2[[#This Row],[Satification_points]]&gt;=4,Table2[[#This Row],[Satification_points]]&lt;4.5),"GOOD",AND(Table2[[#This Row],[Satification_points]]&gt;=3,Table2[[#This Row],[Satification_points]]&lt;4),"AVERAGE",Table2[[#This Row],[Satification_points]]&lt;3,"POOR")</f>
        <v>AVERAGE</v>
      </c>
    </row>
    <row r="896" spans="1:29" x14ac:dyDescent="0.3">
      <c r="A896">
        <v>895</v>
      </c>
      <c r="B896">
        <v>89139</v>
      </c>
      <c r="C896" t="s">
        <v>945</v>
      </c>
      <c r="D896" t="s">
        <v>34</v>
      </c>
      <c r="E896" t="s">
        <v>52</v>
      </c>
      <c r="F896" s="1">
        <v>45446</v>
      </c>
      <c r="G896" s="1">
        <v>45447</v>
      </c>
      <c r="H896">
        <v>7</v>
      </c>
      <c r="I896" t="s">
        <v>28</v>
      </c>
      <c r="J896" t="s">
        <v>53</v>
      </c>
      <c r="K896">
        <v>4</v>
      </c>
      <c r="L896">
        <v>4</v>
      </c>
      <c r="M896">
        <v>5</v>
      </c>
      <c r="N896">
        <v>5</v>
      </c>
      <c r="O896">
        <v>1</v>
      </c>
      <c r="P896">
        <v>2</v>
      </c>
      <c r="Q896">
        <v>2</v>
      </c>
      <c r="R896">
        <v>3</v>
      </c>
      <c r="S896">
        <v>5</v>
      </c>
      <c r="T896">
        <v>2</v>
      </c>
      <c r="U896" t="s">
        <v>30</v>
      </c>
      <c r="V896" t="s">
        <v>31</v>
      </c>
      <c r="W896" t="s">
        <v>56</v>
      </c>
      <c r="X896" t="s">
        <v>33</v>
      </c>
      <c r="Y896">
        <v>37</v>
      </c>
      <c r="Z896" s="1">
        <v>45465</v>
      </c>
      <c r="AA896" t="str" cm="1">
        <f t="array" ref="AA8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896" t="str" cm="1">
        <f t="array" ref="AC896">_xlfn.IFS(Table2[[#This Row],[Satification_points]]&gt;=4.5,"GREAT",AND(Table2[[#This Row],[Satification_points]]&gt;=4,Table2[[#This Row],[Satification_points]]&lt;4.5),"GOOD",AND(Table2[[#This Row],[Satification_points]]&gt;=3,Table2[[#This Row],[Satification_points]]&lt;4),"AVERAGE",Table2[[#This Row],[Satification_points]]&lt;3,"POOR")</f>
        <v>AVERAGE</v>
      </c>
    </row>
    <row r="897" spans="1:29" x14ac:dyDescent="0.3">
      <c r="A897">
        <v>896</v>
      </c>
      <c r="B897">
        <v>48690</v>
      </c>
      <c r="C897" t="s">
        <v>946</v>
      </c>
      <c r="D897" t="s">
        <v>41</v>
      </c>
      <c r="E897" t="s">
        <v>57</v>
      </c>
      <c r="F897" s="1">
        <v>45318</v>
      </c>
      <c r="G897" s="1">
        <v>45560</v>
      </c>
      <c r="H897">
        <v>12</v>
      </c>
      <c r="I897" t="s">
        <v>49</v>
      </c>
      <c r="J897" t="s">
        <v>40</v>
      </c>
      <c r="K897">
        <v>2</v>
      </c>
      <c r="L897">
        <v>4</v>
      </c>
      <c r="M897">
        <v>3</v>
      </c>
      <c r="N897">
        <v>2</v>
      </c>
      <c r="O897">
        <v>2</v>
      </c>
      <c r="P897">
        <v>2</v>
      </c>
      <c r="Q897">
        <v>3</v>
      </c>
      <c r="R897">
        <v>1</v>
      </c>
      <c r="S897">
        <v>3</v>
      </c>
      <c r="T897">
        <v>1</v>
      </c>
      <c r="U897" t="s">
        <v>37</v>
      </c>
      <c r="V897" t="s">
        <v>58</v>
      </c>
      <c r="W897" t="s">
        <v>47</v>
      </c>
      <c r="X897" t="s">
        <v>40</v>
      </c>
      <c r="Y897">
        <v>43</v>
      </c>
      <c r="Z897" s="1">
        <v>45560</v>
      </c>
      <c r="AA897" t="str" cm="1">
        <f t="array" ref="AA8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897" t="str" cm="1">
        <f t="array" ref="AC897">_xlfn.IFS(Table2[[#This Row],[Satification_points]]&gt;=4.5,"GREAT",AND(Table2[[#This Row],[Satification_points]]&gt;=4,Table2[[#This Row],[Satification_points]]&lt;4.5),"GOOD",AND(Table2[[#This Row],[Satification_points]]&gt;=3,Table2[[#This Row],[Satification_points]]&lt;4),"AVERAGE",Table2[[#This Row],[Satification_points]]&lt;3,"POOR")</f>
        <v>POOR</v>
      </c>
    </row>
    <row r="898" spans="1:29" x14ac:dyDescent="0.3">
      <c r="A898">
        <v>897</v>
      </c>
      <c r="B898">
        <v>55741</v>
      </c>
      <c r="C898" t="s">
        <v>947</v>
      </c>
      <c r="D898" t="s">
        <v>51</v>
      </c>
      <c r="E898" t="s">
        <v>35</v>
      </c>
      <c r="F898" s="1">
        <v>45227</v>
      </c>
      <c r="G898" s="1">
        <v>45654</v>
      </c>
      <c r="H898">
        <v>7</v>
      </c>
      <c r="I898" t="s">
        <v>49</v>
      </c>
      <c r="J898" t="s">
        <v>29</v>
      </c>
      <c r="K898">
        <v>5</v>
      </c>
      <c r="L898">
        <v>2</v>
      </c>
      <c r="M898">
        <v>2</v>
      </c>
      <c r="N898">
        <v>1</v>
      </c>
      <c r="O898">
        <v>3</v>
      </c>
      <c r="P898">
        <v>4</v>
      </c>
      <c r="Q898">
        <v>3</v>
      </c>
      <c r="R898">
        <v>5</v>
      </c>
      <c r="S898">
        <v>3</v>
      </c>
      <c r="T898">
        <v>1</v>
      </c>
      <c r="U898" t="s">
        <v>30</v>
      </c>
      <c r="V898" t="s">
        <v>58</v>
      </c>
      <c r="W898" t="s">
        <v>47</v>
      </c>
      <c r="X898" t="s">
        <v>44</v>
      </c>
      <c r="Y898">
        <v>56</v>
      </c>
      <c r="Z898" s="1">
        <v>45654</v>
      </c>
      <c r="AA898" t="str" cm="1">
        <f t="array" ref="AA898">_xlfn.IFS(AND(Table2[[#This Row],[Guest_Age]]&gt;=18,Table2[[#This Row],[Guest_Age]]&lt;=25),"Young Adults",AND(Table2[[#This Row],[Guest_Age]]&gt;=26,Table2[[#This Row],[Guest_Age]]&lt;=35),"Adults",AND(Table2[[#This Row],[Guest_Age]]&gt;=36,Table2[[#This Row],[Guest_Age]]&lt;=50),"Middle Aged Adults",Table2[[#This Row],[Guest_Age]]&gt;50,"Senior")</f>
        <v>Senior</v>
      </c>
      <c r="AB8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898" t="str" cm="1">
        <f t="array" ref="AC898">_xlfn.IFS(Table2[[#This Row],[Satification_points]]&gt;=4.5,"GREAT",AND(Table2[[#This Row],[Satification_points]]&gt;=4,Table2[[#This Row],[Satification_points]]&lt;4.5),"GOOD",AND(Table2[[#This Row],[Satification_points]]&gt;=3,Table2[[#This Row],[Satification_points]]&lt;4),"AVERAGE",Table2[[#This Row],[Satification_points]]&lt;3,"POOR")</f>
        <v>POOR</v>
      </c>
    </row>
    <row r="899" spans="1:29" x14ac:dyDescent="0.3">
      <c r="A899">
        <v>898</v>
      </c>
      <c r="B899">
        <v>67655</v>
      </c>
      <c r="C899" t="s">
        <v>948</v>
      </c>
      <c r="D899" t="s">
        <v>41</v>
      </c>
      <c r="E899" t="s">
        <v>45</v>
      </c>
      <c r="F899" s="1">
        <v>45431</v>
      </c>
      <c r="G899" s="1">
        <v>45432</v>
      </c>
      <c r="H899">
        <v>4</v>
      </c>
      <c r="I899" t="s">
        <v>50</v>
      </c>
      <c r="J899" t="s">
        <v>53</v>
      </c>
      <c r="K899">
        <v>2</v>
      </c>
      <c r="L899">
        <v>1</v>
      </c>
      <c r="M899">
        <v>2</v>
      </c>
      <c r="N899">
        <v>2</v>
      </c>
      <c r="O899">
        <v>3</v>
      </c>
      <c r="P899">
        <v>5</v>
      </c>
      <c r="Q899">
        <v>1</v>
      </c>
      <c r="R899">
        <v>1</v>
      </c>
      <c r="S899">
        <v>2</v>
      </c>
      <c r="T899">
        <v>5</v>
      </c>
      <c r="U899" t="s">
        <v>30</v>
      </c>
      <c r="V899" t="s">
        <v>38</v>
      </c>
      <c r="W899" t="s">
        <v>39</v>
      </c>
      <c r="X899" t="s">
        <v>40</v>
      </c>
      <c r="Y899">
        <v>50</v>
      </c>
      <c r="Z899" s="1">
        <v>45432</v>
      </c>
      <c r="AA899" t="str" cm="1">
        <f t="array" ref="AA8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8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899" t="str" cm="1">
        <f t="array" ref="AC899">_xlfn.IFS(Table2[[#This Row],[Satification_points]]&gt;=4.5,"GREAT",AND(Table2[[#This Row],[Satification_points]]&gt;=4,Table2[[#This Row],[Satification_points]]&lt;4.5),"GOOD",AND(Table2[[#This Row],[Satification_points]]&gt;=3,Table2[[#This Row],[Satification_points]]&lt;4),"AVERAGE",Table2[[#This Row],[Satification_points]]&lt;3,"POOR")</f>
        <v>POOR</v>
      </c>
    </row>
    <row r="900" spans="1:29" x14ac:dyDescent="0.3">
      <c r="A900">
        <v>899</v>
      </c>
      <c r="B900">
        <v>12646</v>
      </c>
      <c r="C900" t="s">
        <v>949</v>
      </c>
      <c r="D900" t="s">
        <v>26</v>
      </c>
      <c r="E900" t="s">
        <v>57</v>
      </c>
      <c r="F900" s="1">
        <v>45079</v>
      </c>
      <c r="G900" s="1">
        <v>45172</v>
      </c>
      <c r="H900">
        <v>14</v>
      </c>
      <c r="I900" t="s">
        <v>42</v>
      </c>
      <c r="J900" t="s">
        <v>36</v>
      </c>
      <c r="K900">
        <v>1</v>
      </c>
      <c r="L900">
        <v>4</v>
      </c>
      <c r="M900">
        <v>2</v>
      </c>
      <c r="N900">
        <v>5</v>
      </c>
      <c r="O900">
        <v>5</v>
      </c>
      <c r="P900">
        <v>3</v>
      </c>
      <c r="Q900">
        <v>5</v>
      </c>
      <c r="R900">
        <v>5</v>
      </c>
      <c r="S900">
        <v>5</v>
      </c>
      <c r="T900">
        <v>5</v>
      </c>
      <c r="U900" t="s">
        <v>30</v>
      </c>
      <c r="V900" t="s">
        <v>31</v>
      </c>
      <c r="W900" t="s">
        <v>55</v>
      </c>
      <c r="X900" t="s">
        <v>40</v>
      </c>
      <c r="Y900">
        <v>29</v>
      </c>
      <c r="Z900" s="1">
        <v>45298</v>
      </c>
      <c r="AA900" t="str" cm="1">
        <f t="array" ref="AA900">_xlfn.IFS(AND(Table2[[#This Row],[Guest_Age]]&gt;=18,Table2[[#This Row],[Guest_Age]]&lt;=25),"Young Adults",AND(Table2[[#This Row],[Guest_Age]]&gt;=26,Table2[[#This Row],[Guest_Age]]&lt;=35),"Adults",AND(Table2[[#This Row],[Guest_Age]]&gt;=36,Table2[[#This Row],[Guest_Age]]&lt;=50),"Middle Aged Adults",Table2[[#This Row],[Guest_Age]]&gt;50,"Senior")</f>
        <v>Adults</v>
      </c>
      <c r="AB9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900" t="str" cm="1">
        <f t="array" ref="AC900">_xlfn.IFS(Table2[[#This Row],[Satification_points]]&gt;=4.5,"GREAT",AND(Table2[[#This Row],[Satification_points]]&gt;=4,Table2[[#This Row],[Satification_points]]&lt;4.5),"GOOD",AND(Table2[[#This Row],[Satification_points]]&gt;=3,Table2[[#This Row],[Satification_points]]&lt;4),"AVERAGE",Table2[[#This Row],[Satification_points]]&lt;3,"POOR")</f>
        <v>GOOD</v>
      </c>
    </row>
    <row r="901" spans="1:29" x14ac:dyDescent="0.3">
      <c r="A901">
        <v>900</v>
      </c>
      <c r="B901">
        <v>94651</v>
      </c>
      <c r="C901" t="s">
        <v>950</v>
      </c>
      <c r="D901" t="s">
        <v>51</v>
      </c>
      <c r="E901" t="s">
        <v>57</v>
      </c>
      <c r="F901" s="1">
        <v>45455</v>
      </c>
      <c r="G901" s="1">
        <v>45456</v>
      </c>
      <c r="H901">
        <v>4</v>
      </c>
      <c r="I901" t="s">
        <v>42</v>
      </c>
      <c r="J901" t="s">
        <v>40</v>
      </c>
      <c r="K901">
        <v>2</v>
      </c>
      <c r="L901">
        <v>4</v>
      </c>
      <c r="M901">
        <v>4</v>
      </c>
      <c r="N901">
        <v>4</v>
      </c>
      <c r="O901">
        <v>4</v>
      </c>
      <c r="P901">
        <v>1</v>
      </c>
      <c r="Q901">
        <v>4</v>
      </c>
      <c r="R901">
        <v>4</v>
      </c>
      <c r="S901">
        <v>5</v>
      </c>
      <c r="T901">
        <v>1</v>
      </c>
      <c r="U901" t="s">
        <v>30</v>
      </c>
      <c r="V901" t="s">
        <v>38</v>
      </c>
      <c r="W901" t="s">
        <v>39</v>
      </c>
      <c r="X901" t="s">
        <v>33</v>
      </c>
      <c r="Y901">
        <v>38</v>
      </c>
      <c r="Z901" s="1">
        <v>45456</v>
      </c>
      <c r="AA901" t="str" cm="1">
        <f t="array" ref="AA901">_xlfn.IFS(AND(Table2[[#This Row],[Guest_Age]]&gt;=18,Table2[[#This Row],[Guest_Age]]&lt;=25),"Young Adults",AND(Table2[[#This Row],[Guest_Age]]&gt;=26,Table2[[#This Row],[Guest_Age]]&lt;=35),"Adults",AND(Table2[[#This Row],[Guest_Age]]&gt;=36,Table2[[#This Row],[Guest_Age]]&lt;=50),"Middle Aged Adults",Table2[[#This Row],[Guest_Age]]&gt;50,"Senior")</f>
        <v>Middle Aged Adults</v>
      </c>
      <c r="AB9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901" t="str" cm="1">
        <f t="array" ref="AC901">_xlfn.IFS(Table2[[#This Row],[Satification_points]]&gt;=4.5,"GREAT",AND(Table2[[#This Row],[Satification_points]]&gt;=4,Table2[[#This Row],[Satification_points]]&lt;4.5),"GOOD",AND(Table2[[#This Row],[Satification_points]]&gt;=3,Table2[[#This Row],[Satification_points]]&lt;4),"AVERAGE",Table2[[#This Row],[Satification_points]]&lt;3,"POOR")</f>
        <v>AVERAGE</v>
      </c>
    </row>
    <row r="902" spans="1:29" x14ac:dyDescent="0.3">
      <c r="A902">
        <v>901</v>
      </c>
      <c r="B902">
        <v>51592</v>
      </c>
      <c r="C902" t="s">
        <v>951</v>
      </c>
      <c r="D902" t="s">
        <v>51</v>
      </c>
      <c r="E902" t="s">
        <v>57</v>
      </c>
      <c r="F902" s="1">
        <v>45265</v>
      </c>
      <c r="G902" s="1">
        <v>45619</v>
      </c>
      <c r="H902">
        <v>14</v>
      </c>
      <c r="I902" t="s">
        <v>49</v>
      </c>
      <c r="J902" t="s">
        <v>43</v>
      </c>
      <c r="K902">
        <v>4</v>
      </c>
      <c r="L902">
        <v>2</v>
      </c>
      <c r="M902">
        <v>5</v>
      </c>
      <c r="N902">
        <v>4</v>
      </c>
      <c r="O902">
        <v>1</v>
      </c>
      <c r="P902">
        <v>1</v>
      </c>
      <c r="Q902">
        <v>3</v>
      </c>
      <c r="R902">
        <v>5</v>
      </c>
      <c r="S902">
        <v>3</v>
      </c>
      <c r="T902">
        <v>1</v>
      </c>
      <c r="U902" t="s">
        <v>37</v>
      </c>
      <c r="V902" t="s">
        <v>54</v>
      </c>
      <c r="W902" t="s">
        <v>39</v>
      </c>
      <c r="X902" t="s">
        <v>33</v>
      </c>
      <c r="Y902">
        <v>40</v>
      </c>
      <c r="Z902" s="1">
        <v>45619</v>
      </c>
      <c r="AA902" t="str" cm="1">
        <f t="array" ref="AA902">_xlfn.IFS(AND(Table2[[#This Row],[Guest_Age]]&gt;=18,Table2[[#This Row],[Guest_Age]]&lt;=25),"Young Adults",AND(Table2[[#This Row],[Guest_Age]]&gt;=26,Table2[[#This Row],[Guest_Age]]&lt;=35),"Adults",AND(Table2[[#This Row],[Guest_Age]]&gt;=36,Table2[[#This Row],[Guest_Age]]&lt;=50),"Middle Aged Adults",Table2[[#This Row],[Guest_Age]]&gt;50,"Senior")</f>
        <v>Middle Aged Adults</v>
      </c>
      <c r="AB9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02" t="str" cm="1">
        <f t="array" ref="AC902">_xlfn.IFS(Table2[[#This Row],[Satification_points]]&gt;=4.5,"GREAT",AND(Table2[[#This Row],[Satification_points]]&gt;=4,Table2[[#This Row],[Satification_points]]&lt;4.5),"GOOD",AND(Table2[[#This Row],[Satification_points]]&gt;=3,Table2[[#This Row],[Satification_points]]&lt;4),"AVERAGE",Table2[[#This Row],[Satification_points]]&lt;3,"POOR")</f>
        <v>POOR</v>
      </c>
    </row>
    <row r="903" spans="1:29" x14ac:dyDescent="0.3">
      <c r="A903">
        <v>902</v>
      </c>
      <c r="B903">
        <v>39339</v>
      </c>
      <c r="C903" t="s">
        <v>952</v>
      </c>
      <c r="D903" t="s">
        <v>51</v>
      </c>
      <c r="E903" t="s">
        <v>57</v>
      </c>
      <c r="F903" s="1">
        <v>45438</v>
      </c>
      <c r="G903" s="1">
        <v>45439</v>
      </c>
      <c r="H903">
        <v>12</v>
      </c>
      <c r="I903" t="s">
        <v>28</v>
      </c>
      <c r="J903" t="s">
        <v>36</v>
      </c>
      <c r="K903">
        <v>5</v>
      </c>
      <c r="L903">
        <v>3</v>
      </c>
      <c r="M903">
        <v>1</v>
      </c>
      <c r="N903">
        <v>3</v>
      </c>
      <c r="O903">
        <v>1</v>
      </c>
      <c r="P903">
        <v>4</v>
      </c>
      <c r="Q903">
        <v>1</v>
      </c>
      <c r="R903">
        <v>2</v>
      </c>
      <c r="S903">
        <v>4</v>
      </c>
      <c r="T903">
        <v>2</v>
      </c>
      <c r="U903" t="s">
        <v>30</v>
      </c>
      <c r="V903" t="s">
        <v>58</v>
      </c>
      <c r="W903" t="s">
        <v>55</v>
      </c>
      <c r="X903" t="s">
        <v>44</v>
      </c>
      <c r="Y903">
        <v>37</v>
      </c>
      <c r="Z903" s="1">
        <v>45439</v>
      </c>
      <c r="AA903" t="str" cm="1">
        <f t="array" ref="AA9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9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03" t="str" cm="1">
        <f t="array" ref="AC903">_xlfn.IFS(Table2[[#This Row],[Satification_points]]&gt;=4.5,"GREAT",AND(Table2[[#This Row],[Satification_points]]&gt;=4,Table2[[#This Row],[Satification_points]]&lt;4.5),"GOOD",AND(Table2[[#This Row],[Satification_points]]&gt;=3,Table2[[#This Row],[Satification_points]]&lt;4),"AVERAGE",Table2[[#This Row],[Satification_points]]&lt;3,"POOR")</f>
        <v>POOR</v>
      </c>
    </row>
    <row r="904" spans="1:29" x14ac:dyDescent="0.3">
      <c r="A904">
        <v>903</v>
      </c>
      <c r="B904">
        <v>46449</v>
      </c>
      <c r="C904" t="s">
        <v>953</v>
      </c>
      <c r="D904" t="s">
        <v>41</v>
      </c>
      <c r="E904" t="s">
        <v>27</v>
      </c>
      <c r="F904" s="1">
        <v>45261</v>
      </c>
      <c r="G904" s="1">
        <v>45262</v>
      </c>
      <c r="H904">
        <v>1</v>
      </c>
      <c r="I904" t="s">
        <v>50</v>
      </c>
      <c r="J904" t="s">
        <v>43</v>
      </c>
      <c r="K904">
        <v>5</v>
      </c>
      <c r="L904">
        <v>1</v>
      </c>
      <c r="M904">
        <v>1</v>
      </c>
      <c r="N904">
        <v>4</v>
      </c>
      <c r="O904">
        <v>5</v>
      </c>
      <c r="P904">
        <v>3</v>
      </c>
      <c r="Q904">
        <v>1</v>
      </c>
      <c r="R904">
        <v>2</v>
      </c>
      <c r="S904">
        <v>5</v>
      </c>
      <c r="T904">
        <v>5</v>
      </c>
      <c r="U904" t="s">
        <v>37</v>
      </c>
      <c r="V904" t="s">
        <v>46</v>
      </c>
      <c r="W904" t="s">
        <v>47</v>
      </c>
      <c r="X904" t="s">
        <v>40</v>
      </c>
      <c r="Y904">
        <v>40</v>
      </c>
      <c r="Z904" s="1">
        <v>45379</v>
      </c>
      <c r="AA904" t="str" cm="1">
        <f t="array" ref="AA904">_xlfn.IFS(AND(Table2[[#This Row],[Guest_Age]]&gt;=18,Table2[[#This Row],[Guest_Age]]&lt;=25),"Young Adults",AND(Table2[[#This Row],[Guest_Age]]&gt;=26,Table2[[#This Row],[Guest_Age]]&lt;=35),"Adults",AND(Table2[[#This Row],[Guest_Age]]&gt;=36,Table2[[#This Row],[Guest_Age]]&lt;=50),"Middle Aged Adults",Table2[[#This Row],[Guest_Age]]&gt;50,"Senior")</f>
        <v>Middle Aged Adults</v>
      </c>
      <c r="AB9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04" t="str" cm="1">
        <f t="array" ref="AC904">_xlfn.IFS(Table2[[#This Row],[Satification_points]]&gt;=4.5,"GREAT",AND(Table2[[#This Row],[Satification_points]]&gt;=4,Table2[[#This Row],[Satification_points]]&lt;4.5),"GOOD",AND(Table2[[#This Row],[Satification_points]]&gt;=3,Table2[[#This Row],[Satification_points]]&lt;4),"AVERAGE",Table2[[#This Row],[Satification_points]]&lt;3,"POOR")</f>
        <v>AVERAGE</v>
      </c>
    </row>
    <row r="905" spans="1:29" x14ac:dyDescent="0.3">
      <c r="A905">
        <v>904</v>
      </c>
      <c r="B905">
        <v>63631</v>
      </c>
      <c r="C905" t="s">
        <v>954</v>
      </c>
      <c r="D905" t="s">
        <v>51</v>
      </c>
      <c r="E905" t="s">
        <v>27</v>
      </c>
      <c r="F905" s="1">
        <v>45435</v>
      </c>
      <c r="G905" s="1">
        <v>45648</v>
      </c>
      <c r="H905">
        <v>2</v>
      </c>
      <c r="I905" t="s">
        <v>50</v>
      </c>
      <c r="J905" t="s">
        <v>40</v>
      </c>
      <c r="K905">
        <v>1</v>
      </c>
      <c r="L905">
        <v>5</v>
      </c>
      <c r="M905">
        <v>5</v>
      </c>
      <c r="N905">
        <v>5</v>
      </c>
      <c r="O905">
        <v>1</v>
      </c>
      <c r="P905">
        <v>3</v>
      </c>
      <c r="Q905">
        <v>2</v>
      </c>
      <c r="R905">
        <v>2</v>
      </c>
      <c r="S905">
        <v>5</v>
      </c>
      <c r="T905">
        <v>2</v>
      </c>
      <c r="U905" t="s">
        <v>30</v>
      </c>
      <c r="V905" t="s">
        <v>58</v>
      </c>
      <c r="W905" t="s">
        <v>32</v>
      </c>
      <c r="X905" t="s">
        <v>44</v>
      </c>
      <c r="Y905">
        <v>66</v>
      </c>
      <c r="Z905" s="1">
        <v>45648</v>
      </c>
      <c r="AA905" t="str" cm="1">
        <f t="array" ref="AA905">_xlfn.IFS(AND(Table2[[#This Row],[Guest_Age]]&gt;=18,Table2[[#This Row],[Guest_Age]]&lt;=25),"Young Adults",AND(Table2[[#This Row],[Guest_Age]]&gt;=26,Table2[[#This Row],[Guest_Age]]&lt;=35),"Adults",AND(Table2[[#This Row],[Guest_Age]]&gt;=36,Table2[[#This Row],[Guest_Age]]&lt;=50),"Middle Aged Adults",Table2[[#This Row],[Guest_Age]]&gt;50,"Senior")</f>
        <v>Senior</v>
      </c>
      <c r="AB9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05" t="str" cm="1">
        <f t="array" ref="AC905">_xlfn.IFS(Table2[[#This Row],[Satification_points]]&gt;=4.5,"GREAT",AND(Table2[[#This Row],[Satification_points]]&gt;=4,Table2[[#This Row],[Satification_points]]&lt;4.5),"GOOD",AND(Table2[[#This Row],[Satification_points]]&gt;=3,Table2[[#This Row],[Satification_points]]&lt;4),"AVERAGE",Table2[[#This Row],[Satification_points]]&lt;3,"POOR")</f>
        <v>AVERAGE</v>
      </c>
    </row>
    <row r="906" spans="1:29" x14ac:dyDescent="0.3">
      <c r="A906">
        <v>905</v>
      </c>
      <c r="B906">
        <v>49967</v>
      </c>
      <c r="C906" t="s">
        <v>955</v>
      </c>
      <c r="D906" t="s">
        <v>26</v>
      </c>
      <c r="E906" t="s">
        <v>52</v>
      </c>
      <c r="F906" s="1">
        <v>44982</v>
      </c>
      <c r="G906" s="1">
        <v>45612</v>
      </c>
      <c r="H906">
        <v>3</v>
      </c>
      <c r="I906" t="s">
        <v>42</v>
      </c>
      <c r="J906" t="s">
        <v>36</v>
      </c>
      <c r="K906">
        <v>1</v>
      </c>
      <c r="L906">
        <v>5</v>
      </c>
      <c r="M906">
        <v>3</v>
      </c>
      <c r="N906">
        <v>4</v>
      </c>
      <c r="O906">
        <v>2</v>
      </c>
      <c r="P906">
        <v>3</v>
      </c>
      <c r="Q906">
        <v>4</v>
      </c>
      <c r="R906">
        <v>3</v>
      </c>
      <c r="S906">
        <v>2</v>
      </c>
      <c r="T906">
        <v>1</v>
      </c>
      <c r="U906" t="s">
        <v>30</v>
      </c>
      <c r="V906" t="s">
        <v>38</v>
      </c>
      <c r="W906" t="s">
        <v>47</v>
      </c>
      <c r="X906" t="s">
        <v>40</v>
      </c>
      <c r="Y906">
        <v>64</v>
      </c>
      <c r="Z906" s="1">
        <v>45612</v>
      </c>
      <c r="AA906" t="str" cm="1">
        <f t="array" ref="AA906">_xlfn.IFS(AND(Table2[[#This Row],[Guest_Age]]&gt;=18,Table2[[#This Row],[Guest_Age]]&lt;=25),"Young Adults",AND(Table2[[#This Row],[Guest_Age]]&gt;=26,Table2[[#This Row],[Guest_Age]]&lt;=35),"Adults",AND(Table2[[#This Row],[Guest_Age]]&gt;=36,Table2[[#This Row],[Guest_Age]]&lt;=50),"Middle Aged Adults",Table2[[#This Row],[Guest_Age]]&gt;50,"Senior")</f>
        <v>Senior</v>
      </c>
      <c r="AB9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06" t="str" cm="1">
        <f t="array" ref="AC906">_xlfn.IFS(Table2[[#This Row],[Satification_points]]&gt;=4.5,"GREAT",AND(Table2[[#This Row],[Satification_points]]&gt;=4,Table2[[#This Row],[Satification_points]]&lt;4.5),"GOOD",AND(Table2[[#This Row],[Satification_points]]&gt;=3,Table2[[#This Row],[Satification_points]]&lt;4),"AVERAGE",Table2[[#This Row],[Satification_points]]&lt;3,"POOR")</f>
        <v>POOR</v>
      </c>
    </row>
    <row r="907" spans="1:29" x14ac:dyDescent="0.3">
      <c r="A907">
        <v>906</v>
      </c>
      <c r="B907">
        <v>53547</v>
      </c>
      <c r="C907" t="s">
        <v>956</v>
      </c>
      <c r="D907" t="s">
        <v>34</v>
      </c>
      <c r="E907" t="s">
        <v>35</v>
      </c>
      <c r="F907" s="1">
        <v>45482</v>
      </c>
      <c r="G907" s="1">
        <v>45483</v>
      </c>
      <c r="H907">
        <v>5</v>
      </c>
      <c r="I907" t="s">
        <v>50</v>
      </c>
      <c r="J907" t="s">
        <v>53</v>
      </c>
      <c r="K907">
        <v>3</v>
      </c>
      <c r="L907">
        <v>1</v>
      </c>
      <c r="M907">
        <v>5</v>
      </c>
      <c r="N907">
        <v>4</v>
      </c>
      <c r="O907">
        <v>5</v>
      </c>
      <c r="P907">
        <v>4</v>
      </c>
      <c r="Q907">
        <v>3</v>
      </c>
      <c r="R907">
        <v>2</v>
      </c>
      <c r="S907">
        <v>2</v>
      </c>
      <c r="T907">
        <v>4</v>
      </c>
      <c r="U907" t="s">
        <v>30</v>
      </c>
      <c r="V907" t="s">
        <v>46</v>
      </c>
      <c r="W907" t="s">
        <v>47</v>
      </c>
      <c r="X907" t="s">
        <v>40</v>
      </c>
      <c r="Y907">
        <v>23</v>
      </c>
      <c r="Z907" s="1">
        <v>45547</v>
      </c>
      <c r="AA907" t="str" cm="1">
        <f t="array" ref="AA907">_xlfn.IFS(AND(Table2[[#This Row],[Guest_Age]]&gt;=18,Table2[[#This Row],[Guest_Age]]&lt;=25),"Young Adults",AND(Table2[[#This Row],[Guest_Age]]&gt;=26,Table2[[#This Row],[Guest_Age]]&lt;=35),"Adults",AND(Table2[[#This Row],[Guest_Age]]&gt;=36,Table2[[#This Row],[Guest_Age]]&lt;=50),"Middle Aged Adults",Table2[[#This Row],[Guest_Age]]&gt;50,"Senior")</f>
        <v>Young Adults</v>
      </c>
      <c r="AB9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907" t="str" cm="1">
        <f t="array" ref="AC907">_xlfn.IFS(Table2[[#This Row],[Satification_points]]&gt;=4.5,"GREAT",AND(Table2[[#This Row],[Satification_points]]&gt;=4,Table2[[#This Row],[Satification_points]]&lt;4.5),"GOOD",AND(Table2[[#This Row],[Satification_points]]&gt;=3,Table2[[#This Row],[Satification_points]]&lt;4),"AVERAGE",Table2[[#This Row],[Satification_points]]&lt;3,"POOR")</f>
        <v>AVERAGE</v>
      </c>
    </row>
    <row r="908" spans="1:29" x14ac:dyDescent="0.3">
      <c r="A908">
        <v>907</v>
      </c>
      <c r="B908">
        <v>75463</v>
      </c>
      <c r="C908" t="s">
        <v>957</v>
      </c>
      <c r="D908" t="s">
        <v>34</v>
      </c>
      <c r="E908" t="s">
        <v>52</v>
      </c>
      <c r="F908" s="1">
        <v>45477</v>
      </c>
      <c r="G908" s="1">
        <v>45478</v>
      </c>
      <c r="H908">
        <v>10</v>
      </c>
      <c r="I908" t="s">
        <v>50</v>
      </c>
      <c r="J908" t="s">
        <v>36</v>
      </c>
      <c r="K908">
        <v>3</v>
      </c>
      <c r="L908">
        <v>2</v>
      </c>
      <c r="M908">
        <v>2</v>
      </c>
      <c r="N908">
        <v>5</v>
      </c>
      <c r="O908">
        <v>4</v>
      </c>
      <c r="P908">
        <v>1</v>
      </c>
      <c r="Q908">
        <v>5</v>
      </c>
      <c r="R908">
        <v>5</v>
      </c>
      <c r="S908">
        <v>2</v>
      </c>
      <c r="T908">
        <v>5</v>
      </c>
      <c r="U908" t="s">
        <v>30</v>
      </c>
      <c r="V908" t="s">
        <v>46</v>
      </c>
      <c r="W908" t="s">
        <v>39</v>
      </c>
      <c r="X908" t="s">
        <v>33</v>
      </c>
      <c r="Y908">
        <v>62</v>
      </c>
      <c r="Z908" s="1">
        <v>45478</v>
      </c>
      <c r="AA908" t="str" cm="1">
        <f t="array" ref="AA908">_xlfn.IFS(AND(Table2[[#This Row],[Guest_Age]]&gt;=18,Table2[[#This Row],[Guest_Age]]&lt;=25),"Young Adults",AND(Table2[[#This Row],[Guest_Age]]&gt;=26,Table2[[#This Row],[Guest_Age]]&lt;=35),"Adults",AND(Table2[[#This Row],[Guest_Age]]&gt;=36,Table2[[#This Row],[Guest_Age]]&lt;=50),"Middle Aged Adults",Table2[[#This Row],[Guest_Age]]&gt;50,"Senior")</f>
        <v>Senior</v>
      </c>
      <c r="AB9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908" t="str" cm="1">
        <f t="array" ref="AC908">_xlfn.IFS(Table2[[#This Row],[Satification_points]]&gt;=4.5,"GREAT",AND(Table2[[#This Row],[Satification_points]]&gt;=4,Table2[[#This Row],[Satification_points]]&lt;4.5),"GOOD",AND(Table2[[#This Row],[Satification_points]]&gt;=3,Table2[[#This Row],[Satification_points]]&lt;4),"AVERAGE",Table2[[#This Row],[Satification_points]]&lt;3,"POOR")</f>
        <v>AVERAGE</v>
      </c>
    </row>
    <row r="909" spans="1:29" x14ac:dyDescent="0.3">
      <c r="A909">
        <v>908</v>
      </c>
      <c r="B909">
        <v>56851</v>
      </c>
      <c r="C909" t="s">
        <v>958</v>
      </c>
      <c r="D909" t="s">
        <v>48</v>
      </c>
      <c r="E909" t="s">
        <v>27</v>
      </c>
      <c r="F909" s="1">
        <v>45056</v>
      </c>
      <c r="G909" s="1">
        <v>45293</v>
      </c>
      <c r="H909">
        <v>9</v>
      </c>
      <c r="I909" t="s">
        <v>50</v>
      </c>
      <c r="J909" t="s">
        <v>29</v>
      </c>
      <c r="K909">
        <v>3</v>
      </c>
      <c r="L909">
        <v>3</v>
      </c>
      <c r="M909">
        <v>2</v>
      </c>
      <c r="N909">
        <v>1</v>
      </c>
      <c r="O909">
        <v>3</v>
      </c>
      <c r="P909">
        <v>2</v>
      </c>
      <c r="Q909">
        <v>2</v>
      </c>
      <c r="R909">
        <v>5</v>
      </c>
      <c r="S909">
        <v>4</v>
      </c>
      <c r="T909">
        <v>2</v>
      </c>
      <c r="U909" t="s">
        <v>30</v>
      </c>
      <c r="V909" t="s">
        <v>58</v>
      </c>
      <c r="W909" t="s">
        <v>39</v>
      </c>
      <c r="X909" t="s">
        <v>40</v>
      </c>
      <c r="Y909">
        <v>29</v>
      </c>
      <c r="Z909" s="1">
        <v>45293</v>
      </c>
      <c r="AA909" t="str" cm="1">
        <f t="array" ref="AA909">_xlfn.IFS(AND(Table2[[#This Row],[Guest_Age]]&gt;=18,Table2[[#This Row],[Guest_Age]]&lt;=25),"Young Adults",AND(Table2[[#This Row],[Guest_Age]]&gt;=26,Table2[[#This Row],[Guest_Age]]&lt;=35),"Adults",AND(Table2[[#This Row],[Guest_Age]]&gt;=36,Table2[[#This Row],[Guest_Age]]&lt;=50),"Middle Aged Adults",Table2[[#This Row],[Guest_Age]]&gt;50,"Senior")</f>
        <v>Adults</v>
      </c>
      <c r="AB9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09" t="str" cm="1">
        <f t="array" ref="AC909">_xlfn.IFS(Table2[[#This Row],[Satification_points]]&gt;=4.5,"GREAT",AND(Table2[[#This Row],[Satification_points]]&gt;=4,Table2[[#This Row],[Satification_points]]&lt;4.5),"GOOD",AND(Table2[[#This Row],[Satification_points]]&gt;=3,Table2[[#This Row],[Satification_points]]&lt;4),"AVERAGE",Table2[[#This Row],[Satification_points]]&lt;3,"POOR")</f>
        <v>POOR</v>
      </c>
    </row>
    <row r="910" spans="1:29" x14ac:dyDescent="0.3">
      <c r="A910">
        <v>909</v>
      </c>
      <c r="B910">
        <v>35062</v>
      </c>
      <c r="C910" t="s">
        <v>959</v>
      </c>
      <c r="D910" t="s">
        <v>26</v>
      </c>
      <c r="E910" t="s">
        <v>52</v>
      </c>
      <c r="F910" s="1">
        <v>45024</v>
      </c>
      <c r="G910" s="1">
        <v>45422</v>
      </c>
      <c r="H910">
        <v>5</v>
      </c>
      <c r="I910" t="s">
        <v>49</v>
      </c>
      <c r="J910" t="s">
        <v>53</v>
      </c>
      <c r="K910">
        <v>2</v>
      </c>
      <c r="L910">
        <v>3</v>
      </c>
      <c r="M910">
        <v>1</v>
      </c>
      <c r="N910">
        <v>2</v>
      </c>
      <c r="O910">
        <v>1</v>
      </c>
      <c r="P910">
        <v>1</v>
      </c>
      <c r="Q910">
        <v>3</v>
      </c>
      <c r="R910">
        <v>5</v>
      </c>
      <c r="S910">
        <v>4</v>
      </c>
      <c r="T910">
        <v>5</v>
      </c>
      <c r="U910" t="s">
        <v>37</v>
      </c>
      <c r="V910" t="s">
        <v>46</v>
      </c>
      <c r="W910" t="s">
        <v>39</v>
      </c>
      <c r="X910" t="s">
        <v>33</v>
      </c>
      <c r="Y910">
        <v>52</v>
      </c>
      <c r="Z910" s="1">
        <v>45422</v>
      </c>
      <c r="AA910" t="str" cm="1">
        <f t="array" ref="AA910">_xlfn.IFS(AND(Table2[[#This Row],[Guest_Age]]&gt;=18,Table2[[#This Row],[Guest_Age]]&lt;=25),"Young Adults",AND(Table2[[#This Row],[Guest_Age]]&gt;=26,Table2[[#This Row],[Guest_Age]]&lt;=35),"Adults",AND(Table2[[#This Row],[Guest_Age]]&gt;=36,Table2[[#This Row],[Guest_Age]]&lt;=50),"Middle Aged Adults",Table2[[#This Row],[Guest_Age]]&gt;50,"Senior")</f>
        <v>Senior</v>
      </c>
      <c r="AB9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10" t="str" cm="1">
        <f t="array" ref="AC910">_xlfn.IFS(Table2[[#This Row],[Satification_points]]&gt;=4.5,"GREAT",AND(Table2[[#This Row],[Satification_points]]&gt;=4,Table2[[#This Row],[Satification_points]]&lt;4.5),"GOOD",AND(Table2[[#This Row],[Satification_points]]&gt;=3,Table2[[#This Row],[Satification_points]]&lt;4),"AVERAGE",Table2[[#This Row],[Satification_points]]&lt;3,"POOR")</f>
        <v>POOR</v>
      </c>
    </row>
    <row r="911" spans="1:29" x14ac:dyDescent="0.3">
      <c r="A911">
        <v>910</v>
      </c>
      <c r="B911">
        <v>69123</v>
      </c>
      <c r="C911" t="s">
        <v>960</v>
      </c>
      <c r="D911" t="s">
        <v>26</v>
      </c>
      <c r="E911" t="s">
        <v>52</v>
      </c>
      <c r="F911" s="1">
        <v>45348</v>
      </c>
      <c r="G911" s="1">
        <v>45349</v>
      </c>
      <c r="H911">
        <v>13</v>
      </c>
      <c r="I911" t="s">
        <v>42</v>
      </c>
      <c r="J911" t="s">
        <v>29</v>
      </c>
      <c r="K911">
        <v>5</v>
      </c>
      <c r="L911">
        <v>5</v>
      </c>
      <c r="M911">
        <v>5</v>
      </c>
      <c r="N911">
        <v>4</v>
      </c>
      <c r="O911">
        <v>3</v>
      </c>
      <c r="P911">
        <v>2</v>
      </c>
      <c r="Q911">
        <v>1</v>
      </c>
      <c r="R911">
        <v>2</v>
      </c>
      <c r="S911">
        <v>5</v>
      </c>
      <c r="T911">
        <v>4</v>
      </c>
      <c r="U911" t="s">
        <v>30</v>
      </c>
      <c r="V911" t="s">
        <v>31</v>
      </c>
      <c r="W911" t="s">
        <v>55</v>
      </c>
      <c r="X911" t="s">
        <v>40</v>
      </c>
      <c r="Y911">
        <v>25</v>
      </c>
      <c r="Z911" s="1">
        <v>45529</v>
      </c>
      <c r="AA911" t="str" cm="1">
        <f t="array" ref="AA911">_xlfn.IFS(AND(Table2[[#This Row],[Guest_Age]]&gt;=18,Table2[[#This Row],[Guest_Age]]&lt;=25),"Young Adults",AND(Table2[[#This Row],[Guest_Age]]&gt;=26,Table2[[#This Row],[Guest_Age]]&lt;=35),"Adults",AND(Table2[[#This Row],[Guest_Age]]&gt;=36,Table2[[#This Row],[Guest_Age]]&lt;=50),"Middle Aged Adults",Table2[[#This Row],[Guest_Age]]&gt;50,"Senior")</f>
        <v>Young Adults</v>
      </c>
      <c r="AB9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911" t="str" cm="1">
        <f t="array" ref="AC911">_xlfn.IFS(Table2[[#This Row],[Satification_points]]&gt;=4.5,"GREAT",AND(Table2[[#This Row],[Satification_points]]&gt;=4,Table2[[#This Row],[Satification_points]]&lt;4.5),"GOOD",AND(Table2[[#This Row],[Satification_points]]&gt;=3,Table2[[#This Row],[Satification_points]]&lt;4),"AVERAGE",Table2[[#This Row],[Satification_points]]&lt;3,"POOR")</f>
        <v>AVERAGE</v>
      </c>
    </row>
    <row r="912" spans="1:29" x14ac:dyDescent="0.3">
      <c r="A912">
        <v>911</v>
      </c>
      <c r="B912">
        <v>83068</v>
      </c>
      <c r="C912" t="s">
        <v>961</v>
      </c>
      <c r="D912" t="s">
        <v>51</v>
      </c>
      <c r="E912" t="s">
        <v>57</v>
      </c>
      <c r="F912" s="1">
        <v>45006</v>
      </c>
      <c r="G912" s="1">
        <v>45141</v>
      </c>
      <c r="H912">
        <v>6</v>
      </c>
      <c r="I912" t="s">
        <v>42</v>
      </c>
      <c r="J912" t="s">
        <v>36</v>
      </c>
      <c r="K912">
        <v>1</v>
      </c>
      <c r="L912">
        <v>3</v>
      </c>
      <c r="M912">
        <v>1</v>
      </c>
      <c r="N912">
        <v>2</v>
      </c>
      <c r="O912">
        <v>4</v>
      </c>
      <c r="P912">
        <v>2</v>
      </c>
      <c r="Q912">
        <v>5</v>
      </c>
      <c r="R912">
        <v>4</v>
      </c>
      <c r="S912">
        <v>4</v>
      </c>
      <c r="T912">
        <v>3</v>
      </c>
      <c r="U912" t="s">
        <v>37</v>
      </c>
      <c r="V912" t="s">
        <v>58</v>
      </c>
      <c r="W912" t="s">
        <v>55</v>
      </c>
      <c r="X912" t="s">
        <v>44</v>
      </c>
      <c r="Y912">
        <v>44</v>
      </c>
      <c r="Z912" s="1">
        <v>45485</v>
      </c>
      <c r="AA912" t="str" cm="1">
        <f t="array" ref="AA912">_xlfn.IFS(AND(Table2[[#This Row],[Guest_Age]]&gt;=18,Table2[[#This Row],[Guest_Age]]&lt;=25),"Young Adults",AND(Table2[[#This Row],[Guest_Age]]&gt;=26,Table2[[#This Row],[Guest_Age]]&lt;=35),"Adults",AND(Table2[[#This Row],[Guest_Age]]&gt;=36,Table2[[#This Row],[Guest_Age]]&lt;=50),"Middle Aged Adults",Table2[[#This Row],[Guest_Age]]&gt;50,"Senior")</f>
        <v>Middle Aged Adults</v>
      </c>
      <c r="AB9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12" t="str" cm="1">
        <f t="array" ref="AC912">_xlfn.IFS(Table2[[#This Row],[Satification_points]]&gt;=4.5,"GREAT",AND(Table2[[#This Row],[Satification_points]]&gt;=4,Table2[[#This Row],[Satification_points]]&lt;4.5),"GOOD",AND(Table2[[#This Row],[Satification_points]]&gt;=3,Table2[[#This Row],[Satification_points]]&lt;4),"AVERAGE",Table2[[#This Row],[Satification_points]]&lt;3,"POOR")</f>
        <v>POOR</v>
      </c>
    </row>
    <row r="913" spans="1:29" x14ac:dyDescent="0.3">
      <c r="A913">
        <v>912</v>
      </c>
      <c r="B913">
        <v>98327</v>
      </c>
      <c r="C913" t="s">
        <v>962</v>
      </c>
      <c r="D913" t="s">
        <v>48</v>
      </c>
      <c r="E913" t="s">
        <v>45</v>
      </c>
      <c r="F913" s="1">
        <v>45214</v>
      </c>
      <c r="G913" s="1">
        <v>45252</v>
      </c>
      <c r="H913">
        <v>14</v>
      </c>
      <c r="I913" t="s">
        <v>28</v>
      </c>
      <c r="J913" t="s">
        <v>36</v>
      </c>
      <c r="K913">
        <v>3</v>
      </c>
      <c r="L913">
        <v>5</v>
      </c>
      <c r="M913">
        <v>3</v>
      </c>
      <c r="N913">
        <v>2</v>
      </c>
      <c r="O913">
        <v>4</v>
      </c>
      <c r="P913">
        <v>4</v>
      </c>
      <c r="Q913">
        <v>1</v>
      </c>
      <c r="R913">
        <v>4</v>
      </c>
      <c r="S913">
        <v>2</v>
      </c>
      <c r="T913">
        <v>1</v>
      </c>
      <c r="U913" t="s">
        <v>30</v>
      </c>
      <c r="V913" t="s">
        <v>38</v>
      </c>
      <c r="W913" t="s">
        <v>56</v>
      </c>
      <c r="X913" t="s">
        <v>44</v>
      </c>
      <c r="Y913">
        <v>33</v>
      </c>
      <c r="Z913" s="1">
        <v>45252</v>
      </c>
      <c r="AA913" t="str" cm="1">
        <f t="array" ref="AA913">_xlfn.IFS(AND(Table2[[#This Row],[Guest_Age]]&gt;=18,Table2[[#This Row],[Guest_Age]]&lt;=25),"Young Adults",AND(Table2[[#This Row],[Guest_Age]]&gt;=26,Table2[[#This Row],[Guest_Age]]&lt;=35),"Adults",AND(Table2[[#This Row],[Guest_Age]]&gt;=36,Table2[[#This Row],[Guest_Age]]&lt;=50),"Middle Aged Adults",Table2[[#This Row],[Guest_Age]]&gt;50,"Senior")</f>
        <v>Adults</v>
      </c>
      <c r="AB9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13" t="str" cm="1">
        <f t="array" ref="AC913">_xlfn.IFS(Table2[[#This Row],[Satification_points]]&gt;=4.5,"GREAT",AND(Table2[[#This Row],[Satification_points]]&gt;=4,Table2[[#This Row],[Satification_points]]&lt;4.5),"GOOD",AND(Table2[[#This Row],[Satification_points]]&gt;=3,Table2[[#This Row],[Satification_points]]&lt;4),"AVERAGE",Table2[[#This Row],[Satification_points]]&lt;3,"POOR")</f>
        <v>POOR</v>
      </c>
    </row>
    <row r="914" spans="1:29" x14ac:dyDescent="0.3">
      <c r="A914">
        <v>913</v>
      </c>
      <c r="B914">
        <v>99229</v>
      </c>
      <c r="C914" t="s">
        <v>963</v>
      </c>
      <c r="D914" t="s">
        <v>26</v>
      </c>
      <c r="E914" t="s">
        <v>27</v>
      </c>
      <c r="F914" s="1">
        <v>45095</v>
      </c>
      <c r="G914" s="1">
        <v>45237</v>
      </c>
      <c r="H914">
        <v>7</v>
      </c>
      <c r="I914" t="s">
        <v>49</v>
      </c>
      <c r="J914" t="s">
        <v>43</v>
      </c>
      <c r="K914">
        <v>1</v>
      </c>
      <c r="L914">
        <v>4</v>
      </c>
      <c r="M914">
        <v>4</v>
      </c>
      <c r="N914">
        <v>3</v>
      </c>
      <c r="O914">
        <v>2</v>
      </c>
      <c r="P914">
        <v>3</v>
      </c>
      <c r="Q914">
        <v>2</v>
      </c>
      <c r="R914">
        <v>3</v>
      </c>
      <c r="S914">
        <v>4</v>
      </c>
      <c r="T914">
        <v>4</v>
      </c>
      <c r="U914" t="s">
        <v>30</v>
      </c>
      <c r="V914" t="s">
        <v>54</v>
      </c>
      <c r="W914" t="s">
        <v>39</v>
      </c>
      <c r="X914" t="s">
        <v>40</v>
      </c>
      <c r="Y914">
        <v>64</v>
      </c>
      <c r="Z914" s="1">
        <v>45642</v>
      </c>
      <c r="AA914" t="str" cm="1">
        <f t="array" ref="AA914">_xlfn.IFS(AND(Table2[[#This Row],[Guest_Age]]&gt;=18,Table2[[#This Row],[Guest_Age]]&lt;=25),"Young Adults",AND(Table2[[#This Row],[Guest_Age]]&gt;=26,Table2[[#This Row],[Guest_Age]]&lt;=35),"Adults",AND(Table2[[#This Row],[Guest_Age]]&gt;=36,Table2[[#This Row],[Guest_Age]]&lt;=50),"Middle Aged Adults",Table2[[#This Row],[Guest_Age]]&gt;50,"Senior")</f>
        <v>Senior</v>
      </c>
      <c r="AB9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14" t="str" cm="1">
        <f t="array" ref="AC914">_xlfn.IFS(Table2[[#This Row],[Satification_points]]&gt;=4.5,"GREAT",AND(Table2[[#This Row],[Satification_points]]&gt;=4,Table2[[#This Row],[Satification_points]]&lt;4.5),"GOOD",AND(Table2[[#This Row],[Satification_points]]&gt;=3,Table2[[#This Row],[Satification_points]]&lt;4),"AVERAGE",Table2[[#This Row],[Satification_points]]&lt;3,"POOR")</f>
        <v>AVERAGE</v>
      </c>
    </row>
    <row r="915" spans="1:29" x14ac:dyDescent="0.3">
      <c r="A915">
        <v>914</v>
      </c>
      <c r="B915">
        <v>18221</v>
      </c>
      <c r="C915" t="s">
        <v>964</v>
      </c>
      <c r="D915" t="s">
        <v>26</v>
      </c>
      <c r="E915" t="s">
        <v>27</v>
      </c>
      <c r="F915" s="1">
        <v>45005</v>
      </c>
      <c r="G915" s="1">
        <v>45006</v>
      </c>
      <c r="H915">
        <v>4</v>
      </c>
      <c r="I915" t="s">
        <v>50</v>
      </c>
      <c r="J915" t="s">
        <v>36</v>
      </c>
      <c r="K915">
        <v>3</v>
      </c>
      <c r="L915">
        <v>2</v>
      </c>
      <c r="M915">
        <v>4</v>
      </c>
      <c r="N915">
        <v>1</v>
      </c>
      <c r="O915">
        <v>4</v>
      </c>
      <c r="P915">
        <v>4</v>
      </c>
      <c r="Q915">
        <v>5</v>
      </c>
      <c r="R915">
        <v>5</v>
      </c>
      <c r="S915">
        <v>5</v>
      </c>
      <c r="T915">
        <v>3</v>
      </c>
      <c r="U915" t="s">
        <v>37</v>
      </c>
      <c r="V915" t="s">
        <v>38</v>
      </c>
      <c r="W915" t="s">
        <v>55</v>
      </c>
      <c r="X915" t="s">
        <v>33</v>
      </c>
      <c r="Y915">
        <v>49</v>
      </c>
      <c r="Z915" s="1">
        <v>45006</v>
      </c>
      <c r="AA915" t="str" cm="1">
        <f t="array" ref="AA915">_xlfn.IFS(AND(Table2[[#This Row],[Guest_Age]]&gt;=18,Table2[[#This Row],[Guest_Age]]&lt;=25),"Young Adults",AND(Table2[[#This Row],[Guest_Age]]&gt;=26,Table2[[#This Row],[Guest_Age]]&lt;=35),"Adults",AND(Table2[[#This Row],[Guest_Age]]&gt;=36,Table2[[#This Row],[Guest_Age]]&lt;=50),"Middle Aged Adults",Table2[[#This Row],[Guest_Age]]&gt;50,"Senior")</f>
        <v>Middle Aged Adults</v>
      </c>
      <c r="AB9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915" t="str" cm="1">
        <f t="array" ref="AC915">_xlfn.IFS(Table2[[#This Row],[Satification_points]]&gt;=4.5,"GREAT",AND(Table2[[#This Row],[Satification_points]]&gt;=4,Table2[[#This Row],[Satification_points]]&lt;4.5),"GOOD",AND(Table2[[#This Row],[Satification_points]]&gt;=3,Table2[[#This Row],[Satification_points]]&lt;4),"AVERAGE",Table2[[#This Row],[Satification_points]]&lt;3,"POOR")</f>
        <v>AVERAGE</v>
      </c>
    </row>
    <row r="916" spans="1:29" x14ac:dyDescent="0.3">
      <c r="A916">
        <v>915</v>
      </c>
      <c r="B916">
        <v>25234</v>
      </c>
      <c r="C916" t="s">
        <v>965</v>
      </c>
      <c r="D916" t="s">
        <v>26</v>
      </c>
      <c r="E916" t="s">
        <v>52</v>
      </c>
      <c r="F916" s="1">
        <v>44997</v>
      </c>
      <c r="G916" s="1">
        <v>44998</v>
      </c>
      <c r="H916">
        <v>8</v>
      </c>
      <c r="I916" t="s">
        <v>49</v>
      </c>
      <c r="J916" t="s">
        <v>53</v>
      </c>
      <c r="K916">
        <v>2</v>
      </c>
      <c r="L916">
        <v>3</v>
      </c>
      <c r="M916">
        <v>3</v>
      </c>
      <c r="N916">
        <v>2</v>
      </c>
      <c r="O916">
        <v>4</v>
      </c>
      <c r="P916">
        <v>2</v>
      </c>
      <c r="Q916">
        <v>5</v>
      </c>
      <c r="R916">
        <v>5</v>
      </c>
      <c r="S916">
        <v>3</v>
      </c>
      <c r="T916">
        <v>2</v>
      </c>
      <c r="U916" t="s">
        <v>30</v>
      </c>
      <c r="V916" t="s">
        <v>31</v>
      </c>
      <c r="W916" t="s">
        <v>56</v>
      </c>
      <c r="X916" t="s">
        <v>33</v>
      </c>
      <c r="Y916">
        <v>46</v>
      </c>
      <c r="Z916" s="1">
        <v>45015</v>
      </c>
      <c r="AA916" t="str" cm="1">
        <f t="array" ref="AA9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16" t="str" cm="1">
        <f t="array" ref="AC916">_xlfn.IFS(Table2[[#This Row],[Satification_points]]&gt;=4.5,"GREAT",AND(Table2[[#This Row],[Satification_points]]&gt;=4,Table2[[#This Row],[Satification_points]]&lt;4.5),"GOOD",AND(Table2[[#This Row],[Satification_points]]&gt;=3,Table2[[#This Row],[Satification_points]]&lt;4),"AVERAGE",Table2[[#This Row],[Satification_points]]&lt;3,"POOR")</f>
        <v>AVERAGE</v>
      </c>
    </row>
    <row r="917" spans="1:29" x14ac:dyDescent="0.3">
      <c r="A917">
        <v>916</v>
      </c>
      <c r="B917">
        <v>18321</v>
      </c>
      <c r="C917" t="s">
        <v>966</v>
      </c>
      <c r="D917" t="s">
        <v>41</v>
      </c>
      <c r="E917" t="s">
        <v>45</v>
      </c>
      <c r="F917" s="1">
        <v>45189</v>
      </c>
      <c r="G917" s="1">
        <v>45190</v>
      </c>
      <c r="H917">
        <v>11</v>
      </c>
      <c r="I917" t="s">
        <v>50</v>
      </c>
      <c r="J917" t="s">
        <v>29</v>
      </c>
      <c r="K917">
        <v>2</v>
      </c>
      <c r="L917">
        <v>2</v>
      </c>
      <c r="M917">
        <v>2</v>
      </c>
      <c r="N917">
        <v>3</v>
      </c>
      <c r="O917">
        <v>1</v>
      </c>
      <c r="P917">
        <v>1</v>
      </c>
      <c r="Q917">
        <v>2</v>
      </c>
      <c r="R917">
        <v>3</v>
      </c>
      <c r="S917">
        <v>1</v>
      </c>
      <c r="T917">
        <v>4</v>
      </c>
      <c r="U917" t="s">
        <v>30</v>
      </c>
      <c r="V917" t="s">
        <v>54</v>
      </c>
      <c r="W917" t="s">
        <v>39</v>
      </c>
      <c r="X917" t="s">
        <v>33</v>
      </c>
      <c r="Y917">
        <v>24</v>
      </c>
      <c r="Z917" s="1">
        <v>45190</v>
      </c>
      <c r="AA917" t="str" cm="1">
        <f t="array" ref="AA917">_xlfn.IFS(AND(Table2[[#This Row],[Guest_Age]]&gt;=18,Table2[[#This Row],[Guest_Age]]&lt;=25),"Young Adults",AND(Table2[[#This Row],[Guest_Age]]&gt;=26,Table2[[#This Row],[Guest_Age]]&lt;=35),"Adults",AND(Table2[[#This Row],[Guest_Age]]&gt;=36,Table2[[#This Row],[Guest_Age]]&lt;=50),"Middle Aged Adults",Table2[[#This Row],[Guest_Age]]&gt;50,"Senior")</f>
        <v>Young Adults</v>
      </c>
      <c r="AB9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917" t="str" cm="1">
        <f t="array" ref="AC917">_xlfn.IFS(Table2[[#This Row],[Satification_points]]&gt;=4.5,"GREAT",AND(Table2[[#This Row],[Satification_points]]&gt;=4,Table2[[#This Row],[Satification_points]]&lt;4.5),"GOOD",AND(Table2[[#This Row],[Satification_points]]&gt;=3,Table2[[#This Row],[Satification_points]]&lt;4),"AVERAGE",Table2[[#This Row],[Satification_points]]&lt;3,"POOR")</f>
        <v>POOR</v>
      </c>
    </row>
    <row r="918" spans="1:29" x14ac:dyDescent="0.3">
      <c r="A918">
        <v>917</v>
      </c>
      <c r="B918">
        <v>17945</v>
      </c>
      <c r="C918" t="s">
        <v>967</v>
      </c>
      <c r="D918" t="s">
        <v>26</v>
      </c>
      <c r="E918" t="s">
        <v>52</v>
      </c>
      <c r="F918" s="1">
        <v>45638</v>
      </c>
      <c r="G918" s="1">
        <v>45639</v>
      </c>
      <c r="H918">
        <v>6</v>
      </c>
      <c r="I918" t="s">
        <v>50</v>
      </c>
      <c r="J918" t="s">
        <v>40</v>
      </c>
      <c r="K918">
        <v>4</v>
      </c>
      <c r="L918">
        <v>4</v>
      </c>
      <c r="M918">
        <v>2</v>
      </c>
      <c r="N918">
        <v>5</v>
      </c>
      <c r="O918">
        <v>3</v>
      </c>
      <c r="P918">
        <v>2</v>
      </c>
      <c r="Q918">
        <v>1</v>
      </c>
      <c r="R918">
        <v>5</v>
      </c>
      <c r="S918">
        <v>4</v>
      </c>
      <c r="T918">
        <v>3</v>
      </c>
      <c r="U918" t="s">
        <v>30</v>
      </c>
      <c r="V918" t="s">
        <v>54</v>
      </c>
      <c r="W918" t="s">
        <v>39</v>
      </c>
      <c r="X918" t="s">
        <v>40</v>
      </c>
      <c r="Y918">
        <v>33</v>
      </c>
      <c r="Z918" s="1">
        <v>45639</v>
      </c>
      <c r="AA918" t="str" cm="1">
        <f t="array" ref="AA918">_xlfn.IFS(AND(Table2[[#This Row],[Guest_Age]]&gt;=18,Table2[[#This Row],[Guest_Age]]&lt;=25),"Young Adults",AND(Table2[[#This Row],[Guest_Age]]&gt;=26,Table2[[#This Row],[Guest_Age]]&lt;=35),"Adults",AND(Table2[[#This Row],[Guest_Age]]&gt;=36,Table2[[#This Row],[Guest_Age]]&lt;=50),"Middle Aged Adults",Table2[[#This Row],[Guest_Age]]&gt;50,"Senior")</f>
        <v>Adults</v>
      </c>
      <c r="AB9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918" t="str" cm="1">
        <f t="array" ref="AC918">_xlfn.IFS(Table2[[#This Row],[Satification_points]]&gt;=4.5,"GREAT",AND(Table2[[#This Row],[Satification_points]]&gt;=4,Table2[[#This Row],[Satification_points]]&lt;4.5),"GOOD",AND(Table2[[#This Row],[Satification_points]]&gt;=3,Table2[[#This Row],[Satification_points]]&lt;4),"AVERAGE",Table2[[#This Row],[Satification_points]]&lt;3,"POOR")</f>
        <v>AVERAGE</v>
      </c>
    </row>
    <row r="919" spans="1:29" x14ac:dyDescent="0.3">
      <c r="A919">
        <v>918</v>
      </c>
      <c r="B919">
        <v>15189</v>
      </c>
      <c r="C919" t="s">
        <v>968</v>
      </c>
      <c r="D919" t="s">
        <v>41</v>
      </c>
      <c r="E919" t="s">
        <v>35</v>
      </c>
      <c r="F919" s="1">
        <v>45649</v>
      </c>
      <c r="G919" s="1">
        <v>45650</v>
      </c>
      <c r="H919">
        <v>11</v>
      </c>
      <c r="I919" t="s">
        <v>28</v>
      </c>
      <c r="J919" t="s">
        <v>29</v>
      </c>
      <c r="K919">
        <v>1</v>
      </c>
      <c r="L919">
        <v>1</v>
      </c>
      <c r="M919">
        <v>2</v>
      </c>
      <c r="N919">
        <v>5</v>
      </c>
      <c r="O919">
        <v>1</v>
      </c>
      <c r="P919">
        <v>4</v>
      </c>
      <c r="Q919">
        <v>5</v>
      </c>
      <c r="R919">
        <v>1</v>
      </c>
      <c r="S919">
        <v>3</v>
      </c>
      <c r="T919">
        <v>4</v>
      </c>
      <c r="U919" t="s">
        <v>37</v>
      </c>
      <c r="V919" t="s">
        <v>38</v>
      </c>
      <c r="W919" t="s">
        <v>32</v>
      </c>
      <c r="X919" t="s">
        <v>44</v>
      </c>
      <c r="Y919">
        <v>46</v>
      </c>
      <c r="Z919" s="1">
        <v>45650</v>
      </c>
      <c r="AA919" t="str" cm="1">
        <f t="array" ref="AA9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9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19" t="str" cm="1">
        <f t="array" ref="AC919">_xlfn.IFS(Table2[[#This Row],[Satification_points]]&gt;=4.5,"GREAT",AND(Table2[[#This Row],[Satification_points]]&gt;=4,Table2[[#This Row],[Satification_points]]&lt;4.5),"GOOD",AND(Table2[[#This Row],[Satification_points]]&gt;=3,Table2[[#This Row],[Satification_points]]&lt;4),"AVERAGE",Table2[[#This Row],[Satification_points]]&lt;3,"POOR")</f>
        <v>POOR</v>
      </c>
    </row>
    <row r="920" spans="1:29" x14ac:dyDescent="0.3">
      <c r="A920">
        <v>919</v>
      </c>
      <c r="B920">
        <v>12374</v>
      </c>
      <c r="C920" t="s">
        <v>969</v>
      </c>
      <c r="D920" t="s">
        <v>26</v>
      </c>
      <c r="E920" t="s">
        <v>27</v>
      </c>
      <c r="F920" s="1">
        <v>45456</v>
      </c>
      <c r="G920" s="1">
        <v>45457</v>
      </c>
      <c r="H920">
        <v>1</v>
      </c>
      <c r="I920" t="s">
        <v>28</v>
      </c>
      <c r="J920" t="s">
        <v>43</v>
      </c>
      <c r="K920">
        <v>4</v>
      </c>
      <c r="L920">
        <v>1</v>
      </c>
      <c r="M920">
        <v>1</v>
      </c>
      <c r="N920">
        <v>5</v>
      </c>
      <c r="O920">
        <v>1</v>
      </c>
      <c r="P920">
        <v>1</v>
      </c>
      <c r="Q920">
        <v>4</v>
      </c>
      <c r="R920">
        <v>3</v>
      </c>
      <c r="S920">
        <v>5</v>
      </c>
      <c r="T920">
        <v>3</v>
      </c>
      <c r="U920" t="s">
        <v>37</v>
      </c>
      <c r="V920" t="s">
        <v>58</v>
      </c>
      <c r="W920" t="s">
        <v>55</v>
      </c>
      <c r="X920" t="s">
        <v>33</v>
      </c>
      <c r="Y920">
        <v>42</v>
      </c>
      <c r="Z920" s="1">
        <v>45457</v>
      </c>
      <c r="AA920" t="str" cm="1">
        <f t="array" ref="AA920">_xlfn.IFS(AND(Table2[[#This Row],[Guest_Age]]&gt;=18,Table2[[#This Row],[Guest_Age]]&lt;=25),"Young Adults",AND(Table2[[#This Row],[Guest_Age]]&gt;=26,Table2[[#This Row],[Guest_Age]]&lt;=35),"Adults",AND(Table2[[#This Row],[Guest_Age]]&gt;=36,Table2[[#This Row],[Guest_Age]]&lt;=50),"Middle Aged Adults",Table2[[#This Row],[Guest_Age]]&gt;50,"Senior")</f>
        <v>Middle Aged Adults</v>
      </c>
      <c r="AB9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20" t="str" cm="1">
        <f t="array" ref="AC920">_xlfn.IFS(Table2[[#This Row],[Satification_points]]&gt;=4.5,"GREAT",AND(Table2[[#This Row],[Satification_points]]&gt;=4,Table2[[#This Row],[Satification_points]]&lt;4.5),"GOOD",AND(Table2[[#This Row],[Satification_points]]&gt;=3,Table2[[#This Row],[Satification_points]]&lt;4),"AVERAGE",Table2[[#This Row],[Satification_points]]&lt;3,"POOR")</f>
        <v>POOR</v>
      </c>
    </row>
    <row r="921" spans="1:29" x14ac:dyDescent="0.3">
      <c r="A921">
        <v>920</v>
      </c>
      <c r="B921">
        <v>79519</v>
      </c>
      <c r="C921" t="s">
        <v>970</v>
      </c>
      <c r="D921" t="s">
        <v>34</v>
      </c>
      <c r="E921" t="s">
        <v>57</v>
      </c>
      <c r="F921" s="1">
        <v>45136</v>
      </c>
      <c r="G921" s="1">
        <v>45137</v>
      </c>
      <c r="H921">
        <v>6</v>
      </c>
      <c r="I921" t="s">
        <v>28</v>
      </c>
      <c r="J921" t="s">
        <v>40</v>
      </c>
      <c r="K921">
        <v>2</v>
      </c>
      <c r="L921">
        <v>1</v>
      </c>
      <c r="M921">
        <v>1</v>
      </c>
      <c r="N921">
        <v>5</v>
      </c>
      <c r="O921">
        <v>5</v>
      </c>
      <c r="P921">
        <v>3</v>
      </c>
      <c r="Q921">
        <v>4</v>
      </c>
      <c r="R921">
        <v>5</v>
      </c>
      <c r="S921">
        <v>3</v>
      </c>
      <c r="T921">
        <v>2</v>
      </c>
      <c r="U921" t="s">
        <v>37</v>
      </c>
      <c r="V921" t="s">
        <v>58</v>
      </c>
      <c r="W921" t="s">
        <v>56</v>
      </c>
      <c r="X921" t="s">
        <v>44</v>
      </c>
      <c r="Y921">
        <v>60</v>
      </c>
      <c r="Z921" s="1">
        <v>45480</v>
      </c>
      <c r="AA921" t="str" cm="1">
        <f t="array" ref="AA921">_xlfn.IFS(AND(Table2[[#This Row],[Guest_Age]]&gt;=18,Table2[[#This Row],[Guest_Age]]&lt;=25),"Young Adults",AND(Table2[[#This Row],[Guest_Age]]&gt;=26,Table2[[#This Row],[Guest_Age]]&lt;=35),"Adults",AND(Table2[[#This Row],[Guest_Age]]&gt;=36,Table2[[#This Row],[Guest_Age]]&lt;=50),"Middle Aged Adults",Table2[[#This Row],[Guest_Age]]&gt;50,"Senior")</f>
        <v>Senior</v>
      </c>
      <c r="AB9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21" t="str" cm="1">
        <f t="array" ref="AC921">_xlfn.IFS(Table2[[#This Row],[Satification_points]]&gt;=4.5,"GREAT",AND(Table2[[#This Row],[Satification_points]]&gt;=4,Table2[[#This Row],[Satification_points]]&lt;4.5),"GOOD",AND(Table2[[#This Row],[Satification_points]]&gt;=3,Table2[[#This Row],[Satification_points]]&lt;4),"AVERAGE",Table2[[#This Row],[Satification_points]]&lt;3,"POOR")</f>
        <v>AVERAGE</v>
      </c>
    </row>
    <row r="922" spans="1:29" x14ac:dyDescent="0.3">
      <c r="A922">
        <v>921</v>
      </c>
      <c r="B922">
        <v>21333</v>
      </c>
      <c r="C922" t="s">
        <v>971</v>
      </c>
      <c r="D922" t="s">
        <v>41</v>
      </c>
      <c r="E922" t="s">
        <v>57</v>
      </c>
      <c r="F922" s="1">
        <v>45043</v>
      </c>
      <c r="G922" s="1">
        <v>45398</v>
      </c>
      <c r="H922">
        <v>2</v>
      </c>
      <c r="I922" t="s">
        <v>50</v>
      </c>
      <c r="J922" t="s">
        <v>40</v>
      </c>
      <c r="K922">
        <v>2</v>
      </c>
      <c r="L922">
        <v>5</v>
      </c>
      <c r="M922">
        <v>4</v>
      </c>
      <c r="N922">
        <v>5</v>
      </c>
      <c r="O922">
        <v>5</v>
      </c>
      <c r="P922">
        <v>4</v>
      </c>
      <c r="Q922">
        <v>1</v>
      </c>
      <c r="R922">
        <v>3</v>
      </c>
      <c r="S922">
        <v>3</v>
      </c>
      <c r="T922">
        <v>2</v>
      </c>
      <c r="U922" t="s">
        <v>30</v>
      </c>
      <c r="V922" t="s">
        <v>54</v>
      </c>
      <c r="W922" t="s">
        <v>39</v>
      </c>
      <c r="X922" t="s">
        <v>33</v>
      </c>
      <c r="Y922">
        <v>53</v>
      </c>
      <c r="Z922" s="1">
        <v>45489</v>
      </c>
      <c r="AA922" t="str" cm="1">
        <f t="array" ref="AA922">_xlfn.IFS(AND(Table2[[#This Row],[Guest_Age]]&gt;=18,Table2[[#This Row],[Guest_Age]]&lt;=25),"Young Adults",AND(Table2[[#This Row],[Guest_Age]]&gt;=26,Table2[[#This Row],[Guest_Age]]&lt;=35),"Adults",AND(Table2[[#This Row],[Guest_Age]]&gt;=36,Table2[[#This Row],[Guest_Age]]&lt;=50),"Middle Aged Adults",Table2[[#This Row],[Guest_Age]]&gt;50,"Senior")</f>
        <v>Senior</v>
      </c>
      <c r="AB9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922" t="str" cm="1">
        <f t="array" ref="AC922">_xlfn.IFS(Table2[[#This Row],[Satification_points]]&gt;=4.5,"GREAT",AND(Table2[[#This Row],[Satification_points]]&gt;=4,Table2[[#This Row],[Satification_points]]&lt;4.5),"GOOD",AND(Table2[[#This Row],[Satification_points]]&gt;=3,Table2[[#This Row],[Satification_points]]&lt;4),"AVERAGE",Table2[[#This Row],[Satification_points]]&lt;3,"POOR")</f>
        <v>AVERAGE</v>
      </c>
    </row>
    <row r="923" spans="1:29" x14ac:dyDescent="0.3">
      <c r="A923">
        <v>922</v>
      </c>
      <c r="B923">
        <v>75743</v>
      </c>
      <c r="C923" t="s">
        <v>972</v>
      </c>
      <c r="D923" t="s">
        <v>41</v>
      </c>
      <c r="E923" t="s">
        <v>57</v>
      </c>
      <c r="F923" s="1">
        <v>45542</v>
      </c>
      <c r="G923" s="1">
        <v>45543</v>
      </c>
      <c r="H923">
        <v>4</v>
      </c>
      <c r="I923" t="s">
        <v>50</v>
      </c>
      <c r="J923" t="s">
        <v>36</v>
      </c>
      <c r="K923">
        <v>1</v>
      </c>
      <c r="L923">
        <v>5</v>
      </c>
      <c r="M923">
        <v>2</v>
      </c>
      <c r="N923">
        <v>3</v>
      </c>
      <c r="O923">
        <v>2</v>
      </c>
      <c r="P923">
        <v>5</v>
      </c>
      <c r="Q923">
        <v>5</v>
      </c>
      <c r="R923">
        <v>1</v>
      </c>
      <c r="S923">
        <v>3</v>
      </c>
      <c r="T923">
        <v>2</v>
      </c>
      <c r="U923" t="s">
        <v>30</v>
      </c>
      <c r="V923" t="s">
        <v>38</v>
      </c>
      <c r="W923" t="s">
        <v>55</v>
      </c>
      <c r="X923" t="s">
        <v>40</v>
      </c>
      <c r="Y923">
        <v>65</v>
      </c>
      <c r="Z923" s="1">
        <v>45543</v>
      </c>
      <c r="AA923" t="str" cm="1">
        <f t="array" ref="AA923">_xlfn.IFS(AND(Table2[[#This Row],[Guest_Age]]&gt;=18,Table2[[#This Row],[Guest_Age]]&lt;=25),"Young Adults",AND(Table2[[#This Row],[Guest_Age]]&gt;=26,Table2[[#This Row],[Guest_Age]]&lt;=35),"Adults",AND(Table2[[#This Row],[Guest_Age]]&gt;=36,Table2[[#This Row],[Guest_Age]]&lt;=50),"Middle Aged Adults",Table2[[#This Row],[Guest_Age]]&gt;50,"Senior")</f>
        <v>Senior</v>
      </c>
      <c r="AB9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23" t="str" cm="1">
        <f t="array" ref="AC923">_xlfn.IFS(Table2[[#This Row],[Satification_points]]&gt;=4.5,"GREAT",AND(Table2[[#This Row],[Satification_points]]&gt;=4,Table2[[#This Row],[Satification_points]]&lt;4.5),"GOOD",AND(Table2[[#This Row],[Satification_points]]&gt;=3,Table2[[#This Row],[Satification_points]]&lt;4),"AVERAGE",Table2[[#This Row],[Satification_points]]&lt;3,"POOR")</f>
        <v>POOR</v>
      </c>
    </row>
    <row r="924" spans="1:29" x14ac:dyDescent="0.3">
      <c r="A924">
        <v>923</v>
      </c>
      <c r="B924">
        <v>50907</v>
      </c>
      <c r="C924" t="s">
        <v>973</v>
      </c>
      <c r="D924" t="s">
        <v>51</v>
      </c>
      <c r="E924" t="s">
        <v>27</v>
      </c>
      <c r="F924" s="1">
        <v>45003</v>
      </c>
      <c r="G924" s="1">
        <v>45326</v>
      </c>
      <c r="H924">
        <v>11</v>
      </c>
      <c r="I924" t="s">
        <v>49</v>
      </c>
      <c r="J924" t="s">
        <v>43</v>
      </c>
      <c r="K924">
        <v>4</v>
      </c>
      <c r="L924">
        <v>1</v>
      </c>
      <c r="M924">
        <v>2</v>
      </c>
      <c r="N924">
        <v>1</v>
      </c>
      <c r="O924">
        <v>2</v>
      </c>
      <c r="P924">
        <v>2</v>
      </c>
      <c r="Q924">
        <v>1</v>
      </c>
      <c r="R924">
        <v>1</v>
      </c>
      <c r="S924">
        <v>2</v>
      </c>
      <c r="T924">
        <v>2</v>
      </c>
      <c r="U924" t="s">
        <v>30</v>
      </c>
      <c r="V924" t="s">
        <v>38</v>
      </c>
      <c r="W924" t="s">
        <v>56</v>
      </c>
      <c r="X924" t="s">
        <v>40</v>
      </c>
      <c r="Y924">
        <v>21</v>
      </c>
      <c r="Z924" s="1">
        <v>45326</v>
      </c>
      <c r="AA924" t="str" cm="1">
        <f t="array" ref="AA924">_xlfn.IFS(AND(Table2[[#This Row],[Guest_Age]]&gt;=18,Table2[[#This Row],[Guest_Age]]&lt;=25),"Young Adults",AND(Table2[[#This Row],[Guest_Age]]&gt;=26,Table2[[#This Row],[Guest_Age]]&lt;=35),"Adults",AND(Table2[[#This Row],[Guest_Age]]&gt;=36,Table2[[#This Row],[Guest_Age]]&lt;=50),"Middle Aged Adults",Table2[[#This Row],[Guest_Age]]&gt;50,"Senior")</f>
        <v>Young Adults</v>
      </c>
      <c r="AB9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1.8</v>
      </c>
      <c r="AC924" t="str" cm="1">
        <f t="array" ref="AC924">_xlfn.IFS(Table2[[#This Row],[Satification_points]]&gt;=4.5,"GREAT",AND(Table2[[#This Row],[Satification_points]]&gt;=4,Table2[[#This Row],[Satification_points]]&lt;4.5),"GOOD",AND(Table2[[#This Row],[Satification_points]]&gt;=3,Table2[[#This Row],[Satification_points]]&lt;4),"AVERAGE",Table2[[#This Row],[Satification_points]]&lt;3,"POOR")</f>
        <v>POOR</v>
      </c>
    </row>
    <row r="925" spans="1:29" x14ac:dyDescent="0.3">
      <c r="A925">
        <v>924</v>
      </c>
      <c r="B925">
        <v>19173</v>
      </c>
      <c r="C925" t="s">
        <v>974</v>
      </c>
      <c r="D925" t="s">
        <v>26</v>
      </c>
      <c r="E925" t="s">
        <v>27</v>
      </c>
      <c r="F925" s="1">
        <v>45241</v>
      </c>
      <c r="G925" s="1">
        <v>45485</v>
      </c>
      <c r="H925">
        <v>4</v>
      </c>
      <c r="I925" t="s">
        <v>42</v>
      </c>
      <c r="J925" t="s">
        <v>43</v>
      </c>
      <c r="K925">
        <v>4</v>
      </c>
      <c r="L925">
        <v>4</v>
      </c>
      <c r="M925">
        <v>3</v>
      </c>
      <c r="N925">
        <v>1</v>
      </c>
      <c r="O925">
        <v>4</v>
      </c>
      <c r="P925">
        <v>3</v>
      </c>
      <c r="Q925">
        <v>4</v>
      </c>
      <c r="R925">
        <v>2</v>
      </c>
      <c r="S925">
        <v>4</v>
      </c>
      <c r="T925">
        <v>2</v>
      </c>
      <c r="U925" t="s">
        <v>30</v>
      </c>
      <c r="V925" t="s">
        <v>58</v>
      </c>
      <c r="W925" t="s">
        <v>32</v>
      </c>
      <c r="X925" t="s">
        <v>33</v>
      </c>
      <c r="Y925">
        <v>44</v>
      </c>
      <c r="Z925" s="1">
        <v>45485</v>
      </c>
      <c r="AA925" t="str" cm="1">
        <f t="array" ref="AA9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9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25" t="str" cm="1">
        <f t="array" ref="AC925">_xlfn.IFS(Table2[[#This Row],[Satification_points]]&gt;=4.5,"GREAT",AND(Table2[[#This Row],[Satification_points]]&gt;=4,Table2[[#This Row],[Satification_points]]&lt;4.5),"GOOD",AND(Table2[[#This Row],[Satification_points]]&gt;=3,Table2[[#This Row],[Satification_points]]&lt;4),"AVERAGE",Table2[[#This Row],[Satification_points]]&lt;3,"POOR")</f>
        <v>AVERAGE</v>
      </c>
    </row>
    <row r="926" spans="1:29" x14ac:dyDescent="0.3">
      <c r="A926">
        <v>925</v>
      </c>
      <c r="B926">
        <v>14302</v>
      </c>
      <c r="C926" t="s">
        <v>975</v>
      </c>
      <c r="D926" t="s">
        <v>48</v>
      </c>
      <c r="E926" t="s">
        <v>57</v>
      </c>
      <c r="F926" s="1">
        <v>44937</v>
      </c>
      <c r="G926" s="1">
        <v>45504</v>
      </c>
      <c r="H926">
        <v>10</v>
      </c>
      <c r="I926" t="s">
        <v>50</v>
      </c>
      <c r="J926" t="s">
        <v>36</v>
      </c>
      <c r="K926">
        <v>4</v>
      </c>
      <c r="L926">
        <v>5</v>
      </c>
      <c r="M926">
        <v>4</v>
      </c>
      <c r="N926">
        <v>3</v>
      </c>
      <c r="O926">
        <v>2</v>
      </c>
      <c r="P926">
        <v>3</v>
      </c>
      <c r="Q926">
        <v>5</v>
      </c>
      <c r="R926">
        <v>5</v>
      </c>
      <c r="S926">
        <v>3</v>
      </c>
      <c r="T926">
        <v>3</v>
      </c>
      <c r="U926" t="s">
        <v>30</v>
      </c>
      <c r="V926" t="s">
        <v>31</v>
      </c>
      <c r="W926" t="s">
        <v>56</v>
      </c>
      <c r="X926" t="s">
        <v>44</v>
      </c>
      <c r="Y926">
        <v>40</v>
      </c>
      <c r="Z926" s="1">
        <v>45626</v>
      </c>
      <c r="AA926" t="str" cm="1">
        <f t="array" ref="AA92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926" t="str" cm="1">
        <f t="array" ref="AC926">_xlfn.IFS(Table2[[#This Row],[Satification_points]]&gt;=4.5,"GREAT",AND(Table2[[#This Row],[Satification_points]]&gt;=4,Table2[[#This Row],[Satification_points]]&lt;4.5),"GOOD",AND(Table2[[#This Row],[Satification_points]]&gt;=3,Table2[[#This Row],[Satification_points]]&lt;4),"AVERAGE",Table2[[#This Row],[Satification_points]]&lt;3,"POOR")</f>
        <v>AVERAGE</v>
      </c>
    </row>
    <row r="927" spans="1:29" x14ac:dyDescent="0.3">
      <c r="A927">
        <v>926</v>
      </c>
      <c r="B927">
        <v>49679</v>
      </c>
      <c r="C927" t="s">
        <v>976</v>
      </c>
      <c r="D927" t="s">
        <v>48</v>
      </c>
      <c r="E927" t="s">
        <v>27</v>
      </c>
      <c r="F927" s="1">
        <v>44977</v>
      </c>
      <c r="G927" s="1">
        <v>44978</v>
      </c>
      <c r="H927">
        <v>13</v>
      </c>
      <c r="I927" t="s">
        <v>49</v>
      </c>
      <c r="J927" t="s">
        <v>53</v>
      </c>
      <c r="K927">
        <v>1</v>
      </c>
      <c r="L927">
        <v>1</v>
      </c>
      <c r="M927">
        <v>1</v>
      </c>
      <c r="N927">
        <v>3</v>
      </c>
      <c r="O927">
        <v>2</v>
      </c>
      <c r="P927">
        <v>1</v>
      </c>
      <c r="Q927">
        <v>5</v>
      </c>
      <c r="R927">
        <v>1</v>
      </c>
      <c r="S927">
        <v>5</v>
      </c>
      <c r="T927">
        <v>2</v>
      </c>
      <c r="U927" t="s">
        <v>37</v>
      </c>
      <c r="V927" t="s">
        <v>58</v>
      </c>
      <c r="W927" t="s">
        <v>39</v>
      </c>
      <c r="X927" t="s">
        <v>33</v>
      </c>
      <c r="Y927">
        <v>40</v>
      </c>
      <c r="Z927" s="1">
        <v>45414</v>
      </c>
      <c r="AA927" t="str" cm="1">
        <f t="array" ref="AA9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9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927" t="str" cm="1">
        <f t="array" ref="AC927">_xlfn.IFS(Table2[[#This Row],[Satification_points]]&gt;=4.5,"GREAT",AND(Table2[[#This Row],[Satification_points]]&gt;=4,Table2[[#This Row],[Satification_points]]&lt;4.5),"GOOD",AND(Table2[[#This Row],[Satification_points]]&gt;=3,Table2[[#This Row],[Satification_points]]&lt;4),"AVERAGE",Table2[[#This Row],[Satification_points]]&lt;3,"POOR")</f>
        <v>POOR</v>
      </c>
    </row>
    <row r="928" spans="1:29" x14ac:dyDescent="0.3">
      <c r="A928">
        <v>927</v>
      </c>
      <c r="B928">
        <v>65842</v>
      </c>
      <c r="C928" t="s">
        <v>977</v>
      </c>
      <c r="D928" t="s">
        <v>48</v>
      </c>
      <c r="E928" t="s">
        <v>57</v>
      </c>
      <c r="F928" s="1">
        <v>44933</v>
      </c>
      <c r="G928" s="1">
        <v>45008</v>
      </c>
      <c r="H928">
        <v>10</v>
      </c>
      <c r="I928" t="s">
        <v>49</v>
      </c>
      <c r="J928" t="s">
        <v>36</v>
      </c>
      <c r="K928">
        <v>1</v>
      </c>
      <c r="L928">
        <v>2</v>
      </c>
      <c r="M928">
        <v>4</v>
      </c>
      <c r="N928">
        <v>4</v>
      </c>
      <c r="O928">
        <v>4</v>
      </c>
      <c r="P928">
        <v>4</v>
      </c>
      <c r="Q928">
        <v>1</v>
      </c>
      <c r="R928">
        <v>1</v>
      </c>
      <c r="S928">
        <v>1</v>
      </c>
      <c r="T928">
        <v>4</v>
      </c>
      <c r="U928" t="s">
        <v>30</v>
      </c>
      <c r="V928" t="s">
        <v>58</v>
      </c>
      <c r="W928" t="s">
        <v>47</v>
      </c>
      <c r="X928" t="s">
        <v>33</v>
      </c>
      <c r="Y928">
        <v>47</v>
      </c>
      <c r="Z928" s="1">
        <v>45625</v>
      </c>
      <c r="AA928" t="str" cm="1">
        <f t="array" ref="AA9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9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28" t="str" cm="1">
        <f t="array" ref="AC928">_xlfn.IFS(Table2[[#This Row],[Satification_points]]&gt;=4.5,"GREAT",AND(Table2[[#This Row],[Satification_points]]&gt;=4,Table2[[#This Row],[Satification_points]]&lt;4.5),"GOOD",AND(Table2[[#This Row],[Satification_points]]&gt;=3,Table2[[#This Row],[Satification_points]]&lt;4),"AVERAGE",Table2[[#This Row],[Satification_points]]&lt;3,"POOR")</f>
        <v>POOR</v>
      </c>
    </row>
    <row r="929" spans="1:29" x14ac:dyDescent="0.3">
      <c r="A929">
        <v>928</v>
      </c>
      <c r="B929">
        <v>36747</v>
      </c>
      <c r="C929" t="s">
        <v>978</v>
      </c>
      <c r="D929" t="s">
        <v>48</v>
      </c>
      <c r="E929" t="s">
        <v>35</v>
      </c>
      <c r="F929" s="1">
        <v>45475</v>
      </c>
      <c r="G929" s="1">
        <v>45476</v>
      </c>
      <c r="H929">
        <v>5</v>
      </c>
      <c r="I929" t="s">
        <v>50</v>
      </c>
      <c r="J929" t="s">
        <v>43</v>
      </c>
      <c r="K929">
        <v>1</v>
      </c>
      <c r="L929">
        <v>1</v>
      </c>
      <c r="M929">
        <v>2</v>
      </c>
      <c r="N929">
        <v>2</v>
      </c>
      <c r="O929">
        <v>3</v>
      </c>
      <c r="P929">
        <v>2</v>
      </c>
      <c r="Q929">
        <v>5</v>
      </c>
      <c r="R929">
        <v>1</v>
      </c>
      <c r="S929">
        <v>1</v>
      </c>
      <c r="T929">
        <v>4</v>
      </c>
      <c r="U929" t="s">
        <v>37</v>
      </c>
      <c r="V929" t="s">
        <v>31</v>
      </c>
      <c r="W929" t="s">
        <v>47</v>
      </c>
      <c r="X929" t="s">
        <v>33</v>
      </c>
      <c r="Y929">
        <v>60</v>
      </c>
      <c r="Z929" s="1">
        <v>45476</v>
      </c>
      <c r="AA929" t="str" cm="1">
        <f t="array" ref="AA929">_xlfn.IFS(AND(Table2[[#This Row],[Guest_Age]]&gt;=18,Table2[[#This Row],[Guest_Age]]&lt;=25),"Young Adults",AND(Table2[[#This Row],[Guest_Age]]&gt;=26,Table2[[#This Row],[Guest_Age]]&lt;=35),"Adults",AND(Table2[[#This Row],[Guest_Age]]&gt;=36,Table2[[#This Row],[Guest_Age]]&lt;=50),"Middle Aged Adults",Table2[[#This Row],[Guest_Age]]&gt;50,"Senior")</f>
        <v>Senior</v>
      </c>
      <c r="AB9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929" t="str" cm="1">
        <f t="array" ref="AC929">_xlfn.IFS(Table2[[#This Row],[Satification_points]]&gt;=4.5,"GREAT",AND(Table2[[#This Row],[Satification_points]]&gt;=4,Table2[[#This Row],[Satification_points]]&lt;4.5),"GOOD",AND(Table2[[#This Row],[Satification_points]]&gt;=3,Table2[[#This Row],[Satification_points]]&lt;4),"AVERAGE",Table2[[#This Row],[Satification_points]]&lt;3,"POOR")</f>
        <v>POOR</v>
      </c>
    </row>
    <row r="930" spans="1:29" x14ac:dyDescent="0.3">
      <c r="A930">
        <v>929</v>
      </c>
      <c r="B930">
        <v>10111</v>
      </c>
      <c r="C930" t="s">
        <v>979</v>
      </c>
      <c r="D930" t="s">
        <v>34</v>
      </c>
      <c r="E930" t="s">
        <v>35</v>
      </c>
      <c r="F930" s="1">
        <v>45187</v>
      </c>
      <c r="G930" s="1">
        <v>45590</v>
      </c>
      <c r="H930">
        <v>10</v>
      </c>
      <c r="I930" t="s">
        <v>50</v>
      </c>
      <c r="J930" t="s">
        <v>40</v>
      </c>
      <c r="K930">
        <v>5</v>
      </c>
      <c r="L930">
        <v>1</v>
      </c>
      <c r="M930">
        <v>2</v>
      </c>
      <c r="N930">
        <v>5</v>
      </c>
      <c r="O930">
        <v>4</v>
      </c>
      <c r="P930">
        <v>5</v>
      </c>
      <c r="Q930">
        <v>1</v>
      </c>
      <c r="R930">
        <v>2</v>
      </c>
      <c r="S930">
        <v>1</v>
      </c>
      <c r="T930">
        <v>2</v>
      </c>
      <c r="U930" t="s">
        <v>37</v>
      </c>
      <c r="V930" t="s">
        <v>58</v>
      </c>
      <c r="W930" t="s">
        <v>32</v>
      </c>
      <c r="X930" t="s">
        <v>44</v>
      </c>
      <c r="Y930">
        <v>41</v>
      </c>
      <c r="Z930" s="1">
        <v>45590</v>
      </c>
      <c r="AA930" t="str" cm="1">
        <f t="array" ref="AA930">_xlfn.IFS(AND(Table2[[#This Row],[Guest_Age]]&gt;=18,Table2[[#This Row],[Guest_Age]]&lt;=25),"Young Adults",AND(Table2[[#This Row],[Guest_Age]]&gt;=26,Table2[[#This Row],[Guest_Age]]&lt;=35),"Adults",AND(Table2[[#This Row],[Guest_Age]]&gt;=36,Table2[[#This Row],[Guest_Age]]&lt;=50),"Middle Aged Adults",Table2[[#This Row],[Guest_Age]]&gt;50,"Senior")</f>
        <v>Middle Aged Adults</v>
      </c>
      <c r="AB9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30" t="str" cm="1">
        <f t="array" ref="AC930">_xlfn.IFS(Table2[[#This Row],[Satification_points]]&gt;=4.5,"GREAT",AND(Table2[[#This Row],[Satification_points]]&gt;=4,Table2[[#This Row],[Satification_points]]&lt;4.5),"GOOD",AND(Table2[[#This Row],[Satification_points]]&gt;=3,Table2[[#This Row],[Satification_points]]&lt;4),"AVERAGE",Table2[[#This Row],[Satification_points]]&lt;3,"POOR")</f>
        <v>POOR</v>
      </c>
    </row>
    <row r="931" spans="1:29" x14ac:dyDescent="0.3">
      <c r="A931">
        <v>930</v>
      </c>
      <c r="B931">
        <v>91102</v>
      </c>
      <c r="C931" t="s">
        <v>980</v>
      </c>
      <c r="D931" t="s">
        <v>48</v>
      </c>
      <c r="E931" t="s">
        <v>35</v>
      </c>
      <c r="F931" s="1">
        <v>45500</v>
      </c>
      <c r="G931" s="1">
        <v>45587</v>
      </c>
      <c r="H931">
        <v>12</v>
      </c>
      <c r="I931" t="s">
        <v>28</v>
      </c>
      <c r="J931" t="s">
        <v>53</v>
      </c>
      <c r="K931">
        <v>2</v>
      </c>
      <c r="L931">
        <v>2</v>
      </c>
      <c r="M931">
        <v>1</v>
      </c>
      <c r="N931">
        <v>2</v>
      </c>
      <c r="O931">
        <v>4</v>
      </c>
      <c r="P931">
        <v>2</v>
      </c>
      <c r="Q931">
        <v>3</v>
      </c>
      <c r="R931">
        <v>5</v>
      </c>
      <c r="S931">
        <v>2</v>
      </c>
      <c r="T931">
        <v>4</v>
      </c>
      <c r="U931" t="s">
        <v>30</v>
      </c>
      <c r="V931" t="s">
        <v>54</v>
      </c>
      <c r="W931" t="s">
        <v>39</v>
      </c>
      <c r="X931" t="s">
        <v>33</v>
      </c>
      <c r="Y931">
        <v>65</v>
      </c>
      <c r="Z931" s="1">
        <v>45587</v>
      </c>
      <c r="AA931" t="str" cm="1">
        <f t="array" ref="AA931">_xlfn.IFS(AND(Table2[[#This Row],[Guest_Age]]&gt;=18,Table2[[#This Row],[Guest_Age]]&lt;=25),"Young Adults",AND(Table2[[#This Row],[Guest_Age]]&gt;=26,Table2[[#This Row],[Guest_Age]]&lt;=35),"Adults",AND(Table2[[#This Row],[Guest_Age]]&gt;=36,Table2[[#This Row],[Guest_Age]]&lt;=50),"Middle Aged Adults",Table2[[#This Row],[Guest_Age]]&gt;50,"Senior")</f>
        <v>Senior</v>
      </c>
      <c r="AB9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31" t="str" cm="1">
        <f t="array" ref="AC931">_xlfn.IFS(Table2[[#This Row],[Satification_points]]&gt;=4.5,"GREAT",AND(Table2[[#This Row],[Satification_points]]&gt;=4,Table2[[#This Row],[Satification_points]]&lt;4.5),"GOOD",AND(Table2[[#This Row],[Satification_points]]&gt;=3,Table2[[#This Row],[Satification_points]]&lt;4),"AVERAGE",Table2[[#This Row],[Satification_points]]&lt;3,"POOR")</f>
        <v>POOR</v>
      </c>
    </row>
    <row r="932" spans="1:29" x14ac:dyDescent="0.3">
      <c r="A932">
        <v>931</v>
      </c>
      <c r="B932">
        <v>31424</v>
      </c>
      <c r="C932" t="s">
        <v>981</v>
      </c>
      <c r="D932" t="s">
        <v>51</v>
      </c>
      <c r="E932" t="s">
        <v>52</v>
      </c>
      <c r="F932" s="1">
        <v>45438</v>
      </c>
      <c r="G932" s="1">
        <v>45439</v>
      </c>
      <c r="H932">
        <v>2</v>
      </c>
      <c r="I932" t="s">
        <v>28</v>
      </c>
      <c r="J932" t="s">
        <v>43</v>
      </c>
      <c r="K932">
        <v>5</v>
      </c>
      <c r="L932">
        <v>5</v>
      </c>
      <c r="M932">
        <v>1</v>
      </c>
      <c r="N932">
        <v>4</v>
      </c>
      <c r="O932">
        <v>3</v>
      </c>
      <c r="P932">
        <v>4</v>
      </c>
      <c r="Q932">
        <v>3</v>
      </c>
      <c r="R932">
        <v>3</v>
      </c>
      <c r="S932">
        <v>4</v>
      </c>
      <c r="T932">
        <v>2</v>
      </c>
      <c r="U932" t="s">
        <v>30</v>
      </c>
      <c r="V932" t="s">
        <v>54</v>
      </c>
      <c r="W932" t="s">
        <v>39</v>
      </c>
      <c r="X932" t="s">
        <v>33</v>
      </c>
      <c r="Y932">
        <v>33</v>
      </c>
      <c r="Z932" s="1">
        <v>45439</v>
      </c>
      <c r="AA932" t="str" cm="1">
        <f t="array" ref="AA932">_xlfn.IFS(AND(Table2[[#This Row],[Guest_Age]]&gt;=18,Table2[[#This Row],[Guest_Age]]&lt;=25),"Young Adults",AND(Table2[[#This Row],[Guest_Age]]&gt;=26,Table2[[#This Row],[Guest_Age]]&lt;=35),"Adults",AND(Table2[[#This Row],[Guest_Age]]&gt;=36,Table2[[#This Row],[Guest_Age]]&lt;=50),"Middle Aged Adults",Table2[[#This Row],[Guest_Age]]&gt;50,"Senior")</f>
        <v>Adults</v>
      </c>
      <c r="AB9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932" t="str" cm="1">
        <f t="array" ref="AC932">_xlfn.IFS(Table2[[#This Row],[Satification_points]]&gt;=4.5,"GREAT",AND(Table2[[#This Row],[Satification_points]]&gt;=4,Table2[[#This Row],[Satification_points]]&lt;4.5),"GOOD",AND(Table2[[#This Row],[Satification_points]]&gt;=3,Table2[[#This Row],[Satification_points]]&lt;4),"AVERAGE",Table2[[#This Row],[Satification_points]]&lt;3,"POOR")</f>
        <v>AVERAGE</v>
      </c>
    </row>
    <row r="933" spans="1:29" x14ac:dyDescent="0.3">
      <c r="A933">
        <v>932</v>
      </c>
      <c r="B933">
        <v>93329</v>
      </c>
      <c r="C933" t="s">
        <v>982</v>
      </c>
      <c r="D933" t="s">
        <v>48</v>
      </c>
      <c r="E933" t="s">
        <v>52</v>
      </c>
      <c r="F933" s="1">
        <v>45126</v>
      </c>
      <c r="G933" s="1">
        <v>45604</v>
      </c>
      <c r="H933">
        <v>6</v>
      </c>
      <c r="I933" t="s">
        <v>28</v>
      </c>
      <c r="J933" t="s">
        <v>43</v>
      </c>
      <c r="K933">
        <v>5</v>
      </c>
      <c r="L933">
        <v>2</v>
      </c>
      <c r="M933">
        <v>4</v>
      </c>
      <c r="N933">
        <v>1</v>
      </c>
      <c r="O933">
        <v>4</v>
      </c>
      <c r="P933">
        <v>3</v>
      </c>
      <c r="Q933">
        <v>4</v>
      </c>
      <c r="R933">
        <v>2</v>
      </c>
      <c r="S933">
        <v>1</v>
      </c>
      <c r="T933">
        <v>4</v>
      </c>
      <c r="U933" t="s">
        <v>30</v>
      </c>
      <c r="V933" t="s">
        <v>54</v>
      </c>
      <c r="W933" t="s">
        <v>55</v>
      </c>
      <c r="X933" t="s">
        <v>40</v>
      </c>
      <c r="Y933">
        <v>24</v>
      </c>
      <c r="Z933" s="1">
        <v>45604</v>
      </c>
      <c r="AA933" t="str" cm="1">
        <f t="array" ref="AA933">_xlfn.IFS(AND(Table2[[#This Row],[Guest_Age]]&gt;=18,Table2[[#This Row],[Guest_Age]]&lt;=25),"Young Adults",AND(Table2[[#This Row],[Guest_Age]]&gt;=26,Table2[[#This Row],[Guest_Age]]&lt;=35),"Adults",AND(Table2[[#This Row],[Guest_Age]]&gt;=36,Table2[[#This Row],[Guest_Age]]&lt;=50),"Middle Aged Adults",Table2[[#This Row],[Guest_Age]]&gt;50,"Senior")</f>
        <v>Young Adults</v>
      </c>
      <c r="AB9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33" t="str" cm="1">
        <f t="array" ref="AC933">_xlfn.IFS(Table2[[#This Row],[Satification_points]]&gt;=4.5,"GREAT",AND(Table2[[#This Row],[Satification_points]]&gt;=4,Table2[[#This Row],[Satification_points]]&lt;4.5),"GOOD",AND(Table2[[#This Row],[Satification_points]]&gt;=3,Table2[[#This Row],[Satification_points]]&lt;4),"AVERAGE",Table2[[#This Row],[Satification_points]]&lt;3,"POOR")</f>
        <v>AVERAGE</v>
      </c>
    </row>
    <row r="934" spans="1:29" x14ac:dyDescent="0.3">
      <c r="A934">
        <v>933</v>
      </c>
      <c r="B934">
        <v>18897</v>
      </c>
      <c r="C934" t="s">
        <v>983</v>
      </c>
      <c r="D934" t="s">
        <v>51</v>
      </c>
      <c r="E934" t="s">
        <v>45</v>
      </c>
      <c r="F934" s="1">
        <v>45256</v>
      </c>
      <c r="G934" s="1">
        <v>45257</v>
      </c>
      <c r="H934">
        <v>11</v>
      </c>
      <c r="I934" t="s">
        <v>49</v>
      </c>
      <c r="J934" t="s">
        <v>36</v>
      </c>
      <c r="K934">
        <v>2</v>
      </c>
      <c r="L934">
        <v>5</v>
      </c>
      <c r="M934">
        <v>5</v>
      </c>
      <c r="N934">
        <v>5</v>
      </c>
      <c r="O934">
        <v>5</v>
      </c>
      <c r="P934">
        <v>5</v>
      </c>
      <c r="Q934">
        <v>4</v>
      </c>
      <c r="R934">
        <v>5</v>
      </c>
      <c r="S934">
        <v>2</v>
      </c>
      <c r="T934">
        <v>5</v>
      </c>
      <c r="U934" t="s">
        <v>37</v>
      </c>
      <c r="V934" t="s">
        <v>54</v>
      </c>
      <c r="W934" t="s">
        <v>47</v>
      </c>
      <c r="X934" t="s">
        <v>44</v>
      </c>
      <c r="Y934">
        <v>40</v>
      </c>
      <c r="Z934" s="1">
        <v>45257</v>
      </c>
      <c r="AA934" t="str" cm="1">
        <f t="array" ref="AA9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9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4.3</v>
      </c>
      <c r="AC934" t="str" cm="1">
        <f t="array" ref="AC934">_xlfn.IFS(Table2[[#This Row],[Satification_points]]&gt;=4.5,"GREAT",AND(Table2[[#This Row],[Satification_points]]&gt;=4,Table2[[#This Row],[Satification_points]]&lt;4.5),"GOOD",AND(Table2[[#This Row],[Satification_points]]&gt;=3,Table2[[#This Row],[Satification_points]]&lt;4),"AVERAGE",Table2[[#This Row],[Satification_points]]&lt;3,"POOR")</f>
        <v>GOOD</v>
      </c>
    </row>
    <row r="935" spans="1:29" x14ac:dyDescent="0.3">
      <c r="A935">
        <v>934</v>
      </c>
      <c r="B935">
        <v>48640</v>
      </c>
      <c r="C935" t="s">
        <v>984</v>
      </c>
      <c r="D935" t="s">
        <v>41</v>
      </c>
      <c r="E935" t="s">
        <v>45</v>
      </c>
      <c r="F935" s="1">
        <v>45016</v>
      </c>
      <c r="G935" s="1">
        <v>45232</v>
      </c>
      <c r="H935">
        <v>3</v>
      </c>
      <c r="I935" t="s">
        <v>28</v>
      </c>
      <c r="J935" t="s">
        <v>29</v>
      </c>
      <c r="K935">
        <v>3</v>
      </c>
      <c r="L935">
        <v>4</v>
      </c>
      <c r="M935">
        <v>2</v>
      </c>
      <c r="N935">
        <v>1</v>
      </c>
      <c r="O935">
        <v>2</v>
      </c>
      <c r="P935">
        <v>1</v>
      </c>
      <c r="Q935">
        <v>2</v>
      </c>
      <c r="R935">
        <v>1</v>
      </c>
      <c r="S935">
        <v>5</v>
      </c>
      <c r="T935">
        <v>1</v>
      </c>
      <c r="U935" t="s">
        <v>37</v>
      </c>
      <c r="V935" t="s">
        <v>54</v>
      </c>
      <c r="W935" t="s">
        <v>55</v>
      </c>
      <c r="X935" t="s">
        <v>40</v>
      </c>
      <c r="Y935">
        <v>55</v>
      </c>
      <c r="Z935" s="1">
        <v>45232</v>
      </c>
      <c r="AA935" t="str" cm="1">
        <f t="array" ref="AA935">_xlfn.IFS(AND(Table2[[#This Row],[Guest_Age]]&gt;=18,Table2[[#This Row],[Guest_Age]]&lt;=25),"Young Adults",AND(Table2[[#This Row],[Guest_Age]]&gt;=26,Table2[[#This Row],[Guest_Age]]&lt;=35),"Adults",AND(Table2[[#This Row],[Guest_Age]]&gt;=36,Table2[[#This Row],[Guest_Age]]&lt;=50),"Middle Aged Adults",Table2[[#This Row],[Guest_Age]]&gt;50,"Senior")</f>
        <v>Senior</v>
      </c>
      <c r="AB9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935" t="str" cm="1">
        <f t="array" ref="AC935">_xlfn.IFS(Table2[[#This Row],[Satification_points]]&gt;=4.5,"GREAT",AND(Table2[[#This Row],[Satification_points]]&gt;=4,Table2[[#This Row],[Satification_points]]&lt;4.5),"GOOD",AND(Table2[[#This Row],[Satification_points]]&gt;=3,Table2[[#This Row],[Satification_points]]&lt;4),"AVERAGE",Table2[[#This Row],[Satification_points]]&lt;3,"POOR")</f>
        <v>POOR</v>
      </c>
    </row>
    <row r="936" spans="1:29" x14ac:dyDescent="0.3">
      <c r="A936">
        <v>935</v>
      </c>
      <c r="B936">
        <v>24482</v>
      </c>
      <c r="C936" t="s">
        <v>985</v>
      </c>
      <c r="D936" t="s">
        <v>26</v>
      </c>
      <c r="E936" t="s">
        <v>45</v>
      </c>
      <c r="F936" s="1">
        <v>45517</v>
      </c>
      <c r="G936" s="1">
        <v>45518</v>
      </c>
      <c r="H936">
        <v>9</v>
      </c>
      <c r="I936" t="s">
        <v>50</v>
      </c>
      <c r="J936" t="s">
        <v>43</v>
      </c>
      <c r="K936">
        <v>3</v>
      </c>
      <c r="L936">
        <v>5</v>
      </c>
      <c r="M936">
        <v>2</v>
      </c>
      <c r="N936">
        <v>3</v>
      </c>
      <c r="O936">
        <v>4</v>
      </c>
      <c r="P936">
        <v>4</v>
      </c>
      <c r="Q936">
        <v>3</v>
      </c>
      <c r="R936">
        <v>2</v>
      </c>
      <c r="S936">
        <v>5</v>
      </c>
      <c r="T936">
        <v>4</v>
      </c>
      <c r="U936" t="s">
        <v>37</v>
      </c>
      <c r="V936" t="s">
        <v>38</v>
      </c>
      <c r="W936" t="s">
        <v>39</v>
      </c>
      <c r="X936" t="s">
        <v>40</v>
      </c>
      <c r="Y936">
        <v>48</v>
      </c>
      <c r="Z936" s="1">
        <v>45528</v>
      </c>
      <c r="AA936" t="str" cm="1">
        <f t="array" ref="AA93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936" t="str" cm="1">
        <f t="array" ref="AC936">_xlfn.IFS(Table2[[#This Row],[Satification_points]]&gt;=4.5,"GREAT",AND(Table2[[#This Row],[Satification_points]]&gt;=4,Table2[[#This Row],[Satification_points]]&lt;4.5),"GOOD",AND(Table2[[#This Row],[Satification_points]]&gt;=3,Table2[[#This Row],[Satification_points]]&lt;4),"AVERAGE",Table2[[#This Row],[Satification_points]]&lt;3,"POOR")</f>
        <v>AVERAGE</v>
      </c>
    </row>
    <row r="937" spans="1:29" x14ac:dyDescent="0.3">
      <c r="A937">
        <v>936</v>
      </c>
      <c r="B937">
        <v>37355</v>
      </c>
      <c r="C937" t="s">
        <v>986</v>
      </c>
      <c r="D937" t="s">
        <v>48</v>
      </c>
      <c r="E937" t="s">
        <v>35</v>
      </c>
      <c r="F937" s="1">
        <v>44981</v>
      </c>
      <c r="G937" s="1">
        <v>45651</v>
      </c>
      <c r="H937">
        <v>6</v>
      </c>
      <c r="I937" t="s">
        <v>28</v>
      </c>
      <c r="J937" t="s">
        <v>29</v>
      </c>
      <c r="K937">
        <v>3</v>
      </c>
      <c r="L937">
        <v>3</v>
      </c>
      <c r="M937">
        <v>5</v>
      </c>
      <c r="N937">
        <v>2</v>
      </c>
      <c r="O937">
        <v>1</v>
      </c>
      <c r="P937">
        <v>2</v>
      </c>
      <c r="Q937">
        <v>3</v>
      </c>
      <c r="R937">
        <v>4</v>
      </c>
      <c r="S937">
        <v>2</v>
      </c>
      <c r="T937">
        <v>4</v>
      </c>
      <c r="U937" t="s">
        <v>37</v>
      </c>
      <c r="V937" t="s">
        <v>38</v>
      </c>
      <c r="W937" t="s">
        <v>32</v>
      </c>
      <c r="X937" t="s">
        <v>33</v>
      </c>
      <c r="Y937">
        <v>59</v>
      </c>
      <c r="Z937" s="1">
        <v>45651</v>
      </c>
      <c r="AA937" t="str" cm="1">
        <f t="array" ref="AA937">_xlfn.IFS(AND(Table2[[#This Row],[Guest_Age]]&gt;=18,Table2[[#This Row],[Guest_Age]]&lt;=25),"Young Adults",AND(Table2[[#This Row],[Guest_Age]]&gt;=26,Table2[[#This Row],[Guest_Age]]&lt;=35),"Adults",AND(Table2[[#This Row],[Guest_Age]]&gt;=36,Table2[[#This Row],[Guest_Age]]&lt;=50),"Middle Aged Adults",Table2[[#This Row],[Guest_Age]]&gt;50,"Senior")</f>
        <v>Senior</v>
      </c>
      <c r="AB9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37" t="str" cm="1">
        <f t="array" ref="AC937">_xlfn.IFS(Table2[[#This Row],[Satification_points]]&gt;=4.5,"GREAT",AND(Table2[[#This Row],[Satification_points]]&gt;=4,Table2[[#This Row],[Satification_points]]&lt;4.5),"GOOD",AND(Table2[[#This Row],[Satification_points]]&gt;=3,Table2[[#This Row],[Satification_points]]&lt;4),"AVERAGE",Table2[[#This Row],[Satification_points]]&lt;3,"POOR")</f>
        <v>POOR</v>
      </c>
    </row>
    <row r="938" spans="1:29" x14ac:dyDescent="0.3">
      <c r="A938">
        <v>937</v>
      </c>
      <c r="B938">
        <v>66145</v>
      </c>
      <c r="C938" t="s">
        <v>987</v>
      </c>
      <c r="D938" t="s">
        <v>51</v>
      </c>
      <c r="E938" t="s">
        <v>35</v>
      </c>
      <c r="F938" s="1">
        <v>45147</v>
      </c>
      <c r="G938" s="1">
        <v>45207</v>
      </c>
      <c r="H938">
        <v>3</v>
      </c>
      <c r="I938" t="s">
        <v>50</v>
      </c>
      <c r="J938" t="s">
        <v>53</v>
      </c>
      <c r="K938">
        <v>1</v>
      </c>
      <c r="L938">
        <v>5</v>
      </c>
      <c r="M938">
        <v>4</v>
      </c>
      <c r="N938">
        <v>1</v>
      </c>
      <c r="O938">
        <v>2</v>
      </c>
      <c r="P938">
        <v>4</v>
      </c>
      <c r="Q938">
        <v>2</v>
      </c>
      <c r="R938">
        <v>4</v>
      </c>
      <c r="S938">
        <v>4</v>
      </c>
      <c r="T938">
        <v>1</v>
      </c>
      <c r="U938" t="s">
        <v>37</v>
      </c>
      <c r="V938" t="s">
        <v>31</v>
      </c>
      <c r="W938" t="s">
        <v>47</v>
      </c>
      <c r="X938" t="s">
        <v>33</v>
      </c>
      <c r="Y938">
        <v>36</v>
      </c>
      <c r="Z938" s="1">
        <v>45602</v>
      </c>
      <c r="AA938" t="str" cm="1">
        <f t="array" ref="AA9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9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38" t="str" cm="1">
        <f t="array" ref="AC938">_xlfn.IFS(Table2[[#This Row],[Satification_points]]&gt;=4.5,"GREAT",AND(Table2[[#This Row],[Satification_points]]&gt;=4,Table2[[#This Row],[Satification_points]]&lt;4.5),"GOOD",AND(Table2[[#This Row],[Satification_points]]&gt;=3,Table2[[#This Row],[Satification_points]]&lt;4),"AVERAGE",Table2[[#This Row],[Satification_points]]&lt;3,"POOR")</f>
        <v>POOR</v>
      </c>
    </row>
    <row r="939" spans="1:29" x14ac:dyDescent="0.3">
      <c r="A939">
        <v>938</v>
      </c>
      <c r="B939">
        <v>30583</v>
      </c>
      <c r="C939" t="s">
        <v>988</v>
      </c>
      <c r="D939" t="s">
        <v>51</v>
      </c>
      <c r="E939" t="s">
        <v>35</v>
      </c>
      <c r="F939" s="1">
        <v>45018</v>
      </c>
      <c r="G939" s="1">
        <v>45019</v>
      </c>
      <c r="H939">
        <v>3</v>
      </c>
      <c r="I939" t="s">
        <v>50</v>
      </c>
      <c r="J939" t="s">
        <v>40</v>
      </c>
      <c r="K939">
        <v>1</v>
      </c>
      <c r="L939">
        <v>3</v>
      </c>
      <c r="M939">
        <v>3</v>
      </c>
      <c r="N939">
        <v>4</v>
      </c>
      <c r="O939">
        <v>5</v>
      </c>
      <c r="P939">
        <v>1</v>
      </c>
      <c r="Q939">
        <v>1</v>
      </c>
      <c r="R939">
        <v>1</v>
      </c>
      <c r="S939">
        <v>5</v>
      </c>
      <c r="T939">
        <v>5</v>
      </c>
      <c r="U939" t="s">
        <v>30</v>
      </c>
      <c r="V939" t="s">
        <v>46</v>
      </c>
      <c r="W939" t="s">
        <v>55</v>
      </c>
      <c r="X939" t="s">
        <v>33</v>
      </c>
      <c r="Y939">
        <v>69</v>
      </c>
      <c r="Z939" s="1">
        <v>45314</v>
      </c>
      <c r="AA939" t="str" cm="1">
        <f t="array" ref="AA939">_xlfn.IFS(AND(Table2[[#This Row],[Guest_Age]]&gt;=18,Table2[[#This Row],[Guest_Age]]&lt;=25),"Young Adults",AND(Table2[[#This Row],[Guest_Age]]&gt;=26,Table2[[#This Row],[Guest_Age]]&lt;=35),"Adults",AND(Table2[[#This Row],[Guest_Age]]&gt;=36,Table2[[#This Row],[Guest_Age]]&lt;=50),"Middle Aged Adults",Table2[[#This Row],[Guest_Age]]&gt;50,"Senior")</f>
        <v>Senior</v>
      </c>
      <c r="AB9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39" t="str" cm="1">
        <f t="array" ref="AC939">_xlfn.IFS(Table2[[#This Row],[Satification_points]]&gt;=4.5,"GREAT",AND(Table2[[#This Row],[Satification_points]]&gt;=4,Table2[[#This Row],[Satification_points]]&lt;4.5),"GOOD",AND(Table2[[#This Row],[Satification_points]]&gt;=3,Table2[[#This Row],[Satification_points]]&lt;4),"AVERAGE",Table2[[#This Row],[Satification_points]]&lt;3,"POOR")</f>
        <v>POOR</v>
      </c>
    </row>
    <row r="940" spans="1:29" x14ac:dyDescent="0.3">
      <c r="A940">
        <v>939</v>
      </c>
      <c r="B940">
        <v>91718</v>
      </c>
      <c r="C940" t="s">
        <v>989</v>
      </c>
      <c r="D940" t="s">
        <v>26</v>
      </c>
      <c r="E940" t="s">
        <v>27</v>
      </c>
      <c r="F940" s="1">
        <v>45512</v>
      </c>
      <c r="G940" s="1">
        <v>45513</v>
      </c>
      <c r="H940">
        <v>5</v>
      </c>
      <c r="I940" t="s">
        <v>42</v>
      </c>
      <c r="J940" t="s">
        <v>29</v>
      </c>
      <c r="K940">
        <v>4</v>
      </c>
      <c r="L940">
        <v>5</v>
      </c>
      <c r="M940">
        <v>3</v>
      </c>
      <c r="N940">
        <v>1</v>
      </c>
      <c r="O940">
        <v>5</v>
      </c>
      <c r="P940">
        <v>2</v>
      </c>
      <c r="Q940">
        <v>3</v>
      </c>
      <c r="R940">
        <v>5</v>
      </c>
      <c r="S940">
        <v>4</v>
      </c>
      <c r="T940">
        <v>1</v>
      </c>
      <c r="U940" t="s">
        <v>37</v>
      </c>
      <c r="V940" t="s">
        <v>54</v>
      </c>
      <c r="W940" t="s">
        <v>32</v>
      </c>
      <c r="X940" t="s">
        <v>40</v>
      </c>
      <c r="Y940">
        <v>64</v>
      </c>
      <c r="Z940" s="1">
        <v>45513</v>
      </c>
      <c r="AA940" t="str" cm="1">
        <f t="array" ref="AA940">_xlfn.IFS(AND(Table2[[#This Row],[Guest_Age]]&gt;=18,Table2[[#This Row],[Guest_Age]]&lt;=25),"Young Adults",AND(Table2[[#This Row],[Guest_Age]]&gt;=26,Table2[[#This Row],[Guest_Age]]&lt;=35),"Adults",AND(Table2[[#This Row],[Guest_Age]]&gt;=36,Table2[[#This Row],[Guest_Age]]&lt;=50),"Middle Aged Adults",Table2[[#This Row],[Guest_Age]]&gt;50,"Senior")</f>
        <v>Senior</v>
      </c>
      <c r="AB9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940" t="str" cm="1">
        <f t="array" ref="AC940">_xlfn.IFS(Table2[[#This Row],[Satification_points]]&gt;=4.5,"GREAT",AND(Table2[[#This Row],[Satification_points]]&gt;=4,Table2[[#This Row],[Satification_points]]&lt;4.5),"GOOD",AND(Table2[[#This Row],[Satification_points]]&gt;=3,Table2[[#This Row],[Satification_points]]&lt;4),"AVERAGE",Table2[[#This Row],[Satification_points]]&lt;3,"POOR")</f>
        <v>AVERAGE</v>
      </c>
    </row>
    <row r="941" spans="1:29" x14ac:dyDescent="0.3">
      <c r="A941">
        <v>940</v>
      </c>
      <c r="B941">
        <v>14857</v>
      </c>
      <c r="C941" t="s">
        <v>990</v>
      </c>
      <c r="D941" t="s">
        <v>41</v>
      </c>
      <c r="E941" t="s">
        <v>27</v>
      </c>
      <c r="F941" s="1">
        <v>44982</v>
      </c>
      <c r="G941" s="1">
        <v>44983</v>
      </c>
      <c r="H941">
        <v>6</v>
      </c>
      <c r="I941" t="s">
        <v>42</v>
      </c>
      <c r="J941" t="s">
        <v>29</v>
      </c>
      <c r="K941">
        <v>4</v>
      </c>
      <c r="L941">
        <v>2</v>
      </c>
      <c r="M941">
        <v>2</v>
      </c>
      <c r="N941">
        <v>5</v>
      </c>
      <c r="O941">
        <v>4</v>
      </c>
      <c r="P941">
        <v>5</v>
      </c>
      <c r="Q941">
        <v>3</v>
      </c>
      <c r="R941">
        <v>5</v>
      </c>
      <c r="S941">
        <v>2</v>
      </c>
      <c r="T941">
        <v>4</v>
      </c>
      <c r="U941" t="s">
        <v>30</v>
      </c>
      <c r="V941" t="s">
        <v>46</v>
      </c>
      <c r="W941" t="s">
        <v>39</v>
      </c>
      <c r="X941" t="s">
        <v>44</v>
      </c>
      <c r="Y941">
        <v>21</v>
      </c>
      <c r="Z941" s="1">
        <v>45535</v>
      </c>
      <c r="AA941" t="str" cm="1">
        <f t="array" ref="AA941">_xlfn.IFS(AND(Table2[[#This Row],[Guest_Age]]&gt;=18,Table2[[#This Row],[Guest_Age]]&lt;=25),"Young Adults",AND(Table2[[#This Row],[Guest_Age]]&gt;=26,Table2[[#This Row],[Guest_Age]]&lt;=35),"Adults",AND(Table2[[#This Row],[Guest_Age]]&gt;=36,Table2[[#This Row],[Guest_Age]]&lt;=50),"Middle Aged Adults",Table2[[#This Row],[Guest_Age]]&gt;50,"Senior")</f>
        <v>Young Adults</v>
      </c>
      <c r="AB9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941" t="str" cm="1">
        <f t="array" ref="AC941">_xlfn.IFS(Table2[[#This Row],[Satification_points]]&gt;=4.5,"GREAT",AND(Table2[[#This Row],[Satification_points]]&gt;=4,Table2[[#This Row],[Satification_points]]&lt;4.5),"GOOD",AND(Table2[[#This Row],[Satification_points]]&gt;=3,Table2[[#This Row],[Satification_points]]&lt;4),"AVERAGE",Table2[[#This Row],[Satification_points]]&lt;3,"POOR")</f>
        <v>AVERAGE</v>
      </c>
    </row>
    <row r="942" spans="1:29" x14ac:dyDescent="0.3">
      <c r="A942">
        <v>941</v>
      </c>
      <c r="B942">
        <v>21166</v>
      </c>
      <c r="C942" t="s">
        <v>991</v>
      </c>
      <c r="D942" t="s">
        <v>48</v>
      </c>
      <c r="E942" t="s">
        <v>35</v>
      </c>
      <c r="F942" s="1">
        <v>45105</v>
      </c>
      <c r="G942" s="1">
        <v>45526</v>
      </c>
      <c r="H942">
        <v>4</v>
      </c>
      <c r="I942" t="s">
        <v>28</v>
      </c>
      <c r="J942" t="s">
        <v>29</v>
      </c>
      <c r="K942">
        <v>5</v>
      </c>
      <c r="L942">
        <v>5</v>
      </c>
      <c r="M942">
        <v>3</v>
      </c>
      <c r="N942">
        <v>5</v>
      </c>
      <c r="O942">
        <v>3</v>
      </c>
      <c r="P942">
        <v>2</v>
      </c>
      <c r="Q942">
        <v>4</v>
      </c>
      <c r="R942">
        <v>2</v>
      </c>
      <c r="S942">
        <v>5</v>
      </c>
      <c r="T942">
        <v>2</v>
      </c>
      <c r="U942" t="s">
        <v>37</v>
      </c>
      <c r="V942" t="s">
        <v>46</v>
      </c>
      <c r="W942" t="s">
        <v>56</v>
      </c>
      <c r="X942" t="s">
        <v>44</v>
      </c>
      <c r="Y942">
        <v>23</v>
      </c>
      <c r="Z942" s="1">
        <v>45526</v>
      </c>
      <c r="AA942" t="str" cm="1">
        <f t="array" ref="AA942">_xlfn.IFS(AND(Table2[[#This Row],[Guest_Age]]&gt;=18,Table2[[#This Row],[Guest_Age]]&lt;=25),"Young Adults",AND(Table2[[#This Row],[Guest_Age]]&gt;=26,Table2[[#This Row],[Guest_Age]]&lt;=35),"Adults",AND(Table2[[#This Row],[Guest_Age]]&gt;=36,Table2[[#This Row],[Guest_Age]]&lt;=50),"Middle Aged Adults",Table2[[#This Row],[Guest_Age]]&gt;50,"Senior")</f>
        <v>Young Adults</v>
      </c>
      <c r="AB9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942" t="str" cm="1">
        <f t="array" ref="AC942">_xlfn.IFS(Table2[[#This Row],[Satification_points]]&gt;=4.5,"GREAT",AND(Table2[[#This Row],[Satification_points]]&gt;=4,Table2[[#This Row],[Satification_points]]&lt;4.5),"GOOD",AND(Table2[[#This Row],[Satification_points]]&gt;=3,Table2[[#This Row],[Satification_points]]&lt;4),"AVERAGE",Table2[[#This Row],[Satification_points]]&lt;3,"POOR")</f>
        <v>AVERAGE</v>
      </c>
    </row>
    <row r="943" spans="1:29" x14ac:dyDescent="0.3">
      <c r="A943">
        <v>942</v>
      </c>
      <c r="B943">
        <v>17498</v>
      </c>
      <c r="C943" t="s">
        <v>992</v>
      </c>
      <c r="D943" t="s">
        <v>51</v>
      </c>
      <c r="E943" t="s">
        <v>57</v>
      </c>
      <c r="F943" s="1">
        <v>44987</v>
      </c>
      <c r="G943" s="1">
        <v>45150</v>
      </c>
      <c r="H943">
        <v>12</v>
      </c>
      <c r="I943" t="s">
        <v>50</v>
      </c>
      <c r="J943" t="s">
        <v>29</v>
      </c>
      <c r="K943">
        <v>4</v>
      </c>
      <c r="L943">
        <v>1</v>
      </c>
      <c r="M943">
        <v>4</v>
      </c>
      <c r="N943">
        <v>2</v>
      </c>
      <c r="O943">
        <v>1</v>
      </c>
      <c r="P943">
        <v>2</v>
      </c>
      <c r="Q943">
        <v>2</v>
      </c>
      <c r="R943">
        <v>4</v>
      </c>
      <c r="S943">
        <v>5</v>
      </c>
      <c r="T943">
        <v>5</v>
      </c>
      <c r="U943" t="s">
        <v>30</v>
      </c>
      <c r="V943" t="s">
        <v>54</v>
      </c>
      <c r="W943" t="s">
        <v>56</v>
      </c>
      <c r="X943" t="s">
        <v>40</v>
      </c>
      <c r="Y943">
        <v>36</v>
      </c>
      <c r="Z943" s="1">
        <v>45314</v>
      </c>
      <c r="AA943" t="str" cm="1">
        <f t="array" ref="AA943">_xlfn.IFS(AND(Table2[[#This Row],[Guest_Age]]&gt;=18,Table2[[#This Row],[Guest_Age]]&lt;=25),"Young Adults",AND(Table2[[#This Row],[Guest_Age]]&gt;=26,Table2[[#This Row],[Guest_Age]]&lt;=35),"Adults",AND(Table2[[#This Row],[Guest_Age]]&gt;=36,Table2[[#This Row],[Guest_Age]]&lt;=50),"Middle Aged Adults",Table2[[#This Row],[Guest_Age]]&gt;50,"Senior")</f>
        <v>Middle Aged Adults</v>
      </c>
      <c r="AB9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43" t="str" cm="1">
        <f t="array" ref="AC943">_xlfn.IFS(Table2[[#This Row],[Satification_points]]&gt;=4.5,"GREAT",AND(Table2[[#This Row],[Satification_points]]&gt;=4,Table2[[#This Row],[Satification_points]]&lt;4.5),"GOOD",AND(Table2[[#This Row],[Satification_points]]&gt;=3,Table2[[#This Row],[Satification_points]]&lt;4),"AVERAGE",Table2[[#This Row],[Satification_points]]&lt;3,"POOR")</f>
        <v>AVERAGE</v>
      </c>
    </row>
    <row r="944" spans="1:29" x14ac:dyDescent="0.3">
      <c r="A944">
        <v>943</v>
      </c>
      <c r="B944">
        <v>47807</v>
      </c>
      <c r="C944" t="s">
        <v>993</v>
      </c>
      <c r="D944" t="s">
        <v>48</v>
      </c>
      <c r="E944" t="s">
        <v>45</v>
      </c>
      <c r="F944" s="1">
        <v>45043</v>
      </c>
      <c r="G944" s="1">
        <v>45530</v>
      </c>
      <c r="H944">
        <v>5</v>
      </c>
      <c r="I944" t="s">
        <v>42</v>
      </c>
      <c r="J944" t="s">
        <v>29</v>
      </c>
      <c r="K944">
        <v>1</v>
      </c>
      <c r="L944">
        <v>5</v>
      </c>
      <c r="M944">
        <v>3</v>
      </c>
      <c r="N944">
        <v>3</v>
      </c>
      <c r="O944">
        <v>4</v>
      </c>
      <c r="P944">
        <v>1</v>
      </c>
      <c r="Q944">
        <v>2</v>
      </c>
      <c r="R944">
        <v>5</v>
      </c>
      <c r="S944">
        <v>3</v>
      </c>
      <c r="T944">
        <v>4</v>
      </c>
      <c r="U944" t="s">
        <v>37</v>
      </c>
      <c r="V944" t="s">
        <v>58</v>
      </c>
      <c r="W944" t="s">
        <v>47</v>
      </c>
      <c r="X944" t="s">
        <v>40</v>
      </c>
      <c r="Y944">
        <v>44</v>
      </c>
      <c r="Z944" s="1">
        <v>45530</v>
      </c>
      <c r="AA944" t="str" cm="1">
        <f t="array" ref="AA9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9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44" t="str" cm="1">
        <f t="array" ref="AC944">_xlfn.IFS(Table2[[#This Row],[Satification_points]]&gt;=4.5,"GREAT",AND(Table2[[#This Row],[Satification_points]]&gt;=4,Table2[[#This Row],[Satification_points]]&lt;4.5),"GOOD",AND(Table2[[#This Row],[Satification_points]]&gt;=3,Table2[[#This Row],[Satification_points]]&lt;4),"AVERAGE",Table2[[#This Row],[Satification_points]]&lt;3,"POOR")</f>
        <v>AVERAGE</v>
      </c>
    </row>
    <row r="945" spans="1:29" x14ac:dyDescent="0.3">
      <c r="A945">
        <v>944</v>
      </c>
      <c r="B945">
        <v>35423</v>
      </c>
      <c r="C945" t="s">
        <v>994</v>
      </c>
      <c r="D945" t="s">
        <v>34</v>
      </c>
      <c r="E945" t="s">
        <v>52</v>
      </c>
      <c r="F945" s="1">
        <v>45516</v>
      </c>
      <c r="G945" s="1">
        <v>45517</v>
      </c>
      <c r="H945">
        <v>3</v>
      </c>
      <c r="I945" t="s">
        <v>49</v>
      </c>
      <c r="J945" t="s">
        <v>53</v>
      </c>
      <c r="K945">
        <v>5</v>
      </c>
      <c r="L945">
        <v>2</v>
      </c>
      <c r="M945">
        <v>1</v>
      </c>
      <c r="N945">
        <v>5</v>
      </c>
      <c r="O945">
        <v>3</v>
      </c>
      <c r="P945">
        <v>2</v>
      </c>
      <c r="Q945">
        <v>4</v>
      </c>
      <c r="R945">
        <v>2</v>
      </c>
      <c r="S945">
        <v>5</v>
      </c>
      <c r="T945">
        <v>2</v>
      </c>
      <c r="U945" t="s">
        <v>37</v>
      </c>
      <c r="V945" t="s">
        <v>31</v>
      </c>
      <c r="W945" t="s">
        <v>32</v>
      </c>
      <c r="X945" t="s">
        <v>44</v>
      </c>
      <c r="Y945">
        <v>69</v>
      </c>
      <c r="Z945" s="1">
        <v>45580</v>
      </c>
      <c r="AA945" t="str" cm="1">
        <f t="array" ref="AA945">_xlfn.IFS(AND(Table2[[#This Row],[Guest_Age]]&gt;=18,Table2[[#This Row],[Guest_Age]]&lt;=25),"Young Adults",AND(Table2[[#This Row],[Guest_Age]]&gt;=26,Table2[[#This Row],[Guest_Age]]&lt;=35),"Adults",AND(Table2[[#This Row],[Guest_Age]]&gt;=36,Table2[[#This Row],[Guest_Age]]&lt;=50),"Middle Aged Adults",Table2[[#This Row],[Guest_Age]]&gt;50,"Senior")</f>
        <v>Senior</v>
      </c>
      <c r="AB9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45" t="str" cm="1">
        <f t="array" ref="AC945">_xlfn.IFS(Table2[[#This Row],[Satification_points]]&gt;=4.5,"GREAT",AND(Table2[[#This Row],[Satification_points]]&gt;=4,Table2[[#This Row],[Satification_points]]&lt;4.5),"GOOD",AND(Table2[[#This Row],[Satification_points]]&gt;=3,Table2[[#This Row],[Satification_points]]&lt;4),"AVERAGE",Table2[[#This Row],[Satification_points]]&lt;3,"POOR")</f>
        <v>AVERAGE</v>
      </c>
    </row>
    <row r="946" spans="1:29" x14ac:dyDescent="0.3">
      <c r="A946">
        <v>945</v>
      </c>
      <c r="B946">
        <v>62095</v>
      </c>
      <c r="C946" t="s">
        <v>995</v>
      </c>
      <c r="D946" t="s">
        <v>51</v>
      </c>
      <c r="E946" t="s">
        <v>45</v>
      </c>
      <c r="F946" s="1">
        <v>45162</v>
      </c>
      <c r="G946" s="1">
        <v>45247</v>
      </c>
      <c r="H946">
        <v>10</v>
      </c>
      <c r="I946" t="s">
        <v>42</v>
      </c>
      <c r="J946" t="s">
        <v>43</v>
      </c>
      <c r="K946">
        <v>4</v>
      </c>
      <c r="L946">
        <v>2</v>
      </c>
      <c r="M946">
        <v>4</v>
      </c>
      <c r="N946">
        <v>4</v>
      </c>
      <c r="O946">
        <v>5</v>
      </c>
      <c r="P946">
        <v>4</v>
      </c>
      <c r="Q946">
        <v>3</v>
      </c>
      <c r="R946">
        <v>2</v>
      </c>
      <c r="S946">
        <v>1</v>
      </c>
      <c r="T946">
        <v>2</v>
      </c>
      <c r="U946" t="s">
        <v>37</v>
      </c>
      <c r="V946" t="s">
        <v>46</v>
      </c>
      <c r="W946" t="s">
        <v>55</v>
      </c>
      <c r="X946" t="s">
        <v>33</v>
      </c>
      <c r="Y946">
        <v>46</v>
      </c>
      <c r="Z946" s="1">
        <v>45422</v>
      </c>
      <c r="AA946" t="str" cm="1">
        <f t="array" ref="AA9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46" t="str" cm="1">
        <f t="array" ref="AC946">_xlfn.IFS(Table2[[#This Row],[Satification_points]]&gt;=4.5,"GREAT",AND(Table2[[#This Row],[Satification_points]]&gt;=4,Table2[[#This Row],[Satification_points]]&lt;4.5),"GOOD",AND(Table2[[#This Row],[Satification_points]]&gt;=3,Table2[[#This Row],[Satification_points]]&lt;4),"AVERAGE",Table2[[#This Row],[Satification_points]]&lt;3,"POOR")</f>
        <v>AVERAGE</v>
      </c>
    </row>
    <row r="947" spans="1:29" x14ac:dyDescent="0.3">
      <c r="A947">
        <v>946</v>
      </c>
      <c r="B947">
        <v>54180</v>
      </c>
      <c r="C947" t="s">
        <v>996</v>
      </c>
      <c r="D947" t="s">
        <v>41</v>
      </c>
      <c r="E947" t="s">
        <v>57</v>
      </c>
      <c r="F947" s="1">
        <v>44959</v>
      </c>
      <c r="G947" s="1">
        <v>45033</v>
      </c>
      <c r="H947">
        <v>13</v>
      </c>
      <c r="I947" t="s">
        <v>28</v>
      </c>
      <c r="J947" t="s">
        <v>40</v>
      </c>
      <c r="K947">
        <v>4</v>
      </c>
      <c r="L947">
        <v>5</v>
      </c>
      <c r="M947">
        <v>5</v>
      </c>
      <c r="N947">
        <v>2</v>
      </c>
      <c r="O947">
        <v>2</v>
      </c>
      <c r="P947">
        <v>3</v>
      </c>
      <c r="Q947">
        <v>5</v>
      </c>
      <c r="R947">
        <v>4</v>
      </c>
      <c r="S947">
        <v>3</v>
      </c>
      <c r="T947">
        <v>5</v>
      </c>
      <c r="U947" t="s">
        <v>37</v>
      </c>
      <c r="V947" t="s">
        <v>58</v>
      </c>
      <c r="W947" t="s">
        <v>32</v>
      </c>
      <c r="X947" t="s">
        <v>44</v>
      </c>
      <c r="Y947">
        <v>29</v>
      </c>
      <c r="Z947" s="1">
        <v>45033</v>
      </c>
      <c r="AA947" t="str" cm="1">
        <f t="array" ref="AA947">_xlfn.IFS(AND(Table2[[#This Row],[Guest_Age]]&gt;=18,Table2[[#This Row],[Guest_Age]]&lt;=25),"Young Adults",AND(Table2[[#This Row],[Guest_Age]]&gt;=26,Table2[[#This Row],[Guest_Age]]&lt;=35),"Adults",AND(Table2[[#This Row],[Guest_Age]]&gt;=36,Table2[[#This Row],[Guest_Age]]&lt;=50),"Middle Aged Adults",Table2[[#This Row],[Guest_Age]]&gt;50,"Senior")</f>
        <v>Adults</v>
      </c>
      <c r="AB9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947" t="str" cm="1">
        <f t="array" ref="AC947">_xlfn.IFS(Table2[[#This Row],[Satification_points]]&gt;=4.5,"GREAT",AND(Table2[[#This Row],[Satification_points]]&gt;=4,Table2[[#This Row],[Satification_points]]&lt;4.5),"GOOD",AND(Table2[[#This Row],[Satification_points]]&gt;=3,Table2[[#This Row],[Satification_points]]&lt;4),"AVERAGE",Table2[[#This Row],[Satification_points]]&lt;3,"POOR")</f>
        <v>AVERAGE</v>
      </c>
    </row>
    <row r="948" spans="1:29" x14ac:dyDescent="0.3">
      <c r="A948">
        <v>947</v>
      </c>
      <c r="B948">
        <v>51128</v>
      </c>
      <c r="C948" t="s">
        <v>997</v>
      </c>
      <c r="D948" t="s">
        <v>26</v>
      </c>
      <c r="E948" t="s">
        <v>27</v>
      </c>
      <c r="F948" s="1">
        <v>45493</v>
      </c>
      <c r="G948" s="1">
        <v>45494</v>
      </c>
      <c r="H948">
        <v>4</v>
      </c>
      <c r="I948" t="s">
        <v>49</v>
      </c>
      <c r="J948" t="s">
        <v>43</v>
      </c>
      <c r="K948">
        <v>3</v>
      </c>
      <c r="L948">
        <v>5</v>
      </c>
      <c r="M948">
        <v>2</v>
      </c>
      <c r="N948">
        <v>5</v>
      </c>
      <c r="O948">
        <v>5</v>
      </c>
      <c r="P948">
        <v>1</v>
      </c>
      <c r="Q948">
        <v>2</v>
      </c>
      <c r="R948">
        <v>1</v>
      </c>
      <c r="S948">
        <v>2</v>
      </c>
      <c r="T948">
        <v>4</v>
      </c>
      <c r="U948" t="s">
        <v>37</v>
      </c>
      <c r="V948" t="s">
        <v>58</v>
      </c>
      <c r="W948" t="s">
        <v>47</v>
      </c>
      <c r="X948" t="s">
        <v>40</v>
      </c>
      <c r="Y948">
        <v>55</v>
      </c>
      <c r="Z948" s="1">
        <v>45494</v>
      </c>
      <c r="AA948" t="str" cm="1">
        <f t="array" ref="AA948">_xlfn.IFS(AND(Table2[[#This Row],[Guest_Age]]&gt;=18,Table2[[#This Row],[Guest_Age]]&lt;=25),"Young Adults",AND(Table2[[#This Row],[Guest_Age]]&gt;=26,Table2[[#This Row],[Guest_Age]]&lt;=35),"Adults",AND(Table2[[#This Row],[Guest_Age]]&gt;=36,Table2[[#This Row],[Guest_Age]]&lt;=50),"Middle Aged Adults",Table2[[#This Row],[Guest_Age]]&gt;50,"Senior")</f>
        <v>Senior</v>
      </c>
      <c r="AB9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48" t="str" cm="1">
        <f t="array" ref="AC948">_xlfn.IFS(Table2[[#This Row],[Satification_points]]&gt;=4.5,"GREAT",AND(Table2[[#This Row],[Satification_points]]&gt;=4,Table2[[#This Row],[Satification_points]]&lt;4.5),"GOOD",AND(Table2[[#This Row],[Satification_points]]&gt;=3,Table2[[#This Row],[Satification_points]]&lt;4),"AVERAGE",Table2[[#This Row],[Satification_points]]&lt;3,"POOR")</f>
        <v>AVERAGE</v>
      </c>
    </row>
    <row r="949" spans="1:29" x14ac:dyDescent="0.3">
      <c r="A949">
        <v>948</v>
      </c>
      <c r="B949">
        <v>98620</v>
      </c>
      <c r="C949" t="s">
        <v>998</v>
      </c>
      <c r="D949" t="s">
        <v>51</v>
      </c>
      <c r="E949" t="s">
        <v>35</v>
      </c>
      <c r="F949" s="1">
        <v>45169</v>
      </c>
      <c r="G949" s="1">
        <v>45170</v>
      </c>
      <c r="H949">
        <v>8</v>
      </c>
      <c r="I949" t="s">
        <v>49</v>
      </c>
      <c r="J949" t="s">
        <v>53</v>
      </c>
      <c r="K949">
        <v>1</v>
      </c>
      <c r="L949">
        <v>5</v>
      </c>
      <c r="M949">
        <v>4</v>
      </c>
      <c r="N949">
        <v>4</v>
      </c>
      <c r="O949">
        <v>4</v>
      </c>
      <c r="P949">
        <v>1</v>
      </c>
      <c r="Q949">
        <v>3</v>
      </c>
      <c r="R949">
        <v>2</v>
      </c>
      <c r="S949">
        <v>1</v>
      </c>
      <c r="T949">
        <v>3</v>
      </c>
      <c r="U949" t="s">
        <v>30</v>
      </c>
      <c r="V949" t="s">
        <v>54</v>
      </c>
      <c r="W949" t="s">
        <v>39</v>
      </c>
      <c r="X949" t="s">
        <v>33</v>
      </c>
      <c r="Y949">
        <v>30</v>
      </c>
      <c r="Z949" s="1">
        <v>45170</v>
      </c>
      <c r="AA949" t="str" cm="1">
        <f t="array" ref="AA949">_xlfn.IFS(AND(Table2[[#This Row],[Guest_Age]]&gt;=18,Table2[[#This Row],[Guest_Age]]&lt;=25),"Young Adults",AND(Table2[[#This Row],[Guest_Age]]&gt;=26,Table2[[#This Row],[Guest_Age]]&lt;=35),"Adults",AND(Table2[[#This Row],[Guest_Age]]&gt;=36,Table2[[#This Row],[Guest_Age]]&lt;=50),"Middle Aged Adults",Table2[[#This Row],[Guest_Age]]&gt;50,"Senior")</f>
        <v>Adults</v>
      </c>
      <c r="AB9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49" t="str" cm="1">
        <f t="array" ref="AC949">_xlfn.IFS(Table2[[#This Row],[Satification_points]]&gt;=4.5,"GREAT",AND(Table2[[#This Row],[Satification_points]]&gt;=4,Table2[[#This Row],[Satification_points]]&lt;4.5),"GOOD",AND(Table2[[#This Row],[Satification_points]]&gt;=3,Table2[[#This Row],[Satification_points]]&lt;4),"AVERAGE",Table2[[#This Row],[Satification_points]]&lt;3,"POOR")</f>
        <v>POOR</v>
      </c>
    </row>
    <row r="950" spans="1:29" x14ac:dyDescent="0.3">
      <c r="A950">
        <v>949</v>
      </c>
      <c r="B950">
        <v>69911</v>
      </c>
      <c r="C950" t="s">
        <v>999</v>
      </c>
      <c r="D950" t="s">
        <v>34</v>
      </c>
      <c r="E950" t="s">
        <v>27</v>
      </c>
      <c r="F950" s="1">
        <v>45000</v>
      </c>
      <c r="G950" s="1">
        <v>45001</v>
      </c>
      <c r="H950">
        <v>8</v>
      </c>
      <c r="I950" t="s">
        <v>50</v>
      </c>
      <c r="J950" t="s">
        <v>53</v>
      </c>
      <c r="K950">
        <v>5</v>
      </c>
      <c r="L950">
        <v>4</v>
      </c>
      <c r="M950">
        <v>3</v>
      </c>
      <c r="N950">
        <v>1</v>
      </c>
      <c r="O950">
        <v>3</v>
      </c>
      <c r="P950">
        <v>1</v>
      </c>
      <c r="Q950">
        <v>1</v>
      </c>
      <c r="R950">
        <v>1</v>
      </c>
      <c r="S950">
        <v>1</v>
      </c>
      <c r="T950">
        <v>2</v>
      </c>
      <c r="U950" t="s">
        <v>37</v>
      </c>
      <c r="V950" t="s">
        <v>31</v>
      </c>
      <c r="W950" t="s">
        <v>32</v>
      </c>
      <c r="X950" t="s">
        <v>33</v>
      </c>
      <c r="Y950">
        <v>45</v>
      </c>
      <c r="Z950" s="1">
        <v>45061</v>
      </c>
      <c r="AA950" t="str" cm="1">
        <f t="array" ref="AA9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9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950" t="str" cm="1">
        <f t="array" ref="AC950">_xlfn.IFS(Table2[[#This Row],[Satification_points]]&gt;=4.5,"GREAT",AND(Table2[[#This Row],[Satification_points]]&gt;=4,Table2[[#This Row],[Satification_points]]&lt;4.5),"GOOD",AND(Table2[[#This Row],[Satification_points]]&gt;=3,Table2[[#This Row],[Satification_points]]&lt;4),"AVERAGE",Table2[[#This Row],[Satification_points]]&lt;3,"POOR")</f>
        <v>POOR</v>
      </c>
    </row>
    <row r="951" spans="1:29" x14ac:dyDescent="0.3">
      <c r="A951">
        <v>950</v>
      </c>
      <c r="B951">
        <v>67450</v>
      </c>
      <c r="C951" t="s">
        <v>1000</v>
      </c>
      <c r="D951" t="s">
        <v>26</v>
      </c>
      <c r="E951" t="s">
        <v>27</v>
      </c>
      <c r="F951" s="1">
        <v>44947</v>
      </c>
      <c r="G951" s="1">
        <v>45334</v>
      </c>
      <c r="H951">
        <v>1</v>
      </c>
      <c r="I951" t="s">
        <v>50</v>
      </c>
      <c r="J951" t="s">
        <v>29</v>
      </c>
      <c r="K951">
        <v>2</v>
      </c>
      <c r="L951">
        <v>3</v>
      </c>
      <c r="M951">
        <v>4</v>
      </c>
      <c r="N951">
        <v>4</v>
      </c>
      <c r="O951">
        <v>4</v>
      </c>
      <c r="P951">
        <v>4</v>
      </c>
      <c r="Q951">
        <v>2</v>
      </c>
      <c r="R951">
        <v>4</v>
      </c>
      <c r="S951">
        <v>4</v>
      </c>
      <c r="T951">
        <v>1</v>
      </c>
      <c r="U951" t="s">
        <v>30</v>
      </c>
      <c r="V951" t="s">
        <v>54</v>
      </c>
      <c r="W951" t="s">
        <v>47</v>
      </c>
      <c r="X951" t="s">
        <v>44</v>
      </c>
      <c r="Y951">
        <v>22</v>
      </c>
      <c r="Z951" s="1">
        <v>45420</v>
      </c>
      <c r="AA951" t="str" cm="1">
        <f t="array" ref="AA951">_xlfn.IFS(AND(Table2[[#This Row],[Guest_Age]]&gt;=18,Table2[[#This Row],[Guest_Age]]&lt;=25),"Young Adults",AND(Table2[[#This Row],[Guest_Age]]&gt;=26,Table2[[#This Row],[Guest_Age]]&lt;=35),"Adults",AND(Table2[[#This Row],[Guest_Age]]&gt;=36,Table2[[#This Row],[Guest_Age]]&lt;=50),"Middle Aged Adults",Table2[[#This Row],[Guest_Age]]&gt;50,"Senior")</f>
        <v>Young Adults</v>
      </c>
      <c r="AB9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51" t="str" cm="1">
        <f t="array" ref="AC951">_xlfn.IFS(Table2[[#This Row],[Satification_points]]&gt;=4.5,"GREAT",AND(Table2[[#This Row],[Satification_points]]&gt;=4,Table2[[#This Row],[Satification_points]]&lt;4.5),"GOOD",AND(Table2[[#This Row],[Satification_points]]&gt;=3,Table2[[#This Row],[Satification_points]]&lt;4),"AVERAGE",Table2[[#This Row],[Satification_points]]&lt;3,"POOR")</f>
        <v>AVERAGE</v>
      </c>
    </row>
    <row r="952" spans="1:29" x14ac:dyDescent="0.3">
      <c r="A952">
        <v>951</v>
      </c>
      <c r="B952">
        <v>55940</v>
      </c>
      <c r="C952" t="s">
        <v>1001</v>
      </c>
      <c r="D952" t="s">
        <v>41</v>
      </c>
      <c r="E952" t="s">
        <v>57</v>
      </c>
      <c r="F952" s="1">
        <v>45639</v>
      </c>
      <c r="G952" s="1">
        <v>45640</v>
      </c>
      <c r="H952">
        <v>4</v>
      </c>
      <c r="I952" t="s">
        <v>50</v>
      </c>
      <c r="J952" t="s">
        <v>53</v>
      </c>
      <c r="K952">
        <v>4</v>
      </c>
      <c r="L952">
        <v>5</v>
      </c>
      <c r="M952">
        <v>5</v>
      </c>
      <c r="N952">
        <v>2</v>
      </c>
      <c r="O952">
        <v>5</v>
      </c>
      <c r="P952">
        <v>4</v>
      </c>
      <c r="Q952">
        <v>4</v>
      </c>
      <c r="R952">
        <v>2</v>
      </c>
      <c r="S952">
        <v>3</v>
      </c>
      <c r="T952">
        <v>3</v>
      </c>
      <c r="U952" t="s">
        <v>30</v>
      </c>
      <c r="V952" t="s">
        <v>31</v>
      </c>
      <c r="W952" t="s">
        <v>47</v>
      </c>
      <c r="X952" t="s">
        <v>33</v>
      </c>
      <c r="Y952">
        <v>63</v>
      </c>
      <c r="Z952" s="1">
        <v>45640</v>
      </c>
      <c r="AA952" t="str" cm="1">
        <f t="array" ref="AA952">_xlfn.IFS(AND(Table2[[#This Row],[Guest_Age]]&gt;=18,Table2[[#This Row],[Guest_Age]]&lt;=25),"Young Adults",AND(Table2[[#This Row],[Guest_Age]]&gt;=26,Table2[[#This Row],[Guest_Age]]&lt;=35),"Adults",AND(Table2[[#This Row],[Guest_Age]]&gt;=36,Table2[[#This Row],[Guest_Age]]&lt;=50),"Middle Aged Adults",Table2[[#This Row],[Guest_Age]]&gt;50,"Senior")</f>
        <v>Senior</v>
      </c>
      <c r="AB9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952" t="str" cm="1">
        <f t="array" ref="AC952">_xlfn.IFS(Table2[[#This Row],[Satification_points]]&gt;=4.5,"GREAT",AND(Table2[[#This Row],[Satification_points]]&gt;=4,Table2[[#This Row],[Satification_points]]&lt;4.5),"GOOD",AND(Table2[[#This Row],[Satification_points]]&gt;=3,Table2[[#This Row],[Satification_points]]&lt;4),"AVERAGE",Table2[[#This Row],[Satification_points]]&lt;3,"POOR")</f>
        <v>AVERAGE</v>
      </c>
    </row>
    <row r="953" spans="1:29" x14ac:dyDescent="0.3">
      <c r="A953">
        <v>952</v>
      </c>
      <c r="B953">
        <v>66582</v>
      </c>
      <c r="C953" t="s">
        <v>1002</v>
      </c>
      <c r="D953" t="s">
        <v>48</v>
      </c>
      <c r="E953" t="s">
        <v>27</v>
      </c>
      <c r="F953" s="1">
        <v>45080</v>
      </c>
      <c r="G953" s="1">
        <v>45384</v>
      </c>
      <c r="H953">
        <v>2</v>
      </c>
      <c r="I953" t="s">
        <v>50</v>
      </c>
      <c r="J953" t="s">
        <v>53</v>
      </c>
      <c r="K953">
        <v>1</v>
      </c>
      <c r="L953">
        <v>5</v>
      </c>
      <c r="M953">
        <v>4</v>
      </c>
      <c r="N953">
        <v>5</v>
      </c>
      <c r="O953">
        <v>1</v>
      </c>
      <c r="P953">
        <v>4</v>
      </c>
      <c r="Q953">
        <v>2</v>
      </c>
      <c r="R953">
        <v>3</v>
      </c>
      <c r="S953">
        <v>4</v>
      </c>
      <c r="T953">
        <v>1</v>
      </c>
      <c r="U953" t="s">
        <v>30</v>
      </c>
      <c r="V953" t="s">
        <v>54</v>
      </c>
      <c r="W953" t="s">
        <v>55</v>
      </c>
      <c r="X953" t="s">
        <v>40</v>
      </c>
      <c r="Y953">
        <v>63</v>
      </c>
      <c r="Z953" s="1">
        <v>45384</v>
      </c>
      <c r="AA953" t="str" cm="1">
        <f t="array" ref="AA953">_xlfn.IFS(AND(Table2[[#This Row],[Guest_Age]]&gt;=18,Table2[[#This Row],[Guest_Age]]&lt;=25),"Young Adults",AND(Table2[[#This Row],[Guest_Age]]&gt;=26,Table2[[#This Row],[Guest_Age]]&lt;=35),"Adults",AND(Table2[[#This Row],[Guest_Age]]&gt;=36,Table2[[#This Row],[Guest_Age]]&lt;=50),"Middle Aged Adults",Table2[[#This Row],[Guest_Age]]&gt;50,"Senior")</f>
        <v>Senior</v>
      </c>
      <c r="AB9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53" t="str" cm="1">
        <f t="array" ref="AC953">_xlfn.IFS(Table2[[#This Row],[Satification_points]]&gt;=4.5,"GREAT",AND(Table2[[#This Row],[Satification_points]]&gt;=4,Table2[[#This Row],[Satification_points]]&lt;4.5),"GOOD",AND(Table2[[#This Row],[Satification_points]]&gt;=3,Table2[[#This Row],[Satification_points]]&lt;4),"AVERAGE",Table2[[#This Row],[Satification_points]]&lt;3,"POOR")</f>
        <v>AVERAGE</v>
      </c>
    </row>
    <row r="954" spans="1:29" x14ac:dyDescent="0.3">
      <c r="A954">
        <v>953</v>
      </c>
      <c r="B954">
        <v>70049</v>
      </c>
      <c r="C954" t="s">
        <v>1003</v>
      </c>
      <c r="D954" t="s">
        <v>48</v>
      </c>
      <c r="E954" t="s">
        <v>27</v>
      </c>
      <c r="F954" s="1">
        <v>45180</v>
      </c>
      <c r="G954" s="1">
        <v>45404</v>
      </c>
      <c r="H954">
        <v>4</v>
      </c>
      <c r="I954" t="s">
        <v>42</v>
      </c>
      <c r="J954" t="s">
        <v>29</v>
      </c>
      <c r="K954">
        <v>5</v>
      </c>
      <c r="L954">
        <v>3</v>
      </c>
      <c r="M954">
        <v>5</v>
      </c>
      <c r="N954">
        <v>3</v>
      </c>
      <c r="O954">
        <v>5</v>
      </c>
      <c r="P954">
        <v>4</v>
      </c>
      <c r="Q954">
        <v>4</v>
      </c>
      <c r="R954">
        <v>4</v>
      </c>
      <c r="S954">
        <v>3</v>
      </c>
      <c r="T954">
        <v>5</v>
      </c>
      <c r="U954" t="s">
        <v>30</v>
      </c>
      <c r="V954" t="s">
        <v>31</v>
      </c>
      <c r="W954" t="s">
        <v>39</v>
      </c>
      <c r="X954" t="s">
        <v>44</v>
      </c>
      <c r="Y954">
        <v>34</v>
      </c>
      <c r="Z954" s="1">
        <v>45404</v>
      </c>
      <c r="AA954" t="str" cm="1">
        <f t="array" ref="AA954">_xlfn.IFS(AND(Table2[[#This Row],[Guest_Age]]&gt;=18,Table2[[#This Row],[Guest_Age]]&lt;=25),"Young Adults",AND(Table2[[#This Row],[Guest_Age]]&gt;=26,Table2[[#This Row],[Guest_Age]]&lt;=35),"Adults",AND(Table2[[#This Row],[Guest_Age]]&gt;=36,Table2[[#This Row],[Guest_Age]]&lt;=50),"Middle Aged Adults",Table2[[#This Row],[Guest_Age]]&gt;50,"Senior")</f>
        <v>Adults</v>
      </c>
      <c r="AB9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954" t="str" cm="1">
        <f t="array" ref="AC954">_xlfn.IFS(Table2[[#This Row],[Satification_points]]&gt;=4.5,"GREAT",AND(Table2[[#This Row],[Satification_points]]&gt;=4,Table2[[#This Row],[Satification_points]]&lt;4.5),"GOOD",AND(Table2[[#This Row],[Satification_points]]&gt;=3,Table2[[#This Row],[Satification_points]]&lt;4),"AVERAGE",Table2[[#This Row],[Satification_points]]&lt;3,"POOR")</f>
        <v>GOOD</v>
      </c>
    </row>
    <row r="955" spans="1:29" x14ac:dyDescent="0.3">
      <c r="A955">
        <v>954</v>
      </c>
      <c r="B955">
        <v>20270</v>
      </c>
      <c r="C955" t="s">
        <v>1004</v>
      </c>
      <c r="D955" t="s">
        <v>51</v>
      </c>
      <c r="E955" t="s">
        <v>45</v>
      </c>
      <c r="F955" s="1">
        <v>45133</v>
      </c>
      <c r="G955" s="1">
        <v>45274</v>
      </c>
      <c r="H955">
        <v>5</v>
      </c>
      <c r="I955" t="s">
        <v>28</v>
      </c>
      <c r="J955" t="s">
        <v>53</v>
      </c>
      <c r="K955">
        <v>1</v>
      </c>
      <c r="L955">
        <v>1</v>
      </c>
      <c r="M955">
        <v>5</v>
      </c>
      <c r="N955">
        <v>3</v>
      </c>
      <c r="O955">
        <v>4</v>
      </c>
      <c r="P955">
        <v>2</v>
      </c>
      <c r="Q955">
        <v>1</v>
      </c>
      <c r="R955">
        <v>4</v>
      </c>
      <c r="S955">
        <v>3</v>
      </c>
      <c r="T955">
        <v>2</v>
      </c>
      <c r="U955" t="s">
        <v>37</v>
      </c>
      <c r="V955" t="s">
        <v>38</v>
      </c>
      <c r="W955" t="s">
        <v>32</v>
      </c>
      <c r="X955" t="s">
        <v>40</v>
      </c>
      <c r="Y955">
        <v>44</v>
      </c>
      <c r="Z955" s="1">
        <v>45274</v>
      </c>
      <c r="AA955" t="str" cm="1">
        <f t="array" ref="AA955">_xlfn.IFS(AND(Table2[[#This Row],[Guest_Age]]&gt;=18,Table2[[#This Row],[Guest_Age]]&lt;=25),"Young Adults",AND(Table2[[#This Row],[Guest_Age]]&gt;=26,Table2[[#This Row],[Guest_Age]]&lt;=35),"Adults",AND(Table2[[#This Row],[Guest_Age]]&gt;=36,Table2[[#This Row],[Guest_Age]]&lt;=50),"Middle Aged Adults",Table2[[#This Row],[Guest_Age]]&gt;50,"Senior")</f>
        <v>Middle Aged Adults</v>
      </c>
      <c r="AB9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55" t="str" cm="1">
        <f t="array" ref="AC955">_xlfn.IFS(Table2[[#This Row],[Satification_points]]&gt;=4.5,"GREAT",AND(Table2[[#This Row],[Satification_points]]&gt;=4,Table2[[#This Row],[Satification_points]]&lt;4.5),"GOOD",AND(Table2[[#This Row],[Satification_points]]&gt;=3,Table2[[#This Row],[Satification_points]]&lt;4),"AVERAGE",Table2[[#This Row],[Satification_points]]&lt;3,"POOR")</f>
        <v>POOR</v>
      </c>
    </row>
    <row r="956" spans="1:29" x14ac:dyDescent="0.3">
      <c r="A956">
        <v>955</v>
      </c>
      <c r="B956">
        <v>70962</v>
      </c>
      <c r="C956" t="s">
        <v>1005</v>
      </c>
      <c r="D956" t="s">
        <v>26</v>
      </c>
      <c r="E956" t="s">
        <v>45</v>
      </c>
      <c r="F956" s="1">
        <v>45075</v>
      </c>
      <c r="G956" s="1">
        <v>45413</v>
      </c>
      <c r="H956">
        <v>1</v>
      </c>
      <c r="I956" t="s">
        <v>28</v>
      </c>
      <c r="J956" t="s">
        <v>53</v>
      </c>
      <c r="K956">
        <v>1</v>
      </c>
      <c r="L956">
        <v>4</v>
      </c>
      <c r="M956">
        <v>4</v>
      </c>
      <c r="N956">
        <v>4</v>
      </c>
      <c r="O956">
        <v>3</v>
      </c>
      <c r="P956">
        <v>1</v>
      </c>
      <c r="Q956">
        <v>3</v>
      </c>
      <c r="R956">
        <v>3</v>
      </c>
      <c r="S956">
        <v>1</v>
      </c>
      <c r="T956">
        <v>2</v>
      </c>
      <c r="U956" t="s">
        <v>37</v>
      </c>
      <c r="V956" t="s">
        <v>58</v>
      </c>
      <c r="W956" t="s">
        <v>47</v>
      </c>
      <c r="X956" t="s">
        <v>40</v>
      </c>
      <c r="Y956">
        <v>43</v>
      </c>
      <c r="Z956" s="1">
        <v>45429</v>
      </c>
      <c r="AA956" t="str" cm="1">
        <f t="array" ref="AA9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56" t="str" cm="1">
        <f t="array" ref="AC956">_xlfn.IFS(Table2[[#This Row],[Satification_points]]&gt;=4.5,"GREAT",AND(Table2[[#This Row],[Satification_points]]&gt;=4,Table2[[#This Row],[Satification_points]]&lt;4.5),"GOOD",AND(Table2[[#This Row],[Satification_points]]&gt;=3,Table2[[#This Row],[Satification_points]]&lt;4),"AVERAGE",Table2[[#This Row],[Satification_points]]&lt;3,"POOR")</f>
        <v>POOR</v>
      </c>
    </row>
    <row r="957" spans="1:29" x14ac:dyDescent="0.3">
      <c r="A957">
        <v>956</v>
      </c>
      <c r="B957">
        <v>14342</v>
      </c>
      <c r="C957" t="s">
        <v>1006</v>
      </c>
      <c r="D957" t="s">
        <v>34</v>
      </c>
      <c r="E957" t="s">
        <v>57</v>
      </c>
      <c r="F957" s="1">
        <v>45621</v>
      </c>
      <c r="G957" s="1">
        <v>45622</v>
      </c>
      <c r="H957">
        <v>12</v>
      </c>
      <c r="I957" t="s">
        <v>50</v>
      </c>
      <c r="J957" t="s">
        <v>53</v>
      </c>
      <c r="K957">
        <v>5</v>
      </c>
      <c r="L957">
        <v>4</v>
      </c>
      <c r="M957">
        <v>2</v>
      </c>
      <c r="N957">
        <v>4</v>
      </c>
      <c r="O957">
        <v>4</v>
      </c>
      <c r="P957">
        <v>1</v>
      </c>
      <c r="Q957">
        <v>4</v>
      </c>
      <c r="R957">
        <v>4</v>
      </c>
      <c r="S957">
        <v>5</v>
      </c>
      <c r="T957">
        <v>5</v>
      </c>
      <c r="U957" t="s">
        <v>37</v>
      </c>
      <c r="V957" t="s">
        <v>58</v>
      </c>
      <c r="W957" t="s">
        <v>39</v>
      </c>
      <c r="X957" t="s">
        <v>40</v>
      </c>
      <c r="Y957">
        <v>21</v>
      </c>
      <c r="Z957" s="1">
        <v>45622</v>
      </c>
      <c r="AA957" t="str" cm="1">
        <f t="array" ref="AA957">_xlfn.IFS(AND(Table2[[#This Row],[Guest_Age]]&gt;=18,Table2[[#This Row],[Guest_Age]]&lt;=25),"Young Adults",AND(Table2[[#This Row],[Guest_Age]]&gt;=26,Table2[[#This Row],[Guest_Age]]&lt;=35),"Adults",AND(Table2[[#This Row],[Guest_Age]]&gt;=36,Table2[[#This Row],[Guest_Age]]&lt;=50),"Middle Aged Adults",Table2[[#This Row],[Guest_Age]]&gt;50,"Senior")</f>
        <v>Young Adults</v>
      </c>
      <c r="AB9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957" t="str" cm="1">
        <f t="array" ref="AC957">_xlfn.IFS(Table2[[#This Row],[Satification_points]]&gt;=4.5,"GREAT",AND(Table2[[#This Row],[Satification_points]]&gt;=4,Table2[[#This Row],[Satification_points]]&lt;4.5),"GOOD",AND(Table2[[#This Row],[Satification_points]]&gt;=3,Table2[[#This Row],[Satification_points]]&lt;4),"AVERAGE",Table2[[#This Row],[Satification_points]]&lt;3,"POOR")</f>
        <v>AVERAGE</v>
      </c>
    </row>
    <row r="958" spans="1:29" x14ac:dyDescent="0.3">
      <c r="A958">
        <v>957</v>
      </c>
      <c r="B958">
        <v>53933</v>
      </c>
      <c r="C958" t="s">
        <v>1007</v>
      </c>
      <c r="D958" t="s">
        <v>34</v>
      </c>
      <c r="E958" t="s">
        <v>35</v>
      </c>
      <c r="F958" s="1">
        <v>45228</v>
      </c>
      <c r="G958" s="1">
        <v>45657</v>
      </c>
      <c r="H958">
        <v>5</v>
      </c>
      <c r="I958" t="s">
        <v>42</v>
      </c>
      <c r="J958" t="s">
        <v>36</v>
      </c>
      <c r="K958">
        <v>3</v>
      </c>
      <c r="L958">
        <v>1</v>
      </c>
      <c r="M958">
        <v>2</v>
      </c>
      <c r="N958">
        <v>4</v>
      </c>
      <c r="O958">
        <v>2</v>
      </c>
      <c r="P958">
        <v>5</v>
      </c>
      <c r="Q958">
        <v>4</v>
      </c>
      <c r="R958">
        <v>3</v>
      </c>
      <c r="S958">
        <v>4</v>
      </c>
      <c r="T958">
        <v>2</v>
      </c>
      <c r="U958" t="s">
        <v>37</v>
      </c>
      <c r="V958" t="s">
        <v>58</v>
      </c>
      <c r="W958" t="s">
        <v>55</v>
      </c>
      <c r="X958" t="s">
        <v>44</v>
      </c>
      <c r="Y958">
        <v>25</v>
      </c>
      <c r="Z958" s="1">
        <v>45657</v>
      </c>
      <c r="AA958" t="str" cm="1">
        <f t="array" ref="AA958">_xlfn.IFS(AND(Table2[[#This Row],[Guest_Age]]&gt;=18,Table2[[#This Row],[Guest_Age]]&lt;=25),"Young Adults",AND(Table2[[#This Row],[Guest_Age]]&gt;=26,Table2[[#This Row],[Guest_Age]]&lt;=35),"Adults",AND(Table2[[#This Row],[Guest_Age]]&gt;=36,Table2[[#This Row],[Guest_Age]]&lt;=50),"Middle Aged Adults",Table2[[#This Row],[Guest_Age]]&gt;50,"Senior")</f>
        <v>Young Adults</v>
      </c>
      <c r="AB9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58" t="str" cm="1">
        <f t="array" ref="AC958">_xlfn.IFS(Table2[[#This Row],[Satification_points]]&gt;=4.5,"GREAT",AND(Table2[[#This Row],[Satification_points]]&gt;=4,Table2[[#This Row],[Satification_points]]&lt;4.5),"GOOD",AND(Table2[[#This Row],[Satification_points]]&gt;=3,Table2[[#This Row],[Satification_points]]&lt;4),"AVERAGE",Table2[[#This Row],[Satification_points]]&lt;3,"POOR")</f>
        <v>AVERAGE</v>
      </c>
    </row>
    <row r="959" spans="1:29" x14ac:dyDescent="0.3">
      <c r="A959">
        <v>958</v>
      </c>
      <c r="B959">
        <v>77089</v>
      </c>
      <c r="C959" t="s">
        <v>1008</v>
      </c>
      <c r="D959" t="s">
        <v>41</v>
      </c>
      <c r="E959" t="s">
        <v>45</v>
      </c>
      <c r="F959" s="1">
        <v>45223</v>
      </c>
      <c r="G959" s="1">
        <v>45224</v>
      </c>
      <c r="H959">
        <v>7</v>
      </c>
      <c r="I959" t="s">
        <v>42</v>
      </c>
      <c r="J959" t="s">
        <v>43</v>
      </c>
      <c r="K959">
        <v>3</v>
      </c>
      <c r="L959">
        <v>3</v>
      </c>
      <c r="M959">
        <v>3</v>
      </c>
      <c r="N959">
        <v>5</v>
      </c>
      <c r="O959">
        <v>2</v>
      </c>
      <c r="P959">
        <v>3</v>
      </c>
      <c r="Q959">
        <v>1</v>
      </c>
      <c r="R959">
        <v>3</v>
      </c>
      <c r="S959">
        <v>4</v>
      </c>
      <c r="T959">
        <v>3</v>
      </c>
      <c r="U959" t="s">
        <v>30</v>
      </c>
      <c r="V959" t="s">
        <v>31</v>
      </c>
      <c r="W959" t="s">
        <v>47</v>
      </c>
      <c r="X959" t="s">
        <v>40</v>
      </c>
      <c r="Y959">
        <v>43</v>
      </c>
      <c r="Z959" s="1">
        <v>45224</v>
      </c>
      <c r="AA959" t="str" cm="1">
        <f t="array" ref="AA959">_xlfn.IFS(AND(Table2[[#This Row],[Guest_Age]]&gt;=18,Table2[[#This Row],[Guest_Age]]&lt;=25),"Young Adults",AND(Table2[[#This Row],[Guest_Age]]&gt;=26,Table2[[#This Row],[Guest_Age]]&lt;=35),"Adults",AND(Table2[[#This Row],[Guest_Age]]&gt;=36,Table2[[#This Row],[Guest_Age]]&lt;=50),"Middle Aged Adults",Table2[[#This Row],[Guest_Age]]&gt;50,"Senior")</f>
        <v>Middle Aged Adults</v>
      </c>
      <c r="AB9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59" t="str" cm="1">
        <f t="array" ref="AC959">_xlfn.IFS(Table2[[#This Row],[Satification_points]]&gt;=4.5,"GREAT",AND(Table2[[#This Row],[Satification_points]]&gt;=4,Table2[[#This Row],[Satification_points]]&lt;4.5),"GOOD",AND(Table2[[#This Row],[Satification_points]]&gt;=3,Table2[[#This Row],[Satification_points]]&lt;4),"AVERAGE",Table2[[#This Row],[Satification_points]]&lt;3,"POOR")</f>
        <v>AVERAGE</v>
      </c>
    </row>
    <row r="960" spans="1:29" x14ac:dyDescent="0.3">
      <c r="A960">
        <v>959</v>
      </c>
      <c r="B960">
        <v>77538</v>
      </c>
      <c r="C960" t="s">
        <v>1009</v>
      </c>
      <c r="D960" t="s">
        <v>26</v>
      </c>
      <c r="E960" t="s">
        <v>27</v>
      </c>
      <c r="F960" s="1">
        <v>45417</v>
      </c>
      <c r="G960" s="1">
        <v>45628</v>
      </c>
      <c r="H960">
        <v>5</v>
      </c>
      <c r="I960" t="s">
        <v>42</v>
      </c>
      <c r="J960" t="s">
        <v>36</v>
      </c>
      <c r="K960">
        <v>4</v>
      </c>
      <c r="L960">
        <v>3</v>
      </c>
      <c r="M960">
        <v>4</v>
      </c>
      <c r="N960">
        <v>3</v>
      </c>
      <c r="O960">
        <v>3</v>
      </c>
      <c r="P960">
        <v>2</v>
      </c>
      <c r="Q960">
        <v>5</v>
      </c>
      <c r="R960">
        <v>4</v>
      </c>
      <c r="S960">
        <v>1</v>
      </c>
      <c r="T960">
        <v>3</v>
      </c>
      <c r="U960" t="s">
        <v>37</v>
      </c>
      <c r="V960" t="s">
        <v>58</v>
      </c>
      <c r="W960" t="s">
        <v>55</v>
      </c>
      <c r="X960" t="s">
        <v>40</v>
      </c>
      <c r="Y960">
        <v>50</v>
      </c>
      <c r="Z960" s="1">
        <v>45628</v>
      </c>
      <c r="AA960" t="str" cm="1">
        <f t="array" ref="AA960">_xlfn.IFS(AND(Table2[[#This Row],[Guest_Age]]&gt;=18,Table2[[#This Row],[Guest_Age]]&lt;=25),"Young Adults",AND(Table2[[#This Row],[Guest_Age]]&gt;=26,Table2[[#This Row],[Guest_Age]]&lt;=35),"Adults",AND(Table2[[#This Row],[Guest_Age]]&gt;=36,Table2[[#This Row],[Guest_Age]]&lt;=50),"Middle Aged Adults",Table2[[#This Row],[Guest_Age]]&gt;50,"Senior")</f>
        <v>Middle Aged Adults</v>
      </c>
      <c r="AB9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60" t="str" cm="1">
        <f t="array" ref="AC960">_xlfn.IFS(Table2[[#This Row],[Satification_points]]&gt;=4.5,"GREAT",AND(Table2[[#This Row],[Satification_points]]&gt;=4,Table2[[#This Row],[Satification_points]]&lt;4.5),"GOOD",AND(Table2[[#This Row],[Satification_points]]&gt;=3,Table2[[#This Row],[Satification_points]]&lt;4),"AVERAGE",Table2[[#This Row],[Satification_points]]&lt;3,"POOR")</f>
        <v>AVERAGE</v>
      </c>
    </row>
    <row r="961" spans="1:29" x14ac:dyDescent="0.3">
      <c r="A961">
        <v>960</v>
      </c>
      <c r="B961">
        <v>34488</v>
      </c>
      <c r="C961" t="s">
        <v>103</v>
      </c>
      <c r="D961" t="s">
        <v>26</v>
      </c>
      <c r="E961" t="s">
        <v>52</v>
      </c>
      <c r="F961" s="1">
        <v>44970</v>
      </c>
      <c r="G961" s="1">
        <v>45541</v>
      </c>
      <c r="H961">
        <v>7</v>
      </c>
      <c r="I961" t="s">
        <v>28</v>
      </c>
      <c r="J961" t="s">
        <v>43</v>
      </c>
      <c r="K961">
        <v>3</v>
      </c>
      <c r="L961">
        <v>2</v>
      </c>
      <c r="M961">
        <v>4</v>
      </c>
      <c r="N961">
        <v>3</v>
      </c>
      <c r="O961">
        <v>5</v>
      </c>
      <c r="P961">
        <v>3</v>
      </c>
      <c r="Q961">
        <v>2</v>
      </c>
      <c r="R961">
        <v>3</v>
      </c>
      <c r="S961">
        <v>5</v>
      </c>
      <c r="T961">
        <v>5</v>
      </c>
      <c r="U961" t="s">
        <v>30</v>
      </c>
      <c r="V961" t="s">
        <v>38</v>
      </c>
      <c r="W961" t="s">
        <v>39</v>
      </c>
      <c r="X961" t="s">
        <v>33</v>
      </c>
      <c r="Y961">
        <v>29</v>
      </c>
      <c r="Z961" s="1">
        <v>45600</v>
      </c>
      <c r="AA961" t="str" cm="1">
        <f t="array" ref="AA961">_xlfn.IFS(AND(Table2[[#This Row],[Guest_Age]]&gt;=18,Table2[[#This Row],[Guest_Age]]&lt;=25),"Young Adults",AND(Table2[[#This Row],[Guest_Age]]&gt;=26,Table2[[#This Row],[Guest_Age]]&lt;=35),"Adults",AND(Table2[[#This Row],[Guest_Age]]&gt;=36,Table2[[#This Row],[Guest_Age]]&lt;=50),"Middle Aged Adults",Table2[[#This Row],[Guest_Age]]&gt;50,"Senior")</f>
        <v>Adults</v>
      </c>
      <c r="AB9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961" t="str" cm="1">
        <f t="array" ref="AC961">_xlfn.IFS(Table2[[#This Row],[Satification_points]]&gt;=4.5,"GREAT",AND(Table2[[#This Row],[Satification_points]]&gt;=4,Table2[[#This Row],[Satification_points]]&lt;4.5),"GOOD",AND(Table2[[#This Row],[Satification_points]]&gt;=3,Table2[[#This Row],[Satification_points]]&lt;4),"AVERAGE",Table2[[#This Row],[Satification_points]]&lt;3,"POOR")</f>
        <v>AVERAGE</v>
      </c>
    </row>
    <row r="962" spans="1:29" x14ac:dyDescent="0.3">
      <c r="A962">
        <v>961</v>
      </c>
      <c r="B962">
        <v>64101</v>
      </c>
      <c r="C962" t="s">
        <v>1010</v>
      </c>
      <c r="D962" t="s">
        <v>48</v>
      </c>
      <c r="E962" t="s">
        <v>45</v>
      </c>
      <c r="F962" s="1">
        <v>45070</v>
      </c>
      <c r="G962" s="1">
        <v>45364</v>
      </c>
      <c r="H962">
        <v>13</v>
      </c>
      <c r="I962" t="s">
        <v>50</v>
      </c>
      <c r="J962" t="s">
        <v>29</v>
      </c>
      <c r="K962">
        <v>4</v>
      </c>
      <c r="L962">
        <v>3</v>
      </c>
      <c r="M962">
        <v>1</v>
      </c>
      <c r="N962">
        <v>2</v>
      </c>
      <c r="O962">
        <v>4</v>
      </c>
      <c r="P962">
        <v>2</v>
      </c>
      <c r="Q962">
        <v>5</v>
      </c>
      <c r="R962">
        <v>3</v>
      </c>
      <c r="S962">
        <v>3</v>
      </c>
      <c r="T962">
        <v>4</v>
      </c>
      <c r="U962" t="s">
        <v>30</v>
      </c>
      <c r="V962" t="s">
        <v>38</v>
      </c>
      <c r="W962" t="s">
        <v>55</v>
      </c>
      <c r="X962" t="s">
        <v>33</v>
      </c>
      <c r="Y962">
        <v>30</v>
      </c>
      <c r="Z962" s="1">
        <v>45587</v>
      </c>
      <c r="AA962" t="str" cm="1">
        <f t="array" ref="AA962">_xlfn.IFS(AND(Table2[[#This Row],[Guest_Age]]&gt;=18,Table2[[#This Row],[Guest_Age]]&lt;=25),"Young Adults",AND(Table2[[#This Row],[Guest_Age]]&gt;=26,Table2[[#This Row],[Guest_Age]]&lt;=35),"Adults",AND(Table2[[#This Row],[Guest_Age]]&gt;=36,Table2[[#This Row],[Guest_Age]]&lt;=50),"Middle Aged Adults",Table2[[#This Row],[Guest_Age]]&gt;50,"Senior")</f>
        <v>Adults</v>
      </c>
      <c r="AB9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62" t="str" cm="1">
        <f t="array" ref="AC962">_xlfn.IFS(Table2[[#This Row],[Satification_points]]&gt;=4.5,"GREAT",AND(Table2[[#This Row],[Satification_points]]&gt;=4,Table2[[#This Row],[Satification_points]]&lt;4.5),"GOOD",AND(Table2[[#This Row],[Satification_points]]&gt;=3,Table2[[#This Row],[Satification_points]]&lt;4),"AVERAGE",Table2[[#This Row],[Satification_points]]&lt;3,"POOR")</f>
        <v>AVERAGE</v>
      </c>
    </row>
    <row r="963" spans="1:29" x14ac:dyDescent="0.3">
      <c r="A963">
        <v>962</v>
      </c>
      <c r="B963">
        <v>55359</v>
      </c>
      <c r="C963" t="s">
        <v>1011</v>
      </c>
      <c r="D963" t="s">
        <v>41</v>
      </c>
      <c r="E963" t="s">
        <v>52</v>
      </c>
      <c r="F963" s="1">
        <v>45170</v>
      </c>
      <c r="G963" s="1">
        <v>45171</v>
      </c>
      <c r="H963">
        <v>9</v>
      </c>
      <c r="I963" t="s">
        <v>42</v>
      </c>
      <c r="J963" t="s">
        <v>29</v>
      </c>
      <c r="K963">
        <v>4</v>
      </c>
      <c r="L963">
        <v>4</v>
      </c>
      <c r="M963">
        <v>2</v>
      </c>
      <c r="N963">
        <v>2</v>
      </c>
      <c r="O963">
        <v>2</v>
      </c>
      <c r="P963">
        <v>2</v>
      </c>
      <c r="Q963">
        <v>2</v>
      </c>
      <c r="R963">
        <v>4</v>
      </c>
      <c r="S963">
        <v>3</v>
      </c>
      <c r="T963">
        <v>2</v>
      </c>
      <c r="U963" t="s">
        <v>30</v>
      </c>
      <c r="V963" t="s">
        <v>46</v>
      </c>
      <c r="W963" t="s">
        <v>32</v>
      </c>
      <c r="X963" t="s">
        <v>40</v>
      </c>
      <c r="Y963">
        <v>38</v>
      </c>
      <c r="Z963" s="1">
        <v>45626</v>
      </c>
      <c r="AA963" t="str" cm="1">
        <f t="array" ref="AA963">_xlfn.IFS(AND(Table2[[#This Row],[Guest_Age]]&gt;=18,Table2[[#This Row],[Guest_Age]]&lt;=25),"Young Adults",AND(Table2[[#This Row],[Guest_Age]]&gt;=26,Table2[[#This Row],[Guest_Age]]&lt;=35),"Adults",AND(Table2[[#This Row],[Guest_Age]]&gt;=36,Table2[[#This Row],[Guest_Age]]&lt;=50),"Middle Aged Adults",Table2[[#This Row],[Guest_Age]]&gt;50,"Senior")</f>
        <v>Middle Aged Adults</v>
      </c>
      <c r="AB9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63" t="str" cm="1">
        <f t="array" ref="AC963">_xlfn.IFS(Table2[[#This Row],[Satification_points]]&gt;=4.5,"GREAT",AND(Table2[[#This Row],[Satification_points]]&gt;=4,Table2[[#This Row],[Satification_points]]&lt;4.5),"GOOD",AND(Table2[[#This Row],[Satification_points]]&gt;=3,Table2[[#This Row],[Satification_points]]&lt;4),"AVERAGE",Table2[[#This Row],[Satification_points]]&lt;3,"POOR")</f>
        <v>POOR</v>
      </c>
    </row>
    <row r="964" spans="1:29" x14ac:dyDescent="0.3">
      <c r="A964">
        <v>963</v>
      </c>
      <c r="B964">
        <v>11421</v>
      </c>
      <c r="C964" t="s">
        <v>1012</v>
      </c>
      <c r="D964" t="s">
        <v>41</v>
      </c>
      <c r="E964" t="s">
        <v>35</v>
      </c>
      <c r="F964" s="1">
        <v>45345</v>
      </c>
      <c r="G964" s="1">
        <v>45346</v>
      </c>
      <c r="H964">
        <v>13</v>
      </c>
      <c r="I964" t="s">
        <v>42</v>
      </c>
      <c r="J964" t="s">
        <v>43</v>
      </c>
      <c r="K964">
        <v>5</v>
      </c>
      <c r="L964">
        <v>2</v>
      </c>
      <c r="M964">
        <v>5</v>
      </c>
      <c r="N964">
        <v>1</v>
      </c>
      <c r="O964">
        <v>1</v>
      </c>
      <c r="P964">
        <v>2</v>
      </c>
      <c r="Q964">
        <v>1</v>
      </c>
      <c r="R964">
        <v>3</v>
      </c>
      <c r="S964">
        <v>5</v>
      </c>
      <c r="T964">
        <v>3</v>
      </c>
      <c r="U964" t="s">
        <v>30</v>
      </c>
      <c r="V964" t="s">
        <v>58</v>
      </c>
      <c r="W964" t="s">
        <v>55</v>
      </c>
      <c r="X964" t="s">
        <v>33</v>
      </c>
      <c r="Y964">
        <v>69</v>
      </c>
      <c r="Z964" s="1">
        <v>45346</v>
      </c>
      <c r="AA964" t="str" cm="1">
        <f t="array" ref="AA964">_xlfn.IFS(AND(Table2[[#This Row],[Guest_Age]]&gt;=18,Table2[[#This Row],[Guest_Age]]&lt;=25),"Young Adults",AND(Table2[[#This Row],[Guest_Age]]&gt;=26,Table2[[#This Row],[Guest_Age]]&lt;=35),"Adults",AND(Table2[[#This Row],[Guest_Age]]&gt;=36,Table2[[#This Row],[Guest_Age]]&lt;=50),"Middle Aged Adults",Table2[[#This Row],[Guest_Age]]&gt;50,"Senior")</f>
        <v>Senior</v>
      </c>
      <c r="AB9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64" t="str" cm="1">
        <f t="array" ref="AC964">_xlfn.IFS(Table2[[#This Row],[Satification_points]]&gt;=4.5,"GREAT",AND(Table2[[#This Row],[Satification_points]]&gt;=4,Table2[[#This Row],[Satification_points]]&lt;4.5),"GOOD",AND(Table2[[#This Row],[Satification_points]]&gt;=3,Table2[[#This Row],[Satification_points]]&lt;4),"AVERAGE",Table2[[#This Row],[Satification_points]]&lt;3,"POOR")</f>
        <v>POOR</v>
      </c>
    </row>
    <row r="965" spans="1:29" x14ac:dyDescent="0.3">
      <c r="A965">
        <v>964</v>
      </c>
      <c r="B965">
        <v>79010</v>
      </c>
      <c r="C965" t="s">
        <v>1013</v>
      </c>
      <c r="D965" t="s">
        <v>41</v>
      </c>
      <c r="E965" t="s">
        <v>27</v>
      </c>
      <c r="F965" s="1">
        <v>45443</v>
      </c>
      <c r="G965" s="1">
        <v>45444</v>
      </c>
      <c r="H965">
        <v>8</v>
      </c>
      <c r="I965" t="s">
        <v>50</v>
      </c>
      <c r="J965" t="s">
        <v>43</v>
      </c>
      <c r="K965">
        <v>1</v>
      </c>
      <c r="L965">
        <v>5</v>
      </c>
      <c r="M965">
        <v>1</v>
      </c>
      <c r="N965">
        <v>5</v>
      </c>
      <c r="O965">
        <v>2</v>
      </c>
      <c r="P965">
        <v>1</v>
      </c>
      <c r="Q965">
        <v>1</v>
      </c>
      <c r="R965">
        <v>1</v>
      </c>
      <c r="S965">
        <v>3</v>
      </c>
      <c r="T965">
        <v>1</v>
      </c>
      <c r="U965" t="s">
        <v>30</v>
      </c>
      <c r="V965" t="s">
        <v>54</v>
      </c>
      <c r="W965" t="s">
        <v>56</v>
      </c>
      <c r="X965" t="s">
        <v>44</v>
      </c>
      <c r="Y965">
        <v>54</v>
      </c>
      <c r="Z965" s="1">
        <v>45444</v>
      </c>
      <c r="AA965" t="str" cm="1">
        <f t="array" ref="AA965">_xlfn.IFS(AND(Table2[[#This Row],[Guest_Age]]&gt;=18,Table2[[#This Row],[Guest_Age]]&lt;=25),"Young Adults",AND(Table2[[#This Row],[Guest_Age]]&gt;=26,Table2[[#This Row],[Guest_Age]]&lt;=35),"Adults",AND(Table2[[#This Row],[Guest_Age]]&gt;=36,Table2[[#This Row],[Guest_Age]]&lt;=50),"Middle Aged Adults",Table2[[#This Row],[Guest_Age]]&gt;50,"Senior")</f>
        <v>Senior</v>
      </c>
      <c r="AB9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965" t="str" cm="1">
        <f t="array" ref="AC965">_xlfn.IFS(Table2[[#This Row],[Satification_points]]&gt;=4.5,"GREAT",AND(Table2[[#This Row],[Satification_points]]&gt;=4,Table2[[#This Row],[Satification_points]]&lt;4.5),"GOOD",AND(Table2[[#This Row],[Satification_points]]&gt;=3,Table2[[#This Row],[Satification_points]]&lt;4),"AVERAGE",Table2[[#This Row],[Satification_points]]&lt;3,"POOR")</f>
        <v>POOR</v>
      </c>
    </row>
    <row r="966" spans="1:29" x14ac:dyDescent="0.3">
      <c r="A966">
        <v>965</v>
      </c>
      <c r="B966">
        <v>71755</v>
      </c>
      <c r="C966" t="s">
        <v>1014</v>
      </c>
      <c r="D966" t="s">
        <v>26</v>
      </c>
      <c r="E966" t="s">
        <v>45</v>
      </c>
      <c r="F966" s="1">
        <v>44988</v>
      </c>
      <c r="G966" s="1">
        <v>45504</v>
      </c>
      <c r="H966">
        <v>1</v>
      </c>
      <c r="I966" t="s">
        <v>42</v>
      </c>
      <c r="J966" t="s">
        <v>40</v>
      </c>
      <c r="K966">
        <v>2</v>
      </c>
      <c r="L966">
        <v>5</v>
      </c>
      <c r="M966">
        <v>4</v>
      </c>
      <c r="N966">
        <v>4</v>
      </c>
      <c r="O966">
        <v>5</v>
      </c>
      <c r="P966">
        <v>3</v>
      </c>
      <c r="Q966">
        <v>5</v>
      </c>
      <c r="R966">
        <v>4</v>
      </c>
      <c r="S966">
        <v>4</v>
      </c>
      <c r="T966">
        <v>2</v>
      </c>
      <c r="U966" t="s">
        <v>37</v>
      </c>
      <c r="V966" t="s">
        <v>54</v>
      </c>
      <c r="W966" t="s">
        <v>56</v>
      </c>
      <c r="X966" t="s">
        <v>33</v>
      </c>
      <c r="Y966">
        <v>42</v>
      </c>
      <c r="Z966" s="1">
        <v>45504</v>
      </c>
      <c r="AA966" t="str" cm="1">
        <f t="array" ref="AA9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9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966" t="str" cm="1">
        <f t="array" ref="AC966">_xlfn.IFS(Table2[[#This Row],[Satification_points]]&gt;=4.5,"GREAT",AND(Table2[[#This Row],[Satification_points]]&gt;=4,Table2[[#This Row],[Satification_points]]&lt;4.5),"GOOD",AND(Table2[[#This Row],[Satification_points]]&gt;=3,Table2[[#This Row],[Satification_points]]&lt;4),"AVERAGE",Table2[[#This Row],[Satification_points]]&lt;3,"POOR")</f>
        <v>AVERAGE</v>
      </c>
    </row>
    <row r="967" spans="1:29" x14ac:dyDescent="0.3">
      <c r="A967">
        <v>966</v>
      </c>
      <c r="B967">
        <v>63525</v>
      </c>
      <c r="C967" t="s">
        <v>1015</v>
      </c>
      <c r="D967" t="s">
        <v>48</v>
      </c>
      <c r="E967" t="s">
        <v>35</v>
      </c>
      <c r="F967" s="1">
        <v>45464</v>
      </c>
      <c r="G967" s="1">
        <v>45637</v>
      </c>
      <c r="H967">
        <v>14</v>
      </c>
      <c r="I967" t="s">
        <v>28</v>
      </c>
      <c r="J967" t="s">
        <v>43</v>
      </c>
      <c r="K967">
        <v>2</v>
      </c>
      <c r="L967">
        <v>5</v>
      </c>
      <c r="M967">
        <v>1</v>
      </c>
      <c r="N967">
        <v>2</v>
      </c>
      <c r="O967">
        <v>3</v>
      </c>
      <c r="P967">
        <v>3</v>
      </c>
      <c r="Q967">
        <v>1</v>
      </c>
      <c r="R967">
        <v>4</v>
      </c>
      <c r="S967">
        <v>4</v>
      </c>
      <c r="T967">
        <v>3</v>
      </c>
      <c r="U967" t="s">
        <v>30</v>
      </c>
      <c r="V967" t="s">
        <v>54</v>
      </c>
      <c r="W967" t="s">
        <v>56</v>
      </c>
      <c r="X967" t="s">
        <v>44</v>
      </c>
      <c r="Y967">
        <v>56</v>
      </c>
      <c r="Z967" s="1">
        <v>45637</v>
      </c>
      <c r="AA967" t="str" cm="1">
        <f t="array" ref="AA967">_xlfn.IFS(AND(Table2[[#This Row],[Guest_Age]]&gt;=18,Table2[[#This Row],[Guest_Age]]&lt;=25),"Young Adults",AND(Table2[[#This Row],[Guest_Age]]&gt;=26,Table2[[#This Row],[Guest_Age]]&lt;=35),"Adults",AND(Table2[[#This Row],[Guest_Age]]&gt;=36,Table2[[#This Row],[Guest_Age]]&lt;=50),"Middle Aged Adults",Table2[[#This Row],[Guest_Age]]&gt;50,"Senior")</f>
        <v>Senior</v>
      </c>
      <c r="AB9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67" t="str" cm="1">
        <f t="array" ref="AC967">_xlfn.IFS(Table2[[#This Row],[Satification_points]]&gt;=4.5,"GREAT",AND(Table2[[#This Row],[Satification_points]]&gt;=4,Table2[[#This Row],[Satification_points]]&lt;4.5),"GOOD",AND(Table2[[#This Row],[Satification_points]]&gt;=3,Table2[[#This Row],[Satification_points]]&lt;4),"AVERAGE",Table2[[#This Row],[Satification_points]]&lt;3,"POOR")</f>
        <v>POOR</v>
      </c>
    </row>
    <row r="968" spans="1:29" x14ac:dyDescent="0.3">
      <c r="A968">
        <v>967</v>
      </c>
      <c r="B968">
        <v>35117</v>
      </c>
      <c r="C968" t="s">
        <v>1016</v>
      </c>
      <c r="D968" t="s">
        <v>41</v>
      </c>
      <c r="E968" t="s">
        <v>57</v>
      </c>
      <c r="F968" s="1">
        <v>45243</v>
      </c>
      <c r="G968" s="1">
        <v>45455</v>
      </c>
      <c r="H968">
        <v>10</v>
      </c>
      <c r="I968" t="s">
        <v>49</v>
      </c>
      <c r="J968" t="s">
        <v>43</v>
      </c>
      <c r="K968">
        <v>3</v>
      </c>
      <c r="L968">
        <v>2</v>
      </c>
      <c r="M968">
        <v>2</v>
      </c>
      <c r="N968">
        <v>1</v>
      </c>
      <c r="O968">
        <v>1</v>
      </c>
      <c r="P968">
        <v>4</v>
      </c>
      <c r="Q968">
        <v>3</v>
      </c>
      <c r="R968">
        <v>1</v>
      </c>
      <c r="S968">
        <v>4</v>
      </c>
      <c r="T968">
        <v>3</v>
      </c>
      <c r="U968" t="s">
        <v>30</v>
      </c>
      <c r="V968" t="s">
        <v>38</v>
      </c>
      <c r="W968" t="s">
        <v>56</v>
      </c>
      <c r="X968" t="s">
        <v>44</v>
      </c>
      <c r="Y968">
        <v>20</v>
      </c>
      <c r="Z968" s="1">
        <v>45455</v>
      </c>
      <c r="AA968" t="str" cm="1">
        <f t="array" ref="AA968">_xlfn.IFS(AND(Table2[[#This Row],[Guest_Age]]&gt;=18,Table2[[#This Row],[Guest_Age]]&lt;=25),"Young Adults",AND(Table2[[#This Row],[Guest_Age]]&gt;=26,Table2[[#This Row],[Guest_Age]]&lt;=35),"Adults",AND(Table2[[#This Row],[Guest_Age]]&gt;=36,Table2[[#This Row],[Guest_Age]]&lt;=50),"Middle Aged Adults",Table2[[#This Row],[Guest_Age]]&gt;50,"Senior")</f>
        <v>Young Adults</v>
      </c>
      <c r="AB9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968" t="str" cm="1">
        <f t="array" ref="AC968">_xlfn.IFS(Table2[[#This Row],[Satification_points]]&gt;=4.5,"GREAT",AND(Table2[[#This Row],[Satification_points]]&gt;=4,Table2[[#This Row],[Satification_points]]&lt;4.5),"GOOD",AND(Table2[[#This Row],[Satification_points]]&gt;=3,Table2[[#This Row],[Satification_points]]&lt;4),"AVERAGE",Table2[[#This Row],[Satification_points]]&lt;3,"POOR")</f>
        <v>POOR</v>
      </c>
    </row>
    <row r="969" spans="1:29" x14ac:dyDescent="0.3">
      <c r="A969">
        <v>968</v>
      </c>
      <c r="B969">
        <v>66462</v>
      </c>
      <c r="C969" t="s">
        <v>1017</v>
      </c>
      <c r="D969" t="s">
        <v>48</v>
      </c>
      <c r="E969" t="s">
        <v>35</v>
      </c>
      <c r="F969" s="1">
        <v>45361</v>
      </c>
      <c r="G969" s="1">
        <v>45362</v>
      </c>
      <c r="H969">
        <v>10</v>
      </c>
      <c r="I969" t="s">
        <v>28</v>
      </c>
      <c r="J969" t="s">
        <v>29</v>
      </c>
      <c r="K969">
        <v>5</v>
      </c>
      <c r="L969">
        <v>4</v>
      </c>
      <c r="M969">
        <v>4</v>
      </c>
      <c r="N969">
        <v>1</v>
      </c>
      <c r="O969">
        <v>4</v>
      </c>
      <c r="P969">
        <v>3</v>
      </c>
      <c r="Q969">
        <v>5</v>
      </c>
      <c r="R969">
        <v>5</v>
      </c>
      <c r="S969">
        <v>1</v>
      </c>
      <c r="T969">
        <v>3</v>
      </c>
      <c r="U969" t="s">
        <v>37</v>
      </c>
      <c r="V969" t="s">
        <v>46</v>
      </c>
      <c r="W969" t="s">
        <v>32</v>
      </c>
      <c r="X969" t="s">
        <v>33</v>
      </c>
      <c r="Y969">
        <v>36</v>
      </c>
      <c r="Z969" s="1">
        <v>45362</v>
      </c>
      <c r="AA969" t="str" cm="1">
        <f t="array" ref="AA9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9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969" t="str" cm="1">
        <f t="array" ref="AC969">_xlfn.IFS(Table2[[#This Row],[Satification_points]]&gt;=4.5,"GREAT",AND(Table2[[#This Row],[Satification_points]]&gt;=4,Table2[[#This Row],[Satification_points]]&lt;4.5),"GOOD",AND(Table2[[#This Row],[Satification_points]]&gt;=3,Table2[[#This Row],[Satification_points]]&lt;4),"AVERAGE",Table2[[#This Row],[Satification_points]]&lt;3,"POOR")</f>
        <v>AVERAGE</v>
      </c>
    </row>
    <row r="970" spans="1:29" x14ac:dyDescent="0.3">
      <c r="A970">
        <v>969</v>
      </c>
      <c r="B970">
        <v>84516</v>
      </c>
      <c r="C970" t="s">
        <v>1018</v>
      </c>
      <c r="D970" t="s">
        <v>41</v>
      </c>
      <c r="E970" t="s">
        <v>57</v>
      </c>
      <c r="F970" s="1">
        <v>45622</v>
      </c>
      <c r="G970" s="1">
        <v>45623</v>
      </c>
      <c r="H970">
        <v>2</v>
      </c>
      <c r="I970" t="s">
        <v>50</v>
      </c>
      <c r="J970" t="s">
        <v>29</v>
      </c>
      <c r="K970">
        <v>2</v>
      </c>
      <c r="L970">
        <v>3</v>
      </c>
      <c r="M970">
        <v>2</v>
      </c>
      <c r="N970">
        <v>3</v>
      </c>
      <c r="O970">
        <v>4</v>
      </c>
      <c r="P970">
        <v>4</v>
      </c>
      <c r="Q970">
        <v>4</v>
      </c>
      <c r="R970">
        <v>2</v>
      </c>
      <c r="S970">
        <v>3</v>
      </c>
      <c r="T970">
        <v>4</v>
      </c>
      <c r="U970" t="s">
        <v>30</v>
      </c>
      <c r="V970" t="s">
        <v>46</v>
      </c>
      <c r="W970" t="s">
        <v>47</v>
      </c>
      <c r="X970" t="s">
        <v>33</v>
      </c>
      <c r="Y970">
        <v>24</v>
      </c>
      <c r="Z970" s="1">
        <v>45623</v>
      </c>
      <c r="AA970" t="str" cm="1">
        <f t="array" ref="AA970">_xlfn.IFS(AND(Table2[[#This Row],[Guest_Age]]&gt;=18,Table2[[#This Row],[Guest_Age]]&lt;=25),"Young Adults",AND(Table2[[#This Row],[Guest_Age]]&gt;=26,Table2[[#This Row],[Guest_Age]]&lt;=35),"Adults",AND(Table2[[#This Row],[Guest_Age]]&gt;=36,Table2[[#This Row],[Guest_Age]]&lt;=50),"Middle Aged Adults",Table2[[#This Row],[Guest_Age]]&gt;50,"Senior")</f>
        <v>Young Adults</v>
      </c>
      <c r="AB9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70" t="str" cm="1">
        <f t="array" ref="AC970">_xlfn.IFS(Table2[[#This Row],[Satification_points]]&gt;=4.5,"GREAT",AND(Table2[[#This Row],[Satification_points]]&gt;=4,Table2[[#This Row],[Satification_points]]&lt;4.5),"GOOD",AND(Table2[[#This Row],[Satification_points]]&gt;=3,Table2[[#This Row],[Satification_points]]&lt;4),"AVERAGE",Table2[[#This Row],[Satification_points]]&lt;3,"POOR")</f>
        <v>AVERAGE</v>
      </c>
    </row>
    <row r="971" spans="1:29" x14ac:dyDescent="0.3">
      <c r="A971">
        <v>970</v>
      </c>
      <c r="B971">
        <v>54934</v>
      </c>
      <c r="C971" t="s">
        <v>1019</v>
      </c>
      <c r="D971" t="s">
        <v>26</v>
      </c>
      <c r="E971" t="s">
        <v>57</v>
      </c>
      <c r="F971" s="1">
        <v>45307</v>
      </c>
      <c r="G971" s="1">
        <v>45308</v>
      </c>
      <c r="H971">
        <v>6</v>
      </c>
      <c r="I971" t="s">
        <v>50</v>
      </c>
      <c r="J971" t="s">
        <v>53</v>
      </c>
      <c r="K971">
        <v>1</v>
      </c>
      <c r="L971">
        <v>2</v>
      </c>
      <c r="M971">
        <v>1</v>
      </c>
      <c r="N971">
        <v>5</v>
      </c>
      <c r="O971">
        <v>3</v>
      </c>
      <c r="P971">
        <v>5</v>
      </c>
      <c r="Q971">
        <v>4</v>
      </c>
      <c r="R971">
        <v>3</v>
      </c>
      <c r="S971">
        <v>1</v>
      </c>
      <c r="T971">
        <v>5</v>
      </c>
      <c r="U971" t="s">
        <v>37</v>
      </c>
      <c r="V971" t="s">
        <v>38</v>
      </c>
      <c r="W971" t="s">
        <v>56</v>
      </c>
      <c r="X971" t="s">
        <v>44</v>
      </c>
      <c r="Y971">
        <v>34</v>
      </c>
      <c r="Z971" s="1">
        <v>45374</v>
      </c>
      <c r="AA971" t="str" cm="1">
        <f t="array" ref="AA971">_xlfn.IFS(AND(Table2[[#This Row],[Guest_Age]]&gt;=18,Table2[[#This Row],[Guest_Age]]&lt;=25),"Young Adults",AND(Table2[[#This Row],[Guest_Age]]&gt;=26,Table2[[#This Row],[Guest_Age]]&lt;=35),"Adults",AND(Table2[[#This Row],[Guest_Age]]&gt;=36,Table2[[#This Row],[Guest_Age]]&lt;=50),"Middle Aged Adults",Table2[[#This Row],[Guest_Age]]&gt;50,"Senior")</f>
        <v>Adults</v>
      </c>
      <c r="AB9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71" t="str" cm="1">
        <f t="array" ref="AC971">_xlfn.IFS(Table2[[#This Row],[Satification_points]]&gt;=4.5,"GREAT",AND(Table2[[#This Row],[Satification_points]]&gt;=4,Table2[[#This Row],[Satification_points]]&lt;4.5),"GOOD",AND(Table2[[#This Row],[Satification_points]]&gt;=3,Table2[[#This Row],[Satification_points]]&lt;4),"AVERAGE",Table2[[#This Row],[Satification_points]]&lt;3,"POOR")</f>
        <v>AVERAGE</v>
      </c>
    </row>
    <row r="972" spans="1:29" x14ac:dyDescent="0.3">
      <c r="A972">
        <v>971</v>
      </c>
      <c r="B972">
        <v>84954</v>
      </c>
      <c r="C972" t="s">
        <v>1020</v>
      </c>
      <c r="D972" t="s">
        <v>48</v>
      </c>
      <c r="E972" t="s">
        <v>45</v>
      </c>
      <c r="F972" s="1">
        <v>44962</v>
      </c>
      <c r="G972" s="1">
        <v>45449</v>
      </c>
      <c r="H972">
        <v>5</v>
      </c>
      <c r="I972" t="s">
        <v>28</v>
      </c>
      <c r="J972" t="s">
        <v>53</v>
      </c>
      <c r="K972">
        <v>4</v>
      </c>
      <c r="L972">
        <v>4</v>
      </c>
      <c r="M972">
        <v>3</v>
      </c>
      <c r="N972">
        <v>5</v>
      </c>
      <c r="O972">
        <v>1</v>
      </c>
      <c r="P972">
        <v>4</v>
      </c>
      <c r="Q972">
        <v>1</v>
      </c>
      <c r="R972">
        <v>3</v>
      </c>
      <c r="S972">
        <v>3</v>
      </c>
      <c r="T972">
        <v>4</v>
      </c>
      <c r="U972" t="s">
        <v>37</v>
      </c>
      <c r="V972" t="s">
        <v>46</v>
      </c>
      <c r="W972" t="s">
        <v>56</v>
      </c>
      <c r="X972" t="s">
        <v>40</v>
      </c>
      <c r="Y972">
        <v>30</v>
      </c>
      <c r="Z972" s="1">
        <v>45586</v>
      </c>
      <c r="AA972" t="str" cm="1">
        <f t="array" ref="AA972">_xlfn.IFS(AND(Table2[[#This Row],[Guest_Age]]&gt;=18,Table2[[#This Row],[Guest_Age]]&lt;=25),"Young Adults",AND(Table2[[#This Row],[Guest_Age]]&gt;=26,Table2[[#This Row],[Guest_Age]]&lt;=35),"Adults",AND(Table2[[#This Row],[Guest_Age]]&gt;=36,Table2[[#This Row],[Guest_Age]]&lt;=50),"Middle Aged Adults",Table2[[#This Row],[Guest_Age]]&gt;50,"Senior")</f>
        <v>Adults</v>
      </c>
      <c r="AB9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72" t="str" cm="1">
        <f t="array" ref="AC972">_xlfn.IFS(Table2[[#This Row],[Satification_points]]&gt;=4.5,"GREAT",AND(Table2[[#This Row],[Satification_points]]&gt;=4,Table2[[#This Row],[Satification_points]]&lt;4.5),"GOOD",AND(Table2[[#This Row],[Satification_points]]&gt;=3,Table2[[#This Row],[Satification_points]]&lt;4),"AVERAGE",Table2[[#This Row],[Satification_points]]&lt;3,"POOR")</f>
        <v>AVERAGE</v>
      </c>
    </row>
    <row r="973" spans="1:29" x14ac:dyDescent="0.3">
      <c r="A973">
        <v>972</v>
      </c>
      <c r="B973">
        <v>67593</v>
      </c>
      <c r="C973" t="s">
        <v>1021</v>
      </c>
      <c r="D973" t="s">
        <v>51</v>
      </c>
      <c r="E973" t="s">
        <v>52</v>
      </c>
      <c r="F973" s="1">
        <v>45468</v>
      </c>
      <c r="G973" s="1">
        <v>45469</v>
      </c>
      <c r="H973">
        <v>1</v>
      </c>
      <c r="I973" t="s">
        <v>49</v>
      </c>
      <c r="J973" t="s">
        <v>29</v>
      </c>
      <c r="K973">
        <v>4</v>
      </c>
      <c r="L973">
        <v>3</v>
      </c>
      <c r="M973">
        <v>5</v>
      </c>
      <c r="N973">
        <v>4</v>
      </c>
      <c r="O973">
        <v>1</v>
      </c>
      <c r="P973">
        <v>2</v>
      </c>
      <c r="Q973">
        <v>1</v>
      </c>
      <c r="R973">
        <v>2</v>
      </c>
      <c r="S973">
        <v>4</v>
      </c>
      <c r="T973">
        <v>1</v>
      </c>
      <c r="U973" t="s">
        <v>30</v>
      </c>
      <c r="V973" t="s">
        <v>54</v>
      </c>
      <c r="W973" t="s">
        <v>47</v>
      </c>
      <c r="X973" t="s">
        <v>40</v>
      </c>
      <c r="Y973">
        <v>41</v>
      </c>
      <c r="Z973" s="1">
        <v>45469</v>
      </c>
      <c r="AA973" t="str" cm="1">
        <f t="array" ref="AA973">_xlfn.IFS(AND(Table2[[#This Row],[Guest_Age]]&gt;=18,Table2[[#This Row],[Guest_Age]]&lt;=25),"Young Adults",AND(Table2[[#This Row],[Guest_Age]]&gt;=26,Table2[[#This Row],[Guest_Age]]&lt;=35),"Adults",AND(Table2[[#This Row],[Guest_Age]]&gt;=36,Table2[[#This Row],[Guest_Age]]&lt;=50),"Middle Aged Adults",Table2[[#This Row],[Guest_Age]]&gt;50,"Senior")</f>
        <v>Middle Aged Adults</v>
      </c>
      <c r="AB9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73" t="str" cm="1">
        <f t="array" ref="AC973">_xlfn.IFS(Table2[[#This Row],[Satification_points]]&gt;=4.5,"GREAT",AND(Table2[[#This Row],[Satification_points]]&gt;=4,Table2[[#This Row],[Satification_points]]&lt;4.5),"GOOD",AND(Table2[[#This Row],[Satification_points]]&gt;=3,Table2[[#This Row],[Satification_points]]&lt;4),"AVERAGE",Table2[[#This Row],[Satification_points]]&lt;3,"POOR")</f>
        <v>POOR</v>
      </c>
    </row>
    <row r="974" spans="1:29" x14ac:dyDescent="0.3">
      <c r="A974">
        <v>973</v>
      </c>
      <c r="B974">
        <v>22390</v>
      </c>
      <c r="C974" t="s">
        <v>1022</v>
      </c>
      <c r="D974" t="s">
        <v>41</v>
      </c>
      <c r="E974" t="s">
        <v>57</v>
      </c>
      <c r="F974" s="1">
        <v>45507</v>
      </c>
      <c r="G974" s="1">
        <v>45508</v>
      </c>
      <c r="H974">
        <v>14</v>
      </c>
      <c r="I974" t="s">
        <v>50</v>
      </c>
      <c r="J974" t="s">
        <v>53</v>
      </c>
      <c r="K974">
        <v>5</v>
      </c>
      <c r="L974">
        <v>1</v>
      </c>
      <c r="M974">
        <v>5</v>
      </c>
      <c r="N974">
        <v>5</v>
      </c>
      <c r="O974">
        <v>1</v>
      </c>
      <c r="P974">
        <v>1</v>
      </c>
      <c r="Q974">
        <v>2</v>
      </c>
      <c r="R974">
        <v>3</v>
      </c>
      <c r="S974">
        <v>4</v>
      </c>
      <c r="T974">
        <v>1</v>
      </c>
      <c r="U974" t="s">
        <v>30</v>
      </c>
      <c r="V974" t="s">
        <v>54</v>
      </c>
      <c r="W974" t="s">
        <v>56</v>
      </c>
      <c r="X974" t="s">
        <v>40</v>
      </c>
      <c r="Y974">
        <v>68</v>
      </c>
      <c r="Z974" s="1">
        <v>45508</v>
      </c>
      <c r="AA974" t="str" cm="1">
        <f t="array" ref="AA974">_xlfn.IFS(AND(Table2[[#This Row],[Guest_Age]]&gt;=18,Table2[[#This Row],[Guest_Age]]&lt;=25),"Young Adults",AND(Table2[[#This Row],[Guest_Age]]&gt;=26,Table2[[#This Row],[Guest_Age]]&lt;=35),"Adults",AND(Table2[[#This Row],[Guest_Age]]&gt;=36,Table2[[#This Row],[Guest_Age]]&lt;=50),"Middle Aged Adults",Table2[[#This Row],[Guest_Age]]&gt;50,"Senior")</f>
        <v>Senior</v>
      </c>
      <c r="AB9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74" t="str" cm="1">
        <f t="array" ref="AC974">_xlfn.IFS(Table2[[#This Row],[Satification_points]]&gt;=4.5,"GREAT",AND(Table2[[#This Row],[Satification_points]]&gt;=4,Table2[[#This Row],[Satification_points]]&lt;4.5),"GOOD",AND(Table2[[#This Row],[Satification_points]]&gt;=3,Table2[[#This Row],[Satification_points]]&lt;4),"AVERAGE",Table2[[#This Row],[Satification_points]]&lt;3,"POOR")</f>
        <v>POOR</v>
      </c>
    </row>
    <row r="975" spans="1:29" x14ac:dyDescent="0.3">
      <c r="A975">
        <v>974</v>
      </c>
      <c r="B975">
        <v>32562</v>
      </c>
      <c r="C975" t="s">
        <v>1023</v>
      </c>
      <c r="D975" t="s">
        <v>26</v>
      </c>
      <c r="E975" t="s">
        <v>27</v>
      </c>
      <c r="F975" s="1">
        <v>45158</v>
      </c>
      <c r="G975" s="1">
        <v>45309</v>
      </c>
      <c r="H975">
        <v>2</v>
      </c>
      <c r="I975" t="s">
        <v>50</v>
      </c>
      <c r="J975" t="s">
        <v>36</v>
      </c>
      <c r="K975">
        <v>3</v>
      </c>
      <c r="L975">
        <v>4</v>
      </c>
      <c r="M975">
        <v>3</v>
      </c>
      <c r="N975">
        <v>4</v>
      </c>
      <c r="O975">
        <v>3</v>
      </c>
      <c r="P975">
        <v>2</v>
      </c>
      <c r="Q975">
        <v>5</v>
      </c>
      <c r="R975">
        <v>3</v>
      </c>
      <c r="S975">
        <v>5</v>
      </c>
      <c r="T975">
        <v>5</v>
      </c>
      <c r="U975" t="s">
        <v>30</v>
      </c>
      <c r="V975" t="s">
        <v>38</v>
      </c>
      <c r="W975" t="s">
        <v>47</v>
      </c>
      <c r="X975" t="s">
        <v>40</v>
      </c>
      <c r="Y975">
        <v>62</v>
      </c>
      <c r="Z975" s="1">
        <v>45421</v>
      </c>
      <c r="AA975" t="str" cm="1">
        <f t="array" ref="AA975">_xlfn.IFS(AND(Table2[[#This Row],[Guest_Age]]&gt;=18,Table2[[#This Row],[Guest_Age]]&lt;=25),"Young Adults",AND(Table2[[#This Row],[Guest_Age]]&gt;=26,Table2[[#This Row],[Guest_Age]]&lt;=35),"Adults",AND(Table2[[#This Row],[Guest_Age]]&gt;=36,Table2[[#This Row],[Guest_Age]]&lt;=50),"Middle Aged Adults",Table2[[#This Row],[Guest_Age]]&gt;50,"Senior")</f>
        <v>Senior</v>
      </c>
      <c r="AB9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975" t="str" cm="1">
        <f t="array" ref="AC975">_xlfn.IFS(Table2[[#This Row],[Satification_points]]&gt;=4.5,"GREAT",AND(Table2[[#This Row],[Satification_points]]&gt;=4,Table2[[#This Row],[Satification_points]]&lt;4.5),"GOOD",AND(Table2[[#This Row],[Satification_points]]&gt;=3,Table2[[#This Row],[Satification_points]]&lt;4),"AVERAGE",Table2[[#This Row],[Satification_points]]&lt;3,"POOR")</f>
        <v>AVERAGE</v>
      </c>
    </row>
    <row r="976" spans="1:29" x14ac:dyDescent="0.3">
      <c r="A976">
        <v>975</v>
      </c>
      <c r="B976">
        <v>43299</v>
      </c>
      <c r="C976" t="s">
        <v>1024</v>
      </c>
      <c r="D976" t="s">
        <v>48</v>
      </c>
      <c r="E976" t="s">
        <v>45</v>
      </c>
      <c r="F976" s="1">
        <v>45614</v>
      </c>
      <c r="G976" s="1">
        <v>45615</v>
      </c>
      <c r="H976">
        <v>3</v>
      </c>
      <c r="I976" t="s">
        <v>28</v>
      </c>
      <c r="J976" t="s">
        <v>36</v>
      </c>
      <c r="K976">
        <v>1</v>
      </c>
      <c r="L976">
        <v>1</v>
      </c>
      <c r="M976">
        <v>3</v>
      </c>
      <c r="N976">
        <v>5</v>
      </c>
      <c r="O976">
        <v>3</v>
      </c>
      <c r="P976">
        <v>5</v>
      </c>
      <c r="Q976">
        <v>5</v>
      </c>
      <c r="R976">
        <v>1</v>
      </c>
      <c r="S976">
        <v>3</v>
      </c>
      <c r="T976">
        <v>5</v>
      </c>
      <c r="U976" t="s">
        <v>37</v>
      </c>
      <c r="V976" t="s">
        <v>54</v>
      </c>
      <c r="W976" t="s">
        <v>56</v>
      </c>
      <c r="X976" t="s">
        <v>33</v>
      </c>
      <c r="Y976">
        <v>25</v>
      </c>
      <c r="Z976" s="1">
        <v>45615</v>
      </c>
      <c r="AA976" t="str" cm="1">
        <f t="array" ref="AA976">_xlfn.IFS(AND(Table2[[#This Row],[Guest_Age]]&gt;=18,Table2[[#This Row],[Guest_Age]]&lt;=25),"Young Adults",AND(Table2[[#This Row],[Guest_Age]]&gt;=26,Table2[[#This Row],[Guest_Age]]&lt;=35),"Adults",AND(Table2[[#This Row],[Guest_Age]]&gt;=36,Table2[[#This Row],[Guest_Age]]&lt;=50),"Middle Aged Adults",Table2[[#This Row],[Guest_Age]]&gt;50,"Senior")</f>
        <v>Young Adults</v>
      </c>
      <c r="AB9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76" t="str" cm="1">
        <f t="array" ref="AC976">_xlfn.IFS(Table2[[#This Row],[Satification_points]]&gt;=4.5,"GREAT",AND(Table2[[#This Row],[Satification_points]]&gt;=4,Table2[[#This Row],[Satification_points]]&lt;4.5),"GOOD",AND(Table2[[#This Row],[Satification_points]]&gt;=3,Table2[[#This Row],[Satification_points]]&lt;4),"AVERAGE",Table2[[#This Row],[Satification_points]]&lt;3,"POOR")</f>
        <v>AVERAGE</v>
      </c>
    </row>
    <row r="977" spans="1:29" x14ac:dyDescent="0.3">
      <c r="A977">
        <v>976</v>
      </c>
      <c r="B977">
        <v>67902</v>
      </c>
      <c r="C977" t="s">
        <v>1025</v>
      </c>
      <c r="D977" t="s">
        <v>34</v>
      </c>
      <c r="E977" t="s">
        <v>57</v>
      </c>
      <c r="F977" s="1">
        <v>44959</v>
      </c>
      <c r="G977" s="1">
        <v>45529</v>
      </c>
      <c r="H977">
        <v>10</v>
      </c>
      <c r="I977" t="s">
        <v>49</v>
      </c>
      <c r="J977" t="s">
        <v>53</v>
      </c>
      <c r="K977">
        <v>3</v>
      </c>
      <c r="L977">
        <v>5</v>
      </c>
      <c r="M977">
        <v>3</v>
      </c>
      <c r="N977">
        <v>3</v>
      </c>
      <c r="O977">
        <v>4</v>
      </c>
      <c r="P977">
        <v>1</v>
      </c>
      <c r="Q977">
        <v>3</v>
      </c>
      <c r="R977">
        <v>1</v>
      </c>
      <c r="S977">
        <v>2</v>
      </c>
      <c r="T977">
        <v>3</v>
      </c>
      <c r="U977" t="s">
        <v>30</v>
      </c>
      <c r="V977" t="s">
        <v>31</v>
      </c>
      <c r="W977" t="s">
        <v>47</v>
      </c>
      <c r="X977" t="s">
        <v>33</v>
      </c>
      <c r="Y977">
        <v>25</v>
      </c>
      <c r="Z977" s="1">
        <v>45546</v>
      </c>
      <c r="AA977" t="str" cm="1">
        <f t="array" ref="AA977">_xlfn.IFS(AND(Table2[[#This Row],[Guest_Age]]&gt;=18,Table2[[#This Row],[Guest_Age]]&lt;=25),"Young Adults",AND(Table2[[#This Row],[Guest_Age]]&gt;=26,Table2[[#This Row],[Guest_Age]]&lt;=35),"Adults",AND(Table2[[#This Row],[Guest_Age]]&gt;=36,Table2[[#This Row],[Guest_Age]]&lt;=50),"Middle Aged Adults",Table2[[#This Row],[Guest_Age]]&gt;50,"Senior")</f>
        <v>Young Adults</v>
      </c>
      <c r="AB9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977" t="str" cm="1">
        <f t="array" ref="AC977">_xlfn.IFS(Table2[[#This Row],[Satification_points]]&gt;=4.5,"GREAT",AND(Table2[[#This Row],[Satification_points]]&gt;=4,Table2[[#This Row],[Satification_points]]&lt;4.5),"GOOD",AND(Table2[[#This Row],[Satification_points]]&gt;=3,Table2[[#This Row],[Satification_points]]&lt;4),"AVERAGE",Table2[[#This Row],[Satification_points]]&lt;3,"POOR")</f>
        <v>POOR</v>
      </c>
    </row>
    <row r="978" spans="1:29" x14ac:dyDescent="0.3">
      <c r="A978">
        <v>977</v>
      </c>
      <c r="B978">
        <v>27675</v>
      </c>
      <c r="C978" t="s">
        <v>1026</v>
      </c>
      <c r="D978" t="s">
        <v>26</v>
      </c>
      <c r="E978" t="s">
        <v>45</v>
      </c>
      <c r="F978" s="1">
        <v>45507</v>
      </c>
      <c r="G978" s="1">
        <v>45508</v>
      </c>
      <c r="H978">
        <v>5</v>
      </c>
      <c r="I978" t="s">
        <v>49</v>
      </c>
      <c r="J978" t="s">
        <v>53</v>
      </c>
      <c r="K978">
        <v>3</v>
      </c>
      <c r="L978">
        <v>5</v>
      </c>
      <c r="M978">
        <v>2</v>
      </c>
      <c r="N978">
        <v>1</v>
      </c>
      <c r="O978">
        <v>2</v>
      </c>
      <c r="P978">
        <v>5</v>
      </c>
      <c r="Q978">
        <v>4</v>
      </c>
      <c r="R978">
        <v>1</v>
      </c>
      <c r="S978">
        <v>1</v>
      </c>
      <c r="T978">
        <v>1</v>
      </c>
      <c r="U978" t="s">
        <v>30</v>
      </c>
      <c r="V978" t="s">
        <v>54</v>
      </c>
      <c r="W978" t="s">
        <v>47</v>
      </c>
      <c r="X978" t="s">
        <v>44</v>
      </c>
      <c r="Y978">
        <v>62</v>
      </c>
      <c r="Z978" s="1">
        <v>45508</v>
      </c>
      <c r="AA978" t="str" cm="1">
        <f t="array" ref="AA978">_xlfn.IFS(AND(Table2[[#This Row],[Guest_Age]]&gt;=18,Table2[[#This Row],[Guest_Age]]&lt;=25),"Young Adults",AND(Table2[[#This Row],[Guest_Age]]&gt;=26,Table2[[#This Row],[Guest_Age]]&lt;=35),"Adults",AND(Table2[[#This Row],[Guest_Age]]&gt;=36,Table2[[#This Row],[Guest_Age]]&lt;=50),"Middle Aged Adults",Table2[[#This Row],[Guest_Age]]&gt;50,"Senior")</f>
        <v>Senior</v>
      </c>
      <c r="AB9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978" t="str" cm="1">
        <f t="array" ref="AC978">_xlfn.IFS(Table2[[#This Row],[Satification_points]]&gt;=4.5,"GREAT",AND(Table2[[#This Row],[Satification_points]]&gt;=4,Table2[[#This Row],[Satification_points]]&lt;4.5),"GOOD",AND(Table2[[#This Row],[Satification_points]]&gt;=3,Table2[[#This Row],[Satification_points]]&lt;4),"AVERAGE",Table2[[#This Row],[Satification_points]]&lt;3,"POOR")</f>
        <v>POOR</v>
      </c>
    </row>
    <row r="979" spans="1:29" x14ac:dyDescent="0.3">
      <c r="A979">
        <v>978</v>
      </c>
      <c r="B979">
        <v>95044</v>
      </c>
      <c r="C979" t="s">
        <v>1027</v>
      </c>
      <c r="D979" t="s">
        <v>26</v>
      </c>
      <c r="E979" t="s">
        <v>27</v>
      </c>
      <c r="F979" s="1">
        <v>45278</v>
      </c>
      <c r="G979" s="1">
        <v>45279</v>
      </c>
      <c r="H979">
        <v>7</v>
      </c>
      <c r="I979" t="s">
        <v>49</v>
      </c>
      <c r="J979" t="s">
        <v>43</v>
      </c>
      <c r="K979">
        <v>5</v>
      </c>
      <c r="L979">
        <v>4</v>
      </c>
      <c r="M979">
        <v>4</v>
      </c>
      <c r="N979">
        <v>5</v>
      </c>
      <c r="O979">
        <v>5</v>
      </c>
      <c r="P979">
        <v>2</v>
      </c>
      <c r="Q979">
        <v>4</v>
      </c>
      <c r="R979">
        <v>1</v>
      </c>
      <c r="S979">
        <v>4</v>
      </c>
      <c r="T979">
        <v>3</v>
      </c>
      <c r="U979" t="s">
        <v>30</v>
      </c>
      <c r="V979" t="s">
        <v>58</v>
      </c>
      <c r="W979" t="s">
        <v>39</v>
      </c>
      <c r="X979" t="s">
        <v>44</v>
      </c>
      <c r="Y979">
        <v>19</v>
      </c>
      <c r="Z979" s="1">
        <v>45433</v>
      </c>
      <c r="AA979" t="str" cm="1">
        <f t="array" ref="AA979">_xlfn.IFS(AND(Table2[[#This Row],[Guest_Age]]&gt;=18,Table2[[#This Row],[Guest_Age]]&lt;=25),"Young Adults",AND(Table2[[#This Row],[Guest_Age]]&gt;=26,Table2[[#This Row],[Guest_Age]]&lt;=35),"Adults",AND(Table2[[#This Row],[Guest_Age]]&gt;=36,Table2[[#This Row],[Guest_Age]]&lt;=50),"Middle Aged Adults",Table2[[#This Row],[Guest_Age]]&gt;50,"Senior")</f>
        <v>Young Adults</v>
      </c>
      <c r="AB9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979" t="str" cm="1">
        <f t="array" ref="AC979">_xlfn.IFS(Table2[[#This Row],[Satification_points]]&gt;=4.5,"GREAT",AND(Table2[[#This Row],[Satification_points]]&gt;=4,Table2[[#This Row],[Satification_points]]&lt;4.5),"GOOD",AND(Table2[[#This Row],[Satification_points]]&gt;=3,Table2[[#This Row],[Satification_points]]&lt;4),"AVERAGE",Table2[[#This Row],[Satification_points]]&lt;3,"POOR")</f>
        <v>AVERAGE</v>
      </c>
    </row>
    <row r="980" spans="1:29" x14ac:dyDescent="0.3">
      <c r="A980">
        <v>979</v>
      </c>
      <c r="B980">
        <v>46881</v>
      </c>
      <c r="C980" t="s">
        <v>1028</v>
      </c>
      <c r="D980" t="s">
        <v>34</v>
      </c>
      <c r="E980" t="s">
        <v>45</v>
      </c>
      <c r="F980" s="1">
        <v>45181</v>
      </c>
      <c r="G980" s="1">
        <v>45182</v>
      </c>
      <c r="H980">
        <v>6</v>
      </c>
      <c r="I980" t="s">
        <v>50</v>
      </c>
      <c r="J980" t="s">
        <v>43</v>
      </c>
      <c r="K980">
        <v>4</v>
      </c>
      <c r="L980">
        <v>1</v>
      </c>
      <c r="M980">
        <v>3</v>
      </c>
      <c r="N980">
        <v>5</v>
      </c>
      <c r="O980">
        <v>4</v>
      </c>
      <c r="P980">
        <v>1</v>
      </c>
      <c r="Q980">
        <v>3</v>
      </c>
      <c r="R980">
        <v>4</v>
      </c>
      <c r="S980">
        <v>5</v>
      </c>
      <c r="T980">
        <v>5</v>
      </c>
      <c r="U980" t="s">
        <v>37</v>
      </c>
      <c r="V980" t="s">
        <v>38</v>
      </c>
      <c r="W980" t="s">
        <v>55</v>
      </c>
      <c r="X980" t="s">
        <v>40</v>
      </c>
      <c r="Y980">
        <v>47</v>
      </c>
      <c r="Z980" s="1">
        <v>45556</v>
      </c>
      <c r="AA980" t="str" cm="1">
        <f t="array" ref="AA9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9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980" t="str" cm="1">
        <f t="array" ref="AC980">_xlfn.IFS(Table2[[#This Row],[Satification_points]]&gt;=4.5,"GREAT",AND(Table2[[#This Row],[Satification_points]]&gt;=4,Table2[[#This Row],[Satification_points]]&lt;4.5),"GOOD",AND(Table2[[#This Row],[Satification_points]]&gt;=3,Table2[[#This Row],[Satification_points]]&lt;4),"AVERAGE",Table2[[#This Row],[Satification_points]]&lt;3,"POOR")</f>
        <v>AVERAGE</v>
      </c>
    </row>
    <row r="981" spans="1:29" x14ac:dyDescent="0.3">
      <c r="A981">
        <v>980</v>
      </c>
      <c r="B981">
        <v>19319</v>
      </c>
      <c r="C981" t="s">
        <v>1029</v>
      </c>
      <c r="D981" t="s">
        <v>34</v>
      </c>
      <c r="E981" t="s">
        <v>45</v>
      </c>
      <c r="F981" s="1">
        <v>44976</v>
      </c>
      <c r="G981" s="1">
        <v>45167</v>
      </c>
      <c r="H981">
        <v>3</v>
      </c>
      <c r="I981" t="s">
        <v>49</v>
      </c>
      <c r="J981" t="s">
        <v>36</v>
      </c>
      <c r="K981">
        <v>3</v>
      </c>
      <c r="L981">
        <v>2</v>
      </c>
      <c r="M981">
        <v>2</v>
      </c>
      <c r="N981">
        <v>3</v>
      </c>
      <c r="O981">
        <v>1</v>
      </c>
      <c r="P981">
        <v>5</v>
      </c>
      <c r="Q981">
        <v>2</v>
      </c>
      <c r="R981">
        <v>3</v>
      </c>
      <c r="S981">
        <v>5</v>
      </c>
      <c r="T981">
        <v>1</v>
      </c>
      <c r="U981" t="s">
        <v>37</v>
      </c>
      <c r="V981" t="s">
        <v>38</v>
      </c>
      <c r="W981" t="s">
        <v>47</v>
      </c>
      <c r="X981" t="s">
        <v>44</v>
      </c>
      <c r="Y981">
        <v>20</v>
      </c>
      <c r="Z981" s="1">
        <v>45167</v>
      </c>
      <c r="AA981" t="str" cm="1">
        <f t="array" ref="AA981">_xlfn.IFS(AND(Table2[[#This Row],[Guest_Age]]&gt;=18,Table2[[#This Row],[Guest_Age]]&lt;=25),"Young Adults",AND(Table2[[#This Row],[Guest_Age]]&gt;=26,Table2[[#This Row],[Guest_Age]]&lt;=35),"Adults",AND(Table2[[#This Row],[Guest_Age]]&gt;=36,Table2[[#This Row],[Guest_Age]]&lt;=50),"Middle Aged Adults",Table2[[#This Row],[Guest_Age]]&gt;50,"Senior")</f>
        <v>Young Adults</v>
      </c>
      <c r="AB9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81" t="str" cm="1">
        <f t="array" ref="AC981">_xlfn.IFS(Table2[[#This Row],[Satification_points]]&gt;=4.5,"GREAT",AND(Table2[[#This Row],[Satification_points]]&gt;=4,Table2[[#This Row],[Satification_points]]&lt;4.5),"GOOD",AND(Table2[[#This Row],[Satification_points]]&gt;=3,Table2[[#This Row],[Satification_points]]&lt;4),"AVERAGE",Table2[[#This Row],[Satification_points]]&lt;3,"POOR")</f>
        <v>POOR</v>
      </c>
    </row>
    <row r="982" spans="1:29" x14ac:dyDescent="0.3">
      <c r="A982">
        <v>981</v>
      </c>
      <c r="B982">
        <v>55207</v>
      </c>
      <c r="C982" t="s">
        <v>1030</v>
      </c>
      <c r="D982" t="s">
        <v>51</v>
      </c>
      <c r="E982" t="s">
        <v>57</v>
      </c>
      <c r="F982" s="1">
        <v>44949</v>
      </c>
      <c r="G982" s="1">
        <v>45031</v>
      </c>
      <c r="H982">
        <v>6</v>
      </c>
      <c r="I982" t="s">
        <v>28</v>
      </c>
      <c r="J982" t="s">
        <v>36</v>
      </c>
      <c r="K982">
        <v>3</v>
      </c>
      <c r="L982">
        <v>3</v>
      </c>
      <c r="M982">
        <v>1</v>
      </c>
      <c r="N982">
        <v>2</v>
      </c>
      <c r="O982">
        <v>2</v>
      </c>
      <c r="P982">
        <v>4</v>
      </c>
      <c r="Q982">
        <v>3</v>
      </c>
      <c r="R982">
        <v>2</v>
      </c>
      <c r="S982">
        <v>4</v>
      </c>
      <c r="T982">
        <v>3</v>
      </c>
      <c r="U982" t="s">
        <v>30</v>
      </c>
      <c r="V982" t="s">
        <v>46</v>
      </c>
      <c r="W982" t="s">
        <v>56</v>
      </c>
      <c r="X982" t="s">
        <v>33</v>
      </c>
      <c r="Y982">
        <v>62</v>
      </c>
      <c r="Z982" s="1">
        <v>45064</v>
      </c>
      <c r="AA982" t="str" cm="1">
        <f t="array" ref="AA982">_xlfn.IFS(AND(Table2[[#This Row],[Guest_Age]]&gt;=18,Table2[[#This Row],[Guest_Age]]&lt;=25),"Young Adults",AND(Table2[[#This Row],[Guest_Age]]&gt;=26,Table2[[#This Row],[Guest_Age]]&lt;=35),"Adults",AND(Table2[[#This Row],[Guest_Age]]&gt;=36,Table2[[#This Row],[Guest_Age]]&lt;=50),"Middle Aged Adults",Table2[[#This Row],[Guest_Age]]&gt;50,"Senior")</f>
        <v>Senior</v>
      </c>
      <c r="AB9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982" t="str" cm="1">
        <f t="array" ref="AC982">_xlfn.IFS(Table2[[#This Row],[Satification_points]]&gt;=4.5,"GREAT",AND(Table2[[#This Row],[Satification_points]]&gt;=4,Table2[[#This Row],[Satification_points]]&lt;4.5),"GOOD",AND(Table2[[#This Row],[Satification_points]]&gt;=3,Table2[[#This Row],[Satification_points]]&lt;4),"AVERAGE",Table2[[#This Row],[Satification_points]]&lt;3,"POOR")</f>
        <v>POOR</v>
      </c>
    </row>
    <row r="983" spans="1:29" x14ac:dyDescent="0.3">
      <c r="A983">
        <v>982</v>
      </c>
      <c r="B983">
        <v>13911</v>
      </c>
      <c r="C983" t="s">
        <v>1031</v>
      </c>
      <c r="D983" t="s">
        <v>51</v>
      </c>
      <c r="E983" t="s">
        <v>35</v>
      </c>
      <c r="F983" s="1">
        <v>45180</v>
      </c>
      <c r="G983" s="1">
        <v>45650</v>
      </c>
      <c r="H983">
        <v>4</v>
      </c>
      <c r="I983" t="s">
        <v>50</v>
      </c>
      <c r="J983" t="s">
        <v>43</v>
      </c>
      <c r="K983">
        <v>1</v>
      </c>
      <c r="L983">
        <v>5</v>
      </c>
      <c r="M983">
        <v>1</v>
      </c>
      <c r="N983">
        <v>4</v>
      </c>
      <c r="O983">
        <v>5</v>
      </c>
      <c r="P983">
        <v>3</v>
      </c>
      <c r="Q983">
        <v>2</v>
      </c>
      <c r="R983">
        <v>3</v>
      </c>
      <c r="S983">
        <v>3</v>
      </c>
      <c r="T983">
        <v>2</v>
      </c>
      <c r="U983" t="s">
        <v>37</v>
      </c>
      <c r="V983" t="s">
        <v>46</v>
      </c>
      <c r="W983" t="s">
        <v>32</v>
      </c>
      <c r="X983" t="s">
        <v>40</v>
      </c>
      <c r="Y983">
        <v>43</v>
      </c>
      <c r="Z983" s="1">
        <v>45650</v>
      </c>
      <c r="AA983" t="str" cm="1">
        <f t="array" ref="AA983">_xlfn.IFS(AND(Table2[[#This Row],[Guest_Age]]&gt;=18,Table2[[#This Row],[Guest_Age]]&lt;=25),"Young Adults",AND(Table2[[#This Row],[Guest_Age]]&gt;=26,Table2[[#This Row],[Guest_Age]]&lt;=35),"Adults",AND(Table2[[#This Row],[Guest_Age]]&gt;=36,Table2[[#This Row],[Guest_Age]]&lt;=50),"Middle Aged Adults",Table2[[#This Row],[Guest_Age]]&gt;50,"Senior")</f>
        <v>Middle Aged Adults</v>
      </c>
      <c r="AB9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83" t="str" cm="1">
        <f t="array" ref="AC983">_xlfn.IFS(Table2[[#This Row],[Satification_points]]&gt;=4.5,"GREAT",AND(Table2[[#This Row],[Satification_points]]&gt;=4,Table2[[#This Row],[Satification_points]]&lt;4.5),"GOOD",AND(Table2[[#This Row],[Satification_points]]&gt;=3,Table2[[#This Row],[Satification_points]]&lt;4),"AVERAGE",Table2[[#This Row],[Satification_points]]&lt;3,"POOR")</f>
        <v>POOR</v>
      </c>
    </row>
    <row r="984" spans="1:29" x14ac:dyDescent="0.3">
      <c r="A984">
        <v>983</v>
      </c>
      <c r="B984">
        <v>49927</v>
      </c>
      <c r="C984" t="s">
        <v>1032</v>
      </c>
      <c r="D984" t="s">
        <v>51</v>
      </c>
      <c r="E984" t="s">
        <v>45</v>
      </c>
      <c r="F984" s="1">
        <v>45320</v>
      </c>
      <c r="G984" s="1">
        <v>45321</v>
      </c>
      <c r="H984">
        <v>3</v>
      </c>
      <c r="I984" t="s">
        <v>49</v>
      </c>
      <c r="J984" t="s">
        <v>43</v>
      </c>
      <c r="K984">
        <v>4</v>
      </c>
      <c r="L984">
        <v>5</v>
      </c>
      <c r="M984">
        <v>3</v>
      </c>
      <c r="N984">
        <v>2</v>
      </c>
      <c r="O984">
        <v>1</v>
      </c>
      <c r="P984">
        <v>2</v>
      </c>
      <c r="Q984">
        <v>2</v>
      </c>
      <c r="R984">
        <v>4</v>
      </c>
      <c r="S984">
        <v>5</v>
      </c>
      <c r="T984">
        <v>2</v>
      </c>
      <c r="U984" t="s">
        <v>30</v>
      </c>
      <c r="V984" t="s">
        <v>46</v>
      </c>
      <c r="W984" t="s">
        <v>47</v>
      </c>
      <c r="X984" t="s">
        <v>40</v>
      </c>
      <c r="Y984">
        <v>34</v>
      </c>
      <c r="Z984" s="1">
        <v>45321</v>
      </c>
      <c r="AA984" t="str" cm="1">
        <f t="array" ref="AA984">_xlfn.IFS(AND(Table2[[#This Row],[Guest_Age]]&gt;=18,Table2[[#This Row],[Guest_Age]]&lt;=25),"Young Adults",AND(Table2[[#This Row],[Guest_Age]]&gt;=26,Table2[[#This Row],[Guest_Age]]&lt;=35),"Adults",AND(Table2[[#This Row],[Guest_Age]]&gt;=36,Table2[[#This Row],[Guest_Age]]&lt;=50),"Middle Aged Adults",Table2[[#This Row],[Guest_Age]]&gt;50,"Senior")</f>
        <v>Adults</v>
      </c>
      <c r="AB9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984" t="str" cm="1">
        <f t="array" ref="AC984">_xlfn.IFS(Table2[[#This Row],[Satification_points]]&gt;=4.5,"GREAT",AND(Table2[[#This Row],[Satification_points]]&gt;=4,Table2[[#This Row],[Satification_points]]&lt;4.5),"GOOD",AND(Table2[[#This Row],[Satification_points]]&gt;=3,Table2[[#This Row],[Satification_points]]&lt;4),"AVERAGE",Table2[[#This Row],[Satification_points]]&lt;3,"POOR")</f>
        <v>AVERAGE</v>
      </c>
    </row>
    <row r="985" spans="1:29" x14ac:dyDescent="0.3">
      <c r="A985">
        <v>984</v>
      </c>
      <c r="B985">
        <v>89261</v>
      </c>
      <c r="C985" t="s">
        <v>1033</v>
      </c>
      <c r="D985" t="s">
        <v>26</v>
      </c>
      <c r="E985" t="s">
        <v>57</v>
      </c>
      <c r="F985" s="1">
        <v>45602</v>
      </c>
      <c r="G985" s="1">
        <v>45603</v>
      </c>
      <c r="H985">
        <v>4</v>
      </c>
      <c r="I985" t="s">
        <v>42</v>
      </c>
      <c r="J985" t="s">
        <v>43</v>
      </c>
      <c r="K985">
        <v>3</v>
      </c>
      <c r="L985">
        <v>5</v>
      </c>
      <c r="M985">
        <v>1</v>
      </c>
      <c r="N985">
        <v>1</v>
      </c>
      <c r="O985">
        <v>3</v>
      </c>
      <c r="P985">
        <v>4</v>
      </c>
      <c r="Q985">
        <v>2</v>
      </c>
      <c r="R985">
        <v>4</v>
      </c>
      <c r="S985">
        <v>3</v>
      </c>
      <c r="T985">
        <v>3</v>
      </c>
      <c r="U985" t="s">
        <v>30</v>
      </c>
      <c r="V985" t="s">
        <v>58</v>
      </c>
      <c r="W985" t="s">
        <v>56</v>
      </c>
      <c r="X985" t="s">
        <v>40</v>
      </c>
      <c r="Y985">
        <v>55</v>
      </c>
      <c r="Z985" s="1">
        <v>45603</v>
      </c>
      <c r="AA985" t="str" cm="1">
        <f t="array" ref="AA985">_xlfn.IFS(AND(Table2[[#This Row],[Guest_Age]]&gt;=18,Table2[[#This Row],[Guest_Age]]&lt;=25),"Young Adults",AND(Table2[[#This Row],[Guest_Age]]&gt;=26,Table2[[#This Row],[Guest_Age]]&lt;=35),"Adults",AND(Table2[[#This Row],[Guest_Age]]&gt;=36,Table2[[#This Row],[Guest_Age]]&lt;=50),"Middle Aged Adults",Table2[[#This Row],[Guest_Age]]&gt;50,"Senior")</f>
        <v>Senior</v>
      </c>
      <c r="AB9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985" t="str" cm="1">
        <f t="array" ref="AC985">_xlfn.IFS(Table2[[#This Row],[Satification_points]]&gt;=4.5,"GREAT",AND(Table2[[#This Row],[Satification_points]]&gt;=4,Table2[[#This Row],[Satification_points]]&lt;4.5),"GOOD",AND(Table2[[#This Row],[Satification_points]]&gt;=3,Table2[[#This Row],[Satification_points]]&lt;4),"AVERAGE",Table2[[#This Row],[Satification_points]]&lt;3,"POOR")</f>
        <v>POOR</v>
      </c>
    </row>
    <row r="986" spans="1:29" x14ac:dyDescent="0.3">
      <c r="A986">
        <v>985</v>
      </c>
      <c r="B986">
        <v>48195</v>
      </c>
      <c r="C986" t="s">
        <v>1034</v>
      </c>
      <c r="D986" t="s">
        <v>26</v>
      </c>
      <c r="E986" t="s">
        <v>27</v>
      </c>
      <c r="F986" s="1">
        <v>45199</v>
      </c>
      <c r="G986" s="1">
        <v>45320</v>
      </c>
      <c r="H986">
        <v>11</v>
      </c>
      <c r="I986" t="s">
        <v>49</v>
      </c>
      <c r="J986" t="s">
        <v>53</v>
      </c>
      <c r="K986">
        <v>2</v>
      </c>
      <c r="L986">
        <v>5</v>
      </c>
      <c r="M986">
        <v>3</v>
      </c>
      <c r="N986">
        <v>2</v>
      </c>
      <c r="O986">
        <v>2</v>
      </c>
      <c r="P986">
        <v>5</v>
      </c>
      <c r="Q986">
        <v>1</v>
      </c>
      <c r="R986">
        <v>3</v>
      </c>
      <c r="S986">
        <v>5</v>
      </c>
      <c r="T986">
        <v>4</v>
      </c>
      <c r="U986" t="s">
        <v>30</v>
      </c>
      <c r="V986" t="s">
        <v>54</v>
      </c>
      <c r="W986" t="s">
        <v>47</v>
      </c>
      <c r="X986" t="s">
        <v>44</v>
      </c>
      <c r="Y986">
        <v>20</v>
      </c>
      <c r="Z986" s="1">
        <v>45320</v>
      </c>
      <c r="AA986" t="str" cm="1">
        <f t="array" ref="AA986">_xlfn.IFS(AND(Table2[[#This Row],[Guest_Age]]&gt;=18,Table2[[#This Row],[Guest_Age]]&lt;=25),"Young Adults",AND(Table2[[#This Row],[Guest_Age]]&gt;=26,Table2[[#This Row],[Guest_Age]]&lt;=35),"Adults",AND(Table2[[#This Row],[Guest_Age]]&gt;=36,Table2[[#This Row],[Guest_Age]]&lt;=50),"Middle Aged Adults",Table2[[#This Row],[Guest_Age]]&gt;50,"Senior")</f>
        <v>Young Adults</v>
      </c>
      <c r="AB9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86" t="str" cm="1">
        <f t="array" ref="AC986">_xlfn.IFS(Table2[[#This Row],[Satification_points]]&gt;=4.5,"GREAT",AND(Table2[[#This Row],[Satification_points]]&gt;=4,Table2[[#This Row],[Satification_points]]&lt;4.5),"GOOD",AND(Table2[[#This Row],[Satification_points]]&gt;=3,Table2[[#This Row],[Satification_points]]&lt;4),"AVERAGE",Table2[[#This Row],[Satification_points]]&lt;3,"POOR")</f>
        <v>AVERAGE</v>
      </c>
    </row>
    <row r="987" spans="1:29" x14ac:dyDescent="0.3">
      <c r="A987">
        <v>986</v>
      </c>
      <c r="B987">
        <v>64422</v>
      </c>
      <c r="C987" t="s">
        <v>1035</v>
      </c>
      <c r="D987" t="s">
        <v>26</v>
      </c>
      <c r="E987" t="s">
        <v>27</v>
      </c>
      <c r="F987" s="1">
        <v>45619</v>
      </c>
      <c r="G987" s="1">
        <v>45620</v>
      </c>
      <c r="H987">
        <v>8</v>
      </c>
      <c r="I987" t="s">
        <v>49</v>
      </c>
      <c r="J987" t="s">
        <v>29</v>
      </c>
      <c r="K987">
        <v>2</v>
      </c>
      <c r="L987">
        <v>4</v>
      </c>
      <c r="M987">
        <v>1</v>
      </c>
      <c r="N987">
        <v>1</v>
      </c>
      <c r="O987">
        <v>3</v>
      </c>
      <c r="P987">
        <v>5</v>
      </c>
      <c r="Q987">
        <v>1</v>
      </c>
      <c r="R987">
        <v>3</v>
      </c>
      <c r="S987">
        <v>1</v>
      </c>
      <c r="T987">
        <v>3</v>
      </c>
      <c r="U987" t="s">
        <v>37</v>
      </c>
      <c r="V987" t="s">
        <v>38</v>
      </c>
      <c r="W987" t="s">
        <v>39</v>
      </c>
      <c r="X987" t="s">
        <v>40</v>
      </c>
      <c r="Y987">
        <v>50</v>
      </c>
      <c r="Z987" s="1">
        <v>45620</v>
      </c>
      <c r="AA987" t="str" cm="1">
        <f t="array" ref="AA9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9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987" t="str" cm="1">
        <f t="array" ref="AC987">_xlfn.IFS(Table2[[#This Row],[Satification_points]]&gt;=4.5,"GREAT",AND(Table2[[#This Row],[Satification_points]]&gt;=4,Table2[[#This Row],[Satification_points]]&lt;4.5),"GOOD",AND(Table2[[#This Row],[Satification_points]]&gt;=3,Table2[[#This Row],[Satification_points]]&lt;4),"AVERAGE",Table2[[#This Row],[Satification_points]]&lt;3,"POOR")</f>
        <v>POOR</v>
      </c>
    </row>
    <row r="988" spans="1:29" x14ac:dyDescent="0.3">
      <c r="A988">
        <v>987</v>
      </c>
      <c r="B988">
        <v>57561</v>
      </c>
      <c r="C988" t="s">
        <v>1036</v>
      </c>
      <c r="D988" t="s">
        <v>51</v>
      </c>
      <c r="E988" t="s">
        <v>35</v>
      </c>
      <c r="F988" s="1">
        <v>45176</v>
      </c>
      <c r="G988" s="1">
        <v>45356</v>
      </c>
      <c r="H988">
        <v>1</v>
      </c>
      <c r="I988" t="s">
        <v>50</v>
      </c>
      <c r="J988" t="s">
        <v>36</v>
      </c>
      <c r="K988">
        <v>4</v>
      </c>
      <c r="L988">
        <v>4</v>
      </c>
      <c r="M988">
        <v>1</v>
      </c>
      <c r="N988">
        <v>4</v>
      </c>
      <c r="O988">
        <v>5</v>
      </c>
      <c r="P988">
        <v>1</v>
      </c>
      <c r="Q988">
        <v>2</v>
      </c>
      <c r="R988">
        <v>1</v>
      </c>
      <c r="S988">
        <v>3</v>
      </c>
      <c r="T988">
        <v>1</v>
      </c>
      <c r="U988" t="s">
        <v>37</v>
      </c>
      <c r="V988" t="s">
        <v>54</v>
      </c>
      <c r="W988" t="s">
        <v>32</v>
      </c>
      <c r="X988" t="s">
        <v>33</v>
      </c>
      <c r="Y988">
        <v>47</v>
      </c>
      <c r="Z988" s="1">
        <v>45356</v>
      </c>
      <c r="AA988" t="str" cm="1">
        <f t="array" ref="AA9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9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88" t="str" cm="1">
        <f t="array" ref="AC988">_xlfn.IFS(Table2[[#This Row],[Satification_points]]&gt;=4.5,"GREAT",AND(Table2[[#This Row],[Satification_points]]&gt;=4,Table2[[#This Row],[Satification_points]]&lt;4.5),"GOOD",AND(Table2[[#This Row],[Satification_points]]&gt;=3,Table2[[#This Row],[Satification_points]]&lt;4),"AVERAGE",Table2[[#This Row],[Satification_points]]&lt;3,"POOR")</f>
        <v>POOR</v>
      </c>
    </row>
    <row r="989" spans="1:29" x14ac:dyDescent="0.3">
      <c r="A989">
        <v>988</v>
      </c>
      <c r="B989">
        <v>11687</v>
      </c>
      <c r="C989" t="s">
        <v>1037</v>
      </c>
      <c r="D989" t="s">
        <v>48</v>
      </c>
      <c r="E989" t="s">
        <v>27</v>
      </c>
      <c r="F989" s="1">
        <v>45163</v>
      </c>
      <c r="G989" s="1">
        <v>45329</v>
      </c>
      <c r="H989">
        <v>3</v>
      </c>
      <c r="I989" t="s">
        <v>28</v>
      </c>
      <c r="J989" t="s">
        <v>40</v>
      </c>
      <c r="K989">
        <v>4</v>
      </c>
      <c r="L989">
        <v>1</v>
      </c>
      <c r="M989">
        <v>4</v>
      </c>
      <c r="N989">
        <v>3</v>
      </c>
      <c r="O989">
        <v>5</v>
      </c>
      <c r="P989">
        <v>4</v>
      </c>
      <c r="Q989">
        <v>3</v>
      </c>
      <c r="R989">
        <v>4</v>
      </c>
      <c r="S989">
        <v>5</v>
      </c>
      <c r="T989">
        <v>5</v>
      </c>
      <c r="U989" t="s">
        <v>37</v>
      </c>
      <c r="V989" t="s">
        <v>46</v>
      </c>
      <c r="W989" t="s">
        <v>32</v>
      </c>
      <c r="X989" t="s">
        <v>40</v>
      </c>
      <c r="Y989">
        <v>32</v>
      </c>
      <c r="Z989" s="1">
        <v>45329</v>
      </c>
      <c r="AA989" t="str" cm="1">
        <f t="array" ref="AA989">_xlfn.IFS(AND(Table2[[#This Row],[Guest_Age]]&gt;=18,Table2[[#This Row],[Guest_Age]]&lt;=25),"Young Adults",AND(Table2[[#This Row],[Guest_Age]]&gt;=26,Table2[[#This Row],[Guest_Age]]&lt;=35),"Adults",AND(Table2[[#This Row],[Guest_Age]]&gt;=36,Table2[[#This Row],[Guest_Age]]&lt;=50),"Middle Aged Adults",Table2[[#This Row],[Guest_Age]]&gt;50,"Senior")</f>
        <v>Adults</v>
      </c>
      <c r="AB9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989" t="str" cm="1">
        <f t="array" ref="AC989">_xlfn.IFS(Table2[[#This Row],[Satification_points]]&gt;=4.5,"GREAT",AND(Table2[[#This Row],[Satification_points]]&gt;=4,Table2[[#This Row],[Satification_points]]&lt;4.5),"GOOD",AND(Table2[[#This Row],[Satification_points]]&gt;=3,Table2[[#This Row],[Satification_points]]&lt;4),"AVERAGE",Table2[[#This Row],[Satification_points]]&lt;3,"POOR")</f>
        <v>AVERAGE</v>
      </c>
    </row>
    <row r="990" spans="1:29" x14ac:dyDescent="0.3">
      <c r="A990">
        <v>989</v>
      </c>
      <c r="B990">
        <v>48755</v>
      </c>
      <c r="C990" t="s">
        <v>1038</v>
      </c>
      <c r="D990" t="s">
        <v>26</v>
      </c>
      <c r="E990" t="s">
        <v>57</v>
      </c>
      <c r="F990" s="1">
        <v>45158</v>
      </c>
      <c r="G990" s="1">
        <v>45159</v>
      </c>
      <c r="H990">
        <v>10</v>
      </c>
      <c r="I990" t="s">
        <v>42</v>
      </c>
      <c r="J990" t="s">
        <v>43</v>
      </c>
      <c r="K990">
        <v>5</v>
      </c>
      <c r="L990">
        <v>2</v>
      </c>
      <c r="M990">
        <v>4</v>
      </c>
      <c r="N990">
        <v>1</v>
      </c>
      <c r="O990">
        <v>1</v>
      </c>
      <c r="P990">
        <v>5</v>
      </c>
      <c r="Q990">
        <v>3</v>
      </c>
      <c r="R990">
        <v>3</v>
      </c>
      <c r="S990">
        <v>4</v>
      </c>
      <c r="T990">
        <v>3</v>
      </c>
      <c r="U990" t="s">
        <v>37</v>
      </c>
      <c r="V990" t="s">
        <v>38</v>
      </c>
      <c r="W990" t="s">
        <v>56</v>
      </c>
      <c r="X990" t="s">
        <v>44</v>
      </c>
      <c r="Y990">
        <v>25</v>
      </c>
      <c r="Z990" s="1">
        <v>45159</v>
      </c>
      <c r="AA990" t="str" cm="1">
        <f t="array" ref="AA990">_xlfn.IFS(AND(Table2[[#This Row],[Guest_Age]]&gt;=18,Table2[[#This Row],[Guest_Age]]&lt;=25),"Young Adults",AND(Table2[[#This Row],[Guest_Age]]&gt;=26,Table2[[#This Row],[Guest_Age]]&lt;=35),"Adults",AND(Table2[[#This Row],[Guest_Age]]&gt;=36,Table2[[#This Row],[Guest_Age]]&lt;=50),"Middle Aged Adults",Table2[[#This Row],[Guest_Age]]&gt;50,"Senior")</f>
        <v>Young Adults</v>
      </c>
      <c r="AB9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990" t="str" cm="1">
        <f t="array" ref="AC990">_xlfn.IFS(Table2[[#This Row],[Satification_points]]&gt;=4.5,"GREAT",AND(Table2[[#This Row],[Satification_points]]&gt;=4,Table2[[#This Row],[Satification_points]]&lt;4.5),"GOOD",AND(Table2[[#This Row],[Satification_points]]&gt;=3,Table2[[#This Row],[Satification_points]]&lt;4),"AVERAGE",Table2[[#This Row],[Satification_points]]&lt;3,"POOR")</f>
        <v>AVERAGE</v>
      </c>
    </row>
    <row r="991" spans="1:29" x14ac:dyDescent="0.3">
      <c r="A991">
        <v>990</v>
      </c>
      <c r="B991">
        <v>30855</v>
      </c>
      <c r="C991" t="s">
        <v>1039</v>
      </c>
      <c r="D991" t="s">
        <v>26</v>
      </c>
      <c r="E991" t="s">
        <v>35</v>
      </c>
      <c r="F991" s="1">
        <v>45354</v>
      </c>
      <c r="G991" s="1">
        <v>45441</v>
      </c>
      <c r="H991">
        <v>12</v>
      </c>
      <c r="I991" t="s">
        <v>50</v>
      </c>
      <c r="J991" t="s">
        <v>53</v>
      </c>
      <c r="K991">
        <v>3</v>
      </c>
      <c r="L991">
        <v>1</v>
      </c>
      <c r="M991">
        <v>1</v>
      </c>
      <c r="N991">
        <v>4</v>
      </c>
      <c r="O991">
        <v>3</v>
      </c>
      <c r="P991">
        <v>1</v>
      </c>
      <c r="Q991">
        <v>3</v>
      </c>
      <c r="R991">
        <v>2</v>
      </c>
      <c r="S991">
        <v>2</v>
      </c>
      <c r="T991">
        <v>1</v>
      </c>
      <c r="U991" t="s">
        <v>37</v>
      </c>
      <c r="V991" t="s">
        <v>46</v>
      </c>
      <c r="W991" t="s">
        <v>55</v>
      </c>
      <c r="X991" t="s">
        <v>44</v>
      </c>
      <c r="Y991">
        <v>47</v>
      </c>
      <c r="Z991" s="1">
        <v>45547</v>
      </c>
      <c r="AA991" t="str" cm="1">
        <f t="array" ref="AA9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9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991" t="str" cm="1">
        <f t="array" ref="AC991">_xlfn.IFS(Table2[[#This Row],[Satification_points]]&gt;=4.5,"GREAT",AND(Table2[[#This Row],[Satification_points]]&gt;=4,Table2[[#This Row],[Satification_points]]&lt;4.5),"GOOD",AND(Table2[[#This Row],[Satification_points]]&gt;=3,Table2[[#This Row],[Satification_points]]&lt;4),"AVERAGE",Table2[[#This Row],[Satification_points]]&lt;3,"POOR")</f>
        <v>POOR</v>
      </c>
    </row>
    <row r="992" spans="1:29" x14ac:dyDescent="0.3">
      <c r="A992">
        <v>991</v>
      </c>
      <c r="B992">
        <v>38879</v>
      </c>
      <c r="C992" t="s">
        <v>1040</v>
      </c>
      <c r="D992" t="s">
        <v>26</v>
      </c>
      <c r="E992" t="s">
        <v>57</v>
      </c>
      <c r="F992" s="1">
        <v>45560</v>
      </c>
      <c r="G992" s="1">
        <v>45561</v>
      </c>
      <c r="H992">
        <v>8</v>
      </c>
      <c r="I992" t="s">
        <v>49</v>
      </c>
      <c r="J992" t="s">
        <v>36</v>
      </c>
      <c r="K992">
        <v>2</v>
      </c>
      <c r="L992">
        <v>2</v>
      </c>
      <c r="M992">
        <v>4</v>
      </c>
      <c r="N992">
        <v>3</v>
      </c>
      <c r="O992">
        <v>4</v>
      </c>
      <c r="P992">
        <v>3</v>
      </c>
      <c r="Q992">
        <v>1</v>
      </c>
      <c r="R992">
        <v>2</v>
      </c>
      <c r="S992">
        <v>4</v>
      </c>
      <c r="T992">
        <v>1</v>
      </c>
      <c r="U992" t="s">
        <v>30</v>
      </c>
      <c r="V992" t="s">
        <v>58</v>
      </c>
      <c r="W992" t="s">
        <v>39</v>
      </c>
      <c r="X992" t="s">
        <v>40</v>
      </c>
      <c r="Y992">
        <v>40</v>
      </c>
      <c r="Z992" s="1">
        <v>45561</v>
      </c>
      <c r="AA992" t="str" cm="1">
        <f t="array" ref="AA992">_xlfn.IFS(AND(Table2[[#This Row],[Guest_Age]]&gt;=18,Table2[[#This Row],[Guest_Age]]&lt;=25),"Young Adults",AND(Table2[[#This Row],[Guest_Age]]&gt;=26,Table2[[#This Row],[Guest_Age]]&lt;=35),"Adults",AND(Table2[[#This Row],[Guest_Age]]&gt;=36,Table2[[#This Row],[Guest_Age]]&lt;=50),"Middle Aged Adults",Table2[[#This Row],[Guest_Age]]&gt;50,"Senior")</f>
        <v>Middle Aged Adults</v>
      </c>
      <c r="AB9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92" t="str" cm="1">
        <f t="array" ref="AC992">_xlfn.IFS(Table2[[#This Row],[Satification_points]]&gt;=4.5,"GREAT",AND(Table2[[#This Row],[Satification_points]]&gt;=4,Table2[[#This Row],[Satification_points]]&lt;4.5),"GOOD",AND(Table2[[#This Row],[Satification_points]]&gt;=3,Table2[[#This Row],[Satification_points]]&lt;4),"AVERAGE",Table2[[#This Row],[Satification_points]]&lt;3,"POOR")</f>
        <v>POOR</v>
      </c>
    </row>
    <row r="993" spans="1:29" x14ac:dyDescent="0.3">
      <c r="A993">
        <v>992</v>
      </c>
      <c r="B993">
        <v>32065</v>
      </c>
      <c r="C993" t="s">
        <v>1041</v>
      </c>
      <c r="D993" t="s">
        <v>51</v>
      </c>
      <c r="E993" t="s">
        <v>35</v>
      </c>
      <c r="F993" s="1">
        <v>45168</v>
      </c>
      <c r="G993" s="1">
        <v>45557</v>
      </c>
      <c r="H993">
        <v>12</v>
      </c>
      <c r="I993" t="s">
        <v>50</v>
      </c>
      <c r="J993" t="s">
        <v>43</v>
      </c>
      <c r="K993">
        <v>2</v>
      </c>
      <c r="L993">
        <v>4</v>
      </c>
      <c r="M993">
        <v>3</v>
      </c>
      <c r="N993">
        <v>2</v>
      </c>
      <c r="O993">
        <v>4</v>
      </c>
      <c r="P993">
        <v>3</v>
      </c>
      <c r="Q993">
        <v>2</v>
      </c>
      <c r="R993">
        <v>1</v>
      </c>
      <c r="S993">
        <v>3</v>
      </c>
      <c r="T993">
        <v>2</v>
      </c>
      <c r="U993" t="s">
        <v>37</v>
      </c>
      <c r="V993" t="s">
        <v>38</v>
      </c>
      <c r="W993" t="s">
        <v>55</v>
      </c>
      <c r="X993" t="s">
        <v>40</v>
      </c>
      <c r="Y993">
        <v>29</v>
      </c>
      <c r="Z993" s="1">
        <v>45557</v>
      </c>
      <c r="AA993" t="str" cm="1">
        <f t="array" ref="AA993">_xlfn.IFS(AND(Table2[[#This Row],[Guest_Age]]&gt;=18,Table2[[#This Row],[Guest_Age]]&lt;=25),"Young Adults",AND(Table2[[#This Row],[Guest_Age]]&gt;=26,Table2[[#This Row],[Guest_Age]]&lt;=35),"Adults",AND(Table2[[#This Row],[Guest_Age]]&gt;=36,Table2[[#This Row],[Guest_Age]]&lt;=50),"Middle Aged Adults",Table2[[#This Row],[Guest_Age]]&gt;50,"Senior")</f>
        <v>Adults</v>
      </c>
      <c r="AB9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993" t="str" cm="1">
        <f t="array" ref="AC993">_xlfn.IFS(Table2[[#This Row],[Satification_points]]&gt;=4.5,"GREAT",AND(Table2[[#This Row],[Satification_points]]&gt;=4,Table2[[#This Row],[Satification_points]]&lt;4.5),"GOOD",AND(Table2[[#This Row],[Satification_points]]&gt;=3,Table2[[#This Row],[Satification_points]]&lt;4),"AVERAGE",Table2[[#This Row],[Satification_points]]&lt;3,"POOR")</f>
        <v>POOR</v>
      </c>
    </row>
    <row r="994" spans="1:29" x14ac:dyDescent="0.3">
      <c r="A994">
        <v>993</v>
      </c>
      <c r="B994">
        <v>26091</v>
      </c>
      <c r="C994" t="s">
        <v>1042</v>
      </c>
      <c r="D994" t="s">
        <v>41</v>
      </c>
      <c r="E994" t="s">
        <v>35</v>
      </c>
      <c r="F994" s="1">
        <v>45060</v>
      </c>
      <c r="G994" s="1">
        <v>45293</v>
      </c>
      <c r="H994">
        <v>14</v>
      </c>
      <c r="I994" t="s">
        <v>50</v>
      </c>
      <c r="J994" t="s">
        <v>53</v>
      </c>
      <c r="K994">
        <v>4</v>
      </c>
      <c r="L994">
        <v>5</v>
      </c>
      <c r="M994">
        <v>5</v>
      </c>
      <c r="N994">
        <v>2</v>
      </c>
      <c r="O994">
        <v>3</v>
      </c>
      <c r="P994">
        <v>1</v>
      </c>
      <c r="Q994">
        <v>4</v>
      </c>
      <c r="R994">
        <v>1</v>
      </c>
      <c r="S994">
        <v>4</v>
      </c>
      <c r="T994">
        <v>3</v>
      </c>
      <c r="U994" t="s">
        <v>30</v>
      </c>
      <c r="V994" t="s">
        <v>46</v>
      </c>
      <c r="W994" t="s">
        <v>32</v>
      </c>
      <c r="X994" t="s">
        <v>44</v>
      </c>
      <c r="Y994">
        <v>56</v>
      </c>
      <c r="Z994" s="1">
        <v>45443</v>
      </c>
      <c r="AA994" t="str" cm="1">
        <f t="array" ref="AA994">_xlfn.IFS(AND(Table2[[#This Row],[Guest_Age]]&gt;=18,Table2[[#This Row],[Guest_Age]]&lt;=25),"Young Adults",AND(Table2[[#This Row],[Guest_Age]]&gt;=26,Table2[[#This Row],[Guest_Age]]&lt;=35),"Adults",AND(Table2[[#This Row],[Guest_Age]]&gt;=36,Table2[[#This Row],[Guest_Age]]&lt;=50),"Middle Aged Adults",Table2[[#This Row],[Guest_Age]]&gt;50,"Senior")</f>
        <v>Senior</v>
      </c>
      <c r="AB9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94" t="str" cm="1">
        <f t="array" ref="AC994">_xlfn.IFS(Table2[[#This Row],[Satification_points]]&gt;=4.5,"GREAT",AND(Table2[[#This Row],[Satification_points]]&gt;=4,Table2[[#This Row],[Satification_points]]&lt;4.5),"GOOD",AND(Table2[[#This Row],[Satification_points]]&gt;=3,Table2[[#This Row],[Satification_points]]&lt;4),"AVERAGE",Table2[[#This Row],[Satification_points]]&lt;3,"POOR")</f>
        <v>AVERAGE</v>
      </c>
    </row>
    <row r="995" spans="1:29" x14ac:dyDescent="0.3">
      <c r="A995">
        <v>994</v>
      </c>
      <c r="B995">
        <v>22747</v>
      </c>
      <c r="C995" t="s">
        <v>1043</v>
      </c>
      <c r="D995" t="s">
        <v>51</v>
      </c>
      <c r="E995" t="s">
        <v>57</v>
      </c>
      <c r="F995" s="1">
        <v>44997</v>
      </c>
      <c r="G995" s="1">
        <v>45100</v>
      </c>
      <c r="H995">
        <v>10</v>
      </c>
      <c r="I995" t="s">
        <v>42</v>
      </c>
      <c r="J995" t="s">
        <v>36</v>
      </c>
      <c r="K995">
        <v>4</v>
      </c>
      <c r="L995">
        <v>1</v>
      </c>
      <c r="M995">
        <v>3</v>
      </c>
      <c r="N995">
        <v>1</v>
      </c>
      <c r="O995">
        <v>5</v>
      </c>
      <c r="P995">
        <v>4</v>
      </c>
      <c r="Q995">
        <v>3</v>
      </c>
      <c r="R995">
        <v>3</v>
      </c>
      <c r="S995">
        <v>4</v>
      </c>
      <c r="T995">
        <v>4</v>
      </c>
      <c r="U995" t="s">
        <v>37</v>
      </c>
      <c r="V995" t="s">
        <v>46</v>
      </c>
      <c r="W995" t="s">
        <v>32</v>
      </c>
      <c r="X995" t="s">
        <v>33</v>
      </c>
      <c r="Y995">
        <v>65</v>
      </c>
      <c r="Z995" s="1">
        <v>45509</v>
      </c>
      <c r="AA995" t="str" cm="1">
        <f t="array" ref="AA995">_xlfn.IFS(AND(Table2[[#This Row],[Guest_Age]]&gt;=18,Table2[[#This Row],[Guest_Age]]&lt;=25),"Young Adults",AND(Table2[[#This Row],[Guest_Age]]&gt;=26,Table2[[#This Row],[Guest_Age]]&lt;=35),"Adults",AND(Table2[[#This Row],[Guest_Age]]&gt;=36,Table2[[#This Row],[Guest_Age]]&lt;=50),"Middle Aged Adults",Table2[[#This Row],[Guest_Age]]&gt;50,"Senior")</f>
        <v>Senior</v>
      </c>
      <c r="AB9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95" t="str" cm="1">
        <f t="array" ref="AC995">_xlfn.IFS(Table2[[#This Row],[Satification_points]]&gt;=4.5,"GREAT",AND(Table2[[#This Row],[Satification_points]]&gt;=4,Table2[[#This Row],[Satification_points]]&lt;4.5),"GOOD",AND(Table2[[#This Row],[Satification_points]]&gt;=3,Table2[[#This Row],[Satification_points]]&lt;4),"AVERAGE",Table2[[#This Row],[Satification_points]]&lt;3,"POOR")</f>
        <v>AVERAGE</v>
      </c>
    </row>
    <row r="996" spans="1:29" x14ac:dyDescent="0.3">
      <c r="A996">
        <v>995</v>
      </c>
      <c r="B996">
        <v>46243</v>
      </c>
      <c r="C996" t="s">
        <v>1044</v>
      </c>
      <c r="D996" t="s">
        <v>41</v>
      </c>
      <c r="E996" t="s">
        <v>35</v>
      </c>
      <c r="F996" s="1">
        <v>45391</v>
      </c>
      <c r="G996" s="1">
        <v>45392</v>
      </c>
      <c r="H996">
        <v>9</v>
      </c>
      <c r="I996" t="s">
        <v>49</v>
      </c>
      <c r="J996" t="s">
        <v>36</v>
      </c>
      <c r="K996">
        <v>1</v>
      </c>
      <c r="L996">
        <v>2</v>
      </c>
      <c r="M996">
        <v>4</v>
      </c>
      <c r="N996">
        <v>5</v>
      </c>
      <c r="O996">
        <v>2</v>
      </c>
      <c r="P996">
        <v>1</v>
      </c>
      <c r="Q996">
        <v>1</v>
      </c>
      <c r="R996">
        <v>2</v>
      </c>
      <c r="S996">
        <v>2</v>
      </c>
      <c r="T996">
        <v>4</v>
      </c>
      <c r="U996" t="s">
        <v>30</v>
      </c>
      <c r="V996" t="s">
        <v>46</v>
      </c>
      <c r="W996" t="s">
        <v>55</v>
      </c>
      <c r="X996" t="s">
        <v>33</v>
      </c>
      <c r="Y996">
        <v>25</v>
      </c>
      <c r="Z996" s="1">
        <v>45408</v>
      </c>
      <c r="AA996" t="str" cm="1">
        <f t="array" ref="AA996">_xlfn.IFS(AND(Table2[[#This Row],[Guest_Age]]&gt;=18,Table2[[#This Row],[Guest_Age]]&lt;=25),"Young Adults",AND(Table2[[#This Row],[Guest_Age]]&gt;=26,Table2[[#This Row],[Guest_Age]]&lt;=35),"Adults",AND(Table2[[#This Row],[Guest_Age]]&gt;=36,Table2[[#This Row],[Guest_Age]]&lt;=50),"Middle Aged Adults",Table2[[#This Row],[Guest_Age]]&gt;50,"Senior")</f>
        <v>Young Adults</v>
      </c>
      <c r="AB9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996" t="str" cm="1">
        <f t="array" ref="AC996">_xlfn.IFS(Table2[[#This Row],[Satification_points]]&gt;=4.5,"GREAT",AND(Table2[[#This Row],[Satification_points]]&gt;=4,Table2[[#This Row],[Satification_points]]&lt;4.5),"GOOD",AND(Table2[[#This Row],[Satification_points]]&gt;=3,Table2[[#This Row],[Satification_points]]&lt;4),"AVERAGE",Table2[[#This Row],[Satification_points]]&lt;3,"POOR")</f>
        <v>POOR</v>
      </c>
    </row>
    <row r="997" spans="1:29" x14ac:dyDescent="0.3">
      <c r="A997">
        <v>996</v>
      </c>
      <c r="B997">
        <v>58686</v>
      </c>
      <c r="C997" t="s">
        <v>1045</v>
      </c>
      <c r="D997" t="s">
        <v>51</v>
      </c>
      <c r="E997" t="s">
        <v>57</v>
      </c>
      <c r="F997" s="1">
        <v>45347</v>
      </c>
      <c r="G997" s="1">
        <v>45348</v>
      </c>
      <c r="H997">
        <v>3</v>
      </c>
      <c r="I997" t="s">
        <v>50</v>
      </c>
      <c r="J997" t="s">
        <v>40</v>
      </c>
      <c r="K997">
        <v>1</v>
      </c>
      <c r="L997">
        <v>3</v>
      </c>
      <c r="M997">
        <v>2</v>
      </c>
      <c r="N997">
        <v>5</v>
      </c>
      <c r="O997">
        <v>3</v>
      </c>
      <c r="P997">
        <v>1</v>
      </c>
      <c r="Q997">
        <v>5</v>
      </c>
      <c r="R997">
        <v>4</v>
      </c>
      <c r="S997">
        <v>4</v>
      </c>
      <c r="T997">
        <v>5</v>
      </c>
      <c r="U997" t="s">
        <v>30</v>
      </c>
      <c r="V997" t="s">
        <v>58</v>
      </c>
      <c r="W997" t="s">
        <v>47</v>
      </c>
      <c r="X997" t="s">
        <v>40</v>
      </c>
      <c r="Y997">
        <v>26</v>
      </c>
      <c r="Z997" s="1">
        <v>45348</v>
      </c>
      <c r="AA997" t="str" cm="1">
        <f t="array" ref="AA997">_xlfn.IFS(AND(Table2[[#This Row],[Guest_Age]]&gt;=18,Table2[[#This Row],[Guest_Age]]&lt;=25),"Young Adults",AND(Table2[[#This Row],[Guest_Age]]&gt;=26,Table2[[#This Row],[Guest_Age]]&lt;=35),"Adults",AND(Table2[[#This Row],[Guest_Age]]&gt;=36,Table2[[#This Row],[Guest_Age]]&lt;=50),"Middle Aged Adults",Table2[[#This Row],[Guest_Age]]&gt;50,"Senior")</f>
        <v>Adults</v>
      </c>
      <c r="AB9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997" t="str" cm="1">
        <f t="array" ref="AC997">_xlfn.IFS(Table2[[#This Row],[Satification_points]]&gt;=4.5,"GREAT",AND(Table2[[#This Row],[Satification_points]]&gt;=4,Table2[[#This Row],[Satification_points]]&lt;4.5),"GOOD",AND(Table2[[#This Row],[Satification_points]]&gt;=3,Table2[[#This Row],[Satification_points]]&lt;4),"AVERAGE",Table2[[#This Row],[Satification_points]]&lt;3,"POOR")</f>
        <v>AVERAGE</v>
      </c>
    </row>
    <row r="998" spans="1:29" x14ac:dyDescent="0.3">
      <c r="A998">
        <v>997</v>
      </c>
      <c r="B998">
        <v>94497</v>
      </c>
      <c r="C998" t="s">
        <v>1046</v>
      </c>
      <c r="D998" t="s">
        <v>48</v>
      </c>
      <c r="E998" t="s">
        <v>27</v>
      </c>
      <c r="F998" s="1">
        <v>45236</v>
      </c>
      <c r="G998" s="1">
        <v>45278</v>
      </c>
      <c r="H998">
        <v>9</v>
      </c>
      <c r="I998" t="s">
        <v>28</v>
      </c>
      <c r="J998" t="s">
        <v>40</v>
      </c>
      <c r="K998">
        <v>4</v>
      </c>
      <c r="L998">
        <v>2</v>
      </c>
      <c r="M998">
        <v>1</v>
      </c>
      <c r="N998">
        <v>3</v>
      </c>
      <c r="O998">
        <v>1</v>
      </c>
      <c r="P998">
        <v>4</v>
      </c>
      <c r="Q998">
        <v>2</v>
      </c>
      <c r="R998">
        <v>5</v>
      </c>
      <c r="S998">
        <v>5</v>
      </c>
      <c r="T998">
        <v>5</v>
      </c>
      <c r="U998" t="s">
        <v>30</v>
      </c>
      <c r="V998" t="s">
        <v>54</v>
      </c>
      <c r="W998" t="s">
        <v>55</v>
      </c>
      <c r="X998" t="s">
        <v>40</v>
      </c>
      <c r="Y998">
        <v>25</v>
      </c>
      <c r="Z998" s="1">
        <v>45325</v>
      </c>
      <c r="AA998" t="str" cm="1">
        <f t="array" ref="AA998">_xlfn.IFS(AND(Table2[[#This Row],[Guest_Age]]&gt;=18,Table2[[#This Row],[Guest_Age]]&lt;=25),"Young Adults",AND(Table2[[#This Row],[Guest_Age]]&gt;=26,Table2[[#This Row],[Guest_Age]]&lt;=35),"Adults",AND(Table2[[#This Row],[Guest_Age]]&gt;=36,Table2[[#This Row],[Guest_Age]]&lt;=50),"Middle Aged Adults",Table2[[#This Row],[Guest_Age]]&gt;50,"Senior")</f>
        <v>Young Adults</v>
      </c>
      <c r="AB9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998" t="str" cm="1">
        <f t="array" ref="AC998">_xlfn.IFS(Table2[[#This Row],[Satification_points]]&gt;=4.5,"GREAT",AND(Table2[[#This Row],[Satification_points]]&gt;=4,Table2[[#This Row],[Satification_points]]&lt;4.5),"GOOD",AND(Table2[[#This Row],[Satification_points]]&gt;=3,Table2[[#This Row],[Satification_points]]&lt;4),"AVERAGE",Table2[[#This Row],[Satification_points]]&lt;3,"POOR")</f>
        <v>AVERAGE</v>
      </c>
    </row>
    <row r="999" spans="1:29" x14ac:dyDescent="0.3">
      <c r="A999">
        <v>998</v>
      </c>
      <c r="B999">
        <v>61684</v>
      </c>
      <c r="C999" t="s">
        <v>1047</v>
      </c>
      <c r="D999" t="s">
        <v>48</v>
      </c>
      <c r="E999" t="s">
        <v>27</v>
      </c>
      <c r="F999" s="1">
        <v>45205</v>
      </c>
      <c r="G999" s="1">
        <v>45632</v>
      </c>
      <c r="H999">
        <v>10</v>
      </c>
      <c r="I999" t="s">
        <v>42</v>
      </c>
      <c r="J999" t="s">
        <v>36</v>
      </c>
      <c r="K999">
        <v>1</v>
      </c>
      <c r="L999">
        <v>1</v>
      </c>
      <c r="M999">
        <v>4</v>
      </c>
      <c r="N999">
        <v>2</v>
      </c>
      <c r="O999">
        <v>4</v>
      </c>
      <c r="P999">
        <v>3</v>
      </c>
      <c r="Q999">
        <v>3</v>
      </c>
      <c r="R999">
        <v>2</v>
      </c>
      <c r="S999">
        <v>1</v>
      </c>
      <c r="T999">
        <v>2</v>
      </c>
      <c r="U999" t="s">
        <v>37</v>
      </c>
      <c r="V999" t="s">
        <v>54</v>
      </c>
      <c r="W999" t="s">
        <v>55</v>
      </c>
      <c r="X999" t="s">
        <v>40</v>
      </c>
      <c r="Y999">
        <v>55</v>
      </c>
      <c r="Z999" s="1">
        <v>45632</v>
      </c>
      <c r="AA999" t="str" cm="1">
        <f t="array" ref="AA999">_xlfn.IFS(AND(Table2[[#This Row],[Guest_Age]]&gt;=18,Table2[[#This Row],[Guest_Age]]&lt;=25),"Young Adults",AND(Table2[[#This Row],[Guest_Age]]&gt;=26,Table2[[#This Row],[Guest_Age]]&lt;=35),"Adults",AND(Table2[[#This Row],[Guest_Age]]&gt;=36,Table2[[#This Row],[Guest_Age]]&lt;=50),"Middle Aged Adults",Table2[[#This Row],[Guest_Age]]&gt;50,"Senior")</f>
        <v>Senior</v>
      </c>
      <c r="AB9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999" t="str" cm="1">
        <f t="array" ref="AC999">_xlfn.IFS(Table2[[#This Row],[Satification_points]]&gt;=4.5,"GREAT",AND(Table2[[#This Row],[Satification_points]]&gt;=4,Table2[[#This Row],[Satification_points]]&lt;4.5),"GOOD",AND(Table2[[#This Row],[Satification_points]]&gt;=3,Table2[[#This Row],[Satification_points]]&lt;4),"AVERAGE",Table2[[#This Row],[Satification_points]]&lt;3,"POOR")</f>
        <v>POOR</v>
      </c>
    </row>
    <row r="1000" spans="1:29" x14ac:dyDescent="0.3">
      <c r="A1000">
        <v>999</v>
      </c>
      <c r="B1000">
        <v>30601</v>
      </c>
      <c r="C1000" t="s">
        <v>1048</v>
      </c>
      <c r="D1000" t="s">
        <v>26</v>
      </c>
      <c r="E1000" t="s">
        <v>45</v>
      </c>
      <c r="F1000" s="1">
        <v>45145</v>
      </c>
      <c r="G1000" s="1">
        <v>45146</v>
      </c>
      <c r="H1000">
        <v>11</v>
      </c>
      <c r="I1000" t="s">
        <v>50</v>
      </c>
      <c r="J1000" t="s">
        <v>53</v>
      </c>
      <c r="K1000">
        <v>4</v>
      </c>
      <c r="L1000">
        <v>4</v>
      </c>
      <c r="M1000">
        <v>4</v>
      </c>
      <c r="N1000">
        <v>4</v>
      </c>
      <c r="O1000">
        <v>1</v>
      </c>
      <c r="P1000">
        <v>5</v>
      </c>
      <c r="Q1000">
        <v>1</v>
      </c>
      <c r="R1000">
        <v>4</v>
      </c>
      <c r="S1000">
        <v>2</v>
      </c>
      <c r="T1000">
        <v>3</v>
      </c>
      <c r="U1000" t="s">
        <v>30</v>
      </c>
      <c r="V1000" t="s">
        <v>54</v>
      </c>
      <c r="W1000" t="s">
        <v>47</v>
      </c>
      <c r="X1000" t="s">
        <v>44</v>
      </c>
      <c r="Y1000">
        <v>50</v>
      </c>
      <c r="Z1000" s="1">
        <v>45146</v>
      </c>
      <c r="AA1000" t="str" cm="1">
        <f t="array" ref="AA10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000" t="str" cm="1">
        <f t="array" ref="AC1000">_xlfn.IFS(Table2[[#This Row],[Satification_points]]&gt;=4.5,"GREAT",AND(Table2[[#This Row],[Satification_points]]&gt;=4,Table2[[#This Row],[Satification_points]]&lt;4.5),"GOOD",AND(Table2[[#This Row],[Satification_points]]&gt;=3,Table2[[#This Row],[Satification_points]]&lt;4),"AVERAGE",Table2[[#This Row],[Satification_points]]&lt;3,"POOR")</f>
        <v>AVERAGE</v>
      </c>
    </row>
    <row r="1001" spans="1:29" x14ac:dyDescent="0.3">
      <c r="A1001">
        <v>1000</v>
      </c>
      <c r="B1001">
        <v>44797</v>
      </c>
      <c r="C1001" t="s">
        <v>1049</v>
      </c>
      <c r="D1001" t="s">
        <v>51</v>
      </c>
      <c r="E1001" t="s">
        <v>52</v>
      </c>
      <c r="F1001" s="1">
        <v>45623</v>
      </c>
      <c r="G1001" s="1">
        <v>45624</v>
      </c>
      <c r="H1001">
        <v>10</v>
      </c>
      <c r="I1001" t="s">
        <v>42</v>
      </c>
      <c r="J1001" t="s">
        <v>43</v>
      </c>
      <c r="K1001">
        <v>4</v>
      </c>
      <c r="L1001">
        <v>5</v>
      </c>
      <c r="M1001">
        <v>4</v>
      </c>
      <c r="N1001">
        <v>3</v>
      </c>
      <c r="O1001">
        <v>2</v>
      </c>
      <c r="P1001">
        <v>3</v>
      </c>
      <c r="Q1001">
        <v>5</v>
      </c>
      <c r="R1001">
        <v>2</v>
      </c>
      <c r="S1001">
        <v>3</v>
      </c>
      <c r="T1001">
        <v>5</v>
      </c>
      <c r="U1001" t="s">
        <v>37</v>
      </c>
      <c r="V1001" t="s">
        <v>58</v>
      </c>
      <c r="W1001" t="s">
        <v>47</v>
      </c>
      <c r="X1001" t="s">
        <v>44</v>
      </c>
      <c r="Y1001">
        <v>65</v>
      </c>
      <c r="Z1001" s="1">
        <v>45624</v>
      </c>
      <c r="AA1001" t="str" cm="1">
        <f t="array" ref="AA1001">_xlfn.IFS(AND(Table2[[#This Row],[Guest_Age]]&gt;=18,Table2[[#This Row],[Guest_Age]]&lt;=25),"Young Adults",AND(Table2[[#This Row],[Guest_Age]]&gt;=26,Table2[[#This Row],[Guest_Age]]&lt;=35),"Adults",AND(Table2[[#This Row],[Guest_Age]]&gt;=36,Table2[[#This Row],[Guest_Age]]&lt;=50),"Middle Aged Adults",Table2[[#This Row],[Guest_Age]]&gt;50,"Senior")</f>
        <v>Senior</v>
      </c>
      <c r="AB10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01" t="str" cm="1">
        <f t="array" ref="AC1001">_xlfn.IFS(Table2[[#This Row],[Satification_points]]&gt;=4.5,"GREAT",AND(Table2[[#This Row],[Satification_points]]&gt;=4,Table2[[#This Row],[Satification_points]]&lt;4.5),"GOOD",AND(Table2[[#This Row],[Satification_points]]&gt;=3,Table2[[#This Row],[Satification_points]]&lt;4),"AVERAGE",Table2[[#This Row],[Satification_points]]&lt;3,"POOR")</f>
        <v>AVERAGE</v>
      </c>
    </row>
    <row r="1002" spans="1:29" x14ac:dyDescent="0.3">
      <c r="A1002">
        <v>1001</v>
      </c>
      <c r="B1002">
        <v>16190</v>
      </c>
      <c r="C1002" t="s">
        <v>1050</v>
      </c>
      <c r="D1002" t="s">
        <v>41</v>
      </c>
      <c r="E1002" t="s">
        <v>52</v>
      </c>
      <c r="F1002" s="1">
        <v>45233</v>
      </c>
      <c r="G1002" s="1">
        <v>45234</v>
      </c>
      <c r="H1002">
        <v>4</v>
      </c>
      <c r="I1002" t="s">
        <v>50</v>
      </c>
      <c r="J1002" t="s">
        <v>43</v>
      </c>
      <c r="K1002">
        <v>5</v>
      </c>
      <c r="L1002">
        <v>3</v>
      </c>
      <c r="M1002">
        <v>3</v>
      </c>
      <c r="N1002">
        <v>1</v>
      </c>
      <c r="O1002">
        <v>4</v>
      </c>
      <c r="P1002">
        <v>4</v>
      </c>
      <c r="Q1002">
        <v>2</v>
      </c>
      <c r="R1002">
        <v>3</v>
      </c>
      <c r="S1002">
        <v>5</v>
      </c>
      <c r="T1002">
        <v>3</v>
      </c>
      <c r="U1002" t="s">
        <v>37</v>
      </c>
      <c r="V1002" t="s">
        <v>54</v>
      </c>
      <c r="W1002" t="s">
        <v>47</v>
      </c>
      <c r="X1002" t="s">
        <v>40</v>
      </c>
      <c r="Y1002">
        <v>50</v>
      </c>
      <c r="Z1002" s="1">
        <v>45234</v>
      </c>
      <c r="AA1002" t="str" cm="1">
        <f t="array" ref="AA100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02" t="str" cm="1">
        <f t="array" ref="AC1002">_xlfn.IFS(Table2[[#This Row],[Satification_points]]&gt;=4.5,"GREAT",AND(Table2[[#This Row],[Satification_points]]&gt;=4,Table2[[#This Row],[Satification_points]]&lt;4.5),"GOOD",AND(Table2[[#This Row],[Satification_points]]&gt;=3,Table2[[#This Row],[Satification_points]]&lt;4),"AVERAGE",Table2[[#This Row],[Satification_points]]&lt;3,"POOR")</f>
        <v>AVERAGE</v>
      </c>
    </row>
    <row r="1003" spans="1:29" x14ac:dyDescent="0.3">
      <c r="A1003">
        <v>1002</v>
      </c>
      <c r="B1003">
        <v>34148</v>
      </c>
      <c r="C1003" t="s">
        <v>1051</v>
      </c>
      <c r="D1003" t="s">
        <v>41</v>
      </c>
      <c r="E1003" t="s">
        <v>27</v>
      </c>
      <c r="F1003" s="1">
        <v>45240</v>
      </c>
      <c r="G1003" s="1">
        <v>45241</v>
      </c>
      <c r="H1003">
        <v>12</v>
      </c>
      <c r="I1003" t="s">
        <v>50</v>
      </c>
      <c r="J1003" t="s">
        <v>36</v>
      </c>
      <c r="K1003">
        <v>1</v>
      </c>
      <c r="L1003">
        <v>1</v>
      </c>
      <c r="M1003">
        <v>1</v>
      </c>
      <c r="N1003">
        <v>1</v>
      </c>
      <c r="O1003">
        <v>4</v>
      </c>
      <c r="P1003">
        <v>2</v>
      </c>
      <c r="Q1003">
        <v>4</v>
      </c>
      <c r="R1003">
        <v>5</v>
      </c>
      <c r="S1003">
        <v>3</v>
      </c>
      <c r="T1003">
        <v>4</v>
      </c>
      <c r="U1003" t="s">
        <v>37</v>
      </c>
      <c r="V1003" t="s">
        <v>54</v>
      </c>
      <c r="W1003" t="s">
        <v>39</v>
      </c>
      <c r="X1003" t="s">
        <v>44</v>
      </c>
      <c r="Y1003">
        <v>62</v>
      </c>
      <c r="Z1003" s="1">
        <v>45408</v>
      </c>
      <c r="AA1003" t="str" cm="1">
        <f t="array" ref="AA1003">_xlfn.IFS(AND(Table2[[#This Row],[Guest_Age]]&gt;=18,Table2[[#This Row],[Guest_Age]]&lt;=25),"Young Adults",AND(Table2[[#This Row],[Guest_Age]]&gt;=26,Table2[[#This Row],[Guest_Age]]&lt;=35),"Adults",AND(Table2[[#This Row],[Guest_Age]]&gt;=36,Table2[[#This Row],[Guest_Age]]&lt;=50),"Middle Aged Adults",Table2[[#This Row],[Guest_Age]]&gt;50,"Senior")</f>
        <v>Senior</v>
      </c>
      <c r="AB10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03" t="str" cm="1">
        <f t="array" ref="AC1003">_xlfn.IFS(Table2[[#This Row],[Satification_points]]&gt;=4.5,"GREAT",AND(Table2[[#This Row],[Satification_points]]&gt;=4,Table2[[#This Row],[Satification_points]]&lt;4.5),"GOOD",AND(Table2[[#This Row],[Satification_points]]&gt;=3,Table2[[#This Row],[Satification_points]]&lt;4),"AVERAGE",Table2[[#This Row],[Satification_points]]&lt;3,"POOR")</f>
        <v>POOR</v>
      </c>
    </row>
    <row r="1004" spans="1:29" x14ac:dyDescent="0.3">
      <c r="A1004">
        <v>1003</v>
      </c>
      <c r="B1004">
        <v>87471</v>
      </c>
      <c r="C1004" t="s">
        <v>1052</v>
      </c>
      <c r="D1004" t="s">
        <v>48</v>
      </c>
      <c r="E1004" t="s">
        <v>45</v>
      </c>
      <c r="F1004" s="1">
        <v>45329</v>
      </c>
      <c r="G1004" s="1">
        <v>45330</v>
      </c>
      <c r="H1004">
        <v>4</v>
      </c>
      <c r="I1004" t="s">
        <v>50</v>
      </c>
      <c r="J1004" t="s">
        <v>43</v>
      </c>
      <c r="K1004">
        <v>3</v>
      </c>
      <c r="L1004">
        <v>4</v>
      </c>
      <c r="M1004">
        <v>5</v>
      </c>
      <c r="N1004">
        <v>3</v>
      </c>
      <c r="O1004">
        <v>4</v>
      </c>
      <c r="P1004">
        <v>4</v>
      </c>
      <c r="Q1004">
        <v>2</v>
      </c>
      <c r="R1004">
        <v>5</v>
      </c>
      <c r="S1004">
        <v>2</v>
      </c>
      <c r="T1004">
        <v>1</v>
      </c>
      <c r="U1004" t="s">
        <v>30</v>
      </c>
      <c r="V1004" t="s">
        <v>58</v>
      </c>
      <c r="W1004" t="s">
        <v>32</v>
      </c>
      <c r="X1004" t="s">
        <v>44</v>
      </c>
      <c r="Y1004">
        <v>28</v>
      </c>
      <c r="Z1004" s="1">
        <v>45364</v>
      </c>
      <c r="AA1004" t="str" cm="1">
        <f t="array" ref="AA1004">_xlfn.IFS(AND(Table2[[#This Row],[Guest_Age]]&gt;=18,Table2[[#This Row],[Guest_Age]]&lt;=25),"Young Adults",AND(Table2[[#This Row],[Guest_Age]]&gt;=26,Table2[[#This Row],[Guest_Age]]&lt;=35),"Adults",AND(Table2[[#This Row],[Guest_Age]]&gt;=36,Table2[[#This Row],[Guest_Age]]&lt;=50),"Middle Aged Adults",Table2[[#This Row],[Guest_Age]]&gt;50,"Senior")</f>
        <v>Adults</v>
      </c>
      <c r="AB10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04" t="str" cm="1">
        <f t="array" ref="AC1004">_xlfn.IFS(Table2[[#This Row],[Satification_points]]&gt;=4.5,"GREAT",AND(Table2[[#This Row],[Satification_points]]&gt;=4,Table2[[#This Row],[Satification_points]]&lt;4.5),"GOOD",AND(Table2[[#This Row],[Satification_points]]&gt;=3,Table2[[#This Row],[Satification_points]]&lt;4),"AVERAGE",Table2[[#This Row],[Satification_points]]&lt;3,"POOR")</f>
        <v>AVERAGE</v>
      </c>
    </row>
    <row r="1005" spans="1:29" x14ac:dyDescent="0.3">
      <c r="A1005">
        <v>1004</v>
      </c>
      <c r="B1005">
        <v>54550</v>
      </c>
      <c r="C1005" t="s">
        <v>1053</v>
      </c>
      <c r="D1005" t="s">
        <v>26</v>
      </c>
      <c r="E1005" t="s">
        <v>52</v>
      </c>
      <c r="F1005" s="1">
        <v>45655</v>
      </c>
      <c r="G1005" s="1">
        <v>45656</v>
      </c>
      <c r="H1005">
        <v>13</v>
      </c>
      <c r="I1005" t="s">
        <v>28</v>
      </c>
      <c r="J1005" t="s">
        <v>40</v>
      </c>
      <c r="K1005">
        <v>3</v>
      </c>
      <c r="L1005">
        <v>2</v>
      </c>
      <c r="M1005">
        <v>4</v>
      </c>
      <c r="N1005">
        <v>4</v>
      </c>
      <c r="O1005">
        <v>1</v>
      </c>
      <c r="P1005">
        <v>3</v>
      </c>
      <c r="Q1005">
        <v>2</v>
      </c>
      <c r="R1005">
        <v>3</v>
      </c>
      <c r="S1005">
        <v>2</v>
      </c>
      <c r="T1005">
        <v>4</v>
      </c>
      <c r="U1005" t="s">
        <v>37</v>
      </c>
      <c r="V1005" t="s">
        <v>38</v>
      </c>
      <c r="W1005" t="s">
        <v>32</v>
      </c>
      <c r="X1005" t="s">
        <v>33</v>
      </c>
      <c r="Y1005">
        <v>40</v>
      </c>
      <c r="Z1005" s="1">
        <v>45656</v>
      </c>
      <c r="AA1005" t="str" cm="1">
        <f t="array" ref="AA10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05" t="str" cm="1">
        <f t="array" ref="AC1005">_xlfn.IFS(Table2[[#This Row],[Satification_points]]&gt;=4.5,"GREAT",AND(Table2[[#This Row],[Satification_points]]&gt;=4,Table2[[#This Row],[Satification_points]]&lt;4.5),"GOOD",AND(Table2[[#This Row],[Satification_points]]&gt;=3,Table2[[#This Row],[Satification_points]]&lt;4),"AVERAGE",Table2[[#This Row],[Satification_points]]&lt;3,"POOR")</f>
        <v>POOR</v>
      </c>
    </row>
    <row r="1006" spans="1:29" x14ac:dyDescent="0.3">
      <c r="A1006">
        <v>1005</v>
      </c>
      <c r="B1006">
        <v>90116</v>
      </c>
      <c r="C1006" t="s">
        <v>1054</v>
      </c>
      <c r="D1006" t="s">
        <v>41</v>
      </c>
      <c r="E1006" t="s">
        <v>57</v>
      </c>
      <c r="F1006" s="1">
        <v>45414</v>
      </c>
      <c r="G1006" s="1">
        <v>45415</v>
      </c>
      <c r="H1006">
        <v>13</v>
      </c>
      <c r="I1006" t="s">
        <v>28</v>
      </c>
      <c r="J1006" t="s">
        <v>43</v>
      </c>
      <c r="K1006">
        <v>5</v>
      </c>
      <c r="L1006">
        <v>4</v>
      </c>
      <c r="M1006">
        <v>2</v>
      </c>
      <c r="N1006">
        <v>2</v>
      </c>
      <c r="O1006">
        <v>5</v>
      </c>
      <c r="P1006">
        <v>3</v>
      </c>
      <c r="Q1006">
        <v>3</v>
      </c>
      <c r="R1006">
        <v>3</v>
      </c>
      <c r="S1006">
        <v>4</v>
      </c>
      <c r="T1006">
        <v>2</v>
      </c>
      <c r="U1006" t="s">
        <v>37</v>
      </c>
      <c r="V1006" t="s">
        <v>46</v>
      </c>
      <c r="W1006" t="s">
        <v>47</v>
      </c>
      <c r="X1006" t="s">
        <v>44</v>
      </c>
      <c r="Y1006">
        <v>60</v>
      </c>
      <c r="Z1006" s="1">
        <v>45415</v>
      </c>
      <c r="AA1006" t="str" cm="1">
        <f t="array" ref="AA1006">_xlfn.IFS(AND(Table2[[#This Row],[Guest_Age]]&gt;=18,Table2[[#This Row],[Guest_Age]]&lt;=25),"Young Adults",AND(Table2[[#This Row],[Guest_Age]]&gt;=26,Table2[[#This Row],[Guest_Age]]&lt;=35),"Adults",AND(Table2[[#This Row],[Guest_Age]]&gt;=36,Table2[[#This Row],[Guest_Age]]&lt;=50),"Middle Aged Adults",Table2[[#This Row],[Guest_Age]]&gt;50,"Senior")</f>
        <v>Senior</v>
      </c>
      <c r="AB10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06" t="str" cm="1">
        <f t="array" ref="AC1006">_xlfn.IFS(Table2[[#This Row],[Satification_points]]&gt;=4.5,"GREAT",AND(Table2[[#This Row],[Satification_points]]&gt;=4,Table2[[#This Row],[Satification_points]]&lt;4.5),"GOOD",AND(Table2[[#This Row],[Satification_points]]&gt;=3,Table2[[#This Row],[Satification_points]]&lt;4),"AVERAGE",Table2[[#This Row],[Satification_points]]&lt;3,"POOR")</f>
        <v>AVERAGE</v>
      </c>
    </row>
    <row r="1007" spans="1:29" x14ac:dyDescent="0.3">
      <c r="A1007">
        <v>1006</v>
      </c>
      <c r="B1007">
        <v>54758</v>
      </c>
      <c r="C1007" t="s">
        <v>1055</v>
      </c>
      <c r="D1007" t="s">
        <v>51</v>
      </c>
      <c r="E1007" t="s">
        <v>57</v>
      </c>
      <c r="F1007" s="1">
        <v>45331</v>
      </c>
      <c r="G1007" s="1">
        <v>45332</v>
      </c>
      <c r="H1007">
        <v>12</v>
      </c>
      <c r="I1007" t="s">
        <v>28</v>
      </c>
      <c r="J1007" t="s">
        <v>29</v>
      </c>
      <c r="K1007">
        <v>3</v>
      </c>
      <c r="L1007">
        <v>4</v>
      </c>
      <c r="M1007">
        <v>1</v>
      </c>
      <c r="N1007">
        <v>2</v>
      </c>
      <c r="O1007">
        <v>1</v>
      </c>
      <c r="P1007">
        <v>4</v>
      </c>
      <c r="Q1007">
        <v>2</v>
      </c>
      <c r="R1007">
        <v>1</v>
      </c>
      <c r="S1007">
        <v>2</v>
      </c>
      <c r="T1007">
        <v>3</v>
      </c>
      <c r="U1007" t="s">
        <v>30</v>
      </c>
      <c r="V1007" t="s">
        <v>46</v>
      </c>
      <c r="W1007" t="s">
        <v>47</v>
      </c>
      <c r="X1007" t="s">
        <v>40</v>
      </c>
      <c r="Y1007">
        <v>68</v>
      </c>
      <c r="Z1007" s="1">
        <v>45516</v>
      </c>
      <c r="AA1007" t="str" cm="1">
        <f t="array" ref="AA1007">_xlfn.IFS(AND(Table2[[#This Row],[Guest_Age]]&gt;=18,Table2[[#This Row],[Guest_Age]]&lt;=25),"Young Adults",AND(Table2[[#This Row],[Guest_Age]]&gt;=26,Table2[[#This Row],[Guest_Age]]&lt;=35),"Adults",AND(Table2[[#This Row],[Guest_Age]]&gt;=36,Table2[[#This Row],[Guest_Age]]&lt;=50),"Middle Aged Adults",Table2[[#This Row],[Guest_Age]]&gt;50,"Senior")</f>
        <v>Senior</v>
      </c>
      <c r="AB10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007" t="str" cm="1">
        <f t="array" ref="AC1007">_xlfn.IFS(Table2[[#This Row],[Satification_points]]&gt;=4.5,"GREAT",AND(Table2[[#This Row],[Satification_points]]&gt;=4,Table2[[#This Row],[Satification_points]]&lt;4.5),"GOOD",AND(Table2[[#This Row],[Satification_points]]&gt;=3,Table2[[#This Row],[Satification_points]]&lt;4),"AVERAGE",Table2[[#This Row],[Satification_points]]&lt;3,"POOR")</f>
        <v>POOR</v>
      </c>
    </row>
    <row r="1008" spans="1:29" x14ac:dyDescent="0.3">
      <c r="A1008">
        <v>1007</v>
      </c>
      <c r="B1008">
        <v>80355</v>
      </c>
      <c r="C1008" t="s">
        <v>1056</v>
      </c>
      <c r="D1008" t="s">
        <v>26</v>
      </c>
      <c r="E1008" t="s">
        <v>35</v>
      </c>
      <c r="F1008" s="1">
        <v>45305</v>
      </c>
      <c r="G1008" s="1">
        <v>45306</v>
      </c>
      <c r="H1008">
        <v>13</v>
      </c>
      <c r="I1008" t="s">
        <v>50</v>
      </c>
      <c r="J1008" t="s">
        <v>40</v>
      </c>
      <c r="K1008">
        <v>3</v>
      </c>
      <c r="L1008">
        <v>5</v>
      </c>
      <c r="M1008">
        <v>5</v>
      </c>
      <c r="N1008">
        <v>4</v>
      </c>
      <c r="O1008">
        <v>5</v>
      </c>
      <c r="P1008">
        <v>4</v>
      </c>
      <c r="Q1008">
        <v>5</v>
      </c>
      <c r="R1008">
        <v>4</v>
      </c>
      <c r="S1008">
        <v>3</v>
      </c>
      <c r="T1008">
        <v>1</v>
      </c>
      <c r="U1008" t="s">
        <v>30</v>
      </c>
      <c r="V1008" t="s">
        <v>58</v>
      </c>
      <c r="W1008" t="s">
        <v>39</v>
      </c>
      <c r="X1008" t="s">
        <v>33</v>
      </c>
      <c r="Y1008">
        <v>68</v>
      </c>
      <c r="Z1008" s="1">
        <v>45306</v>
      </c>
      <c r="AA1008" t="str" cm="1">
        <f t="array" ref="AA1008">_xlfn.IFS(AND(Table2[[#This Row],[Guest_Age]]&gt;=18,Table2[[#This Row],[Guest_Age]]&lt;=25),"Young Adults",AND(Table2[[#This Row],[Guest_Age]]&gt;=26,Table2[[#This Row],[Guest_Age]]&lt;=35),"Adults",AND(Table2[[#This Row],[Guest_Age]]&gt;=36,Table2[[#This Row],[Guest_Age]]&lt;=50),"Middle Aged Adults",Table2[[#This Row],[Guest_Age]]&gt;50,"Senior")</f>
        <v>Senior</v>
      </c>
      <c r="AB10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008" t="str" cm="1">
        <f t="array" ref="AC1008">_xlfn.IFS(Table2[[#This Row],[Satification_points]]&gt;=4.5,"GREAT",AND(Table2[[#This Row],[Satification_points]]&gt;=4,Table2[[#This Row],[Satification_points]]&lt;4.5),"GOOD",AND(Table2[[#This Row],[Satification_points]]&gt;=3,Table2[[#This Row],[Satification_points]]&lt;4),"AVERAGE",Table2[[#This Row],[Satification_points]]&lt;3,"POOR")</f>
        <v>AVERAGE</v>
      </c>
    </row>
    <row r="1009" spans="1:29" x14ac:dyDescent="0.3">
      <c r="A1009">
        <v>1008</v>
      </c>
      <c r="B1009">
        <v>15919</v>
      </c>
      <c r="C1009" t="s">
        <v>1057</v>
      </c>
      <c r="D1009" t="s">
        <v>51</v>
      </c>
      <c r="E1009" t="s">
        <v>52</v>
      </c>
      <c r="F1009" s="1">
        <v>45207</v>
      </c>
      <c r="G1009" s="1">
        <v>45208</v>
      </c>
      <c r="H1009">
        <v>7</v>
      </c>
      <c r="I1009" t="s">
        <v>28</v>
      </c>
      <c r="J1009" t="s">
        <v>40</v>
      </c>
      <c r="K1009">
        <v>5</v>
      </c>
      <c r="L1009">
        <v>1</v>
      </c>
      <c r="M1009">
        <v>2</v>
      </c>
      <c r="N1009">
        <v>2</v>
      </c>
      <c r="O1009">
        <v>3</v>
      </c>
      <c r="P1009">
        <v>4</v>
      </c>
      <c r="Q1009">
        <v>5</v>
      </c>
      <c r="R1009">
        <v>4</v>
      </c>
      <c r="S1009">
        <v>2</v>
      </c>
      <c r="T1009">
        <v>1</v>
      </c>
      <c r="U1009" t="s">
        <v>30</v>
      </c>
      <c r="V1009" t="s">
        <v>54</v>
      </c>
      <c r="W1009" t="s">
        <v>39</v>
      </c>
      <c r="X1009" t="s">
        <v>44</v>
      </c>
      <c r="Y1009">
        <v>60</v>
      </c>
      <c r="Z1009" s="1">
        <v>45208</v>
      </c>
      <c r="AA1009" t="str" cm="1">
        <f t="array" ref="AA1009">_xlfn.IFS(AND(Table2[[#This Row],[Guest_Age]]&gt;=18,Table2[[#This Row],[Guest_Age]]&lt;=25),"Young Adults",AND(Table2[[#This Row],[Guest_Age]]&gt;=26,Table2[[#This Row],[Guest_Age]]&lt;=35),"Adults",AND(Table2[[#This Row],[Guest_Age]]&gt;=36,Table2[[#This Row],[Guest_Age]]&lt;=50),"Middle Aged Adults",Table2[[#This Row],[Guest_Age]]&gt;50,"Senior")</f>
        <v>Senior</v>
      </c>
      <c r="AB10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009" t="str" cm="1">
        <f t="array" ref="AC1009">_xlfn.IFS(Table2[[#This Row],[Satification_points]]&gt;=4.5,"GREAT",AND(Table2[[#This Row],[Satification_points]]&gt;=4,Table2[[#This Row],[Satification_points]]&lt;4.5),"GOOD",AND(Table2[[#This Row],[Satification_points]]&gt;=3,Table2[[#This Row],[Satification_points]]&lt;4),"AVERAGE",Table2[[#This Row],[Satification_points]]&lt;3,"POOR")</f>
        <v>POOR</v>
      </c>
    </row>
    <row r="1010" spans="1:29" x14ac:dyDescent="0.3">
      <c r="A1010">
        <v>1009</v>
      </c>
      <c r="B1010">
        <v>34793</v>
      </c>
      <c r="C1010" t="s">
        <v>1058</v>
      </c>
      <c r="D1010" t="s">
        <v>51</v>
      </c>
      <c r="E1010" t="s">
        <v>57</v>
      </c>
      <c r="F1010" s="1">
        <v>45563</v>
      </c>
      <c r="G1010" s="1">
        <v>45564</v>
      </c>
      <c r="H1010">
        <v>13</v>
      </c>
      <c r="I1010" t="s">
        <v>42</v>
      </c>
      <c r="J1010" t="s">
        <v>36</v>
      </c>
      <c r="K1010">
        <v>2</v>
      </c>
      <c r="L1010">
        <v>4</v>
      </c>
      <c r="M1010">
        <v>5</v>
      </c>
      <c r="N1010">
        <v>5</v>
      </c>
      <c r="O1010">
        <v>4</v>
      </c>
      <c r="P1010">
        <v>3</v>
      </c>
      <c r="Q1010">
        <v>2</v>
      </c>
      <c r="R1010">
        <v>1</v>
      </c>
      <c r="S1010">
        <v>1</v>
      </c>
      <c r="T1010">
        <v>2</v>
      </c>
      <c r="U1010" t="s">
        <v>30</v>
      </c>
      <c r="V1010" t="s">
        <v>31</v>
      </c>
      <c r="W1010" t="s">
        <v>56</v>
      </c>
      <c r="X1010" t="s">
        <v>33</v>
      </c>
      <c r="Y1010">
        <v>42</v>
      </c>
      <c r="Z1010" s="1">
        <v>45564</v>
      </c>
      <c r="AA1010" t="str" cm="1">
        <f t="array" ref="AA10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010" t="str" cm="1">
        <f t="array" ref="AC1010">_xlfn.IFS(Table2[[#This Row],[Satification_points]]&gt;=4.5,"GREAT",AND(Table2[[#This Row],[Satification_points]]&gt;=4,Table2[[#This Row],[Satification_points]]&lt;4.5),"GOOD",AND(Table2[[#This Row],[Satification_points]]&gt;=3,Table2[[#This Row],[Satification_points]]&lt;4),"AVERAGE",Table2[[#This Row],[Satification_points]]&lt;3,"POOR")</f>
        <v>POOR</v>
      </c>
    </row>
    <row r="1011" spans="1:29" x14ac:dyDescent="0.3">
      <c r="A1011">
        <v>1010</v>
      </c>
      <c r="B1011">
        <v>78346</v>
      </c>
      <c r="C1011" t="s">
        <v>1059</v>
      </c>
      <c r="D1011" t="s">
        <v>48</v>
      </c>
      <c r="E1011" t="s">
        <v>52</v>
      </c>
      <c r="F1011" s="1">
        <v>45617</v>
      </c>
      <c r="G1011" s="1">
        <v>45618</v>
      </c>
      <c r="H1011">
        <v>6</v>
      </c>
      <c r="I1011" t="s">
        <v>28</v>
      </c>
      <c r="J1011" t="s">
        <v>36</v>
      </c>
      <c r="K1011">
        <v>5</v>
      </c>
      <c r="L1011">
        <v>2</v>
      </c>
      <c r="M1011">
        <v>5</v>
      </c>
      <c r="N1011">
        <v>5</v>
      </c>
      <c r="O1011">
        <v>1</v>
      </c>
      <c r="P1011">
        <v>1</v>
      </c>
      <c r="Q1011">
        <v>2</v>
      </c>
      <c r="R1011">
        <v>4</v>
      </c>
      <c r="S1011">
        <v>4</v>
      </c>
      <c r="T1011">
        <v>1</v>
      </c>
      <c r="U1011" t="s">
        <v>30</v>
      </c>
      <c r="V1011" t="s">
        <v>54</v>
      </c>
      <c r="W1011" t="s">
        <v>55</v>
      </c>
      <c r="X1011" t="s">
        <v>44</v>
      </c>
      <c r="Y1011">
        <v>32</v>
      </c>
      <c r="Z1011" s="1">
        <v>45618</v>
      </c>
      <c r="AA1011" t="str" cm="1">
        <f t="array" ref="AA1011">_xlfn.IFS(AND(Table2[[#This Row],[Guest_Age]]&gt;=18,Table2[[#This Row],[Guest_Age]]&lt;=25),"Young Adults",AND(Table2[[#This Row],[Guest_Age]]&gt;=26,Table2[[#This Row],[Guest_Age]]&lt;=35),"Adults",AND(Table2[[#This Row],[Guest_Age]]&gt;=36,Table2[[#This Row],[Guest_Age]]&lt;=50),"Middle Aged Adults",Table2[[#This Row],[Guest_Age]]&gt;50,"Senior")</f>
        <v>Adults</v>
      </c>
      <c r="AB10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11" t="str" cm="1">
        <f t="array" ref="AC1011">_xlfn.IFS(Table2[[#This Row],[Satification_points]]&gt;=4.5,"GREAT",AND(Table2[[#This Row],[Satification_points]]&gt;=4,Table2[[#This Row],[Satification_points]]&lt;4.5),"GOOD",AND(Table2[[#This Row],[Satification_points]]&gt;=3,Table2[[#This Row],[Satification_points]]&lt;4),"AVERAGE",Table2[[#This Row],[Satification_points]]&lt;3,"POOR")</f>
        <v>AVERAGE</v>
      </c>
    </row>
    <row r="1012" spans="1:29" x14ac:dyDescent="0.3">
      <c r="A1012">
        <v>1011</v>
      </c>
      <c r="B1012">
        <v>46183</v>
      </c>
      <c r="C1012" t="s">
        <v>1060</v>
      </c>
      <c r="D1012" t="s">
        <v>51</v>
      </c>
      <c r="E1012" t="s">
        <v>35</v>
      </c>
      <c r="F1012" s="1">
        <v>45253</v>
      </c>
      <c r="G1012" s="1">
        <v>45254</v>
      </c>
      <c r="H1012">
        <v>10</v>
      </c>
      <c r="I1012" t="s">
        <v>42</v>
      </c>
      <c r="J1012" t="s">
        <v>43</v>
      </c>
      <c r="K1012">
        <v>5</v>
      </c>
      <c r="L1012">
        <v>2</v>
      </c>
      <c r="M1012">
        <v>1</v>
      </c>
      <c r="N1012">
        <v>4</v>
      </c>
      <c r="O1012">
        <v>2</v>
      </c>
      <c r="P1012">
        <v>2</v>
      </c>
      <c r="Q1012">
        <v>5</v>
      </c>
      <c r="R1012">
        <v>5</v>
      </c>
      <c r="S1012">
        <v>2</v>
      </c>
      <c r="T1012">
        <v>3</v>
      </c>
      <c r="U1012" t="s">
        <v>37</v>
      </c>
      <c r="V1012" t="s">
        <v>31</v>
      </c>
      <c r="W1012" t="s">
        <v>32</v>
      </c>
      <c r="X1012" t="s">
        <v>44</v>
      </c>
      <c r="Y1012">
        <v>27</v>
      </c>
      <c r="Z1012" s="1">
        <v>45273</v>
      </c>
      <c r="AA1012" t="str" cm="1">
        <f t="array" ref="AA1012">_xlfn.IFS(AND(Table2[[#This Row],[Guest_Age]]&gt;=18,Table2[[#This Row],[Guest_Age]]&lt;=25),"Young Adults",AND(Table2[[#This Row],[Guest_Age]]&gt;=26,Table2[[#This Row],[Guest_Age]]&lt;=35),"Adults",AND(Table2[[#This Row],[Guest_Age]]&gt;=36,Table2[[#This Row],[Guest_Age]]&lt;=50),"Middle Aged Adults",Table2[[#This Row],[Guest_Age]]&gt;50,"Senior")</f>
        <v>Adults</v>
      </c>
      <c r="AB10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12" t="str" cm="1">
        <f t="array" ref="AC1012">_xlfn.IFS(Table2[[#This Row],[Satification_points]]&gt;=4.5,"GREAT",AND(Table2[[#This Row],[Satification_points]]&gt;=4,Table2[[#This Row],[Satification_points]]&lt;4.5),"GOOD",AND(Table2[[#This Row],[Satification_points]]&gt;=3,Table2[[#This Row],[Satification_points]]&lt;4),"AVERAGE",Table2[[#This Row],[Satification_points]]&lt;3,"POOR")</f>
        <v>AVERAGE</v>
      </c>
    </row>
    <row r="1013" spans="1:29" x14ac:dyDescent="0.3">
      <c r="A1013">
        <v>1012</v>
      </c>
      <c r="B1013">
        <v>97872</v>
      </c>
      <c r="C1013" t="s">
        <v>1061</v>
      </c>
      <c r="D1013" t="s">
        <v>34</v>
      </c>
      <c r="E1013" t="s">
        <v>27</v>
      </c>
      <c r="F1013" s="1">
        <v>44961</v>
      </c>
      <c r="G1013" s="1">
        <v>45095</v>
      </c>
      <c r="H1013">
        <v>14</v>
      </c>
      <c r="I1013" t="s">
        <v>49</v>
      </c>
      <c r="J1013" t="s">
        <v>43</v>
      </c>
      <c r="K1013">
        <v>1</v>
      </c>
      <c r="L1013">
        <v>5</v>
      </c>
      <c r="M1013">
        <v>3</v>
      </c>
      <c r="N1013">
        <v>5</v>
      </c>
      <c r="O1013">
        <v>2</v>
      </c>
      <c r="P1013">
        <v>1</v>
      </c>
      <c r="Q1013">
        <v>5</v>
      </c>
      <c r="R1013">
        <v>2</v>
      </c>
      <c r="S1013">
        <v>1</v>
      </c>
      <c r="T1013">
        <v>4</v>
      </c>
      <c r="U1013" t="s">
        <v>37</v>
      </c>
      <c r="V1013" t="s">
        <v>46</v>
      </c>
      <c r="W1013" t="s">
        <v>32</v>
      </c>
      <c r="X1013" t="s">
        <v>33</v>
      </c>
      <c r="Y1013">
        <v>37</v>
      </c>
      <c r="Z1013" s="1">
        <v>45095</v>
      </c>
      <c r="AA1013" t="str" cm="1">
        <f t="array" ref="AA10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013" t="str" cm="1">
        <f t="array" ref="AC1013">_xlfn.IFS(Table2[[#This Row],[Satification_points]]&gt;=4.5,"GREAT",AND(Table2[[#This Row],[Satification_points]]&gt;=4,Table2[[#This Row],[Satification_points]]&lt;4.5),"GOOD",AND(Table2[[#This Row],[Satification_points]]&gt;=3,Table2[[#This Row],[Satification_points]]&lt;4),"AVERAGE",Table2[[#This Row],[Satification_points]]&lt;3,"POOR")</f>
        <v>POOR</v>
      </c>
    </row>
    <row r="1014" spans="1:29" x14ac:dyDescent="0.3">
      <c r="A1014">
        <v>1013</v>
      </c>
      <c r="B1014">
        <v>64585</v>
      </c>
      <c r="C1014" t="s">
        <v>1062</v>
      </c>
      <c r="D1014" t="s">
        <v>26</v>
      </c>
      <c r="E1014" t="s">
        <v>45</v>
      </c>
      <c r="F1014" s="1">
        <v>44996</v>
      </c>
      <c r="G1014" s="1">
        <v>45501</v>
      </c>
      <c r="H1014">
        <v>3</v>
      </c>
      <c r="I1014" t="s">
        <v>49</v>
      </c>
      <c r="J1014" t="s">
        <v>36</v>
      </c>
      <c r="K1014">
        <v>3</v>
      </c>
      <c r="L1014">
        <v>4</v>
      </c>
      <c r="M1014">
        <v>2</v>
      </c>
      <c r="N1014">
        <v>3</v>
      </c>
      <c r="O1014">
        <v>5</v>
      </c>
      <c r="P1014">
        <v>3</v>
      </c>
      <c r="Q1014">
        <v>3</v>
      </c>
      <c r="R1014">
        <v>5</v>
      </c>
      <c r="S1014">
        <v>3</v>
      </c>
      <c r="T1014">
        <v>3</v>
      </c>
      <c r="U1014" t="s">
        <v>37</v>
      </c>
      <c r="V1014" t="s">
        <v>58</v>
      </c>
      <c r="W1014" t="s">
        <v>39</v>
      </c>
      <c r="X1014" t="s">
        <v>44</v>
      </c>
      <c r="Y1014">
        <v>33</v>
      </c>
      <c r="Z1014" s="1">
        <v>45588</v>
      </c>
      <c r="AA1014" t="str" cm="1">
        <f t="array" ref="AA1014">_xlfn.IFS(AND(Table2[[#This Row],[Guest_Age]]&gt;=18,Table2[[#This Row],[Guest_Age]]&lt;=25),"Young Adults",AND(Table2[[#This Row],[Guest_Age]]&gt;=26,Table2[[#This Row],[Guest_Age]]&lt;=35),"Adults",AND(Table2[[#This Row],[Guest_Age]]&gt;=36,Table2[[#This Row],[Guest_Age]]&lt;=50),"Middle Aged Adults",Table2[[#This Row],[Guest_Age]]&gt;50,"Senior")</f>
        <v>Adults</v>
      </c>
      <c r="AB10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14" t="str" cm="1">
        <f t="array" ref="AC1014">_xlfn.IFS(Table2[[#This Row],[Satification_points]]&gt;=4.5,"GREAT",AND(Table2[[#This Row],[Satification_points]]&gt;=4,Table2[[#This Row],[Satification_points]]&lt;4.5),"GOOD",AND(Table2[[#This Row],[Satification_points]]&gt;=3,Table2[[#This Row],[Satification_points]]&lt;4),"AVERAGE",Table2[[#This Row],[Satification_points]]&lt;3,"POOR")</f>
        <v>AVERAGE</v>
      </c>
    </row>
    <row r="1015" spans="1:29" x14ac:dyDescent="0.3">
      <c r="A1015">
        <v>1014</v>
      </c>
      <c r="B1015">
        <v>11716</v>
      </c>
      <c r="C1015" t="s">
        <v>1063</v>
      </c>
      <c r="D1015" t="s">
        <v>34</v>
      </c>
      <c r="E1015" t="s">
        <v>35</v>
      </c>
      <c r="F1015" s="1">
        <v>45286</v>
      </c>
      <c r="G1015" s="1">
        <v>45287</v>
      </c>
      <c r="H1015">
        <v>8</v>
      </c>
      <c r="I1015" t="s">
        <v>28</v>
      </c>
      <c r="J1015" t="s">
        <v>53</v>
      </c>
      <c r="K1015">
        <v>3</v>
      </c>
      <c r="L1015">
        <v>2</v>
      </c>
      <c r="M1015">
        <v>4</v>
      </c>
      <c r="N1015">
        <v>2</v>
      </c>
      <c r="O1015">
        <v>5</v>
      </c>
      <c r="P1015">
        <v>1</v>
      </c>
      <c r="Q1015">
        <v>4</v>
      </c>
      <c r="R1015">
        <v>1</v>
      </c>
      <c r="S1015">
        <v>3</v>
      </c>
      <c r="T1015">
        <v>5</v>
      </c>
      <c r="U1015" t="s">
        <v>37</v>
      </c>
      <c r="V1015" t="s">
        <v>54</v>
      </c>
      <c r="W1015" t="s">
        <v>55</v>
      </c>
      <c r="X1015" t="s">
        <v>40</v>
      </c>
      <c r="Y1015">
        <v>52</v>
      </c>
      <c r="Z1015" s="1">
        <v>45287</v>
      </c>
      <c r="AA1015" t="str" cm="1">
        <f t="array" ref="AA1015">_xlfn.IFS(AND(Table2[[#This Row],[Guest_Age]]&gt;=18,Table2[[#This Row],[Guest_Age]]&lt;=25),"Young Adults",AND(Table2[[#This Row],[Guest_Age]]&gt;=26,Table2[[#This Row],[Guest_Age]]&lt;=35),"Adults",AND(Table2[[#This Row],[Guest_Age]]&gt;=36,Table2[[#This Row],[Guest_Age]]&lt;=50),"Middle Aged Adults",Table2[[#This Row],[Guest_Age]]&gt;50,"Senior")</f>
        <v>Senior</v>
      </c>
      <c r="AB10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15" t="str" cm="1">
        <f t="array" ref="AC1015">_xlfn.IFS(Table2[[#This Row],[Satification_points]]&gt;=4.5,"GREAT",AND(Table2[[#This Row],[Satification_points]]&gt;=4,Table2[[#This Row],[Satification_points]]&lt;4.5),"GOOD",AND(Table2[[#This Row],[Satification_points]]&gt;=3,Table2[[#This Row],[Satification_points]]&lt;4),"AVERAGE",Table2[[#This Row],[Satification_points]]&lt;3,"POOR")</f>
        <v>AVERAGE</v>
      </c>
    </row>
    <row r="1016" spans="1:29" x14ac:dyDescent="0.3">
      <c r="A1016">
        <v>1015</v>
      </c>
      <c r="B1016">
        <v>99817</v>
      </c>
      <c r="C1016" t="s">
        <v>1064</v>
      </c>
      <c r="D1016" t="s">
        <v>51</v>
      </c>
      <c r="E1016" t="s">
        <v>35</v>
      </c>
      <c r="F1016" s="1">
        <v>45616</v>
      </c>
      <c r="G1016" s="1">
        <v>45617</v>
      </c>
      <c r="H1016">
        <v>12</v>
      </c>
      <c r="I1016" t="s">
        <v>28</v>
      </c>
      <c r="J1016" t="s">
        <v>43</v>
      </c>
      <c r="K1016">
        <v>2</v>
      </c>
      <c r="L1016">
        <v>2</v>
      </c>
      <c r="M1016">
        <v>5</v>
      </c>
      <c r="N1016">
        <v>3</v>
      </c>
      <c r="O1016">
        <v>4</v>
      </c>
      <c r="P1016">
        <v>4</v>
      </c>
      <c r="Q1016">
        <v>5</v>
      </c>
      <c r="R1016">
        <v>4</v>
      </c>
      <c r="S1016">
        <v>1</v>
      </c>
      <c r="T1016">
        <v>1</v>
      </c>
      <c r="U1016" t="s">
        <v>30</v>
      </c>
      <c r="V1016" t="s">
        <v>58</v>
      </c>
      <c r="W1016" t="s">
        <v>39</v>
      </c>
      <c r="X1016" t="s">
        <v>44</v>
      </c>
      <c r="Y1016">
        <v>51</v>
      </c>
      <c r="Z1016" s="1">
        <v>45617</v>
      </c>
      <c r="AA1016" t="str" cm="1">
        <f t="array" ref="AA1016">_xlfn.IFS(AND(Table2[[#This Row],[Guest_Age]]&gt;=18,Table2[[#This Row],[Guest_Age]]&lt;=25),"Young Adults",AND(Table2[[#This Row],[Guest_Age]]&gt;=26,Table2[[#This Row],[Guest_Age]]&lt;=35),"Adults",AND(Table2[[#This Row],[Guest_Age]]&gt;=36,Table2[[#This Row],[Guest_Age]]&lt;=50),"Middle Aged Adults",Table2[[#This Row],[Guest_Age]]&gt;50,"Senior")</f>
        <v>Senior</v>
      </c>
      <c r="AB10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16" t="str" cm="1">
        <f t="array" ref="AC1016">_xlfn.IFS(Table2[[#This Row],[Satification_points]]&gt;=4.5,"GREAT",AND(Table2[[#This Row],[Satification_points]]&gt;=4,Table2[[#This Row],[Satification_points]]&lt;4.5),"GOOD",AND(Table2[[#This Row],[Satification_points]]&gt;=3,Table2[[#This Row],[Satification_points]]&lt;4),"AVERAGE",Table2[[#This Row],[Satification_points]]&lt;3,"POOR")</f>
        <v>AVERAGE</v>
      </c>
    </row>
    <row r="1017" spans="1:29" x14ac:dyDescent="0.3">
      <c r="A1017">
        <v>1016</v>
      </c>
      <c r="B1017">
        <v>10289</v>
      </c>
      <c r="C1017" t="s">
        <v>1065</v>
      </c>
      <c r="D1017" t="s">
        <v>51</v>
      </c>
      <c r="E1017" t="s">
        <v>35</v>
      </c>
      <c r="F1017" s="1">
        <v>45334</v>
      </c>
      <c r="G1017" s="1">
        <v>45335</v>
      </c>
      <c r="H1017">
        <v>14</v>
      </c>
      <c r="I1017" t="s">
        <v>42</v>
      </c>
      <c r="J1017" t="s">
        <v>53</v>
      </c>
      <c r="K1017">
        <v>5</v>
      </c>
      <c r="L1017">
        <v>5</v>
      </c>
      <c r="M1017">
        <v>2</v>
      </c>
      <c r="N1017">
        <v>4</v>
      </c>
      <c r="O1017">
        <v>5</v>
      </c>
      <c r="P1017">
        <v>5</v>
      </c>
      <c r="Q1017">
        <v>4</v>
      </c>
      <c r="R1017">
        <v>4</v>
      </c>
      <c r="S1017">
        <v>1</v>
      </c>
      <c r="T1017">
        <v>1</v>
      </c>
      <c r="U1017" t="s">
        <v>30</v>
      </c>
      <c r="V1017" t="s">
        <v>54</v>
      </c>
      <c r="W1017" t="s">
        <v>56</v>
      </c>
      <c r="X1017" t="s">
        <v>33</v>
      </c>
      <c r="Y1017">
        <v>38</v>
      </c>
      <c r="Z1017" s="1">
        <v>45627</v>
      </c>
      <c r="AA1017" t="str" cm="1">
        <f t="array" ref="AA10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17" t="str" cm="1">
        <f t="array" ref="AC1017">_xlfn.IFS(Table2[[#This Row],[Satification_points]]&gt;=4.5,"GREAT",AND(Table2[[#This Row],[Satification_points]]&gt;=4,Table2[[#This Row],[Satification_points]]&lt;4.5),"GOOD",AND(Table2[[#This Row],[Satification_points]]&gt;=3,Table2[[#This Row],[Satification_points]]&lt;4),"AVERAGE",Table2[[#This Row],[Satification_points]]&lt;3,"POOR")</f>
        <v>AVERAGE</v>
      </c>
    </row>
    <row r="1018" spans="1:29" x14ac:dyDescent="0.3">
      <c r="A1018">
        <v>1017</v>
      </c>
      <c r="B1018">
        <v>14697</v>
      </c>
      <c r="C1018" t="s">
        <v>1066</v>
      </c>
      <c r="D1018" t="s">
        <v>48</v>
      </c>
      <c r="E1018" t="s">
        <v>45</v>
      </c>
      <c r="F1018" s="1">
        <v>45487</v>
      </c>
      <c r="G1018" s="1">
        <v>45488</v>
      </c>
      <c r="H1018">
        <v>14</v>
      </c>
      <c r="I1018" t="s">
        <v>50</v>
      </c>
      <c r="J1018" t="s">
        <v>40</v>
      </c>
      <c r="K1018">
        <v>4</v>
      </c>
      <c r="L1018">
        <v>4</v>
      </c>
      <c r="M1018">
        <v>1</v>
      </c>
      <c r="N1018">
        <v>5</v>
      </c>
      <c r="O1018">
        <v>2</v>
      </c>
      <c r="P1018">
        <v>4</v>
      </c>
      <c r="Q1018">
        <v>4</v>
      </c>
      <c r="R1018">
        <v>2</v>
      </c>
      <c r="S1018">
        <v>2</v>
      </c>
      <c r="T1018">
        <v>3</v>
      </c>
      <c r="U1018" t="s">
        <v>30</v>
      </c>
      <c r="V1018" t="s">
        <v>54</v>
      </c>
      <c r="W1018" t="s">
        <v>56</v>
      </c>
      <c r="X1018" t="s">
        <v>33</v>
      </c>
      <c r="Y1018">
        <v>63</v>
      </c>
      <c r="Z1018" s="1">
        <v>45488</v>
      </c>
      <c r="AA1018" t="str" cm="1">
        <f t="array" ref="AA1018">_xlfn.IFS(AND(Table2[[#This Row],[Guest_Age]]&gt;=18,Table2[[#This Row],[Guest_Age]]&lt;=25),"Young Adults",AND(Table2[[#This Row],[Guest_Age]]&gt;=26,Table2[[#This Row],[Guest_Age]]&lt;=35),"Adults",AND(Table2[[#This Row],[Guest_Age]]&gt;=36,Table2[[#This Row],[Guest_Age]]&lt;=50),"Middle Aged Adults",Table2[[#This Row],[Guest_Age]]&gt;50,"Senior")</f>
        <v>Senior</v>
      </c>
      <c r="AB10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18" t="str" cm="1">
        <f t="array" ref="AC1018">_xlfn.IFS(Table2[[#This Row],[Satification_points]]&gt;=4.5,"GREAT",AND(Table2[[#This Row],[Satification_points]]&gt;=4,Table2[[#This Row],[Satification_points]]&lt;4.5),"GOOD",AND(Table2[[#This Row],[Satification_points]]&gt;=3,Table2[[#This Row],[Satification_points]]&lt;4),"AVERAGE",Table2[[#This Row],[Satification_points]]&lt;3,"POOR")</f>
        <v>AVERAGE</v>
      </c>
    </row>
    <row r="1019" spans="1:29" x14ac:dyDescent="0.3">
      <c r="A1019">
        <v>1018</v>
      </c>
      <c r="B1019">
        <v>58099</v>
      </c>
      <c r="C1019" t="s">
        <v>1067</v>
      </c>
      <c r="D1019" t="s">
        <v>48</v>
      </c>
      <c r="E1019" t="s">
        <v>57</v>
      </c>
      <c r="F1019" s="1">
        <v>45506</v>
      </c>
      <c r="G1019" s="1">
        <v>45507</v>
      </c>
      <c r="H1019">
        <v>5</v>
      </c>
      <c r="I1019" t="s">
        <v>42</v>
      </c>
      <c r="J1019" t="s">
        <v>29</v>
      </c>
      <c r="K1019">
        <v>2</v>
      </c>
      <c r="L1019">
        <v>5</v>
      </c>
      <c r="M1019">
        <v>2</v>
      </c>
      <c r="N1019">
        <v>3</v>
      </c>
      <c r="O1019">
        <v>1</v>
      </c>
      <c r="P1019">
        <v>2</v>
      </c>
      <c r="Q1019">
        <v>5</v>
      </c>
      <c r="R1019">
        <v>2</v>
      </c>
      <c r="S1019">
        <v>4</v>
      </c>
      <c r="T1019">
        <v>2</v>
      </c>
      <c r="U1019" t="s">
        <v>30</v>
      </c>
      <c r="V1019" t="s">
        <v>54</v>
      </c>
      <c r="W1019" t="s">
        <v>56</v>
      </c>
      <c r="X1019" t="s">
        <v>44</v>
      </c>
      <c r="Y1019">
        <v>64</v>
      </c>
      <c r="Z1019" s="1">
        <v>45507</v>
      </c>
      <c r="AA1019" t="str" cm="1">
        <f t="array" ref="AA1019">_xlfn.IFS(AND(Table2[[#This Row],[Guest_Age]]&gt;=18,Table2[[#This Row],[Guest_Age]]&lt;=25),"Young Adults",AND(Table2[[#This Row],[Guest_Age]]&gt;=26,Table2[[#This Row],[Guest_Age]]&lt;=35),"Adults",AND(Table2[[#This Row],[Guest_Age]]&gt;=36,Table2[[#This Row],[Guest_Age]]&lt;=50),"Middle Aged Adults",Table2[[#This Row],[Guest_Age]]&gt;50,"Senior")</f>
        <v>Senior</v>
      </c>
      <c r="AB10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19" t="str" cm="1">
        <f t="array" ref="AC1019">_xlfn.IFS(Table2[[#This Row],[Satification_points]]&gt;=4.5,"GREAT",AND(Table2[[#This Row],[Satification_points]]&gt;=4,Table2[[#This Row],[Satification_points]]&lt;4.5),"GOOD",AND(Table2[[#This Row],[Satification_points]]&gt;=3,Table2[[#This Row],[Satification_points]]&lt;4),"AVERAGE",Table2[[#This Row],[Satification_points]]&lt;3,"POOR")</f>
        <v>POOR</v>
      </c>
    </row>
    <row r="1020" spans="1:29" x14ac:dyDescent="0.3">
      <c r="A1020">
        <v>1019</v>
      </c>
      <c r="B1020">
        <v>73041</v>
      </c>
      <c r="C1020" t="s">
        <v>1068</v>
      </c>
      <c r="D1020" t="s">
        <v>48</v>
      </c>
      <c r="E1020" t="s">
        <v>52</v>
      </c>
      <c r="F1020" s="1">
        <v>45445</v>
      </c>
      <c r="G1020" s="1">
        <v>45463</v>
      </c>
      <c r="H1020">
        <v>2</v>
      </c>
      <c r="I1020" t="s">
        <v>49</v>
      </c>
      <c r="J1020" t="s">
        <v>53</v>
      </c>
      <c r="K1020">
        <v>2</v>
      </c>
      <c r="L1020">
        <v>4</v>
      </c>
      <c r="M1020">
        <v>4</v>
      </c>
      <c r="N1020">
        <v>3</v>
      </c>
      <c r="O1020">
        <v>1</v>
      </c>
      <c r="P1020">
        <v>4</v>
      </c>
      <c r="Q1020">
        <v>3</v>
      </c>
      <c r="R1020">
        <v>2</v>
      </c>
      <c r="S1020">
        <v>4</v>
      </c>
      <c r="T1020">
        <v>3</v>
      </c>
      <c r="U1020" t="s">
        <v>30</v>
      </c>
      <c r="V1020" t="s">
        <v>31</v>
      </c>
      <c r="W1020" t="s">
        <v>39</v>
      </c>
      <c r="X1020" t="s">
        <v>40</v>
      </c>
      <c r="Y1020">
        <v>57</v>
      </c>
      <c r="Z1020" s="1">
        <v>45463</v>
      </c>
      <c r="AA1020" t="str" cm="1">
        <f t="array" ref="AA1020">_xlfn.IFS(AND(Table2[[#This Row],[Guest_Age]]&gt;=18,Table2[[#This Row],[Guest_Age]]&lt;=25),"Young Adults",AND(Table2[[#This Row],[Guest_Age]]&gt;=26,Table2[[#This Row],[Guest_Age]]&lt;=35),"Adults",AND(Table2[[#This Row],[Guest_Age]]&gt;=36,Table2[[#This Row],[Guest_Age]]&lt;=50),"Middle Aged Adults",Table2[[#This Row],[Guest_Age]]&gt;50,"Senior")</f>
        <v>Senior</v>
      </c>
      <c r="AB10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20" t="str" cm="1">
        <f t="array" ref="AC1020">_xlfn.IFS(Table2[[#This Row],[Satification_points]]&gt;=4.5,"GREAT",AND(Table2[[#This Row],[Satification_points]]&gt;=4,Table2[[#This Row],[Satification_points]]&lt;4.5),"GOOD",AND(Table2[[#This Row],[Satification_points]]&gt;=3,Table2[[#This Row],[Satification_points]]&lt;4),"AVERAGE",Table2[[#This Row],[Satification_points]]&lt;3,"POOR")</f>
        <v>AVERAGE</v>
      </c>
    </row>
    <row r="1021" spans="1:29" x14ac:dyDescent="0.3">
      <c r="A1021">
        <v>1020</v>
      </c>
      <c r="B1021">
        <v>76145</v>
      </c>
      <c r="C1021" t="s">
        <v>1069</v>
      </c>
      <c r="D1021" t="s">
        <v>48</v>
      </c>
      <c r="E1021" t="s">
        <v>27</v>
      </c>
      <c r="F1021" s="1">
        <v>45532</v>
      </c>
      <c r="G1021" s="1">
        <v>45533</v>
      </c>
      <c r="H1021">
        <v>10</v>
      </c>
      <c r="I1021" t="s">
        <v>50</v>
      </c>
      <c r="J1021" t="s">
        <v>43</v>
      </c>
      <c r="K1021">
        <v>3</v>
      </c>
      <c r="L1021">
        <v>2</v>
      </c>
      <c r="M1021">
        <v>4</v>
      </c>
      <c r="N1021">
        <v>1</v>
      </c>
      <c r="O1021">
        <v>5</v>
      </c>
      <c r="P1021">
        <v>5</v>
      </c>
      <c r="Q1021">
        <v>2</v>
      </c>
      <c r="R1021">
        <v>5</v>
      </c>
      <c r="S1021">
        <v>5</v>
      </c>
      <c r="T1021">
        <v>4</v>
      </c>
      <c r="U1021" t="s">
        <v>37</v>
      </c>
      <c r="V1021" t="s">
        <v>58</v>
      </c>
      <c r="W1021" t="s">
        <v>55</v>
      </c>
      <c r="X1021" t="s">
        <v>44</v>
      </c>
      <c r="Y1021">
        <v>18</v>
      </c>
      <c r="Z1021" s="1">
        <v>45533</v>
      </c>
      <c r="AA1021" t="str" cm="1">
        <f t="array" ref="AA1021">_xlfn.IFS(AND(Table2[[#This Row],[Guest_Age]]&gt;=18,Table2[[#This Row],[Guest_Age]]&lt;=25),"Young Adults",AND(Table2[[#This Row],[Guest_Age]]&gt;=26,Table2[[#This Row],[Guest_Age]]&lt;=35),"Adults",AND(Table2[[#This Row],[Guest_Age]]&gt;=36,Table2[[#This Row],[Guest_Age]]&lt;=50),"Middle Aged Adults",Table2[[#This Row],[Guest_Age]]&gt;50,"Senior")</f>
        <v>Young Adults</v>
      </c>
      <c r="AB10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21" t="str" cm="1">
        <f t="array" ref="AC1021">_xlfn.IFS(Table2[[#This Row],[Satification_points]]&gt;=4.5,"GREAT",AND(Table2[[#This Row],[Satification_points]]&gt;=4,Table2[[#This Row],[Satification_points]]&lt;4.5),"GOOD",AND(Table2[[#This Row],[Satification_points]]&gt;=3,Table2[[#This Row],[Satification_points]]&lt;4),"AVERAGE",Table2[[#This Row],[Satification_points]]&lt;3,"POOR")</f>
        <v>AVERAGE</v>
      </c>
    </row>
    <row r="1022" spans="1:29" x14ac:dyDescent="0.3">
      <c r="A1022">
        <v>1021</v>
      </c>
      <c r="B1022">
        <v>12353</v>
      </c>
      <c r="C1022" t="s">
        <v>1070</v>
      </c>
      <c r="D1022" t="s">
        <v>41</v>
      </c>
      <c r="E1022" t="s">
        <v>27</v>
      </c>
      <c r="F1022" s="1">
        <v>45310</v>
      </c>
      <c r="G1022" s="1">
        <v>45428</v>
      </c>
      <c r="H1022">
        <v>14</v>
      </c>
      <c r="I1022" t="s">
        <v>42</v>
      </c>
      <c r="J1022" t="s">
        <v>36</v>
      </c>
      <c r="K1022">
        <v>3</v>
      </c>
      <c r="L1022">
        <v>1</v>
      </c>
      <c r="M1022">
        <v>1</v>
      </c>
      <c r="N1022">
        <v>3</v>
      </c>
      <c r="O1022">
        <v>5</v>
      </c>
      <c r="P1022">
        <v>3</v>
      </c>
      <c r="Q1022">
        <v>1</v>
      </c>
      <c r="R1022">
        <v>1</v>
      </c>
      <c r="S1022">
        <v>1</v>
      </c>
      <c r="T1022">
        <v>2</v>
      </c>
      <c r="U1022" t="s">
        <v>30</v>
      </c>
      <c r="V1022" t="s">
        <v>46</v>
      </c>
      <c r="W1022" t="s">
        <v>47</v>
      </c>
      <c r="X1022" t="s">
        <v>44</v>
      </c>
      <c r="Y1022">
        <v>42</v>
      </c>
      <c r="Z1022" s="1">
        <v>45428</v>
      </c>
      <c r="AA1022" t="str" cm="1">
        <f t="array" ref="AA102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022" t="str" cm="1">
        <f t="array" ref="AC1022">_xlfn.IFS(Table2[[#This Row],[Satification_points]]&gt;=4.5,"GREAT",AND(Table2[[#This Row],[Satification_points]]&gt;=4,Table2[[#This Row],[Satification_points]]&lt;4.5),"GOOD",AND(Table2[[#This Row],[Satification_points]]&gt;=3,Table2[[#This Row],[Satification_points]]&lt;4),"AVERAGE",Table2[[#This Row],[Satification_points]]&lt;3,"POOR")</f>
        <v>POOR</v>
      </c>
    </row>
    <row r="1023" spans="1:29" x14ac:dyDescent="0.3">
      <c r="A1023">
        <v>1022</v>
      </c>
      <c r="B1023">
        <v>26919</v>
      </c>
      <c r="C1023" t="s">
        <v>1071</v>
      </c>
      <c r="D1023" t="s">
        <v>48</v>
      </c>
      <c r="E1023" t="s">
        <v>45</v>
      </c>
      <c r="F1023" s="1">
        <v>45007</v>
      </c>
      <c r="G1023" s="1">
        <v>45065</v>
      </c>
      <c r="H1023">
        <v>3</v>
      </c>
      <c r="I1023" t="s">
        <v>28</v>
      </c>
      <c r="J1023" t="s">
        <v>36</v>
      </c>
      <c r="K1023">
        <v>3</v>
      </c>
      <c r="L1023">
        <v>2</v>
      </c>
      <c r="M1023">
        <v>2</v>
      </c>
      <c r="N1023">
        <v>5</v>
      </c>
      <c r="O1023">
        <v>2</v>
      </c>
      <c r="P1023">
        <v>1</v>
      </c>
      <c r="Q1023">
        <v>2</v>
      </c>
      <c r="R1023">
        <v>1</v>
      </c>
      <c r="S1023">
        <v>3</v>
      </c>
      <c r="T1023">
        <v>1</v>
      </c>
      <c r="U1023" t="s">
        <v>30</v>
      </c>
      <c r="V1023" t="s">
        <v>38</v>
      </c>
      <c r="W1023" t="s">
        <v>32</v>
      </c>
      <c r="X1023" t="s">
        <v>44</v>
      </c>
      <c r="Y1023">
        <v>63</v>
      </c>
      <c r="Z1023" s="1">
        <v>45592</v>
      </c>
      <c r="AA1023" t="str" cm="1">
        <f t="array" ref="AA1023">_xlfn.IFS(AND(Table2[[#This Row],[Guest_Age]]&gt;=18,Table2[[#This Row],[Guest_Age]]&lt;=25),"Young Adults",AND(Table2[[#This Row],[Guest_Age]]&gt;=26,Table2[[#This Row],[Guest_Age]]&lt;=35),"Adults",AND(Table2[[#This Row],[Guest_Age]]&gt;=36,Table2[[#This Row],[Guest_Age]]&lt;=50),"Middle Aged Adults",Table2[[#This Row],[Guest_Age]]&gt;50,"Senior")</f>
        <v>Senior</v>
      </c>
      <c r="AB10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023" t="str" cm="1">
        <f t="array" ref="AC1023">_xlfn.IFS(Table2[[#This Row],[Satification_points]]&gt;=4.5,"GREAT",AND(Table2[[#This Row],[Satification_points]]&gt;=4,Table2[[#This Row],[Satification_points]]&lt;4.5),"GOOD",AND(Table2[[#This Row],[Satification_points]]&gt;=3,Table2[[#This Row],[Satification_points]]&lt;4),"AVERAGE",Table2[[#This Row],[Satification_points]]&lt;3,"POOR")</f>
        <v>POOR</v>
      </c>
    </row>
    <row r="1024" spans="1:29" x14ac:dyDescent="0.3">
      <c r="A1024">
        <v>1023</v>
      </c>
      <c r="B1024">
        <v>95211</v>
      </c>
      <c r="C1024" t="s">
        <v>1072</v>
      </c>
      <c r="D1024" t="s">
        <v>51</v>
      </c>
      <c r="E1024" t="s">
        <v>27</v>
      </c>
      <c r="F1024" s="1">
        <v>45364</v>
      </c>
      <c r="G1024" s="1">
        <v>45365</v>
      </c>
      <c r="H1024">
        <v>7</v>
      </c>
      <c r="I1024" t="s">
        <v>49</v>
      </c>
      <c r="J1024" t="s">
        <v>29</v>
      </c>
      <c r="K1024">
        <v>3</v>
      </c>
      <c r="L1024">
        <v>1</v>
      </c>
      <c r="M1024">
        <v>3</v>
      </c>
      <c r="N1024">
        <v>2</v>
      </c>
      <c r="O1024">
        <v>3</v>
      </c>
      <c r="P1024">
        <v>4</v>
      </c>
      <c r="Q1024">
        <v>1</v>
      </c>
      <c r="R1024">
        <v>1</v>
      </c>
      <c r="S1024">
        <v>5</v>
      </c>
      <c r="T1024">
        <v>1</v>
      </c>
      <c r="U1024" t="s">
        <v>37</v>
      </c>
      <c r="V1024" t="s">
        <v>31</v>
      </c>
      <c r="W1024" t="s">
        <v>47</v>
      </c>
      <c r="X1024" t="s">
        <v>44</v>
      </c>
      <c r="Y1024">
        <v>31</v>
      </c>
      <c r="Z1024" s="1">
        <v>45366</v>
      </c>
      <c r="AA1024" t="str" cm="1">
        <f t="array" ref="AA1024">_xlfn.IFS(AND(Table2[[#This Row],[Guest_Age]]&gt;=18,Table2[[#This Row],[Guest_Age]]&lt;=25),"Young Adults",AND(Table2[[#This Row],[Guest_Age]]&gt;=26,Table2[[#This Row],[Guest_Age]]&lt;=35),"Adults",AND(Table2[[#This Row],[Guest_Age]]&gt;=36,Table2[[#This Row],[Guest_Age]]&lt;=50),"Middle Aged Adults",Table2[[#This Row],[Guest_Age]]&gt;50,"Senior")</f>
        <v>Adults</v>
      </c>
      <c r="AB10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024" t="str" cm="1">
        <f t="array" ref="AC1024">_xlfn.IFS(Table2[[#This Row],[Satification_points]]&gt;=4.5,"GREAT",AND(Table2[[#This Row],[Satification_points]]&gt;=4,Table2[[#This Row],[Satification_points]]&lt;4.5),"GOOD",AND(Table2[[#This Row],[Satification_points]]&gt;=3,Table2[[#This Row],[Satification_points]]&lt;4),"AVERAGE",Table2[[#This Row],[Satification_points]]&lt;3,"POOR")</f>
        <v>POOR</v>
      </c>
    </row>
    <row r="1025" spans="1:29" x14ac:dyDescent="0.3">
      <c r="A1025">
        <v>1024</v>
      </c>
      <c r="B1025">
        <v>30141</v>
      </c>
      <c r="C1025" t="s">
        <v>1073</v>
      </c>
      <c r="D1025" t="s">
        <v>51</v>
      </c>
      <c r="E1025" t="s">
        <v>45</v>
      </c>
      <c r="F1025" s="1">
        <v>45176</v>
      </c>
      <c r="G1025" s="1">
        <v>45177</v>
      </c>
      <c r="H1025">
        <v>10</v>
      </c>
      <c r="I1025" t="s">
        <v>49</v>
      </c>
      <c r="J1025" t="s">
        <v>29</v>
      </c>
      <c r="K1025">
        <v>2</v>
      </c>
      <c r="L1025">
        <v>4</v>
      </c>
      <c r="M1025">
        <v>3</v>
      </c>
      <c r="N1025">
        <v>2</v>
      </c>
      <c r="O1025">
        <v>1</v>
      </c>
      <c r="P1025">
        <v>1</v>
      </c>
      <c r="Q1025">
        <v>5</v>
      </c>
      <c r="R1025">
        <v>5</v>
      </c>
      <c r="S1025">
        <v>1</v>
      </c>
      <c r="T1025">
        <v>2</v>
      </c>
      <c r="U1025" t="s">
        <v>30</v>
      </c>
      <c r="V1025" t="s">
        <v>46</v>
      </c>
      <c r="W1025" t="s">
        <v>55</v>
      </c>
      <c r="X1025" t="s">
        <v>40</v>
      </c>
      <c r="Y1025">
        <v>36</v>
      </c>
      <c r="Z1025" s="1">
        <v>45599</v>
      </c>
      <c r="AA1025" t="str" cm="1">
        <f t="array" ref="AA10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25" t="str" cm="1">
        <f t="array" ref="AC1025">_xlfn.IFS(Table2[[#This Row],[Satification_points]]&gt;=4.5,"GREAT",AND(Table2[[#This Row],[Satification_points]]&gt;=4,Table2[[#This Row],[Satification_points]]&lt;4.5),"GOOD",AND(Table2[[#This Row],[Satification_points]]&gt;=3,Table2[[#This Row],[Satification_points]]&lt;4),"AVERAGE",Table2[[#This Row],[Satification_points]]&lt;3,"POOR")</f>
        <v>POOR</v>
      </c>
    </row>
    <row r="1026" spans="1:29" x14ac:dyDescent="0.3">
      <c r="A1026">
        <v>1025</v>
      </c>
      <c r="B1026">
        <v>84484</v>
      </c>
      <c r="C1026" t="s">
        <v>1074</v>
      </c>
      <c r="D1026" t="s">
        <v>26</v>
      </c>
      <c r="E1026" t="s">
        <v>45</v>
      </c>
      <c r="F1026" s="1">
        <v>44964</v>
      </c>
      <c r="G1026" s="1">
        <v>45174</v>
      </c>
      <c r="H1026">
        <v>9</v>
      </c>
      <c r="I1026" t="s">
        <v>28</v>
      </c>
      <c r="J1026" t="s">
        <v>40</v>
      </c>
      <c r="K1026">
        <v>5</v>
      </c>
      <c r="L1026">
        <v>4</v>
      </c>
      <c r="M1026">
        <v>5</v>
      </c>
      <c r="N1026">
        <v>2</v>
      </c>
      <c r="O1026">
        <v>5</v>
      </c>
      <c r="P1026">
        <v>2</v>
      </c>
      <c r="Q1026">
        <v>2</v>
      </c>
      <c r="R1026">
        <v>3</v>
      </c>
      <c r="S1026">
        <v>1</v>
      </c>
      <c r="T1026">
        <v>2</v>
      </c>
      <c r="U1026" t="s">
        <v>30</v>
      </c>
      <c r="V1026" t="s">
        <v>58</v>
      </c>
      <c r="W1026" t="s">
        <v>39</v>
      </c>
      <c r="X1026" t="s">
        <v>44</v>
      </c>
      <c r="Y1026">
        <v>25</v>
      </c>
      <c r="Z1026" s="1">
        <v>45439</v>
      </c>
      <c r="AA1026" t="str" cm="1">
        <f t="array" ref="AA1026">_xlfn.IFS(AND(Table2[[#This Row],[Guest_Age]]&gt;=18,Table2[[#This Row],[Guest_Age]]&lt;=25),"Young Adults",AND(Table2[[#This Row],[Guest_Age]]&gt;=26,Table2[[#This Row],[Guest_Age]]&lt;=35),"Adults",AND(Table2[[#This Row],[Guest_Age]]&gt;=36,Table2[[#This Row],[Guest_Age]]&lt;=50),"Middle Aged Adults",Table2[[#This Row],[Guest_Age]]&gt;50,"Senior")</f>
        <v>Young Adults</v>
      </c>
      <c r="AB10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26" t="str" cm="1">
        <f t="array" ref="AC1026">_xlfn.IFS(Table2[[#This Row],[Satification_points]]&gt;=4.5,"GREAT",AND(Table2[[#This Row],[Satification_points]]&gt;=4,Table2[[#This Row],[Satification_points]]&lt;4.5),"GOOD",AND(Table2[[#This Row],[Satification_points]]&gt;=3,Table2[[#This Row],[Satification_points]]&lt;4),"AVERAGE",Table2[[#This Row],[Satification_points]]&lt;3,"POOR")</f>
        <v>AVERAGE</v>
      </c>
    </row>
    <row r="1027" spans="1:29" x14ac:dyDescent="0.3">
      <c r="A1027">
        <v>1026</v>
      </c>
      <c r="B1027">
        <v>82693</v>
      </c>
      <c r="C1027" t="s">
        <v>1075</v>
      </c>
      <c r="D1027" t="s">
        <v>34</v>
      </c>
      <c r="E1027" t="s">
        <v>52</v>
      </c>
      <c r="F1027" s="1">
        <v>44971</v>
      </c>
      <c r="G1027" s="1">
        <v>45611</v>
      </c>
      <c r="H1027">
        <v>1</v>
      </c>
      <c r="I1027" t="s">
        <v>42</v>
      </c>
      <c r="J1027" t="s">
        <v>53</v>
      </c>
      <c r="K1027">
        <v>3</v>
      </c>
      <c r="L1027">
        <v>3</v>
      </c>
      <c r="M1027">
        <v>5</v>
      </c>
      <c r="N1027">
        <v>5</v>
      </c>
      <c r="O1027">
        <v>4</v>
      </c>
      <c r="P1027">
        <v>1</v>
      </c>
      <c r="Q1027">
        <v>2</v>
      </c>
      <c r="R1027">
        <v>4</v>
      </c>
      <c r="S1027">
        <v>5</v>
      </c>
      <c r="T1027">
        <v>2</v>
      </c>
      <c r="U1027" t="s">
        <v>37</v>
      </c>
      <c r="V1027" t="s">
        <v>38</v>
      </c>
      <c r="W1027" t="s">
        <v>39</v>
      </c>
      <c r="X1027" t="s">
        <v>40</v>
      </c>
      <c r="Y1027">
        <v>58</v>
      </c>
      <c r="Z1027" s="1">
        <v>45611</v>
      </c>
      <c r="AA1027" t="str" cm="1">
        <f t="array" ref="AA1027">_xlfn.IFS(AND(Table2[[#This Row],[Guest_Age]]&gt;=18,Table2[[#This Row],[Guest_Age]]&lt;=25),"Young Adults",AND(Table2[[#This Row],[Guest_Age]]&gt;=26,Table2[[#This Row],[Guest_Age]]&lt;=35),"Adults",AND(Table2[[#This Row],[Guest_Age]]&gt;=36,Table2[[#This Row],[Guest_Age]]&lt;=50),"Middle Aged Adults",Table2[[#This Row],[Guest_Age]]&gt;50,"Senior")</f>
        <v>Senior</v>
      </c>
      <c r="AB10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27" t="str" cm="1">
        <f t="array" ref="AC1027">_xlfn.IFS(Table2[[#This Row],[Satification_points]]&gt;=4.5,"GREAT",AND(Table2[[#This Row],[Satification_points]]&gt;=4,Table2[[#This Row],[Satification_points]]&lt;4.5),"GOOD",AND(Table2[[#This Row],[Satification_points]]&gt;=3,Table2[[#This Row],[Satification_points]]&lt;4),"AVERAGE",Table2[[#This Row],[Satification_points]]&lt;3,"POOR")</f>
        <v>AVERAGE</v>
      </c>
    </row>
    <row r="1028" spans="1:29" x14ac:dyDescent="0.3">
      <c r="A1028">
        <v>1027</v>
      </c>
      <c r="B1028">
        <v>13849</v>
      </c>
      <c r="C1028" t="s">
        <v>1076</v>
      </c>
      <c r="D1028" t="s">
        <v>41</v>
      </c>
      <c r="E1028" t="s">
        <v>52</v>
      </c>
      <c r="F1028" s="1">
        <v>45285</v>
      </c>
      <c r="G1028" s="1">
        <v>45640</v>
      </c>
      <c r="H1028">
        <v>12</v>
      </c>
      <c r="I1028" t="s">
        <v>28</v>
      </c>
      <c r="J1028" t="s">
        <v>29</v>
      </c>
      <c r="K1028">
        <v>1</v>
      </c>
      <c r="L1028">
        <v>4</v>
      </c>
      <c r="M1028">
        <v>2</v>
      </c>
      <c r="N1028">
        <v>2</v>
      </c>
      <c r="O1028">
        <v>5</v>
      </c>
      <c r="P1028">
        <v>2</v>
      </c>
      <c r="Q1028">
        <v>1</v>
      </c>
      <c r="R1028">
        <v>5</v>
      </c>
      <c r="S1028">
        <v>4</v>
      </c>
      <c r="T1028">
        <v>1</v>
      </c>
      <c r="U1028" t="s">
        <v>37</v>
      </c>
      <c r="V1028" t="s">
        <v>38</v>
      </c>
      <c r="W1028" t="s">
        <v>39</v>
      </c>
      <c r="X1028" t="s">
        <v>44</v>
      </c>
      <c r="Y1028">
        <v>32</v>
      </c>
      <c r="Z1028" s="1">
        <v>45640</v>
      </c>
      <c r="AA1028" t="str" cm="1">
        <f t="array" ref="AA1028">_xlfn.IFS(AND(Table2[[#This Row],[Guest_Age]]&gt;=18,Table2[[#This Row],[Guest_Age]]&lt;=25),"Young Adults",AND(Table2[[#This Row],[Guest_Age]]&gt;=26,Table2[[#This Row],[Guest_Age]]&lt;=35),"Adults",AND(Table2[[#This Row],[Guest_Age]]&gt;=36,Table2[[#This Row],[Guest_Age]]&lt;=50),"Middle Aged Adults",Table2[[#This Row],[Guest_Age]]&gt;50,"Senior")</f>
        <v>Adults</v>
      </c>
      <c r="AB10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28" t="str" cm="1">
        <f t="array" ref="AC1028">_xlfn.IFS(Table2[[#This Row],[Satification_points]]&gt;=4.5,"GREAT",AND(Table2[[#This Row],[Satification_points]]&gt;=4,Table2[[#This Row],[Satification_points]]&lt;4.5),"GOOD",AND(Table2[[#This Row],[Satification_points]]&gt;=3,Table2[[#This Row],[Satification_points]]&lt;4),"AVERAGE",Table2[[#This Row],[Satification_points]]&lt;3,"POOR")</f>
        <v>POOR</v>
      </c>
    </row>
    <row r="1029" spans="1:29" x14ac:dyDescent="0.3">
      <c r="A1029">
        <v>1028</v>
      </c>
      <c r="B1029">
        <v>50837</v>
      </c>
      <c r="C1029" t="s">
        <v>1077</v>
      </c>
      <c r="D1029" t="s">
        <v>41</v>
      </c>
      <c r="E1029" t="s">
        <v>45</v>
      </c>
      <c r="F1029" s="1">
        <v>45063</v>
      </c>
      <c r="G1029" s="1">
        <v>45064</v>
      </c>
      <c r="H1029">
        <v>6</v>
      </c>
      <c r="I1029" t="s">
        <v>42</v>
      </c>
      <c r="J1029" t="s">
        <v>40</v>
      </c>
      <c r="K1029">
        <v>2</v>
      </c>
      <c r="L1029">
        <v>4</v>
      </c>
      <c r="M1029">
        <v>5</v>
      </c>
      <c r="N1029">
        <v>2</v>
      </c>
      <c r="O1029">
        <v>5</v>
      </c>
      <c r="P1029">
        <v>2</v>
      </c>
      <c r="Q1029">
        <v>3</v>
      </c>
      <c r="R1029">
        <v>1</v>
      </c>
      <c r="S1029">
        <v>1</v>
      </c>
      <c r="T1029">
        <v>1</v>
      </c>
      <c r="U1029" t="s">
        <v>30</v>
      </c>
      <c r="V1029" t="s">
        <v>58</v>
      </c>
      <c r="W1029" t="s">
        <v>56</v>
      </c>
      <c r="X1029" t="s">
        <v>40</v>
      </c>
      <c r="Y1029">
        <v>61</v>
      </c>
      <c r="Z1029" s="1">
        <v>45226</v>
      </c>
      <c r="AA1029" t="str" cm="1">
        <f t="array" ref="AA1029">_xlfn.IFS(AND(Table2[[#This Row],[Guest_Age]]&gt;=18,Table2[[#This Row],[Guest_Age]]&lt;=25),"Young Adults",AND(Table2[[#This Row],[Guest_Age]]&gt;=26,Table2[[#This Row],[Guest_Age]]&lt;=35),"Adults",AND(Table2[[#This Row],[Guest_Age]]&gt;=36,Table2[[#This Row],[Guest_Age]]&lt;=50),"Middle Aged Adults",Table2[[#This Row],[Guest_Age]]&gt;50,"Senior")</f>
        <v>Senior</v>
      </c>
      <c r="AB10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29" t="str" cm="1">
        <f t="array" ref="AC1029">_xlfn.IFS(Table2[[#This Row],[Satification_points]]&gt;=4.5,"GREAT",AND(Table2[[#This Row],[Satification_points]]&gt;=4,Table2[[#This Row],[Satification_points]]&lt;4.5),"GOOD",AND(Table2[[#This Row],[Satification_points]]&gt;=3,Table2[[#This Row],[Satification_points]]&lt;4),"AVERAGE",Table2[[#This Row],[Satification_points]]&lt;3,"POOR")</f>
        <v>POOR</v>
      </c>
    </row>
    <row r="1030" spans="1:29" x14ac:dyDescent="0.3">
      <c r="A1030">
        <v>1029</v>
      </c>
      <c r="B1030">
        <v>96750</v>
      </c>
      <c r="C1030" t="s">
        <v>1078</v>
      </c>
      <c r="D1030" t="s">
        <v>26</v>
      </c>
      <c r="E1030" t="s">
        <v>52</v>
      </c>
      <c r="F1030" s="1">
        <v>45387</v>
      </c>
      <c r="G1030" s="1">
        <v>45388</v>
      </c>
      <c r="H1030">
        <v>11</v>
      </c>
      <c r="I1030" t="s">
        <v>49</v>
      </c>
      <c r="J1030" t="s">
        <v>40</v>
      </c>
      <c r="K1030">
        <v>4</v>
      </c>
      <c r="L1030">
        <v>3</v>
      </c>
      <c r="M1030">
        <v>4</v>
      </c>
      <c r="N1030">
        <v>4</v>
      </c>
      <c r="O1030">
        <v>1</v>
      </c>
      <c r="P1030">
        <v>4</v>
      </c>
      <c r="Q1030">
        <v>5</v>
      </c>
      <c r="R1030">
        <v>5</v>
      </c>
      <c r="S1030">
        <v>5</v>
      </c>
      <c r="T1030">
        <v>1</v>
      </c>
      <c r="U1030" t="s">
        <v>37</v>
      </c>
      <c r="V1030" t="s">
        <v>31</v>
      </c>
      <c r="W1030" t="s">
        <v>56</v>
      </c>
      <c r="X1030" t="s">
        <v>44</v>
      </c>
      <c r="Y1030">
        <v>35</v>
      </c>
      <c r="Z1030" s="1">
        <v>45388</v>
      </c>
      <c r="AA1030" t="str" cm="1">
        <f t="array" ref="AA1030">_xlfn.IFS(AND(Table2[[#This Row],[Guest_Age]]&gt;=18,Table2[[#This Row],[Guest_Age]]&lt;=25),"Young Adults",AND(Table2[[#This Row],[Guest_Age]]&gt;=26,Table2[[#This Row],[Guest_Age]]&lt;=35),"Adults",AND(Table2[[#This Row],[Guest_Age]]&gt;=36,Table2[[#This Row],[Guest_Age]]&lt;=50),"Middle Aged Adults",Table2[[#This Row],[Guest_Age]]&gt;50,"Senior")</f>
        <v>Adults</v>
      </c>
      <c r="AB10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30" t="str" cm="1">
        <f t="array" ref="AC1030">_xlfn.IFS(Table2[[#This Row],[Satification_points]]&gt;=4.5,"GREAT",AND(Table2[[#This Row],[Satification_points]]&gt;=4,Table2[[#This Row],[Satification_points]]&lt;4.5),"GOOD",AND(Table2[[#This Row],[Satification_points]]&gt;=3,Table2[[#This Row],[Satification_points]]&lt;4),"AVERAGE",Table2[[#This Row],[Satification_points]]&lt;3,"POOR")</f>
        <v>AVERAGE</v>
      </c>
    </row>
    <row r="1031" spans="1:29" x14ac:dyDescent="0.3">
      <c r="A1031">
        <v>1030</v>
      </c>
      <c r="B1031">
        <v>54851</v>
      </c>
      <c r="C1031" t="s">
        <v>1079</v>
      </c>
      <c r="D1031" t="s">
        <v>26</v>
      </c>
      <c r="E1031" t="s">
        <v>57</v>
      </c>
      <c r="F1031" s="1">
        <v>45293</v>
      </c>
      <c r="G1031" s="1">
        <v>45294</v>
      </c>
      <c r="H1031">
        <v>14</v>
      </c>
      <c r="I1031" t="s">
        <v>28</v>
      </c>
      <c r="J1031" t="s">
        <v>40</v>
      </c>
      <c r="K1031">
        <v>4</v>
      </c>
      <c r="L1031">
        <v>1</v>
      </c>
      <c r="M1031">
        <v>1</v>
      </c>
      <c r="N1031">
        <v>4</v>
      </c>
      <c r="O1031">
        <v>5</v>
      </c>
      <c r="P1031">
        <v>5</v>
      </c>
      <c r="Q1031">
        <v>5</v>
      </c>
      <c r="R1031">
        <v>5</v>
      </c>
      <c r="S1031">
        <v>2</v>
      </c>
      <c r="T1031">
        <v>1</v>
      </c>
      <c r="U1031" t="s">
        <v>37</v>
      </c>
      <c r="V1031" t="s">
        <v>54</v>
      </c>
      <c r="W1031" t="s">
        <v>56</v>
      </c>
      <c r="X1031" t="s">
        <v>33</v>
      </c>
      <c r="Y1031">
        <v>18</v>
      </c>
      <c r="Z1031" s="1">
        <v>45294</v>
      </c>
      <c r="AA1031" t="str" cm="1">
        <f t="array" ref="AA1031">_xlfn.IFS(AND(Table2[[#This Row],[Guest_Age]]&gt;=18,Table2[[#This Row],[Guest_Age]]&lt;=25),"Young Adults",AND(Table2[[#This Row],[Guest_Age]]&gt;=26,Table2[[#This Row],[Guest_Age]]&lt;=35),"Adults",AND(Table2[[#This Row],[Guest_Age]]&gt;=36,Table2[[#This Row],[Guest_Age]]&lt;=50),"Middle Aged Adults",Table2[[#This Row],[Guest_Age]]&gt;50,"Senior")</f>
        <v>Young Adults</v>
      </c>
      <c r="AB10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31" t="str" cm="1">
        <f t="array" ref="AC1031">_xlfn.IFS(Table2[[#This Row],[Satification_points]]&gt;=4.5,"GREAT",AND(Table2[[#This Row],[Satification_points]]&gt;=4,Table2[[#This Row],[Satification_points]]&lt;4.5),"GOOD",AND(Table2[[#This Row],[Satification_points]]&gt;=3,Table2[[#This Row],[Satification_points]]&lt;4),"AVERAGE",Table2[[#This Row],[Satification_points]]&lt;3,"POOR")</f>
        <v>AVERAGE</v>
      </c>
    </row>
    <row r="1032" spans="1:29" x14ac:dyDescent="0.3">
      <c r="A1032">
        <v>1031</v>
      </c>
      <c r="B1032">
        <v>47098</v>
      </c>
      <c r="C1032" t="s">
        <v>1080</v>
      </c>
      <c r="D1032" t="s">
        <v>48</v>
      </c>
      <c r="E1032" t="s">
        <v>35</v>
      </c>
      <c r="F1032" s="1">
        <v>45231</v>
      </c>
      <c r="G1032" s="1">
        <v>45232</v>
      </c>
      <c r="H1032">
        <v>9</v>
      </c>
      <c r="I1032" t="s">
        <v>49</v>
      </c>
      <c r="J1032" t="s">
        <v>43</v>
      </c>
      <c r="K1032">
        <v>5</v>
      </c>
      <c r="L1032">
        <v>4</v>
      </c>
      <c r="M1032">
        <v>5</v>
      </c>
      <c r="N1032">
        <v>1</v>
      </c>
      <c r="O1032">
        <v>4</v>
      </c>
      <c r="P1032">
        <v>1</v>
      </c>
      <c r="Q1032">
        <v>5</v>
      </c>
      <c r="R1032">
        <v>3</v>
      </c>
      <c r="S1032">
        <v>2</v>
      </c>
      <c r="T1032">
        <v>1</v>
      </c>
      <c r="U1032" t="s">
        <v>37</v>
      </c>
      <c r="V1032" t="s">
        <v>54</v>
      </c>
      <c r="W1032" t="s">
        <v>47</v>
      </c>
      <c r="X1032" t="s">
        <v>44</v>
      </c>
      <c r="Y1032">
        <v>64</v>
      </c>
      <c r="Z1032" s="1">
        <v>45564</v>
      </c>
      <c r="AA1032" t="str" cm="1">
        <f t="array" ref="AA1032">_xlfn.IFS(AND(Table2[[#This Row],[Guest_Age]]&gt;=18,Table2[[#This Row],[Guest_Age]]&lt;=25),"Young Adults",AND(Table2[[#This Row],[Guest_Age]]&gt;=26,Table2[[#This Row],[Guest_Age]]&lt;=35),"Adults",AND(Table2[[#This Row],[Guest_Age]]&gt;=36,Table2[[#This Row],[Guest_Age]]&lt;=50),"Middle Aged Adults",Table2[[#This Row],[Guest_Age]]&gt;50,"Senior")</f>
        <v>Senior</v>
      </c>
      <c r="AB10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32" t="str" cm="1">
        <f t="array" ref="AC1032">_xlfn.IFS(Table2[[#This Row],[Satification_points]]&gt;=4.5,"GREAT",AND(Table2[[#This Row],[Satification_points]]&gt;=4,Table2[[#This Row],[Satification_points]]&lt;4.5),"GOOD",AND(Table2[[#This Row],[Satification_points]]&gt;=3,Table2[[#This Row],[Satification_points]]&lt;4),"AVERAGE",Table2[[#This Row],[Satification_points]]&lt;3,"POOR")</f>
        <v>AVERAGE</v>
      </c>
    </row>
    <row r="1033" spans="1:29" x14ac:dyDescent="0.3">
      <c r="A1033">
        <v>1032</v>
      </c>
      <c r="B1033">
        <v>41033</v>
      </c>
      <c r="C1033" t="s">
        <v>1081</v>
      </c>
      <c r="D1033" t="s">
        <v>26</v>
      </c>
      <c r="E1033" t="s">
        <v>27</v>
      </c>
      <c r="F1033" s="1">
        <v>45155</v>
      </c>
      <c r="G1033" s="1">
        <v>45323</v>
      </c>
      <c r="H1033">
        <v>7</v>
      </c>
      <c r="I1033" t="s">
        <v>49</v>
      </c>
      <c r="J1033" t="s">
        <v>29</v>
      </c>
      <c r="K1033">
        <v>2</v>
      </c>
      <c r="L1033">
        <v>5</v>
      </c>
      <c r="M1033">
        <v>3</v>
      </c>
      <c r="N1033">
        <v>1</v>
      </c>
      <c r="O1033">
        <v>4</v>
      </c>
      <c r="P1033">
        <v>2</v>
      </c>
      <c r="Q1033">
        <v>2</v>
      </c>
      <c r="R1033">
        <v>2</v>
      </c>
      <c r="S1033">
        <v>3</v>
      </c>
      <c r="T1033">
        <v>3</v>
      </c>
      <c r="U1033" t="s">
        <v>30</v>
      </c>
      <c r="V1033" t="s">
        <v>54</v>
      </c>
      <c r="W1033" t="s">
        <v>32</v>
      </c>
      <c r="X1033" t="s">
        <v>44</v>
      </c>
      <c r="Y1033">
        <v>50</v>
      </c>
      <c r="Z1033" s="1">
        <v>45459</v>
      </c>
      <c r="AA1033" t="str" cm="1">
        <f t="array" ref="AA10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33" t="str" cm="1">
        <f t="array" ref="AC1033">_xlfn.IFS(Table2[[#This Row],[Satification_points]]&gt;=4.5,"GREAT",AND(Table2[[#This Row],[Satification_points]]&gt;=4,Table2[[#This Row],[Satification_points]]&lt;4.5),"GOOD",AND(Table2[[#This Row],[Satification_points]]&gt;=3,Table2[[#This Row],[Satification_points]]&lt;4),"AVERAGE",Table2[[#This Row],[Satification_points]]&lt;3,"POOR")</f>
        <v>POOR</v>
      </c>
    </row>
    <row r="1034" spans="1:29" x14ac:dyDescent="0.3">
      <c r="A1034">
        <v>1033</v>
      </c>
      <c r="B1034">
        <v>45763</v>
      </c>
      <c r="C1034" t="s">
        <v>1082</v>
      </c>
      <c r="D1034" t="s">
        <v>41</v>
      </c>
      <c r="E1034" t="s">
        <v>27</v>
      </c>
      <c r="F1034" s="1">
        <v>45109</v>
      </c>
      <c r="G1034" s="1">
        <v>45110</v>
      </c>
      <c r="H1034">
        <v>3</v>
      </c>
      <c r="I1034" t="s">
        <v>50</v>
      </c>
      <c r="J1034" t="s">
        <v>36</v>
      </c>
      <c r="K1034">
        <v>2</v>
      </c>
      <c r="L1034">
        <v>4</v>
      </c>
      <c r="M1034">
        <v>4</v>
      </c>
      <c r="N1034">
        <v>3</v>
      </c>
      <c r="O1034">
        <v>4</v>
      </c>
      <c r="P1034">
        <v>2</v>
      </c>
      <c r="Q1034">
        <v>4</v>
      </c>
      <c r="R1034">
        <v>1</v>
      </c>
      <c r="S1034">
        <v>4</v>
      </c>
      <c r="T1034">
        <v>3</v>
      </c>
      <c r="U1034" t="s">
        <v>30</v>
      </c>
      <c r="V1034" t="s">
        <v>46</v>
      </c>
      <c r="W1034" t="s">
        <v>39</v>
      </c>
      <c r="X1034" t="s">
        <v>33</v>
      </c>
      <c r="Y1034">
        <v>18</v>
      </c>
      <c r="Z1034" s="1">
        <v>45110</v>
      </c>
      <c r="AA1034" t="str" cm="1">
        <f t="array" ref="AA1034">_xlfn.IFS(AND(Table2[[#This Row],[Guest_Age]]&gt;=18,Table2[[#This Row],[Guest_Age]]&lt;=25),"Young Adults",AND(Table2[[#This Row],[Guest_Age]]&gt;=26,Table2[[#This Row],[Guest_Age]]&lt;=35),"Adults",AND(Table2[[#This Row],[Guest_Age]]&gt;=36,Table2[[#This Row],[Guest_Age]]&lt;=50),"Middle Aged Adults",Table2[[#This Row],[Guest_Age]]&gt;50,"Senior")</f>
        <v>Young Adults</v>
      </c>
      <c r="AB10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34" t="str" cm="1">
        <f t="array" ref="AC1034">_xlfn.IFS(Table2[[#This Row],[Satification_points]]&gt;=4.5,"GREAT",AND(Table2[[#This Row],[Satification_points]]&gt;=4,Table2[[#This Row],[Satification_points]]&lt;4.5),"GOOD",AND(Table2[[#This Row],[Satification_points]]&gt;=3,Table2[[#This Row],[Satification_points]]&lt;4),"AVERAGE",Table2[[#This Row],[Satification_points]]&lt;3,"POOR")</f>
        <v>AVERAGE</v>
      </c>
    </row>
    <row r="1035" spans="1:29" x14ac:dyDescent="0.3">
      <c r="A1035">
        <v>1034</v>
      </c>
      <c r="B1035">
        <v>88860</v>
      </c>
      <c r="C1035" t="s">
        <v>1083</v>
      </c>
      <c r="D1035" t="s">
        <v>34</v>
      </c>
      <c r="E1035" t="s">
        <v>27</v>
      </c>
      <c r="F1035" s="1">
        <v>45393</v>
      </c>
      <c r="G1035" s="1">
        <v>45394</v>
      </c>
      <c r="H1035">
        <v>7</v>
      </c>
      <c r="I1035" t="s">
        <v>28</v>
      </c>
      <c r="J1035" t="s">
        <v>40</v>
      </c>
      <c r="K1035">
        <v>2</v>
      </c>
      <c r="L1035">
        <v>4</v>
      </c>
      <c r="M1035">
        <v>3</v>
      </c>
      <c r="N1035">
        <v>3</v>
      </c>
      <c r="O1035">
        <v>2</v>
      </c>
      <c r="P1035">
        <v>2</v>
      </c>
      <c r="Q1035">
        <v>1</v>
      </c>
      <c r="R1035">
        <v>5</v>
      </c>
      <c r="S1035">
        <v>5</v>
      </c>
      <c r="T1035">
        <v>3</v>
      </c>
      <c r="U1035" t="s">
        <v>37</v>
      </c>
      <c r="V1035" t="s">
        <v>58</v>
      </c>
      <c r="W1035" t="s">
        <v>39</v>
      </c>
      <c r="X1035" t="s">
        <v>33</v>
      </c>
      <c r="Y1035">
        <v>51</v>
      </c>
      <c r="Z1035" s="1">
        <v>45394</v>
      </c>
      <c r="AA1035" t="str" cm="1">
        <f t="array" ref="AA1035">_xlfn.IFS(AND(Table2[[#This Row],[Guest_Age]]&gt;=18,Table2[[#This Row],[Guest_Age]]&lt;=25),"Young Adults",AND(Table2[[#This Row],[Guest_Age]]&gt;=26,Table2[[#This Row],[Guest_Age]]&lt;=35),"Adults",AND(Table2[[#This Row],[Guest_Age]]&gt;=36,Table2[[#This Row],[Guest_Age]]&lt;=50),"Middle Aged Adults",Table2[[#This Row],[Guest_Age]]&gt;50,"Senior")</f>
        <v>Senior</v>
      </c>
      <c r="AB10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35" t="str" cm="1">
        <f t="array" ref="AC1035">_xlfn.IFS(Table2[[#This Row],[Satification_points]]&gt;=4.5,"GREAT",AND(Table2[[#This Row],[Satification_points]]&gt;=4,Table2[[#This Row],[Satification_points]]&lt;4.5),"GOOD",AND(Table2[[#This Row],[Satification_points]]&gt;=3,Table2[[#This Row],[Satification_points]]&lt;4),"AVERAGE",Table2[[#This Row],[Satification_points]]&lt;3,"POOR")</f>
        <v>AVERAGE</v>
      </c>
    </row>
    <row r="1036" spans="1:29" x14ac:dyDescent="0.3">
      <c r="A1036">
        <v>1035</v>
      </c>
      <c r="B1036">
        <v>21900</v>
      </c>
      <c r="C1036" t="s">
        <v>1084</v>
      </c>
      <c r="D1036" t="s">
        <v>34</v>
      </c>
      <c r="E1036" t="s">
        <v>27</v>
      </c>
      <c r="F1036" s="1">
        <v>45130</v>
      </c>
      <c r="G1036" s="1">
        <v>45131</v>
      </c>
      <c r="H1036">
        <v>12</v>
      </c>
      <c r="I1036" t="s">
        <v>49</v>
      </c>
      <c r="J1036" t="s">
        <v>36</v>
      </c>
      <c r="K1036">
        <v>1</v>
      </c>
      <c r="L1036">
        <v>2</v>
      </c>
      <c r="M1036">
        <v>5</v>
      </c>
      <c r="N1036">
        <v>3</v>
      </c>
      <c r="O1036">
        <v>4</v>
      </c>
      <c r="P1036">
        <v>3</v>
      </c>
      <c r="Q1036">
        <v>2</v>
      </c>
      <c r="R1036">
        <v>2</v>
      </c>
      <c r="S1036">
        <v>4</v>
      </c>
      <c r="T1036">
        <v>2</v>
      </c>
      <c r="U1036" t="s">
        <v>37</v>
      </c>
      <c r="V1036" t="s">
        <v>31</v>
      </c>
      <c r="W1036" t="s">
        <v>47</v>
      </c>
      <c r="X1036" t="s">
        <v>44</v>
      </c>
      <c r="Y1036">
        <v>21</v>
      </c>
      <c r="Z1036" s="1">
        <v>45484</v>
      </c>
      <c r="AA1036" t="str" cm="1">
        <f t="array" ref="AA1036">_xlfn.IFS(AND(Table2[[#This Row],[Guest_Age]]&gt;=18,Table2[[#This Row],[Guest_Age]]&lt;=25),"Young Adults",AND(Table2[[#This Row],[Guest_Age]]&gt;=26,Table2[[#This Row],[Guest_Age]]&lt;=35),"Adults",AND(Table2[[#This Row],[Guest_Age]]&gt;=36,Table2[[#This Row],[Guest_Age]]&lt;=50),"Middle Aged Adults",Table2[[#This Row],[Guest_Age]]&gt;50,"Senior")</f>
        <v>Young Adults</v>
      </c>
      <c r="AB10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36" t="str" cm="1">
        <f t="array" ref="AC1036">_xlfn.IFS(Table2[[#This Row],[Satification_points]]&gt;=4.5,"GREAT",AND(Table2[[#This Row],[Satification_points]]&gt;=4,Table2[[#This Row],[Satification_points]]&lt;4.5),"GOOD",AND(Table2[[#This Row],[Satification_points]]&gt;=3,Table2[[#This Row],[Satification_points]]&lt;4),"AVERAGE",Table2[[#This Row],[Satification_points]]&lt;3,"POOR")</f>
        <v>POOR</v>
      </c>
    </row>
    <row r="1037" spans="1:29" x14ac:dyDescent="0.3">
      <c r="A1037">
        <v>1036</v>
      </c>
      <c r="B1037">
        <v>33354</v>
      </c>
      <c r="C1037" t="s">
        <v>1085</v>
      </c>
      <c r="D1037" t="s">
        <v>41</v>
      </c>
      <c r="E1037" t="s">
        <v>57</v>
      </c>
      <c r="F1037" s="1">
        <v>45549</v>
      </c>
      <c r="G1037" s="1">
        <v>45550</v>
      </c>
      <c r="H1037">
        <v>2</v>
      </c>
      <c r="I1037" t="s">
        <v>42</v>
      </c>
      <c r="J1037" t="s">
        <v>43</v>
      </c>
      <c r="K1037">
        <v>1</v>
      </c>
      <c r="L1037">
        <v>4</v>
      </c>
      <c r="M1037">
        <v>5</v>
      </c>
      <c r="N1037">
        <v>1</v>
      </c>
      <c r="O1037">
        <v>1</v>
      </c>
      <c r="P1037">
        <v>1</v>
      </c>
      <c r="Q1037">
        <v>3</v>
      </c>
      <c r="R1037">
        <v>4</v>
      </c>
      <c r="S1037">
        <v>4</v>
      </c>
      <c r="T1037">
        <v>1</v>
      </c>
      <c r="U1037" t="s">
        <v>37</v>
      </c>
      <c r="V1037" t="s">
        <v>58</v>
      </c>
      <c r="W1037" t="s">
        <v>32</v>
      </c>
      <c r="X1037" t="s">
        <v>40</v>
      </c>
      <c r="Y1037">
        <v>34</v>
      </c>
      <c r="Z1037" s="1">
        <v>45550</v>
      </c>
      <c r="AA1037" t="str" cm="1">
        <f t="array" ref="AA1037">_xlfn.IFS(AND(Table2[[#This Row],[Guest_Age]]&gt;=18,Table2[[#This Row],[Guest_Age]]&lt;=25),"Young Adults",AND(Table2[[#This Row],[Guest_Age]]&gt;=26,Table2[[#This Row],[Guest_Age]]&lt;=35),"Adults",AND(Table2[[#This Row],[Guest_Age]]&gt;=36,Table2[[#This Row],[Guest_Age]]&lt;=50),"Middle Aged Adults",Table2[[#This Row],[Guest_Age]]&gt;50,"Senior")</f>
        <v>Adults</v>
      </c>
      <c r="AB10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37" t="str" cm="1">
        <f t="array" ref="AC1037">_xlfn.IFS(Table2[[#This Row],[Satification_points]]&gt;=4.5,"GREAT",AND(Table2[[#This Row],[Satification_points]]&gt;=4,Table2[[#This Row],[Satification_points]]&lt;4.5),"GOOD",AND(Table2[[#This Row],[Satification_points]]&gt;=3,Table2[[#This Row],[Satification_points]]&lt;4),"AVERAGE",Table2[[#This Row],[Satification_points]]&lt;3,"POOR")</f>
        <v>POOR</v>
      </c>
    </row>
    <row r="1038" spans="1:29" x14ac:dyDescent="0.3">
      <c r="A1038">
        <v>1037</v>
      </c>
      <c r="B1038">
        <v>12214</v>
      </c>
      <c r="C1038" t="s">
        <v>1086</v>
      </c>
      <c r="D1038" t="s">
        <v>48</v>
      </c>
      <c r="E1038" t="s">
        <v>57</v>
      </c>
      <c r="F1038" s="1">
        <v>44994</v>
      </c>
      <c r="G1038" s="1">
        <v>45507</v>
      </c>
      <c r="H1038">
        <v>10</v>
      </c>
      <c r="I1038" t="s">
        <v>28</v>
      </c>
      <c r="J1038" t="s">
        <v>53</v>
      </c>
      <c r="K1038">
        <v>3</v>
      </c>
      <c r="L1038">
        <v>4</v>
      </c>
      <c r="M1038">
        <v>4</v>
      </c>
      <c r="N1038">
        <v>2</v>
      </c>
      <c r="O1038">
        <v>3</v>
      </c>
      <c r="P1038">
        <v>1</v>
      </c>
      <c r="Q1038">
        <v>3</v>
      </c>
      <c r="R1038">
        <v>4</v>
      </c>
      <c r="S1038">
        <v>5</v>
      </c>
      <c r="T1038">
        <v>3</v>
      </c>
      <c r="U1038" t="s">
        <v>30</v>
      </c>
      <c r="V1038" t="s">
        <v>38</v>
      </c>
      <c r="W1038" t="s">
        <v>32</v>
      </c>
      <c r="X1038" t="s">
        <v>33</v>
      </c>
      <c r="Y1038">
        <v>19</v>
      </c>
      <c r="Z1038" s="1">
        <v>45507</v>
      </c>
      <c r="AA1038" t="str" cm="1">
        <f t="array" ref="AA1038">_xlfn.IFS(AND(Table2[[#This Row],[Guest_Age]]&gt;=18,Table2[[#This Row],[Guest_Age]]&lt;=25),"Young Adults",AND(Table2[[#This Row],[Guest_Age]]&gt;=26,Table2[[#This Row],[Guest_Age]]&lt;=35),"Adults",AND(Table2[[#This Row],[Guest_Age]]&gt;=36,Table2[[#This Row],[Guest_Age]]&lt;=50),"Middle Aged Adults",Table2[[#This Row],[Guest_Age]]&gt;50,"Senior")</f>
        <v>Young Adults</v>
      </c>
      <c r="AB10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038" t="str" cm="1">
        <f t="array" ref="AC1038">_xlfn.IFS(Table2[[#This Row],[Satification_points]]&gt;=4.5,"GREAT",AND(Table2[[#This Row],[Satification_points]]&gt;=4,Table2[[#This Row],[Satification_points]]&lt;4.5),"GOOD",AND(Table2[[#This Row],[Satification_points]]&gt;=3,Table2[[#This Row],[Satification_points]]&lt;4),"AVERAGE",Table2[[#This Row],[Satification_points]]&lt;3,"POOR")</f>
        <v>AVERAGE</v>
      </c>
    </row>
    <row r="1039" spans="1:29" x14ac:dyDescent="0.3">
      <c r="A1039">
        <v>1038</v>
      </c>
      <c r="B1039">
        <v>22340</v>
      </c>
      <c r="C1039" t="s">
        <v>1087</v>
      </c>
      <c r="D1039" t="s">
        <v>34</v>
      </c>
      <c r="E1039" t="s">
        <v>35</v>
      </c>
      <c r="F1039" s="1">
        <v>45476</v>
      </c>
      <c r="G1039" s="1">
        <v>45477</v>
      </c>
      <c r="H1039">
        <v>2</v>
      </c>
      <c r="I1039" t="s">
        <v>42</v>
      </c>
      <c r="J1039" t="s">
        <v>43</v>
      </c>
      <c r="K1039">
        <v>4</v>
      </c>
      <c r="L1039">
        <v>5</v>
      </c>
      <c r="M1039">
        <v>3</v>
      </c>
      <c r="N1039">
        <v>3</v>
      </c>
      <c r="O1039">
        <v>5</v>
      </c>
      <c r="P1039">
        <v>2</v>
      </c>
      <c r="Q1039">
        <v>2</v>
      </c>
      <c r="R1039">
        <v>4</v>
      </c>
      <c r="S1039">
        <v>1</v>
      </c>
      <c r="T1039">
        <v>2</v>
      </c>
      <c r="U1039" t="s">
        <v>37</v>
      </c>
      <c r="V1039" t="s">
        <v>46</v>
      </c>
      <c r="W1039" t="s">
        <v>47</v>
      </c>
      <c r="X1039" t="s">
        <v>33</v>
      </c>
      <c r="Y1039">
        <v>56</v>
      </c>
      <c r="Z1039" s="1">
        <v>45477</v>
      </c>
      <c r="AA1039" t="str" cm="1">
        <f t="array" ref="AA1039">_xlfn.IFS(AND(Table2[[#This Row],[Guest_Age]]&gt;=18,Table2[[#This Row],[Guest_Age]]&lt;=25),"Young Adults",AND(Table2[[#This Row],[Guest_Age]]&gt;=26,Table2[[#This Row],[Guest_Age]]&lt;=35),"Adults",AND(Table2[[#This Row],[Guest_Age]]&gt;=36,Table2[[#This Row],[Guest_Age]]&lt;=50),"Middle Aged Adults",Table2[[#This Row],[Guest_Age]]&gt;50,"Senior")</f>
        <v>Senior</v>
      </c>
      <c r="AB10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39" t="str" cm="1">
        <f t="array" ref="AC1039">_xlfn.IFS(Table2[[#This Row],[Satification_points]]&gt;=4.5,"GREAT",AND(Table2[[#This Row],[Satification_points]]&gt;=4,Table2[[#This Row],[Satification_points]]&lt;4.5),"GOOD",AND(Table2[[#This Row],[Satification_points]]&gt;=3,Table2[[#This Row],[Satification_points]]&lt;4),"AVERAGE",Table2[[#This Row],[Satification_points]]&lt;3,"POOR")</f>
        <v>AVERAGE</v>
      </c>
    </row>
    <row r="1040" spans="1:29" x14ac:dyDescent="0.3">
      <c r="A1040">
        <v>1039</v>
      </c>
      <c r="B1040">
        <v>26652</v>
      </c>
      <c r="C1040" t="s">
        <v>1088</v>
      </c>
      <c r="D1040" t="s">
        <v>34</v>
      </c>
      <c r="E1040" t="s">
        <v>45</v>
      </c>
      <c r="F1040" s="1">
        <v>45636</v>
      </c>
      <c r="G1040" s="1">
        <v>45637</v>
      </c>
      <c r="H1040">
        <v>1</v>
      </c>
      <c r="I1040" t="s">
        <v>42</v>
      </c>
      <c r="J1040" t="s">
        <v>43</v>
      </c>
      <c r="K1040">
        <v>1</v>
      </c>
      <c r="L1040">
        <v>3</v>
      </c>
      <c r="M1040">
        <v>1</v>
      </c>
      <c r="N1040">
        <v>2</v>
      </c>
      <c r="O1040">
        <v>5</v>
      </c>
      <c r="P1040">
        <v>1</v>
      </c>
      <c r="Q1040">
        <v>1</v>
      </c>
      <c r="R1040">
        <v>5</v>
      </c>
      <c r="S1040">
        <v>2</v>
      </c>
      <c r="T1040">
        <v>4</v>
      </c>
      <c r="U1040" t="s">
        <v>37</v>
      </c>
      <c r="V1040" t="s">
        <v>31</v>
      </c>
      <c r="W1040" t="s">
        <v>39</v>
      </c>
      <c r="X1040" t="s">
        <v>33</v>
      </c>
      <c r="Y1040">
        <v>27</v>
      </c>
      <c r="Z1040" s="1">
        <v>45637</v>
      </c>
      <c r="AA1040" t="str" cm="1">
        <f t="array" ref="AA1040">_xlfn.IFS(AND(Table2[[#This Row],[Guest_Age]]&gt;=18,Table2[[#This Row],[Guest_Age]]&lt;=25),"Young Adults",AND(Table2[[#This Row],[Guest_Age]]&gt;=26,Table2[[#This Row],[Guest_Age]]&lt;=35),"Adults",AND(Table2[[#This Row],[Guest_Age]]&gt;=36,Table2[[#This Row],[Guest_Age]]&lt;=50),"Middle Aged Adults",Table2[[#This Row],[Guest_Age]]&gt;50,"Senior")</f>
        <v>Adults</v>
      </c>
      <c r="AB10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40" t="str" cm="1">
        <f t="array" ref="AC1040">_xlfn.IFS(Table2[[#This Row],[Satification_points]]&gt;=4.5,"GREAT",AND(Table2[[#This Row],[Satification_points]]&gt;=4,Table2[[#This Row],[Satification_points]]&lt;4.5),"GOOD",AND(Table2[[#This Row],[Satification_points]]&gt;=3,Table2[[#This Row],[Satification_points]]&lt;4),"AVERAGE",Table2[[#This Row],[Satification_points]]&lt;3,"POOR")</f>
        <v>POOR</v>
      </c>
    </row>
    <row r="1041" spans="1:29" x14ac:dyDescent="0.3">
      <c r="A1041">
        <v>1040</v>
      </c>
      <c r="B1041">
        <v>24687</v>
      </c>
      <c r="C1041" t="s">
        <v>1089</v>
      </c>
      <c r="D1041" t="s">
        <v>48</v>
      </c>
      <c r="E1041" t="s">
        <v>52</v>
      </c>
      <c r="F1041" s="1">
        <v>45231</v>
      </c>
      <c r="G1041" s="1">
        <v>45654</v>
      </c>
      <c r="H1041">
        <v>3</v>
      </c>
      <c r="I1041" t="s">
        <v>42</v>
      </c>
      <c r="J1041" t="s">
        <v>29</v>
      </c>
      <c r="K1041">
        <v>4</v>
      </c>
      <c r="L1041">
        <v>3</v>
      </c>
      <c r="M1041">
        <v>1</v>
      </c>
      <c r="N1041">
        <v>2</v>
      </c>
      <c r="O1041">
        <v>5</v>
      </c>
      <c r="P1041">
        <v>1</v>
      </c>
      <c r="Q1041">
        <v>5</v>
      </c>
      <c r="R1041">
        <v>5</v>
      </c>
      <c r="S1041">
        <v>3</v>
      </c>
      <c r="T1041">
        <v>5</v>
      </c>
      <c r="U1041" t="s">
        <v>30</v>
      </c>
      <c r="V1041" t="s">
        <v>38</v>
      </c>
      <c r="W1041" t="s">
        <v>55</v>
      </c>
      <c r="X1041" t="s">
        <v>33</v>
      </c>
      <c r="Y1041">
        <v>59</v>
      </c>
      <c r="Z1041" s="1">
        <v>45654</v>
      </c>
      <c r="AA1041" t="str" cm="1">
        <f t="array" ref="AA1041">_xlfn.IFS(AND(Table2[[#This Row],[Guest_Age]]&gt;=18,Table2[[#This Row],[Guest_Age]]&lt;=25),"Young Adults",AND(Table2[[#This Row],[Guest_Age]]&gt;=26,Table2[[#This Row],[Guest_Age]]&lt;=35),"Adults",AND(Table2[[#This Row],[Guest_Age]]&gt;=36,Table2[[#This Row],[Guest_Age]]&lt;=50),"Middle Aged Adults",Table2[[#This Row],[Guest_Age]]&gt;50,"Senior")</f>
        <v>Senior</v>
      </c>
      <c r="AB10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41" t="str" cm="1">
        <f t="array" ref="AC1041">_xlfn.IFS(Table2[[#This Row],[Satification_points]]&gt;=4.5,"GREAT",AND(Table2[[#This Row],[Satification_points]]&gt;=4,Table2[[#This Row],[Satification_points]]&lt;4.5),"GOOD",AND(Table2[[#This Row],[Satification_points]]&gt;=3,Table2[[#This Row],[Satification_points]]&lt;4),"AVERAGE",Table2[[#This Row],[Satification_points]]&lt;3,"POOR")</f>
        <v>AVERAGE</v>
      </c>
    </row>
    <row r="1042" spans="1:29" x14ac:dyDescent="0.3">
      <c r="A1042">
        <v>1041</v>
      </c>
      <c r="B1042">
        <v>16553</v>
      </c>
      <c r="C1042" t="s">
        <v>1090</v>
      </c>
      <c r="D1042" t="s">
        <v>34</v>
      </c>
      <c r="E1042" t="s">
        <v>35</v>
      </c>
      <c r="F1042" s="1">
        <v>45530</v>
      </c>
      <c r="G1042" s="1">
        <v>45531</v>
      </c>
      <c r="H1042">
        <v>1</v>
      </c>
      <c r="I1042" t="s">
        <v>28</v>
      </c>
      <c r="J1042" t="s">
        <v>40</v>
      </c>
      <c r="K1042">
        <v>2</v>
      </c>
      <c r="L1042">
        <v>3</v>
      </c>
      <c r="M1042">
        <v>4</v>
      </c>
      <c r="N1042">
        <v>1</v>
      </c>
      <c r="O1042">
        <v>4</v>
      </c>
      <c r="P1042">
        <v>3</v>
      </c>
      <c r="Q1042">
        <v>5</v>
      </c>
      <c r="R1042">
        <v>3</v>
      </c>
      <c r="S1042">
        <v>1</v>
      </c>
      <c r="T1042">
        <v>4</v>
      </c>
      <c r="U1042" t="s">
        <v>37</v>
      </c>
      <c r="V1042" t="s">
        <v>54</v>
      </c>
      <c r="W1042" t="s">
        <v>55</v>
      </c>
      <c r="X1042" t="s">
        <v>33</v>
      </c>
      <c r="Y1042">
        <v>62</v>
      </c>
      <c r="Z1042" s="1">
        <v>45531</v>
      </c>
      <c r="AA1042" t="str" cm="1">
        <f t="array" ref="AA1042">_xlfn.IFS(AND(Table2[[#This Row],[Guest_Age]]&gt;=18,Table2[[#This Row],[Guest_Age]]&lt;=25),"Young Adults",AND(Table2[[#This Row],[Guest_Age]]&gt;=26,Table2[[#This Row],[Guest_Age]]&lt;=35),"Adults",AND(Table2[[#This Row],[Guest_Age]]&gt;=36,Table2[[#This Row],[Guest_Age]]&lt;=50),"Middle Aged Adults",Table2[[#This Row],[Guest_Age]]&gt;50,"Senior")</f>
        <v>Senior</v>
      </c>
      <c r="AB10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42" t="str" cm="1">
        <f t="array" ref="AC1042">_xlfn.IFS(Table2[[#This Row],[Satification_points]]&gt;=4.5,"GREAT",AND(Table2[[#This Row],[Satification_points]]&gt;=4,Table2[[#This Row],[Satification_points]]&lt;4.5),"GOOD",AND(Table2[[#This Row],[Satification_points]]&gt;=3,Table2[[#This Row],[Satification_points]]&lt;4),"AVERAGE",Table2[[#This Row],[Satification_points]]&lt;3,"POOR")</f>
        <v>AVERAGE</v>
      </c>
    </row>
    <row r="1043" spans="1:29" x14ac:dyDescent="0.3">
      <c r="A1043">
        <v>1042</v>
      </c>
      <c r="B1043">
        <v>83874</v>
      </c>
      <c r="C1043" t="s">
        <v>1091</v>
      </c>
      <c r="D1043" t="s">
        <v>51</v>
      </c>
      <c r="E1043" t="s">
        <v>27</v>
      </c>
      <c r="F1043" s="1">
        <v>45554</v>
      </c>
      <c r="G1043" s="1">
        <v>45555</v>
      </c>
      <c r="H1043">
        <v>8</v>
      </c>
      <c r="I1043" t="s">
        <v>42</v>
      </c>
      <c r="J1043" t="s">
        <v>43</v>
      </c>
      <c r="K1043">
        <v>1</v>
      </c>
      <c r="L1043">
        <v>2</v>
      </c>
      <c r="M1043">
        <v>5</v>
      </c>
      <c r="N1043">
        <v>4</v>
      </c>
      <c r="O1043">
        <v>4</v>
      </c>
      <c r="P1043">
        <v>2</v>
      </c>
      <c r="Q1043">
        <v>4</v>
      </c>
      <c r="R1043">
        <v>1</v>
      </c>
      <c r="S1043">
        <v>4</v>
      </c>
      <c r="T1043">
        <v>4</v>
      </c>
      <c r="U1043" t="s">
        <v>30</v>
      </c>
      <c r="V1043" t="s">
        <v>54</v>
      </c>
      <c r="W1043" t="s">
        <v>32</v>
      </c>
      <c r="X1043" t="s">
        <v>33</v>
      </c>
      <c r="Y1043">
        <v>54</v>
      </c>
      <c r="Z1043" s="1">
        <v>45555</v>
      </c>
      <c r="AA1043" t="str" cm="1">
        <f t="array" ref="AA1043">_xlfn.IFS(AND(Table2[[#This Row],[Guest_Age]]&gt;=18,Table2[[#This Row],[Guest_Age]]&lt;=25),"Young Adults",AND(Table2[[#This Row],[Guest_Age]]&gt;=26,Table2[[#This Row],[Guest_Age]]&lt;=35),"Adults",AND(Table2[[#This Row],[Guest_Age]]&gt;=36,Table2[[#This Row],[Guest_Age]]&lt;=50),"Middle Aged Adults",Table2[[#This Row],[Guest_Age]]&gt;50,"Senior")</f>
        <v>Senior</v>
      </c>
      <c r="AB10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43" t="str" cm="1">
        <f t="array" ref="AC1043">_xlfn.IFS(Table2[[#This Row],[Satification_points]]&gt;=4.5,"GREAT",AND(Table2[[#This Row],[Satification_points]]&gt;=4,Table2[[#This Row],[Satification_points]]&lt;4.5),"GOOD",AND(Table2[[#This Row],[Satification_points]]&gt;=3,Table2[[#This Row],[Satification_points]]&lt;4),"AVERAGE",Table2[[#This Row],[Satification_points]]&lt;3,"POOR")</f>
        <v>AVERAGE</v>
      </c>
    </row>
    <row r="1044" spans="1:29" x14ac:dyDescent="0.3">
      <c r="A1044">
        <v>1043</v>
      </c>
      <c r="B1044">
        <v>27235</v>
      </c>
      <c r="C1044" t="s">
        <v>1092</v>
      </c>
      <c r="D1044" t="s">
        <v>41</v>
      </c>
      <c r="E1044" t="s">
        <v>52</v>
      </c>
      <c r="F1044" s="1">
        <v>45021</v>
      </c>
      <c r="G1044" s="1">
        <v>45145</v>
      </c>
      <c r="H1044">
        <v>13</v>
      </c>
      <c r="I1044" t="s">
        <v>28</v>
      </c>
      <c r="J1044" t="s">
        <v>40</v>
      </c>
      <c r="K1044">
        <v>4</v>
      </c>
      <c r="L1044">
        <v>4</v>
      </c>
      <c r="M1044">
        <v>4</v>
      </c>
      <c r="N1044">
        <v>4</v>
      </c>
      <c r="O1044">
        <v>4</v>
      </c>
      <c r="P1044">
        <v>1</v>
      </c>
      <c r="Q1044">
        <v>2</v>
      </c>
      <c r="R1044">
        <v>2</v>
      </c>
      <c r="S1044">
        <v>4</v>
      </c>
      <c r="T1044">
        <v>5</v>
      </c>
      <c r="U1044" t="s">
        <v>37</v>
      </c>
      <c r="V1044" t="s">
        <v>54</v>
      </c>
      <c r="W1044" t="s">
        <v>32</v>
      </c>
      <c r="X1044" t="s">
        <v>44</v>
      </c>
      <c r="Y1044">
        <v>43</v>
      </c>
      <c r="Z1044" s="1">
        <v>45145</v>
      </c>
      <c r="AA1044" t="str" cm="1">
        <f t="array" ref="AA10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44" t="str" cm="1">
        <f t="array" ref="AC1044">_xlfn.IFS(Table2[[#This Row],[Satification_points]]&gt;=4.5,"GREAT",AND(Table2[[#This Row],[Satification_points]]&gt;=4,Table2[[#This Row],[Satification_points]]&lt;4.5),"GOOD",AND(Table2[[#This Row],[Satification_points]]&gt;=3,Table2[[#This Row],[Satification_points]]&lt;4),"AVERAGE",Table2[[#This Row],[Satification_points]]&lt;3,"POOR")</f>
        <v>AVERAGE</v>
      </c>
    </row>
    <row r="1045" spans="1:29" x14ac:dyDescent="0.3">
      <c r="A1045">
        <v>1044</v>
      </c>
      <c r="B1045">
        <v>96443</v>
      </c>
      <c r="C1045" t="s">
        <v>1093</v>
      </c>
      <c r="D1045" t="s">
        <v>34</v>
      </c>
      <c r="E1045" t="s">
        <v>35</v>
      </c>
      <c r="F1045" s="1">
        <v>45651</v>
      </c>
      <c r="G1045" s="1">
        <v>45652</v>
      </c>
      <c r="H1045">
        <v>11</v>
      </c>
      <c r="I1045" t="s">
        <v>50</v>
      </c>
      <c r="J1045" t="s">
        <v>36</v>
      </c>
      <c r="K1045">
        <v>1</v>
      </c>
      <c r="L1045">
        <v>1</v>
      </c>
      <c r="M1045">
        <v>3</v>
      </c>
      <c r="N1045">
        <v>5</v>
      </c>
      <c r="O1045">
        <v>3</v>
      </c>
      <c r="P1045">
        <v>5</v>
      </c>
      <c r="Q1045">
        <v>4</v>
      </c>
      <c r="R1045">
        <v>4</v>
      </c>
      <c r="S1045">
        <v>5</v>
      </c>
      <c r="T1045">
        <v>2</v>
      </c>
      <c r="U1045" t="s">
        <v>30</v>
      </c>
      <c r="V1045" t="s">
        <v>58</v>
      </c>
      <c r="W1045" t="s">
        <v>39</v>
      </c>
      <c r="X1045" t="s">
        <v>44</v>
      </c>
      <c r="Y1045">
        <v>44</v>
      </c>
      <c r="Z1045" s="1">
        <v>45652</v>
      </c>
      <c r="AA1045" t="str" cm="1">
        <f t="array" ref="AA10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45" t="str" cm="1">
        <f t="array" ref="AC1045">_xlfn.IFS(Table2[[#This Row],[Satification_points]]&gt;=4.5,"GREAT",AND(Table2[[#This Row],[Satification_points]]&gt;=4,Table2[[#This Row],[Satification_points]]&lt;4.5),"GOOD",AND(Table2[[#This Row],[Satification_points]]&gt;=3,Table2[[#This Row],[Satification_points]]&lt;4),"AVERAGE",Table2[[#This Row],[Satification_points]]&lt;3,"POOR")</f>
        <v>AVERAGE</v>
      </c>
    </row>
    <row r="1046" spans="1:29" x14ac:dyDescent="0.3">
      <c r="A1046">
        <v>1045</v>
      </c>
      <c r="B1046">
        <v>84215</v>
      </c>
      <c r="C1046" t="s">
        <v>1094</v>
      </c>
      <c r="D1046" t="s">
        <v>34</v>
      </c>
      <c r="E1046" t="s">
        <v>27</v>
      </c>
      <c r="F1046" s="1">
        <v>45172</v>
      </c>
      <c r="G1046" s="1">
        <v>45556</v>
      </c>
      <c r="H1046">
        <v>8</v>
      </c>
      <c r="I1046" t="s">
        <v>42</v>
      </c>
      <c r="J1046" t="s">
        <v>53</v>
      </c>
      <c r="K1046">
        <v>2</v>
      </c>
      <c r="L1046">
        <v>1</v>
      </c>
      <c r="M1046">
        <v>1</v>
      </c>
      <c r="N1046">
        <v>4</v>
      </c>
      <c r="O1046">
        <v>3</v>
      </c>
      <c r="P1046">
        <v>2</v>
      </c>
      <c r="Q1046">
        <v>3</v>
      </c>
      <c r="R1046">
        <v>2</v>
      </c>
      <c r="S1046">
        <v>2</v>
      </c>
      <c r="T1046">
        <v>5</v>
      </c>
      <c r="U1046" t="s">
        <v>37</v>
      </c>
      <c r="V1046" t="s">
        <v>38</v>
      </c>
      <c r="W1046" t="s">
        <v>32</v>
      </c>
      <c r="X1046" t="s">
        <v>33</v>
      </c>
      <c r="Y1046">
        <v>56</v>
      </c>
      <c r="Z1046" s="1">
        <v>45556</v>
      </c>
      <c r="AA1046" t="str" cm="1">
        <f t="array" ref="AA1046">_xlfn.IFS(AND(Table2[[#This Row],[Guest_Age]]&gt;=18,Table2[[#This Row],[Guest_Age]]&lt;=25),"Young Adults",AND(Table2[[#This Row],[Guest_Age]]&gt;=26,Table2[[#This Row],[Guest_Age]]&lt;=35),"Adults",AND(Table2[[#This Row],[Guest_Age]]&gt;=36,Table2[[#This Row],[Guest_Age]]&lt;=50),"Middle Aged Adults",Table2[[#This Row],[Guest_Age]]&gt;50,"Senior")</f>
        <v>Senior</v>
      </c>
      <c r="AB10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46" t="str" cm="1">
        <f t="array" ref="AC1046">_xlfn.IFS(Table2[[#This Row],[Satification_points]]&gt;=4.5,"GREAT",AND(Table2[[#This Row],[Satification_points]]&gt;=4,Table2[[#This Row],[Satification_points]]&lt;4.5),"GOOD",AND(Table2[[#This Row],[Satification_points]]&gt;=3,Table2[[#This Row],[Satification_points]]&lt;4),"AVERAGE",Table2[[#This Row],[Satification_points]]&lt;3,"POOR")</f>
        <v>POOR</v>
      </c>
    </row>
    <row r="1047" spans="1:29" x14ac:dyDescent="0.3">
      <c r="A1047">
        <v>1046</v>
      </c>
      <c r="B1047">
        <v>54143</v>
      </c>
      <c r="C1047" t="s">
        <v>1095</v>
      </c>
      <c r="D1047" t="s">
        <v>48</v>
      </c>
      <c r="E1047" t="s">
        <v>35</v>
      </c>
      <c r="F1047" s="1">
        <v>45611</v>
      </c>
      <c r="G1047" s="1">
        <v>45612</v>
      </c>
      <c r="H1047">
        <v>4</v>
      </c>
      <c r="I1047" t="s">
        <v>28</v>
      </c>
      <c r="J1047" t="s">
        <v>53</v>
      </c>
      <c r="K1047">
        <v>2</v>
      </c>
      <c r="L1047">
        <v>5</v>
      </c>
      <c r="M1047">
        <v>5</v>
      </c>
      <c r="N1047">
        <v>3</v>
      </c>
      <c r="O1047">
        <v>3</v>
      </c>
      <c r="P1047">
        <v>1</v>
      </c>
      <c r="Q1047">
        <v>5</v>
      </c>
      <c r="R1047">
        <v>3</v>
      </c>
      <c r="S1047">
        <v>2</v>
      </c>
      <c r="T1047">
        <v>2</v>
      </c>
      <c r="U1047" t="s">
        <v>30</v>
      </c>
      <c r="V1047" t="s">
        <v>31</v>
      </c>
      <c r="W1047" t="s">
        <v>47</v>
      </c>
      <c r="X1047" t="s">
        <v>40</v>
      </c>
      <c r="Y1047">
        <v>42</v>
      </c>
      <c r="Z1047" s="1">
        <v>45612</v>
      </c>
      <c r="AA1047" t="str" cm="1">
        <f t="array" ref="AA10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47" t="str" cm="1">
        <f t="array" ref="AC1047">_xlfn.IFS(Table2[[#This Row],[Satification_points]]&gt;=4.5,"GREAT",AND(Table2[[#This Row],[Satification_points]]&gt;=4,Table2[[#This Row],[Satification_points]]&lt;4.5),"GOOD",AND(Table2[[#This Row],[Satification_points]]&gt;=3,Table2[[#This Row],[Satification_points]]&lt;4),"AVERAGE",Table2[[#This Row],[Satification_points]]&lt;3,"POOR")</f>
        <v>AVERAGE</v>
      </c>
    </row>
    <row r="1048" spans="1:29" x14ac:dyDescent="0.3">
      <c r="A1048">
        <v>1047</v>
      </c>
      <c r="B1048">
        <v>84311</v>
      </c>
      <c r="C1048" t="s">
        <v>1096</v>
      </c>
      <c r="D1048" t="s">
        <v>34</v>
      </c>
      <c r="E1048" t="s">
        <v>27</v>
      </c>
      <c r="F1048" s="1">
        <v>45005</v>
      </c>
      <c r="G1048" s="1">
        <v>45097</v>
      </c>
      <c r="H1048">
        <v>1</v>
      </c>
      <c r="I1048" t="s">
        <v>42</v>
      </c>
      <c r="J1048" t="s">
        <v>36</v>
      </c>
      <c r="K1048">
        <v>2</v>
      </c>
      <c r="L1048">
        <v>2</v>
      </c>
      <c r="M1048">
        <v>3</v>
      </c>
      <c r="N1048">
        <v>1</v>
      </c>
      <c r="O1048">
        <v>3</v>
      </c>
      <c r="P1048">
        <v>3</v>
      </c>
      <c r="Q1048">
        <v>5</v>
      </c>
      <c r="R1048">
        <v>4</v>
      </c>
      <c r="S1048">
        <v>3</v>
      </c>
      <c r="T1048">
        <v>4</v>
      </c>
      <c r="U1048" t="s">
        <v>30</v>
      </c>
      <c r="V1048" t="s">
        <v>38</v>
      </c>
      <c r="W1048" t="s">
        <v>55</v>
      </c>
      <c r="X1048" t="s">
        <v>40</v>
      </c>
      <c r="Y1048">
        <v>46</v>
      </c>
      <c r="Z1048" s="1">
        <v>45125</v>
      </c>
      <c r="AA1048" t="str" cm="1">
        <f t="array" ref="AA10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48" t="str" cm="1">
        <f t="array" ref="AC1048">_xlfn.IFS(Table2[[#This Row],[Satification_points]]&gt;=4.5,"GREAT",AND(Table2[[#This Row],[Satification_points]]&gt;=4,Table2[[#This Row],[Satification_points]]&lt;4.5),"GOOD",AND(Table2[[#This Row],[Satification_points]]&gt;=3,Table2[[#This Row],[Satification_points]]&lt;4),"AVERAGE",Table2[[#This Row],[Satification_points]]&lt;3,"POOR")</f>
        <v>AVERAGE</v>
      </c>
    </row>
    <row r="1049" spans="1:29" x14ac:dyDescent="0.3">
      <c r="A1049">
        <v>1048</v>
      </c>
      <c r="B1049">
        <v>98719</v>
      </c>
      <c r="C1049" t="s">
        <v>1097</v>
      </c>
      <c r="D1049" t="s">
        <v>48</v>
      </c>
      <c r="E1049" t="s">
        <v>27</v>
      </c>
      <c r="F1049" s="1">
        <v>45359</v>
      </c>
      <c r="G1049" s="1">
        <v>45635</v>
      </c>
      <c r="H1049">
        <v>2</v>
      </c>
      <c r="I1049" t="s">
        <v>49</v>
      </c>
      <c r="J1049" t="s">
        <v>29</v>
      </c>
      <c r="K1049">
        <v>3</v>
      </c>
      <c r="L1049">
        <v>2</v>
      </c>
      <c r="M1049">
        <v>1</v>
      </c>
      <c r="N1049">
        <v>2</v>
      </c>
      <c r="O1049">
        <v>3</v>
      </c>
      <c r="P1049">
        <v>5</v>
      </c>
      <c r="Q1049">
        <v>4</v>
      </c>
      <c r="R1049">
        <v>2</v>
      </c>
      <c r="S1049">
        <v>1</v>
      </c>
      <c r="T1049">
        <v>5</v>
      </c>
      <c r="U1049" t="s">
        <v>37</v>
      </c>
      <c r="V1049" t="s">
        <v>31</v>
      </c>
      <c r="W1049" t="s">
        <v>55</v>
      </c>
      <c r="X1049" t="s">
        <v>40</v>
      </c>
      <c r="Y1049">
        <v>63</v>
      </c>
      <c r="Z1049" s="1">
        <v>45635</v>
      </c>
      <c r="AA1049" t="str" cm="1">
        <f t="array" ref="AA1049">_xlfn.IFS(AND(Table2[[#This Row],[Guest_Age]]&gt;=18,Table2[[#This Row],[Guest_Age]]&lt;=25),"Young Adults",AND(Table2[[#This Row],[Guest_Age]]&gt;=26,Table2[[#This Row],[Guest_Age]]&lt;=35),"Adults",AND(Table2[[#This Row],[Guest_Age]]&gt;=36,Table2[[#This Row],[Guest_Age]]&lt;=50),"Middle Aged Adults",Table2[[#This Row],[Guest_Age]]&gt;50,"Senior")</f>
        <v>Senior</v>
      </c>
      <c r="AB10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49" t="str" cm="1">
        <f t="array" ref="AC1049">_xlfn.IFS(Table2[[#This Row],[Satification_points]]&gt;=4.5,"GREAT",AND(Table2[[#This Row],[Satification_points]]&gt;=4,Table2[[#This Row],[Satification_points]]&lt;4.5),"GOOD",AND(Table2[[#This Row],[Satification_points]]&gt;=3,Table2[[#This Row],[Satification_points]]&lt;4),"AVERAGE",Table2[[#This Row],[Satification_points]]&lt;3,"POOR")</f>
        <v>POOR</v>
      </c>
    </row>
    <row r="1050" spans="1:29" x14ac:dyDescent="0.3">
      <c r="A1050">
        <v>1049</v>
      </c>
      <c r="B1050">
        <v>39287</v>
      </c>
      <c r="C1050" t="s">
        <v>1098</v>
      </c>
      <c r="D1050" t="s">
        <v>41</v>
      </c>
      <c r="E1050" t="s">
        <v>57</v>
      </c>
      <c r="F1050" s="1">
        <v>45206</v>
      </c>
      <c r="G1050" s="1">
        <v>45319</v>
      </c>
      <c r="H1050">
        <v>2</v>
      </c>
      <c r="I1050" t="s">
        <v>42</v>
      </c>
      <c r="J1050" t="s">
        <v>36</v>
      </c>
      <c r="K1050">
        <v>4</v>
      </c>
      <c r="L1050">
        <v>4</v>
      </c>
      <c r="M1050">
        <v>1</v>
      </c>
      <c r="N1050">
        <v>1</v>
      </c>
      <c r="O1050">
        <v>5</v>
      </c>
      <c r="P1050">
        <v>4</v>
      </c>
      <c r="Q1050">
        <v>2</v>
      </c>
      <c r="R1050">
        <v>1</v>
      </c>
      <c r="S1050">
        <v>3</v>
      </c>
      <c r="T1050">
        <v>4</v>
      </c>
      <c r="U1050" t="s">
        <v>30</v>
      </c>
      <c r="V1050" t="s">
        <v>46</v>
      </c>
      <c r="W1050" t="s">
        <v>32</v>
      </c>
      <c r="X1050" t="s">
        <v>44</v>
      </c>
      <c r="Y1050">
        <v>35</v>
      </c>
      <c r="Z1050" s="1">
        <v>45319</v>
      </c>
      <c r="AA1050" t="str" cm="1">
        <f t="array" ref="AA1050">_xlfn.IFS(AND(Table2[[#This Row],[Guest_Age]]&gt;=18,Table2[[#This Row],[Guest_Age]]&lt;=25),"Young Adults",AND(Table2[[#This Row],[Guest_Age]]&gt;=26,Table2[[#This Row],[Guest_Age]]&lt;=35),"Adults",AND(Table2[[#This Row],[Guest_Age]]&gt;=36,Table2[[#This Row],[Guest_Age]]&lt;=50),"Middle Aged Adults",Table2[[#This Row],[Guest_Age]]&gt;50,"Senior")</f>
        <v>Adults</v>
      </c>
      <c r="AB10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050" t="str" cm="1">
        <f t="array" ref="AC1050">_xlfn.IFS(Table2[[#This Row],[Satification_points]]&gt;=4.5,"GREAT",AND(Table2[[#This Row],[Satification_points]]&gt;=4,Table2[[#This Row],[Satification_points]]&lt;4.5),"GOOD",AND(Table2[[#This Row],[Satification_points]]&gt;=3,Table2[[#This Row],[Satification_points]]&lt;4),"AVERAGE",Table2[[#This Row],[Satification_points]]&lt;3,"POOR")</f>
        <v>POOR</v>
      </c>
    </row>
    <row r="1051" spans="1:29" x14ac:dyDescent="0.3">
      <c r="A1051">
        <v>1050</v>
      </c>
      <c r="B1051">
        <v>79846</v>
      </c>
      <c r="C1051" t="s">
        <v>1099</v>
      </c>
      <c r="D1051" t="s">
        <v>51</v>
      </c>
      <c r="E1051" t="s">
        <v>27</v>
      </c>
      <c r="F1051" s="1">
        <v>45587</v>
      </c>
      <c r="G1051" s="1">
        <v>45588</v>
      </c>
      <c r="H1051">
        <v>2</v>
      </c>
      <c r="I1051" t="s">
        <v>49</v>
      </c>
      <c r="J1051" t="s">
        <v>36</v>
      </c>
      <c r="K1051">
        <v>3</v>
      </c>
      <c r="L1051">
        <v>1</v>
      </c>
      <c r="M1051">
        <v>2</v>
      </c>
      <c r="N1051">
        <v>5</v>
      </c>
      <c r="O1051">
        <v>5</v>
      </c>
      <c r="P1051">
        <v>4</v>
      </c>
      <c r="Q1051">
        <v>4</v>
      </c>
      <c r="R1051">
        <v>1</v>
      </c>
      <c r="S1051">
        <v>4</v>
      </c>
      <c r="T1051">
        <v>5</v>
      </c>
      <c r="U1051" t="s">
        <v>37</v>
      </c>
      <c r="V1051" t="s">
        <v>46</v>
      </c>
      <c r="W1051" t="s">
        <v>47</v>
      </c>
      <c r="X1051" t="s">
        <v>44</v>
      </c>
      <c r="Y1051">
        <v>39</v>
      </c>
      <c r="Z1051" s="1">
        <v>45588</v>
      </c>
      <c r="AA1051" t="str" cm="1">
        <f t="array" ref="AA105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51" t="str" cm="1">
        <f t="array" ref="AC1051">_xlfn.IFS(Table2[[#This Row],[Satification_points]]&gt;=4.5,"GREAT",AND(Table2[[#This Row],[Satification_points]]&gt;=4,Table2[[#This Row],[Satification_points]]&lt;4.5),"GOOD",AND(Table2[[#This Row],[Satification_points]]&gt;=3,Table2[[#This Row],[Satification_points]]&lt;4),"AVERAGE",Table2[[#This Row],[Satification_points]]&lt;3,"POOR")</f>
        <v>AVERAGE</v>
      </c>
    </row>
    <row r="1052" spans="1:29" x14ac:dyDescent="0.3">
      <c r="A1052">
        <v>1051</v>
      </c>
      <c r="B1052">
        <v>90863</v>
      </c>
      <c r="C1052" t="s">
        <v>1100</v>
      </c>
      <c r="D1052" t="s">
        <v>26</v>
      </c>
      <c r="E1052" t="s">
        <v>35</v>
      </c>
      <c r="F1052" s="1">
        <v>45295</v>
      </c>
      <c r="G1052" s="1">
        <v>45296</v>
      </c>
      <c r="H1052">
        <v>9</v>
      </c>
      <c r="I1052" t="s">
        <v>49</v>
      </c>
      <c r="J1052" t="s">
        <v>29</v>
      </c>
      <c r="K1052">
        <v>5</v>
      </c>
      <c r="L1052">
        <v>2</v>
      </c>
      <c r="M1052">
        <v>5</v>
      </c>
      <c r="N1052">
        <v>5</v>
      </c>
      <c r="O1052">
        <v>3</v>
      </c>
      <c r="P1052">
        <v>5</v>
      </c>
      <c r="Q1052">
        <v>3</v>
      </c>
      <c r="R1052">
        <v>3</v>
      </c>
      <c r="S1052">
        <v>4</v>
      </c>
      <c r="T1052">
        <v>5</v>
      </c>
      <c r="U1052" t="s">
        <v>37</v>
      </c>
      <c r="V1052" t="s">
        <v>31</v>
      </c>
      <c r="W1052" t="s">
        <v>32</v>
      </c>
      <c r="X1052" t="s">
        <v>44</v>
      </c>
      <c r="Y1052">
        <v>68</v>
      </c>
      <c r="Z1052" s="1">
        <v>45296</v>
      </c>
      <c r="AA1052" t="str" cm="1">
        <f t="array" ref="AA1052">_xlfn.IFS(AND(Table2[[#This Row],[Guest_Age]]&gt;=18,Table2[[#This Row],[Guest_Age]]&lt;=25),"Young Adults",AND(Table2[[#This Row],[Guest_Age]]&gt;=26,Table2[[#This Row],[Guest_Age]]&lt;=35),"Adults",AND(Table2[[#This Row],[Guest_Age]]&gt;=36,Table2[[#This Row],[Guest_Age]]&lt;=50),"Middle Aged Adults",Table2[[#This Row],[Guest_Age]]&gt;50,"Senior")</f>
        <v>Senior</v>
      </c>
      <c r="AB10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052" t="str" cm="1">
        <f t="array" ref="AC1052">_xlfn.IFS(Table2[[#This Row],[Satification_points]]&gt;=4.5,"GREAT",AND(Table2[[#This Row],[Satification_points]]&gt;=4,Table2[[#This Row],[Satification_points]]&lt;4.5),"GOOD",AND(Table2[[#This Row],[Satification_points]]&gt;=3,Table2[[#This Row],[Satification_points]]&lt;4),"AVERAGE",Table2[[#This Row],[Satification_points]]&lt;3,"POOR")</f>
        <v>GOOD</v>
      </c>
    </row>
    <row r="1053" spans="1:29" x14ac:dyDescent="0.3">
      <c r="A1053">
        <v>1052</v>
      </c>
      <c r="B1053">
        <v>34140</v>
      </c>
      <c r="C1053" t="s">
        <v>1101</v>
      </c>
      <c r="D1053" t="s">
        <v>41</v>
      </c>
      <c r="E1053" t="s">
        <v>52</v>
      </c>
      <c r="F1053" s="1">
        <v>45205</v>
      </c>
      <c r="G1053" s="1">
        <v>45428</v>
      </c>
      <c r="H1053">
        <v>7</v>
      </c>
      <c r="I1053" t="s">
        <v>42</v>
      </c>
      <c r="J1053" t="s">
        <v>29</v>
      </c>
      <c r="K1053">
        <v>5</v>
      </c>
      <c r="L1053">
        <v>5</v>
      </c>
      <c r="M1053">
        <v>4</v>
      </c>
      <c r="N1053">
        <v>5</v>
      </c>
      <c r="O1053">
        <v>5</v>
      </c>
      <c r="P1053">
        <v>4</v>
      </c>
      <c r="Q1053">
        <v>2</v>
      </c>
      <c r="R1053">
        <v>2</v>
      </c>
      <c r="S1053">
        <v>2</v>
      </c>
      <c r="T1053">
        <v>1</v>
      </c>
      <c r="U1053" t="s">
        <v>37</v>
      </c>
      <c r="V1053" t="s">
        <v>38</v>
      </c>
      <c r="W1053" t="s">
        <v>32</v>
      </c>
      <c r="X1053" t="s">
        <v>44</v>
      </c>
      <c r="Y1053">
        <v>43</v>
      </c>
      <c r="Z1053" s="1">
        <v>45428</v>
      </c>
      <c r="AA1053" t="str" cm="1">
        <f t="array" ref="AA10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053" t="str" cm="1">
        <f t="array" ref="AC1053">_xlfn.IFS(Table2[[#This Row],[Satification_points]]&gt;=4.5,"GREAT",AND(Table2[[#This Row],[Satification_points]]&gt;=4,Table2[[#This Row],[Satification_points]]&lt;4.5),"GOOD",AND(Table2[[#This Row],[Satification_points]]&gt;=3,Table2[[#This Row],[Satification_points]]&lt;4),"AVERAGE",Table2[[#This Row],[Satification_points]]&lt;3,"POOR")</f>
        <v>AVERAGE</v>
      </c>
    </row>
    <row r="1054" spans="1:29" x14ac:dyDescent="0.3">
      <c r="A1054">
        <v>1053</v>
      </c>
      <c r="B1054">
        <v>40657</v>
      </c>
      <c r="C1054" t="s">
        <v>1102</v>
      </c>
      <c r="D1054" t="s">
        <v>34</v>
      </c>
      <c r="E1054" t="s">
        <v>57</v>
      </c>
      <c r="F1054" s="1">
        <v>45277</v>
      </c>
      <c r="G1054" s="1">
        <v>45278</v>
      </c>
      <c r="H1054">
        <v>9</v>
      </c>
      <c r="I1054" t="s">
        <v>42</v>
      </c>
      <c r="J1054" t="s">
        <v>43</v>
      </c>
      <c r="K1054">
        <v>1</v>
      </c>
      <c r="L1054">
        <v>1</v>
      </c>
      <c r="M1054">
        <v>2</v>
      </c>
      <c r="N1054">
        <v>2</v>
      </c>
      <c r="O1054">
        <v>3</v>
      </c>
      <c r="P1054">
        <v>5</v>
      </c>
      <c r="Q1054">
        <v>3</v>
      </c>
      <c r="R1054">
        <v>3</v>
      </c>
      <c r="S1054">
        <v>4</v>
      </c>
      <c r="T1054">
        <v>3</v>
      </c>
      <c r="U1054" t="s">
        <v>37</v>
      </c>
      <c r="V1054" t="s">
        <v>31</v>
      </c>
      <c r="W1054" t="s">
        <v>47</v>
      </c>
      <c r="X1054" t="s">
        <v>33</v>
      </c>
      <c r="Y1054">
        <v>43</v>
      </c>
      <c r="Z1054" s="1">
        <v>45408</v>
      </c>
      <c r="AA1054" t="str" cm="1">
        <f t="array" ref="AA105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54" t="str" cm="1">
        <f t="array" ref="AC1054">_xlfn.IFS(Table2[[#This Row],[Satification_points]]&gt;=4.5,"GREAT",AND(Table2[[#This Row],[Satification_points]]&gt;=4,Table2[[#This Row],[Satification_points]]&lt;4.5),"GOOD",AND(Table2[[#This Row],[Satification_points]]&gt;=3,Table2[[#This Row],[Satification_points]]&lt;4),"AVERAGE",Table2[[#This Row],[Satification_points]]&lt;3,"POOR")</f>
        <v>POOR</v>
      </c>
    </row>
    <row r="1055" spans="1:29" x14ac:dyDescent="0.3">
      <c r="A1055">
        <v>1054</v>
      </c>
      <c r="B1055">
        <v>69494</v>
      </c>
      <c r="C1055" t="s">
        <v>1103</v>
      </c>
      <c r="D1055" t="s">
        <v>51</v>
      </c>
      <c r="E1055" t="s">
        <v>52</v>
      </c>
      <c r="F1055" s="1">
        <v>45152</v>
      </c>
      <c r="G1055" s="1">
        <v>45153</v>
      </c>
      <c r="H1055">
        <v>10</v>
      </c>
      <c r="I1055" t="s">
        <v>49</v>
      </c>
      <c r="J1055" t="s">
        <v>40</v>
      </c>
      <c r="K1055">
        <v>1</v>
      </c>
      <c r="L1055">
        <v>2</v>
      </c>
      <c r="M1055">
        <v>1</v>
      </c>
      <c r="N1055">
        <v>5</v>
      </c>
      <c r="O1055">
        <v>3</v>
      </c>
      <c r="P1055">
        <v>1</v>
      </c>
      <c r="Q1055">
        <v>2</v>
      </c>
      <c r="R1055">
        <v>3</v>
      </c>
      <c r="S1055">
        <v>1</v>
      </c>
      <c r="T1055">
        <v>3</v>
      </c>
      <c r="U1055" t="s">
        <v>30</v>
      </c>
      <c r="V1055" t="s">
        <v>31</v>
      </c>
      <c r="W1055" t="s">
        <v>47</v>
      </c>
      <c r="X1055" t="s">
        <v>33</v>
      </c>
      <c r="Y1055">
        <v>69</v>
      </c>
      <c r="Z1055" s="1">
        <v>45264</v>
      </c>
      <c r="AA1055" t="str" cm="1">
        <f t="array" ref="AA1055">_xlfn.IFS(AND(Table2[[#This Row],[Guest_Age]]&gt;=18,Table2[[#This Row],[Guest_Age]]&lt;=25),"Young Adults",AND(Table2[[#This Row],[Guest_Age]]&gt;=26,Table2[[#This Row],[Guest_Age]]&lt;=35),"Adults",AND(Table2[[#This Row],[Guest_Age]]&gt;=36,Table2[[#This Row],[Guest_Age]]&lt;=50),"Middle Aged Adults",Table2[[#This Row],[Guest_Age]]&gt;50,"Senior")</f>
        <v>Senior</v>
      </c>
      <c r="AB10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055" t="str" cm="1">
        <f t="array" ref="AC1055">_xlfn.IFS(Table2[[#This Row],[Satification_points]]&gt;=4.5,"GREAT",AND(Table2[[#This Row],[Satification_points]]&gt;=4,Table2[[#This Row],[Satification_points]]&lt;4.5),"GOOD",AND(Table2[[#This Row],[Satification_points]]&gt;=3,Table2[[#This Row],[Satification_points]]&lt;4),"AVERAGE",Table2[[#This Row],[Satification_points]]&lt;3,"POOR")</f>
        <v>POOR</v>
      </c>
    </row>
    <row r="1056" spans="1:29" x14ac:dyDescent="0.3">
      <c r="A1056">
        <v>1055</v>
      </c>
      <c r="B1056">
        <v>24746</v>
      </c>
      <c r="C1056" t="s">
        <v>1104</v>
      </c>
      <c r="D1056" t="s">
        <v>26</v>
      </c>
      <c r="E1056" t="s">
        <v>45</v>
      </c>
      <c r="F1056" s="1">
        <v>45332</v>
      </c>
      <c r="G1056" s="1">
        <v>45520</v>
      </c>
      <c r="H1056">
        <v>10</v>
      </c>
      <c r="I1056" t="s">
        <v>50</v>
      </c>
      <c r="J1056" t="s">
        <v>53</v>
      </c>
      <c r="K1056">
        <v>1</v>
      </c>
      <c r="L1056">
        <v>4</v>
      </c>
      <c r="M1056">
        <v>5</v>
      </c>
      <c r="N1056">
        <v>5</v>
      </c>
      <c r="O1056">
        <v>3</v>
      </c>
      <c r="P1056">
        <v>4</v>
      </c>
      <c r="Q1056">
        <v>4</v>
      </c>
      <c r="R1056">
        <v>3</v>
      </c>
      <c r="S1056">
        <v>1</v>
      </c>
      <c r="T1056">
        <v>4</v>
      </c>
      <c r="U1056" t="s">
        <v>30</v>
      </c>
      <c r="V1056" t="s">
        <v>54</v>
      </c>
      <c r="W1056" t="s">
        <v>56</v>
      </c>
      <c r="X1056" t="s">
        <v>40</v>
      </c>
      <c r="Y1056">
        <v>38</v>
      </c>
      <c r="Z1056" s="1">
        <v>45520</v>
      </c>
      <c r="AA1056" t="str" cm="1">
        <f t="array" ref="AA10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56" t="str" cm="1">
        <f t="array" ref="AC1056">_xlfn.IFS(Table2[[#This Row],[Satification_points]]&gt;=4.5,"GREAT",AND(Table2[[#This Row],[Satification_points]]&gt;=4,Table2[[#This Row],[Satification_points]]&lt;4.5),"GOOD",AND(Table2[[#This Row],[Satification_points]]&gt;=3,Table2[[#This Row],[Satification_points]]&lt;4),"AVERAGE",Table2[[#This Row],[Satification_points]]&lt;3,"POOR")</f>
        <v>AVERAGE</v>
      </c>
    </row>
    <row r="1057" spans="1:29" x14ac:dyDescent="0.3">
      <c r="A1057">
        <v>1056</v>
      </c>
      <c r="B1057">
        <v>81427</v>
      </c>
      <c r="C1057" t="s">
        <v>1105</v>
      </c>
      <c r="D1057" t="s">
        <v>26</v>
      </c>
      <c r="E1057" t="s">
        <v>52</v>
      </c>
      <c r="F1057" s="1">
        <v>45372</v>
      </c>
      <c r="G1057" s="1">
        <v>45373</v>
      </c>
      <c r="H1057">
        <v>2</v>
      </c>
      <c r="I1057" t="s">
        <v>28</v>
      </c>
      <c r="J1057" t="s">
        <v>29</v>
      </c>
      <c r="K1057">
        <v>3</v>
      </c>
      <c r="L1057">
        <v>4</v>
      </c>
      <c r="M1057">
        <v>5</v>
      </c>
      <c r="N1057">
        <v>5</v>
      </c>
      <c r="O1057">
        <v>5</v>
      </c>
      <c r="P1057">
        <v>4</v>
      </c>
      <c r="Q1057">
        <v>1</v>
      </c>
      <c r="R1057">
        <v>5</v>
      </c>
      <c r="S1057">
        <v>3</v>
      </c>
      <c r="T1057">
        <v>4</v>
      </c>
      <c r="U1057" t="s">
        <v>37</v>
      </c>
      <c r="V1057" t="s">
        <v>31</v>
      </c>
      <c r="W1057" t="s">
        <v>55</v>
      </c>
      <c r="X1057" t="s">
        <v>40</v>
      </c>
      <c r="Y1057">
        <v>38</v>
      </c>
      <c r="Z1057" s="1">
        <v>45373</v>
      </c>
      <c r="AA1057" t="str" cm="1">
        <f t="array" ref="AA10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057" t="str" cm="1">
        <f t="array" ref="AC1057">_xlfn.IFS(Table2[[#This Row],[Satification_points]]&gt;=4.5,"GREAT",AND(Table2[[#This Row],[Satification_points]]&gt;=4,Table2[[#This Row],[Satification_points]]&lt;4.5),"GOOD",AND(Table2[[#This Row],[Satification_points]]&gt;=3,Table2[[#This Row],[Satification_points]]&lt;4),"AVERAGE",Table2[[#This Row],[Satification_points]]&lt;3,"POOR")</f>
        <v>AVERAGE</v>
      </c>
    </row>
    <row r="1058" spans="1:29" x14ac:dyDescent="0.3">
      <c r="A1058">
        <v>1057</v>
      </c>
      <c r="B1058">
        <v>98114</v>
      </c>
      <c r="C1058" t="s">
        <v>1106</v>
      </c>
      <c r="D1058" t="s">
        <v>34</v>
      </c>
      <c r="E1058" t="s">
        <v>45</v>
      </c>
      <c r="F1058" s="1">
        <v>45249</v>
      </c>
      <c r="G1058" s="1">
        <v>45603</v>
      </c>
      <c r="H1058">
        <v>5</v>
      </c>
      <c r="I1058" t="s">
        <v>42</v>
      </c>
      <c r="J1058" t="s">
        <v>29</v>
      </c>
      <c r="K1058">
        <v>2</v>
      </c>
      <c r="L1058">
        <v>4</v>
      </c>
      <c r="M1058">
        <v>2</v>
      </c>
      <c r="N1058">
        <v>2</v>
      </c>
      <c r="O1058">
        <v>2</v>
      </c>
      <c r="P1058">
        <v>5</v>
      </c>
      <c r="Q1058">
        <v>4</v>
      </c>
      <c r="R1058">
        <v>1</v>
      </c>
      <c r="S1058">
        <v>1</v>
      </c>
      <c r="T1058">
        <v>4</v>
      </c>
      <c r="U1058" t="s">
        <v>30</v>
      </c>
      <c r="V1058" t="s">
        <v>54</v>
      </c>
      <c r="W1058" t="s">
        <v>32</v>
      </c>
      <c r="X1058" t="s">
        <v>33</v>
      </c>
      <c r="Y1058">
        <v>59</v>
      </c>
      <c r="Z1058" s="1">
        <v>45603</v>
      </c>
      <c r="AA1058" t="str" cm="1">
        <f t="array" ref="AA1058">_xlfn.IFS(AND(Table2[[#This Row],[Guest_Age]]&gt;=18,Table2[[#This Row],[Guest_Age]]&lt;=25),"Young Adults",AND(Table2[[#This Row],[Guest_Age]]&gt;=26,Table2[[#This Row],[Guest_Age]]&lt;=35),"Adults",AND(Table2[[#This Row],[Guest_Age]]&gt;=36,Table2[[#This Row],[Guest_Age]]&lt;=50),"Middle Aged Adults",Table2[[#This Row],[Guest_Age]]&gt;50,"Senior")</f>
        <v>Senior</v>
      </c>
      <c r="AB10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58" t="str" cm="1">
        <f t="array" ref="AC1058">_xlfn.IFS(Table2[[#This Row],[Satification_points]]&gt;=4.5,"GREAT",AND(Table2[[#This Row],[Satification_points]]&gt;=4,Table2[[#This Row],[Satification_points]]&lt;4.5),"GOOD",AND(Table2[[#This Row],[Satification_points]]&gt;=3,Table2[[#This Row],[Satification_points]]&lt;4),"AVERAGE",Table2[[#This Row],[Satification_points]]&lt;3,"POOR")</f>
        <v>POOR</v>
      </c>
    </row>
    <row r="1059" spans="1:29" x14ac:dyDescent="0.3">
      <c r="A1059">
        <v>1058</v>
      </c>
      <c r="B1059">
        <v>59494</v>
      </c>
      <c r="C1059" t="s">
        <v>1107</v>
      </c>
      <c r="D1059" t="s">
        <v>26</v>
      </c>
      <c r="E1059" t="s">
        <v>45</v>
      </c>
      <c r="F1059" s="1">
        <v>45556</v>
      </c>
      <c r="G1059" s="1">
        <v>45557</v>
      </c>
      <c r="H1059">
        <v>1</v>
      </c>
      <c r="I1059" t="s">
        <v>49</v>
      </c>
      <c r="J1059" t="s">
        <v>43</v>
      </c>
      <c r="K1059">
        <v>1</v>
      </c>
      <c r="L1059">
        <v>4</v>
      </c>
      <c r="M1059">
        <v>3</v>
      </c>
      <c r="N1059">
        <v>5</v>
      </c>
      <c r="O1059">
        <v>2</v>
      </c>
      <c r="P1059">
        <v>1</v>
      </c>
      <c r="Q1059">
        <v>2</v>
      </c>
      <c r="R1059">
        <v>5</v>
      </c>
      <c r="S1059">
        <v>4</v>
      </c>
      <c r="T1059">
        <v>1</v>
      </c>
      <c r="U1059" t="s">
        <v>30</v>
      </c>
      <c r="V1059" t="s">
        <v>54</v>
      </c>
      <c r="W1059" t="s">
        <v>39</v>
      </c>
      <c r="X1059" t="s">
        <v>40</v>
      </c>
      <c r="Y1059">
        <v>25</v>
      </c>
      <c r="Z1059" s="1">
        <v>45645</v>
      </c>
      <c r="AA1059" t="str" cm="1">
        <f t="array" ref="AA1059">_xlfn.IFS(AND(Table2[[#This Row],[Guest_Age]]&gt;=18,Table2[[#This Row],[Guest_Age]]&lt;=25),"Young Adults",AND(Table2[[#This Row],[Guest_Age]]&gt;=26,Table2[[#This Row],[Guest_Age]]&lt;=35),"Adults",AND(Table2[[#This Row],[Guest_Age]]&gt;=36,Table2[[#This Row],[Guest_Age]]&lt;=50),"Middle Aged Adults",Table2[[#This Row],[Guest_Age]]&gt;50,"Senior")</f>
        <v>Young Adults</v>
      </c>
      <c r="AB10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59" t="str" cm="1">
        <f t="array" ref="AC1059">_xlfn.IFS(Table2[[#This Row],[Satification_points]]&gt;=4.5,"GREAT",AND(Table2[[#This Row],[Satification_points]]&gt;=4,Table2[[#This Row],[Satification_points]]&lt;4.5),"GOOD",AND(Table2[[#This Row],[Satification_points]]&gt;=3,Table2[[#This Row],[Satification_points]]&lt;4),"AVERAGE",Table2[[#This Row],[Satification_points]]&lt;3,"POOR")</f>
        <v>POOR</v>
      </c>
    </row>
    <row r="1060" spans="1:29" x14ac:dyDescent="0.3">
      <c r="A1060">
        <v>1059</v>
      </c>
      <c r="B1060">
        <v>17745</v>
      </c>
      <c r="C1060" t="s">
        <v>1108</v>
      </c>
      <c r="D1060" t="s">
        <v>26</v>
      </c>
      <c r="E1060" t="s">
        <v>57</v>
      </c>
      <c r="F1060" s="1">
        <v>44999</v>
      </c>
      <c r="G1060" s="1">
        <v>45646</v>
      </c>
      <c r="H1060">
        <v>2</v>
      </c>
      <c r="I1060" t="s">
        <v>28</v>
      </c>
      <c r="J1060" t="s">
        <v>43</v>
      </c>
      <c r="K1060">
        <v>1</v>
      </c>
      <c r="L1060">
        <v>1</v>
      </c>
      <c r="M1060">
        <v>3</v>
      </c>
      <c r="N1060">
        <v>3</v>
      </c>
      <c r="O1060">
        <v>2</v>
      </c>
      <c r="P1060">
        <v>1</v>
      </c>
      <c r="Q1060">
        <v>3</v>
      </c>
      <c r="R1060">
        <v>5</v>
      </c>
      <c r="S1060">
        <v>5</v>
      </c>
      <c r="T1060">
        <v>1</v>
      </c>
      <c r="U1060" t="s">
        <v>37</v>
      </c>
      <c r="V1060" t="s">
        <v>31</v>
      </c>
      <c r="W1060" t="s">
        <v>32</v>
      </c>
      <c r="X1060" t="s">
        <v>44</v>
      </c>
      <c r="Y1060">
        <v>19</v>
      </c>
      <c r="Z1060" s="1">
        <v>45646</v>
      </c>
      <c r="AA1060" t="str" cm="1">
        <f t="array" ref="AA1060">_xlfn.IFS(AND(Table2[[#This Row],[Guest_Age]]&gt;=18,Table2[[#This Row],[Guest_Age]]&lt;=25),"Young Adults",AND(Table2[[#This Row],[Guest_Age]]&gt;=26,Table2[[#This Row],[Guest_Age]]&lt;=35),"Adults",AND(Table2[[#This Row],[Guest_Age]]&gt;=36,Table2[[#This Row],[Guest_Age]]&lt;=50),"Middle Aged Adults",Table2[[#This Row],[Guest_Age]]&gt;50,"Senior")</f>
        <v>Young Adults</v>
      </c>
      <c r="AB10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60" t="str" cm="1">
        <f t="array" ref="AC1060">_xlfn.IFS(Table2[[#This Row],[Satification_points]]&gt;=4.5,"GREAT",AND(Table2[[#This Row],[Satification_points]]&gt;=4,Table2[[#This Row],[Satification_points]]&lt;4.5),"GOOD",AND(Table2[[#This Row],[Satification_points]]&gt;=3,Table2[[#This Row],[Satification_points]]&lt;4),"AVERAGE",Table2[[#This Row],[Satification_points]]&lt;3,"POOR")</f>
        <v>POOR</v>
      </c>
    </row>
    <row r="1061" spans="1:29" x14ac:dyDescent="0.3">
      <c r="A1061">
        <v>1060</v>
      </c>
      <c r="B1061">
        <v>11423</v>
      </c>
      <c r="C1061" t="s">
        <v>1109</v>
      </c>
      <c r="D1061" t="s">
        <v>41</v>
      </c>
      <c r="E1061" t="s">
        <v>52</v>
      </c>
      <c r="F1061" s="1">
        <v>45444</v>
      </c>
      <c r="G1061" s="1">
        <v>45445</v>
      </c>
      <c r="H1061">
        <v>4</v>
      </c>
      <c r="I1061" t="s">
        <v>42</v>
      </c>
      <c r="J1061" t="s">
        <v>40</v>
      </c>
      <c r="K1061">
        <v>5</v>
      </c>
      <c r="L1061">
        <v>1</v>
      </c>
      <c r="M1061">
        <v>4</v>
      </c>
      <c r="N1061">
        <v>1</v>
      </c>
      <c r="O1061">
        <v>1</v>
      </c>
      <c r="P1061">
        <v>2</v>
      </c>
      <c r="Q1061">
        <v>4</v>
      </c>
      <c r="R1061">
        <v>1</v>
      </c>
      <c r="S1061">
        <v>2</v>
      </c>
      <c r="T1061">
        <v>4</v>
      </c>
      <c r="U1061" t="s">
        <v>30</v>
      </c>
      <c r="V1061" t="s">
        <v>58</v>
      </c>
      <c r="W1061" t="s">
        <v>32</v>
      </c>
      <c r="X1061" t="s">
        <v>40</v>
      </c>
      <c r="Y1061">
        <v>63</v>
      </c>
      <c r="Z1061" s="1">
        <v>45445</v>
      </c>
      <c r="AA1061" t="str" cm="1">
        <f t="array" ref="AA1061">_xlfn.IFS(AND(Table2[[#This Row],[Guest_Age]]&gt;=18,Table2[[#This Row],[Guest_Age]]&lt;=25),"Young Adults",AND(Table2[[#This Row],[Guest_Age]]&gt;=26,Table2[[#This Row],[Guest_Age]]&lt;=35),"Adults",AND(Table2[[#This Row],[Guest_Age]]&gt;=36,Table2[[#This Row],[Guest_Age]]&lt;=50),"Middle Aged Adults",Table2[[#This Row],[Guest_Age]]&gt;50,"Senior")</f>
        <v>Senior</v>
      </c>
      <c r="AB10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61" t="str" cm="1">
        <f t="array" ref="AC1061">_xlfn.IFS(Table2[[#This Row],[Satification_points]]&gt;=4.5,"GREAT",AND(Table2[[#This Row],[Satification_points]]&gt;=4,Table2[[#This Row],[Satification_points]]&lt;4.5),"GOOD",AND(Table2[[#This Row],[Satification_points]]&gt;=3,Table2[[#This Row],[Satification_points]]&lt;4),"AVERAGE",Table2[[#This Row],[Satification_points]]&lt;3,"POOR")</f>
        <v>POOR</v>
      </c>
    </row>
    <row r="1062" spans="1:29" x14ac:dyDescent="0.3">
      <c r="A1062">
        <v>1061</v>
      </c>
      <c r="B1062">
        <v>57305</v>
      </c>
      <c r="C1062" t="s">
        <v>1110</v>
      </c>
      <c r="D1062" t="s">
        <v>41</v>
      </c>
      <c r="E1062" t="s">
        <v>27</v>
      </c>
      <c r="F1062" s="1">
        <v>45247</v>
      </c>
      <c r="G1062" s="1">
        <v>45338</v>
      </c>
      <c r="H1062">
        <v>10</v>
      </c>
      <c r="I1062" t="s">
        <v>28</v>
      </c>
      <c r="J1062" t="s">
        <v>29</v>
      </c>
      <c r="K1062">
        <v>2</v>
      </c>
      <c r="L1062">
        <v>2</v>
      </c>
      <c r="M1062">
        <v>5</v>
      </c>
      <c r="N1062">
        <v>5</v>
      </c>
      <c r="O1062">
        <v>2</v>
      </c>
      <c r="P1062">
        <v>2</v>
      </c>
      <c r="Q1062">
        <v>2</v>
      </c>
      <c r="R1062">
        <v>3</v>
      </c>
      <c r="S1062">
        <v>2</v>
      </c>
      <c r="T1062">
        <v>1</v>
      </c>
      <c r="U1062" t="s">
        <v>30</v>
      </c>
      <c r="V1062" t="s">
        <v>38</v>
      </c>
      <c r="W1062" t="s">
        <v>39</v>
      </c>
      <c r="X1062" t="s">
        <v>44</v>
      </c>
      <c r="Y1062">
        <v>51</v>
      </c>
      <c r="Z1062" s="1">
        <v>45338</v>
      </c>
      <c r="AA1062" t="str" cm="1">
        <f t="array" ref="AA1062">_xlfn.IFS(AND(Table2[[#This Row],[Guest_Age]]&gt;=18,Table2[[#This Row],[Guest_Age]]&lt;=25),"Young Adults",AND(Table2[[#This Row],[Guest_Age]]&gt;=26,Table2[[#This Row],[Guest_Age]]&lt;=35),"Adults",AND(Table2[[#This Row],[Guest_Age]]&gt;=36,Table2[[#This Row],[Guest_Age]]&lt;=50),"Middle Aged Adults",Table2[[#This Row],[Guest_Age]]&gt;50,"Senior")</f>
        <v>Senior</v>
      </c>
      <c r="AB10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62" t="str" cm="1">
        <f t="array" ref="AC1062">_xlfn.IFS(Table2[[#This Row],[Satification_points]]&gt;=4.5,"GREAT",AND(Table2[[#This Row],[Satification_points]]&gt;=4,Table2[[#This Row],[Satification_points]]&lt;4.5),"GOOD",AND(Table2[[#This Row],[Satification_points]]&gt;=3,Table2[[#This Row],[Satification_points]]&lt;4),"AVERAGE",Table2[[#This Row],[Satification_points]]&lt;3,"POOR")</f>
        <v>POOR</v>
      </c>
    </row>
    <row r="1063" spans="1:29" x14ac:dyDescent="0.3">
      <c r="A1063">
        <v>1062</v>
      </c>
      <c r="B1063">
        <v>22059</v>
      </c>
      <c r="C1063" t="s">
        <v>1111</v>
      </c>
      <c r="D1063" t="s">
        <v>26</v>
      </c>
      <c r="E1063" t="s">
        <v>57</v>
      </c>
      <c r="F1063" s="1">
        <v>44948</v>
      </c>
      <c r="G1063" s="1">
        <v>44997</v>
      </c>
      <c r="H1063">
        <v>1</v>
      </c>
      <c r="I1063" t="s">
        <v>49</v>
      </c>
      <c r="J1063" t="s">
        <v>29</v>
      </c>
      <c r="K1063">
        <v>3</v>
      </c>
      <c r="L1063">
        <v>5</v>
      </c>
      <c r="M1063">
        <v>2</v>
      </c>
      <c r="N1063">
        <v>5</v>
      </c>
      <c r="O1063">
        <v>2</v>
      </c>
      <c r="P1063">
        <v>1</v>
      </c>
      <c r="Q1063">
        <v>3</v>
      </c>
      <c r="R1063">
        <v>2</v>
      </c>
      <c r="S1063">
        <v>2</v>
      </c>
      <c r="T1063">
        <v>5</v>
      </c>
      <c r="U1063" t="s">
        <v>37</v>
      </c>
      <c r="V1063" t="s">
        <v>31</v>
      </c>
      <c r="W1063" t="s">
        <v>55</v>
      </c>
      <c r="X1063" t="s">
        <v>40</v>
      </c>
      <c r="Y1063">
        <v>29</v>
      </c>
      <c r="Z1063" s="1">
        <v>44997</v>
      </c>
      <c r="AA1063" t="str" cm="1">
        <f t="array" ref="AA1063">_xlfn.IFS(AND(Table2[[#This Row],[Guest_Age]]&gt;=18,Table2[[#This Row],[Guest_Age]]&lt;=25),"Young Adults",AND(Table2[[#This Row],[Guest_Age]]&gt;=26,Table2[[#This Row],[Guest_Age]]&lt;=35),"Adults",AND(Table2[[#This Row],[Guest_Age]]&gt;=36,Table2[[#This Row],[Guest_Age]]&lt;=50),"Middle Aged Adults",Table2[[#This Row],[Guest_Age]]&gt;50,"Senior")</f>
        <v>Adults</v>
      </c>
      <c r="AB10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63" t="str" cm="1">
        <f t="array" ref="AC1063">_xlfn.IFS(Table2[[#This Row],[Satification_points]]&gt;=4.5,"GREAT",AND(Table2[[#This Row],[Satification_points]]&gt;=4,Table2[[#This Row],[Satification_points]]&lt;4.5),"GOOD",AND(Table2[[#This Row],[Satification_points]]&gt;=3,Table2[[#This Row],[Satification_points]]&lt;4),"AVERAGE",Table2[[#This Row],[Satification_points]]&lt;3,"POOR")</f>
        <v>AVERAGE</v>
      </c>
    </row>
    <row r="1064" spans="1:29" x14ac:dyDescent="0.3">
      <c r="A1064">
        <v>1063</v>
      </c>
      <c r="B1064">
        <v>34721</v>
      </c>
      <c r="C1064" t="s">
        <v>1112</v>
      </c>
      <c r="D1064" t="s">
        <v>48</v>
      </c>
      <c r="E1064" t="s">
        <v>57</v>
      </c>
      <c r="F1064" s="1">
        <v>45105</v>
      </c>
      <c r="G1064" s="1">
        <v>45106</v>
      </c>
      <c r="H1064">
        <v>12</v>
      </c>
      <c r="I1064" t="s">
        <v>42</v>
      </c>
      <c r="J1064" t="s">
        <v>43</v>
      </c>
      <c r="K1064">
        <v>2</v>
      </c>
      <c r="L1064">
        <v>3</v>
      </c>
      <c r="M1064">
        <v>1</v>
      </c>
      <c r="N1064">
        <v>1</v>
      </c>
      <c r="O1064">
        <v>2</v>
      </c>
      <c r="P1064">
        <v>5</v>
      </c>
      <c r="Q1064">
        <v>3</v>
      </c>
      <c r="R1064">
        <v>3</v>
      </c>
      <c r="S1064">
        <v>5</v>
      </c>
      <c r="T1064">
        <v>5</v>
      </c>
      <c r="U1064" t="s">
        <v>30</v>
      </c>
      <c r="V1064" t="s">
        <v>46</v>
      </c>
      <c r="W1064" t="s">
        <v>56</v>
      </c>
      <c r="X1064" t="s">
        <v>44</v>
      </c>
      <c r="Y1064">
        <v>66</v>
      </c>
      <c r="Z1064" s="1">
        <v>45132</v>
      </c>
      <c r="AA1064" t="str" cm="1">
        <f t="array" ref="AA1064">_xlfn.IFS(AND(Table2[[#This Row],[Guest_Age]]&gt;=18,Table2[[#This Row],[Guest_Age]]&lt;=25),"Young Adults",AND(Table2[[#This Row],[Guest_Age]]&gt;=26,Table2[[#This Row],[Guest_Age]]&lt;=35),"Adults",AND(Table2[[#This Row],[Guest_Age]]&gt;=36,Table2[[#This Row],[Guest_Age]]&lt;=50),"Middle Aged Adults",Table2[[#This Row],[Guest_Age]]&gt;50,"Senior")</f>
        <v>Senior</v>
      </c>
      <c r="AB10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64" t="str" cm="1">
        <f t="array" ref="AC1064">_xlfn.IFS(Table2[[#This Row],[Satification_points]]&gt;=4.5,"GREAT",AND(Table2[[#This Row],[Satification_points]]&gt;=4,Table2[[#This Row],[Satification_points]]&lt;4.5),"GOOD",AND(Table2[[#This Row],[Satification_points]]&gt;=3,Table2[[#This Row],[Satification_points]]&lt;4),"AVERAGE",Table2[[#This Row],[Satification_points]]&lt;3,"POOR")</f>
        <v>AVERAGE</v>
      </c>
    </row>
    <row r="1065" spans="1:29" x14ac:dyDescent="0.3">
      <c r="A1065">
        <v>1064</v>
      </c>
      <c r="B1065">
        <v>89787</v>
      </c>
      <c r="C1065" t="s">
        <v>1113</v>
      </c>
      <c r="D1065" t="s">
        <v>34</v>
      </c>
      <c r="E1065" t="s">
        <v>27</v>
      </c>
      <c r="F1065" s="1">
        <v>45634</v>
      </c>
      <c r="G1065" s="1">
        <v>45635</v>
      </c>
      <c r="H1065">
        <v>8</v>
      </c>
      <c r="I1065" t="s">
        <v>50</v>
      </c>
      <c r="J1065" t="s">
        <v>36</v>
      </c>
      <c r="K1065">
        <v>5</v>
      </c>
      <c r="L1065">
        <v>3</v>
      </c>
      <c r="M1065">
        <v>3</v>
      </c>
      <c r="N1065">
        <v>5</v>
      </c>
      <c r="O1065">
        <v>4</v>
      </c>
      <c r="P1065">
        <v>3</v>
      </c>
      <c r="Q1065">
        <v>3</v>
      </c>
      <c r="R1065">
        <v>3</v>
      </c>
      <c r="S1065">
        <v>4</v>
      </c>
      <c r="T1065">
        <v>5</v>
      </c>
      <c r="U1065" t="s">
        <v>30</v>
      </c>
      <c r="V1065" t="s">
        <v>31</v>
      </c>
      <c r="W1065" t="s">
        <v>47</v>
      </c>
      <c r="X1065" t="s">
        <v>40</v>
      </c>
      <c r="Y1065">
        <v>35</v>
      </c>
      <c r="Z1065" s="1">
        <v>45635</v>
      </c>
      <c r="AA1065" t="str" cm="1">
        <f t="array" ref="AA1065">_xlfn.IFS(AND(Table2[[#This Row],[Guest_Age]]&gt;=18,Table2[[#This Row],[Guest_Age]]&lt;=25),"Young Adults",AND(Table2[[#This Row],[Guest_Age]]&gt;=26,Table2[[#This Row],[Guest_Age]]&lt;=35),"Adults",AND(Table2[[#This Row],[Guest_Age]]&gt;=36,Table2[[#This Row],[Guest_Age]]&lt;=50),"Middle Aged Adults",Table2[[#This Row],[Guest_Age]]&gt;50,"Senior")</f>
        <v>Adults</v>
      </c>
      <c r="AB10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065" t="str" cm="1">
        <f t="array" ref="AC1065">_xlfn.IFS(Table2[[#This Row],[Satification_points]]&gt;=4.5,"GREAT",AND(Table2[[#This Row],[Satification_points]]&gt;=4,Table2[[#This Row],[Satification_points]]&lt;4.5),"GOOD",AND(Table2[[#This Row],[Satification_points]]&gt;=3,Table2[[#This Row],[Satification_points]]&lt;4),"AVERAGE",Table2[[#This Row],[Satification_points]]&lt;3,"POOR")</f>
        <v>AVERAGE</v>
      </c>
    </row>
    <row r="1066" spans="1:29" x14ac:dyDescent="0.3">
      <c r="A1066">
        <v>1065</v>
      </c>
      <c r="B1066">
        <v>82183</v>
      </c>
      <c r="C1066" t="s">
        <v>1114</v>
      </c>
      <c r="D1066" t="s">
        <v>48</v>
      </c>
      <c r="E1066" t="s">
        <v>52</v>
      </c>
      <c r="F1066" s="1">
        <v>45035</v>
      </c>
      <c r="G1066" s="1">
        <v>45112</v>
      </c>
      <c r="H1066">
        <v>6</v>
      </c>
      <c r="I1066" t="s">
        <v>28</v>
      </c>
      <c r="J1066" t="s">
        <v>40</v>
      </c>
      <c r="K1066">
        <v>3</v>
      </c>
      <c r="L1066">
        <v>4</v>
      </c>
      <c r="M1066">
        <v>2</v>
      </c>
      <c r="N1066">
        <v>5</v>
      </c>
      <c r="O1066">
        <v>3</v>
      </c>
      <c r="P1066">
        <v>3</v>
      </c>
      <c r="Q1066">
        <v>2</v>
      </c>
      <c r="R1066">
        <v>5</v>
      </c>
      <c r="S1066">
        <v>1</v>
      </c>
      <c r="T1066">
        <v>3</v>
      </c>
      <c r="U1066" t="s">
        <v>37</v>
      </c>
      <c r="V1066" t="s">
        <v>31</v>
      </c>
      <c r="W1066" t="s">
        <v>56</v>
      </c>
      <c r="X1066" t="s">
        <v>44</v>
      </c>
      <c r="Y1066">
        <v>34</v>
      </c>
      <c r="Z1066" s="1">
        <v>45112</v>
      </c>
      <c r="AA1066" t="str" cm="1">
        <f t="array" ref="AA1066">_xlfn.IFS(AND(Table2[[#This Row],[Guest_Age]]&gt;=18,Table2[[#This Row],[Guest_Age]]&lt;=25),"Young Adults",AND(Table2[[#This Row],[Guest_Age]]&gt;=26,Table2[[#This Row],[Guest_Age]]&lt;=35),"Adults",AND(Table2[[#This Row],[Guest_Age]]&gt;=36,Table2[[#This Row],[Guest_Age]]&lt;=50),"Middle Aged Adults",Table2[[#This Row],[Guest_Age]]&gt;50,"Senior")</f>
        <v>Adults</v>
      </c>
      <c r="AB10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66" t="str" cm="1">
        <f t="array" ref="AC1066">_xlfn.IFS(Table2[[#This Row],[Satification_points]]&gt;=4.5,"GREAT",AND(Table2[[#This Row],[Satification_points]]&gt;=4,Table2[[#This Row],[Satification_points]]&lt;4.5),"GOOD",AND(Table2[[#This Row],[Satification_points]]&gt;=3,Table2[[#This Row],[Satification_points]]&lt;4),"AVERAGE",Table2[[#This Row],[Satification_points]]&lt;3,"POOR")</f>
        <v>AVERAGE</v>
      </c>
    </row>
    <row r="1067" spans="1:29" x14ac:dyDescent="0.3">
      <c r="A1067">
        <v>1066</v>
      </c>
      <c r="B1067">
        <v>44679</v>
      </c>
      <c r="C1067" t="s">
        <v>1115</v>
      </c>
      <c r="D1067" t="s">
        <v>48</v>
      </c>
      <c r="E1067" t="s">
        <v>57</v>
      </c>
      <c r="F1067" s="1">
        <v>45298</v>
      </c>
      <c r="G1067" s="1">
        <v>45643</v>
      </c>
      <c r="H1067">
        <v>14</v>
      </c>
      <c r="I1067" t="s">
        <v>42</v>
      </c>
      <c r="J1067" t="s">
        <v>29</v>
      </c>
      <c r="K1067">
        <v>4</v>
      </c>
      <c r="L1067">
        <v>2</v>
      </c>
      <c r="M1067">
        <v>4</v>
      </c>
      <c r="N1067">
        <v>3</v>
      </c>
      <c r="O1067">
        <v>5</v>
      </c>
      <c r="P1067">
        <v>2</v>
      </c>
      <c r="Q1067">
        <v>3</v>
      </c>
      <c r="R1067">
        <v>2</v>
      </c>
      <c r="S1067">
        <v>4</v>
      </c>
      <c r="T1067">
        <v>5</v>
      </c>
      <c r="U1067" t="s">
        <v>37</v>
      </c>
      <c r="V1067" t="s">
        <v>46</v>
      </c>
      <c r="W1067" t="s">
        <v>32</v>
      </c>
      <c r="X1067" t="s">
        <v>33</v>
      </c>
      <c r="Y1067">
        <v>32</v>
      </c>
      <c r="Z1067" s="1">
        <v>45643</v>
      </c>
      <c r="AA1067" t="str" cm="1">
        <f t="array" ref="AA1067">_xlfn.IFS(AND(Table2[[#This Row],[Guest_Age]]&gt;=18,Table2[[#This Row],[Guest_Age]]&lt;=25),"Young Adults",AND(Table2[[#This Row],[Guest_Age]]&gt;=26,Table2[[#This Row],[Guest_Age]]&lt;=35),"Adults",AND(Table2[[#This Row],[Guest_Age]]&gt;=36,Table2[[#This Row],[Guest_Age]]&lt;=50),"Middle Aged Adults",Table2[[#This Row],[Guest_Age]]&gt;50,"Senior")</f>
        <v>Adults</v>
      </c>
      <c r="AB10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067" t="str" cm="1">
        <f t="array" ref="AC1067">_xlfn.IFS(Table2[[#This Row],[Satification_points]]&gt;=4.5,"GREAT",AND(Table2[[#This Row],[Satification_points]]&gt;=4,Table2[[#This Row],[Satification_points]]&lt;4.5),"GOOD",AND(Table2[[#This Row],[Satification_points]]&gt;=3,Table2[[#This Row],[Satification_points]]&lt;4),"AVERAGE",Table2[[#This Row],[Satification_points]]&lt;3,"POOR")</f>
        <v>AVERAGE</v>
      </c>
    </row>
    <row r="1068" spans="1:29" x14ac:dyDescent="0.3">
      <c r="A1068">
        <v>1067</v>
      </c>
      <c r="B1068">
        <v>73638</v>
      </c>
      <c r="C1068" t="s">
        <v>1116</v>
      </c>
      <c r="D1068" t="s">
        <v>26</v>
      </c>
      <c r="E1068" t="s">
        <v>45</v>
      </c>
      <c r="F1068" s="1">
        <v>45623</v>
      </c>
      <c r="G1068" s="1">
        <v>45624</v>
      </c>
      <c r="H1068">
        <v>14</v>
      </c>
      <c r="I1068" t="s">
        <v>28</v>
      </c>
      <c r="J1068" t="s">
        <v>53</v>
      </c>
      <c r="K1068">
        <v>1</v>
      </c>
      <c r="L1068">
        <v>3</v>
      </c>
      <c r="M1068">
        <v>4</v>
      </c>
      <c r="N1068">
        <v>4</v>
      </c>
      <c r="O1068">
        <v>4</v>
      </c>
      <c r="P1068">
        <v>4</v>
      </c>
      <c r="Q1068">
        <v>3</v>
      </c>
      <c r="R1068">
        <v>1</v>
      </c>
      <c r="S1068">
        <v>3</v>
      </c>
      <c r="T1068">
        <v>3</v>
      </c>
      <c r="U1068" t="s">
        <v>30</v>
      </c>
      <c r="V1068" t="s">
        <v>54</v>
      </c>
      <c r="W1068" t="s">
        <v>32</v>
      </c>
      <c r="X1068" t="s">
        <v>33</v>
      </c>
      <c r="Y1068">
        <v>20</v>
      </c>
      <c r="Z1068" s="1">
        <v>45624</v>
      </c>
      <c r="AA1068" t="str" cm="1">
        <f t="array" ref="AA1068">_xlfn.IFS(AND(Table2[[#This Row],[Guest_Age]]&gt;=18,Table2[[#This Row],[Guest_Age]]&lt;=25),"Young Adults",AND(Table2[[#This Row],[Guest_Age]]&gt;=26,Table2[[#This Row],[Guest_Age]]&lt;=35),"Adults",AND(Table2[[#This Row],[Guest_Age]]&gt;=36,Table2[[#This Row],[Guest_Age]]&lt;=50),"Middle Aged Adults",Table2[[#This Row],[Guest_Age]]&gt;50,"Senior")</f>
        <v>Young Adults</v>
      </c>
      <c r="AB10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68" t="str" cm="1">
        <f t="array" ref="AC1068">_xlfn.IFS(Table2[[#This Row],[Satification_points]]&gt;=4.5,"GREAT",AND(Table2[[#This Row],[Satification_points]]&gt;=4,Table2[[#This Row],[Satification_points]]&lt;4.5),"GOOD",AND(Table2[[#This Row],[Satification_points]]&gt;=3,Table2[[#This Row],[Satification_points]]&lt;4),"AVERAGE",Table2[[#This Row],[Satification_points]]&lt;3,"POOR")</f>
        <v>AVERAGE</v>
      </c>
    </row>
    <row r="1069" spans="1:29" x14ac:dyDescent="0.3">
      <c r="A1069">
        <v>1068</v>
      </c>
      <c r="B1069">
        <v>38277</v>
      </c>
      <c r="C1069" t="s">
        <v>1117</v>
      </c>
      <c r="D1069" t="s">
        <v>34</v>
      </c>
      <c r="E1069" t="s">
        <v>27</v>
      </c>
      <c r="F1069" s="1">
        <v>45382</v>
      </c>
      <c r="G1069" s="1">
        <v>45383</v>
      </c>
      <c r="H1069">
        <v>1</v>
      </c>
      <c r="I1069" t="s">
        <v>28</v>
      </c>
      <c r="J1069" t="s">
        <v>53</v>
      </c>
      <c r="K1069">
        <v>3</v>
      </c>
      <c r="L1069">
        <v>3</v>
      </c>
      <c r="M1069">
        <v>5</v>
      </c>
      <c r="N1069">
        <v>2</v>
      </c>
      <c r="O1069">
        <v>3</v>
      </c>
      <c r="P1069">
        <v>3</v>
      </c>
      <c r="Q1069">
        <v>4</v>
      </c>
      <c r="R1069">
        <v>4</v>
      </c>
      <c r="S1069">
        <v>4</v>
      </c>
      <c r="T1069">
        <v>5</v>
      </c>
      <c r="U1069" t="s">
        <v>37</v>
      </c>
      <c r="V1069" t="s">
        <v>54</v>
      </c>
      <c r="W1069" t="s">
        <v>39</v>
      </c>
      <c r="X1069" t="s">
        <v>44</v>
      </c>
      <c r="Y1069">
        <v>38</v>
      </c>
      <c r="Z1069" s="1">
        <v>45449</v>
      </c>
      <c r="AA1069" t="str" cm="1">
        <f t="array" ref="AA10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69" t="str" cm="1">
        <f t="array" ref="AC1069">_xlfn.IFS(Table2[[#This Row],[Satification_points]]&gt;=4.5,"GREAT",AND(Table2[[#This Row],[Satification_points]]&gt;=4,Table2[[#This Row],[Satification_points]]&lt;4.5),"GOOD",AND(Table2[[#This Row],[Satification_points]]&gt;=3,Table2[[#This Row],[Satification_points]]&lt;4),"AVERAGE",Table2[[#This Row],[Satification_points]]&lt;3,"POOR")</f>
        <v>AVERAGE</v>
      </c>
    </row>
    <row r="1070" spans="1:29" x14ac:dyDescent="0.3">
      <c r="A1070">
        <v>1069</v>
      </c>
      <c r="B1070">
        <v>76875</v>
      </c>
      <c r="C1070" t="s">
        <v>1118</v>
      </c>
      <c r="D1070" t="s">
        <v>48</v>
      </c>
      <c r="E1070" t="s">
        <v>35</v>
      </c>
      <c r="F1070" s="1">
        <v>45493</v>
      </c>
      <c r="G1070" s="1">
        <v>45494</v>
      </c>
      <c r="H1070">
        <v>9</v>
      </c>
      <c r="I1070" t="s">
        <v>42</v>
      </c>
      <c r="J1070" t="s">
        <v>43</v>
      </c>
      <c r="K1070">
        <v>5</v>
      </c>
      <c r="L1070">
        <v>3</v>
      </c>
      <c r="M1070">
        <v>4</v>
      </c>
      <c r="N1070">
        <v>2</v>
      </c>
      <c r="O1070">
        <v>2</v>
      </c>
      <c r="P1070">
        <v>4</v>
      </c>
      <c r="Q1070">
        <v>3</v>
      </c>
      <c r="R1070">
        <v>1</v>
      </c>
      <c r="S1070">
        <v>4</v>
      </c>
      <c r="T1070">
        <v>4</v>
      </c>
      <c r="U1070" t="s">
        <v>37</v>
      </c>
      <c r="V1070" t="s">
        <v>58</v>
      </c>
      <c r="W1070" t="s">
        <v>39</v>
      </c>
      <c r="X1070" t="s">
        <v>33</v>
      </c>
      <c r="Y1070">
        <v>36</v>
      </c>
      <c r="Z1070" s="1">
        <v>45505</v>
      </c>
      <c r="AA1070" t="str" cm="1">
        <f t="array" ref="AA10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070" t="str" cm="1">
        <f t="array" ref="AC1070">_xlfn.IFS(Table2[[#This Row],[Satification_points]]&gt;=4.5,"GREAT",AND(Table2[[#This Row],[Satification_points]]&gt;=4,Table2[[#This Row],[Satification_points]]&lt;4.5),"GOOD",AND(Table2[[#This Row],[Satification_points]]&gt;=3,Table2[[#This Row],[Satification_points]]&lt;4),"AVERAGE",Table2[[#This Row],[Satification_points]]&lt;3,"POOR")</f>
        <v>AVERAGE</v>
      </c>
    </row>
    <row r="1071" spans="1:29" x14ac:dyDescent="0.3">
      <c r="A1071">
        <v>1070</v>
      </c>
      <c r="B1071">
        <v>24764</v>
      </c>
      <c r="C1071" t="s">
        <v>1119</v>
      </c>
      <c r="D1071" t="s">
        <v>41</v>
      </c>
      <c r="E1071" t="s">
        <v>57</v>
      </c>
      <c r="F1071" s="1">
        <v>45155</v>
      </c>
      <c r="G1071" s="1">
        <v>45336</v>
      </c>
      <c r="H1071">
        <v>1</v>
      </c>
      <c r="I1071" t="s">
        <v>42</v>
      </c>
      <c r="J1071" t="s">
        <v>53</v>
      </c>
      <c r="K1071">
        <v>2</v>
      </c>
      <c r="L1071">
        <v>3</v>
      </c>
      <c r="M1071">
        <v>4</v>
      </c>
      <c r="N1071">
        <v>1</v>
      </c>
      <c r="O1071">
        <v>2</v>
      </c>
      <c r="P1071">
        <v>4</v>
      </c>
      <c r="Q1071">
        <v>1</v>
      </c>
      <c r="R1071">
        <v>2</v>
      </c>
      <c r="S1071">
        <v>2</v>
      </c>
      <c r="T1071">
        <v>3</v>
      </c>
      <c r="U1071" t="s">
        <v>30</v>
      </c>
      <c r="V1071" t="s">
        <v>31</v>
      </c>
      <c r="W1071" t="s">
        <v>32</v>
      </c>
      <c r="X1071" t="s">
        <v>40</v>
      </c>
      <c r="Y1071">
        <v>49</v>
      </c>
      <c r="Z1071" s="1">
        <v>45336</v>
      </c>
      <c r="AA1071" t="str" cm="1">
        <f t="array" ref="AA10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071" t="str" cm="1">
        <f t="array" ref="AC1071">_xlfn.IFS(Table2[[#This Row],[Satification_points]]&gt;=4.5,"GREAT",AND(Table2[[#This Row],[Satification_points]]&gt;=4,Table2[[#This Row],[Satification_points]]&lt;4.5),"GOOD",AND(Table2[[#This Row],[Satification_points]]&gt;=3,Table2[[#This Row],[Satification_points]]&lt;4),"AVERAGE",Table2[[#This Row],[Satification_points]]&lt;3,"POOR")</f>
        <v>POOR</v>
      </c>
    </row>
    <row r="1072" spans="1:29" x14ac:dyDescent="0.3">
      <c r="A1072">
        <v>1071</v>
      </c>
      <c r="B1072">
        <v>81982</v>
      </c>
      <c r="C1072" t="s">
        <v>1120</v>
      </c>
      <c r="D1072" t="s">
        <v>41</v>
      </c>
      <c r="E1072" t="s">
        <v>45</v>
      </c>
      <c r="F1072" s="1">
        <v>45457</v>
      </c>
      <c r="G1072" s="1">
        <v>45458</v>
      </c>
      <c r="H1072">
        <v>11</v>
      </c>
      <c r="I1072" t="s">
        <v>42</v>
      </c>
      <c r="J1072" t="s">
        <v>43</v>
      </c>
      <c r="K1072">
        <v>3</v>
      </c>
      <c r="L1072">
        <v>3</v>
      </c>
      <c r="M1072">
        <v>3</v>
      </c>
      <c r="N1072">
        <v>3</v>
      </c>
      <c r="O1072">
        <v>4</v>
      </c>
      <c r="P1072">
        <v>1</v>
      </c>
      <c r="Q1072">
        <v>2</v>
      </c>
      <c r="R1072">
        <v>1</v>
      </c>
      <c r="S1072">
        <v>4</v>
      </c>
      <c r="T1072">
        <v>1</v>
      </c>
      <c r="U1072" t="s">
        <v>37</v>
      </c>
      <c r="V1072" t="s">
        <v>31</v>
      </c>
      <c r="W1072" t="s">
        <v>56</v>
      </c>
      <c r="X1072" t="s">
        <v>33</v>
      </c>
      <c r="Y1072">
        <v>28</v>
      </c>
      <c r="Z1072" s="1">
        <v>45458</v>
      </c>
      <c r="AA1072" t="str" cm="1">
        <f t="array" ref="AA1072">_xlfn.IFS(AND(Table2[[#This Row],[Guest_Age]]&gt;=18,Table2[[#This Row],[Guest_Age]]&lt;=25),"Young Adults",AND(Table2[[#This Row],[Guest_Age]]&gt;=26,Table2[[#This Row],[Guest_Age]]&lt;=35),"Adults",AND(Table2[[#This Row],[Guest_Age]]&gt;=36,Table2[[#This Row],[Guest_Age]]&lt;=50),"Middle Aged Adults",Table2[[#This Row],[Guest_Age]]&gt;50,"Senior")</f>
        <v>Adults</v>
      </c>
      <c r="AB10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72" t="str" cm="1">
        <f t="array" ref="AC1072">_xlfn.IFS(Table2[[#This Row],[Satification_points]]&gt;=4.5,"GREAT",AND(Table2[[#This Row],[Satification_points]]&gt;=4,Table2[[#This Row],[Satification_points]]&lt;4.5),"GOOD",AND(Table2[[#This Row],[Satification_points]]&gt;=3,Table2[[#This Row],[Satification_points]]&lt;4),"AVERAGE",Table2[[#This Row],[Satification_points]]&lt;3,"POOR")</f>
        <v>POOR</v>
      </c>
    </row>
    <row r="1073" spans="1:29" x14ac:dyDescent="0.3">
      <c r="A1073">
        <v>1072</v>
      </c>
      <c r="B1073">
        <v>26881</v>
      </c>
      <c r="C1073" t="s">
        <v>1121</v>
      </c>
      <c r="D1073" t="s">
        <v>34</v>
      </c>
      <c r="E1073" t="s">
        <v>52</v>
      </c>
      <c r="F1073" s="1">
        <v>45290</v>
      </c>
      <c r="G1073" s="1">
        <v>45291</v>
      </c>
      <c r="H1073">
        <v>4</v>
      </c>
      <c r="I1073" t="s">
        <v>49</v>
      </c>
      <c r="J1073" t="s">
        <v>36</v>
      </c>
      <c r="K1073">
        <v>5</v>
      </c>
      <c r="L1073">
        <v>2</v>
      </c>
      <c r="M1073">
        <v>3</v>
      </c>
      <c r="N1073">
        <v>2</v>
      </c>
      <c r="O1073">
        <v>5</v>
      </c>
      <c r="P1073">
        <v>3</v>
      </c>
      <c r="Q1073">
        <v>3</v>
      </c>
      <c r="R1073">
        <v>5</v>
      </c>
      <c r="S1073">
        <v>5</v>
      </c>
      <c r="T1073">
        <v>3</v>
      </c>
      <c r="U1073" t="s">
        <v>30</v>
      </c>
      <c r="V1073" t="s">
        <v>38</v>
      </c>
      <c r="W1073" t="s">
        <v>56</v>
      </c>
      <c r="X1073" t="s">
        <v>44</v>
      </c>
      <c r="Y1073">
        <v>35</v>
      </c>
      <c r="Z1073" s="1">
        <v>45291</v>
      </c>
      <c r="AA1073" t="str" cm="1">
        <f t="array" ref="AA1073">_xlfn.IFS(AND(Table2[[#This Row],[Guest_Age]]&gt;=18,Table2[[#This Row],[Guest_Age]]&lt;=25),"Young Adults",AND(Table2[[#This Row],[Guest_Age]]&gt;=26,Table2[[#This Row],[Guest_Age]]&lt;=35),"Adults",AND(Table2[[#This Row],[Guest_Age]]&gt;=36,Table2[[#This Row],[Guest_Age]]&lt;=50),"Middle Aged Adults",Table2[[#This Row],[Guest_Age]]&gt;50,"Senior")</f>
        <v>Adults</v>
      </c>
      <c r="AB10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73" t="str" cm="1">
        <f t="array" ref="AC1073">_xlfn.IFS(Table2[[#This Row],[Satification_points]]&gt;=4.5,"GREAT",AND(Table2[[#This Row],[Satification_points]]&gt;=4,Table2[[#This Row],[Satification_points]]&lt;4.5),"GOOD",AND(Table2[[#This Row],[Satification_points]]&gt;=3,Table2[[#This Row],[Satification_points]]&lt;4),"AVERAGE",Table2[[#This Row],[Satification_points]]&lt;3,"POOR")</f>
        <v>AVERAGE</v>
      </c>
    </row>
    <row r="1074" spans="1:29" x14ac:dyDescent="0.3">
      <c r="A1074">
        <v>1073</v>
      </c>
      <c r="B1074">
        <v>86676</v>
      </c>
      <c r="C1074" t="s">
        <v>1122</v>
      </c>
      <c r="D1074" t="s">
        <v>48</v>
      </c>
      <c r="E1074" t="s">
        <v>52</v>
      </c>
      <c r="F1074" s="1">
        <v>45351</v>
      </c>
      <c r="G1074" s="1">
        <v>45352</v>
      </c>
      <c r="H1074">
        <v>5</v>
      </c>
      <c r="I1074" t="s">
        <v>42</v>
      </c>
      <c r="J1074" t="s">
        <v>43</v>
      </c>
      <c r="K1074">
        <v>3</v>
      </c>
      <c r="L1074">
        <v>3</v>
      </c>
      <c r="M1074">
        <v>4</v>
      </c>
      <c r="N1074">
        <v>1</v>
      </c>
      <c r="O1074">
        <v>4</v>
      </c>
      <c r="P1074">
        <v>3</v>
      </c>
      <c r="Q1074">
        <v>3</v>
      </c>
      <c r="R1074">
        <v>2</v>
      </c>
      <c r="S1074">
        <v>2</v>
      </c>
      <c r="T1074">
        <v>2</v>
      </c>
      <c r="U1074" t="s">
        <v>30</v>
      </c>
      <c r="V1074" t="s">
        <v>54</v>
      </c>
      <c r="W1074" t="s">
        <v>55</v>
      </c>
      <c r="X1074" t="s">
        <v>33</v>
      </c>
      <c r="Y1074">
        <v>46</v>
      </c>
      <c r="Z1074" s="1">
        <v>45543</v>
      </c>
      <c r="AA1074" t="str" cm="1">
        <f t="array" ref="AA107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74" t="str" cm="1">
        <f t="array" ref="AC1074">_xlfn.IFS(Table2[[#This Row],[Satification_points]]&gt;=4.5,"GREAT",AND(Table2[[#This Row],[Satification_points]]&gt;=4,Table2[[#This Row],[Satification_points]]&lt;4.5),"GOOD",AND(Table2[[#This Row],[Satification_points]]&gt;=3,Table2[[#This Row],[Satification_points]]&lt;4),"AVERAGE",Table2[[#This Row],[Satification_points]]&lt;3,"POOR")</f>
        <v>POOR</v>
      </c>
    </row>
    <row r="1075" spans="1:29" x14ac:dyDescent="0.3">
      <c r="A1075">
        <v>1074</v>
      </c>
      <c r="B1075">
        <v>59942</v>
      </c>
      <c r="C1075" t="s">
        <v>1123</v>
      </c>
      <c r="D1075" t="s">
        <v>51</v>
      </c>
      <c r="E1075" t="s">
        <v>27</v>
      </c>
      <c r="F1075" s="1">
        <v>45142</v>
      </c>
      <c r="G1075" s="1">
        <v>45143</v>
      </c>
      <c r="H1075">
        <v>13</v>
      </c>
      <c r="I1075" t="s">
        <v>28</v>
      </c>
      <c r="J1075" t="s">
        <v>29</v>
      </c>
      <c r="K1075">
        <v>1</v>
      </c>
      <c r="L1075">
        <v>3</v>
      </c>
      <c r="M1075">
        <v>5</v>
      </c>
      <c r="N1075">
        <v>1</v>
      </c>
      <c r="O1075">
        <v>4</v>
      </c>
      <c r="P1075">
        <v>4</v>
      </c>
      <c r="Q1075">
        <v>5</v>
      </c>
      <c r="R1075">
        <v>4</v>
      </c>
      <c r="S1075">
        <v>3</v>
      </c>
      <c r="T1075">
        <v>3</v>
      </c>
      <c r="U1075" t="s">
        <v>30</v>
      </c>
      <c r="V1075" t="s">
        <v>31</v>
      </c>
      <c r="W1075" t="s">
        <v>32</v>
      </c>
      <c r="X1075" t="s">
        <v>40</v>
      </c>
      <c r="Y1075">
        <v>20</v>
      </c>
      <c r="Z1075" s="1">
        <v>45468</v>
      </c>
      <c r="AA1075" t="str" cm="1">
        <f t="array" ref="AA1075">_xlfn.IFS(AND(Table2[[#This Row],[Guest_Age]]&gt;=18,Table2[[#This Row],[Guest_Age]]&lt;=25),"Young Adults",AND(Table2[[#This Row],[Guest_Age]]&gt;=26,Table2[[#This Row],[Guest_Age]]&lt;=35),"Adults",AND(Table2[[#This Row],[Guest_Age]]&gt;=36,Table2[[#This Row],[Guest_Age]]&lt;=50),"Middle Aged Adults",Table2[[#This Row],[Guest_Age]]&gt;50,"Senior")</f>
        <v>Young Adults</v>
      </c>
      <c r="AB10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75" t="str" cm="1">
        <f t="array" ref="AC1075">_xlfn.IFS(Table2[[#This Row],[Satification_points]]&gt;=4.5,"GREAT",AND(Table2[[#This Row],[Satification_points]]&gt;=4,Table2[[#This Row],[Satification_points]]&lt;4.5),"GOOD",AND(Table2[[#This Row],[Satification_points]]&gt;=3,Table2[[#This Row],[Satification_points]]&lt;4),"AVERAGE",Table2[[#This Row],[Satification_points]]&lt;3,"POOR")</f>
        <v>AVERAGE</v>
      </c>
    </row>
    <row r="1076" spans="1:29" x14ac:dyDescent="0.3">
      <c r="A1076">
        <v>1075</v>
      </c>
      <c r="B1076">
        <v>18201</v>
      </c>
      <c r="C1076" t="s">
        <v>1124</v>
      </c>
      <c r="D1076" t="s">
        <v>51</v>
      </c>
      <c r="E1076" t="s">
        <v>45</v>
      </c>
      <c r="F1076" s="1">
        <v>44974</v>
      </c>
      <c r="G1076" s="1">
        <v>45137</v>
      </c>
      <c r="H1076">
        <v>11</v>
      </c>
      <c r="I1076" t="s">
        <v>42</v>
      </c>
      <c r="J1076" t="s">
        <v>53</v>
      </c>
      <c r="K1076">
        <v>2</v>
      </c>
      <c r="L1076">
        <v>2</v>
      </c>
      <c r="M1076">
        <v>3</v>
      </c>
      <c r="N1076">
        <v>1</v>
      </c>
      <c r="O1076">
        <v>3</v>
      </c>
      <c r="P1076">
        <v>4</v>
      </c>
      <c r="Q1076">
        <v>4</v>
      </c>
      <c r="R1076">
        <v>4</v>
      </c>
      <c r="S1076">
        <v>5</v>
      </c>
      <c r="T1076">
        <v>5</v>
      </c>
      <c r="U1076" t="s">
        <v>37</v>
      </c>
      <c r="V1076" t="s">
        <v>38</v>
      </c>
      <c r="W1076" t="s">
        <v>47</v>
      </c>
      <c r="X1076" t="s">
        <v>44</v>
      </c>
      <c r="Y1076">
        <v>67</v>
      </c>
      <c r="Z1076" s="1">
        <v>45207</v>
      </c>
      <c r="AA1076" t="str" cm="1">
        <f t="array" ref="AA1076">_xlfn.IFS(AND(Table2[[#This Row],[Guest_Age]]&gt;=18,Table2[[#This Row],[Guest_Age]]&lt;=25),"Young Adults",AND(Table2[[#This Row],[Guest_Age]]&gt;=26,Table2[[#This Row],[Guest_Age]]&lt;=35),"Adults",AND(Table2[[#This Row],[Guest_Age]]&gt;=36,Table2[[#This Row],[Guest_Age]]&lt;=50),"Middle Aged Adults",Table2[[#This Row],[Guest_Age]]&gt;50,"Senior")</f>
        <v>Senior</v>
      </c>
      <c r="AB10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076" t="str" cm="1">
        <f t="array" ref="AC1076">_xlfn.IFS(Table2[[#This Row],[Satification_points]]&gt;=4.5,"GREAT",AND(Table2[[#This Row],[Satification_points]]&gt;=4,Table2[[#This Row],[Satification_points]]&lt;4.5),"GOOD",AND(Table2[[#This Row],[Satification_points]]&gt;=3,Table2[[#This Row],[Satification_points]]&lt;4),"AVERAGE",Table2[[#This Row],[Satification_points]]&lt;3,"POOR")</f>
        <v>AVERAGE</v>
      </c>
    </row>
    <row r="1077" spans="1:29" x14ac:dyDescent="0.3">
      <c r="A1077">
        <v>1076</v>
      </c>
      <c r="B1077">
        <v>34568</v>
      </c>
      <c r="C1077" t="s">
        <v>1125</v>
      </c>
      <c r="D1077" t="s">
        <v>34</v>
      </c>
      <c r="E1077" t="s">
        <v>27</v>
      </c>
      <c r="F1077" s="1">
        <v>45391</v>
      </c>
      <c r="G1077" s="1">
        <v>45392</v>
      </c>
      <c r="H1077">
        <v>9</v>
      </c>
      <c r="I1077" t="s">
        <v>49</v>
      </c>
      <c r="J1077" t="s">
        <v>29</v>
      </c>
      <c r="K1077">
        <v>2</v>
      </c>
      <c r="L1077">
        <v>1</v>
      </c>
      <c r="M1077">
        <v>3</v>
      </c>
      <c r="N1077">
        <v>2</v>
      </c>
      <c r="O1077">
        <v>1</v>
      </c>
      <c r="P1077">
        <v>1</v>
      </c>
      <c r="Q1077">
        <v>3</v>
      </c>
      <c r="R1077">
        <v>2</v>
      </c>
      <c r="S1077">
        <v>5</v>
      </c>
      <c r="T1077">
        <v>5</v>
      </c>
      <c r="U1077" t="s">
        <v>37</v>
      </c>
      <c r="V1077" t="s">
        <v>58</v>
      </c>
      <c r="W1077" t="s">
        <v>47</v>
      </c>
      <c r="X1077" t="s">
        <v>33</v>
      </c>
      <c r="Y1077">
        <v>21</v>
      </c>
      <c r="Z1077" s="1">
        <v>45392</v>
      </c>
      <c r="AA1077" t="str" cm="1">
        <f t="array" ref="AA1077">_xlfn.IFS(AND(Table2[[#This Row],[Guest_Age]]&gt;=18,Table2[[#This Row],[Guest_Age]]&lt;=25),"Young Adults",AND(Table2[[#This Row],[Guest_Age]]&gt;=26,Table2[[#This Row],[Guest_Age]]&lt;=35),"Adults",AND(Table2[[#This Row],[Guest_Age]]&gt;=36,Table2[[#This Row],[Guest_Age]]&lt;=50),"Middle Aged Adults",Table2[[#This Row],[Guest_Age]]&gt;50,"Senior")</f>
        <v>Young Adults</v>
      </c>
      <c r="AB10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77" t="str" cm="1">
        <f t="array" ref="AC1077">_xlfn.IFS(Table2[[#This Row],[Satification_points]]&gt;=4.5,"GREAT",AND(Table2[[#This Row],[Satification_points]]&gt;=4,Table2[[#This Row],[Satification_points]]&lt;4.5),"GOOD",AND(Table2[[#This Row],[Satification_points]]&gt;=3,Table2[[#This Row],[Satification_points]]&lt;4),"AVERAGE",Table2[[#This Row],[Satification_points]]&lt;3,"POOR")</f>
        <v>POOR</v>
      </c>
    </row>
    <row r="1078" spans="1:29" x14ac:dyDescent="0.3">
      <c r="A1078">
        <v>1077</v>
      </c>
      <c r="B1078">
        <v>41330</v>
      </c>
      <c r="C1078" t="s">
        <v>1126</v>
      </c>
      <c r="D1078" t="s">
        <v>34</v>
      </c>
      <c r="E1078" t="s">
        <v>57</v>
      </c>
      <c r="F1078" s="1">
        <v>45598</v>
      </c>
      <c r="G1078" s="1">
        <v>45599</v>
      </c>
      <c r="H1078">
        <v>13</v>
      </c>
      <c r="I1078" t="s">
        <v>49</v>
      </c>
      <c r="J1078" t="s">
        <v>53</v>
      </c>
      <c r="K1078">
        <v>3</v>
      </c>
      <c r="L1078">
        <v>1</v>
      </c>
      <c r="M1078">
        <v>4</v>
      </c>
      <c r="N1078">
        <v>4</v>
      </c>
      <c r="O1078">
        <v>5</v>
      </c>
      <c r="P1078">
        <v>5</v>
      </c>
      <c r="Q1078">
        <v>4</v>
      </c>
      <c r="R1078">
        <v>1</v>
      </c>
      <c r="S1078">
        <v>3</v>
      </c>
      <c r="T1078">
        <v>5</v>
      </c>
      <c r="U1078" t="s">
        <v>37</v>
      </c>
      <c r="V1078" t="s">
        <v>38</v>
      </c>
      <c r="W1078" t="s">
        <v>56</v>
      </c>
      <c r="X1078" t="s">
        <v>33</v>
      </c>
      <c r="Y1078">
        <v>45</v>
      </c>
      <c r="Z1078" s="1">
        <v>45599</v>
      </c>
      <c r="AA1078" t="str" cm="1">
        <f t="array" ref="AA107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078" t="str" cm="1">
        <f t="array" ref="AC1078">_xlfn.IFS(Table2[[#This Row],[Satification_points]]&gt;=4.5,"GREAT",AND(Table2[[#This Row],[Satification_points]]&gt;=4,Table2[[#This Row],[Satification_points]]&lt;4.5),"GOOD",AND(Table2[[#This Row],[Satification_points]]&gt;=3,Table2[[#This Row],[Satification_points]]&lt;4),"AVERAGE",Table2[[#This Row],[Satification_points]]&lt;3,"POOR")</f>
        <v>AVERAGE</v>
      </c>
    </row>
    <row r="1079" spans="1:29" x14ac:dyDescent="0.3">
      <c r="A1079">
        <v>1078</v>
      </c>
      <c r="B1079">
        <v>12816</v>
      </c>
      <c r="C1079" t="s">
        <v>1127</v>
      </c>
      <c r="D1079" t="s">
        <v>51</v>
      </c>
      <c r="E1079" t="s">
        <v>27</v>
      </c>
      <c r="F1079" s="1">
        <v>45199</v>
      </c>
      <c r="G1079" s="1">
        <v>45572</v>
      </c>
      <c r="H1079">
        <v>12</v>
      </c>
      <c r="I1079" t="s">
        <v>42</v>
      </c>
      <c r="J1079" t="s">
        <v>53</v>
      </c>
      <c r="K1079">
        <v>5</v>
      </c>
      <c r="L1079">
        <v>1</v>
      </c>
      <c r="M1079">
        <v>5</v>
      </c>
      <c r="N1079">
        <v>1</v>
      </c>
      <c r="O1079">
        <v>5</v>
      </c>
      <c r="P1079">
        <v>3</v>
      </c>
      <c r="Q1079">
        <v>4</v>
      </c>
      <c r="R1079">
        <v>4</v>
      </c>
      <c r="S1079">
        <v>1</v>
      </c>
      <c r="T1079">
        <v>1</v>
      </c>
      <c r="U1079" t="s">
        <v>30</v>
      </c>
      <c r="V1079" t="s">
        <v>54</v>
      </c>
      <c r="W1079" t="s">
        <v>39</v>
      </c>
      <c r="X1079" t="s">
        <v>33</v>
      </c>
      <c r="Y1079">
        <v>26</v>
      </c>
      <c r="Z1079" s="1">
        <v>45572</v>
      </c>
      <c r="AA1079" t="str" cm="1">
        <f t="array" ref="AA1079">_xlfn.IFS(AND(Table2[[#This Row],[Guest_Age]]&gt;=18,Table2[[#This Row],[Guest_Age]]&lt;=25),"Young Adults",AND(Table2[[#This Row],[Guest_Age]]&gt;=26,Table2[[#This Row],[Guest_Age]]&lt;=35),"Adults",AND(Table2[[#This Row],[Guest_Age]]&gt;=36,Table2[[#This Row],[Guest_Age]]&lt;=50),"Middle Aged Adults",Table2[[#This Row],[Guest_Age]]&gt;50,"Senior")</f>
        <v>Adults</v>
      </c>
      <c r="AB10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79" t="str" cm="1">
        <f t="array" ref="AC1079">_xlfn.IFS(Table2[[#This Row],[Satification_points]]&gt;=4.5,"GREAT",AND(Table2[[#This Row],[Satification_points]]&gt;=4,Table2[[#This Row],[Satification_points]]&lt;4.5),"GOOD",AND(Table2[[#This Row],[Satification_points]]&gt;=3,Table2[[#This Row],[Satification_points]]&lt;4),"AVERAGE",Table2[[#This Row],[Satification_points]]&lt;3,"POOR")</f>
        <v>AVERAGE</v>
      </c>
    </row>
    <row r="1080" spans="1:29" x14ac:dyDescent="0.3">
      <c r="A1080">
        <v>1079</v>
      </c>
      <c r="B1080">
        <v>43094</v>
      </c>
      <c r="C1080" t="s">
        <v>1128</v>
      </c>
      <c r="D1080" t="s">
        <v>48</v>
      </c>
      <c r="E1080" t="s">
        <v>35</v>
      </c>
      <c r="F1080" s="1">
        <v>45534</v>
      </c>
      <c r="G1080" s="1">
        <v>45662</v>
      </c>
      <c r="H1080">
        <v>2</v>
      </c>
      <c r="I1080" t="s">
        <v>28</v>
      </c>
      <c r="J1080" t="s">
        <v>43</v>
      </c>
      <c r="K1080">
        <v>1</v>
      </c>
      <c r="L1080">
        <v>3</v>
      </c>
      <c r="M1080">
        <v>4</v>
      </c>
      <c r="N1080">
        <v>5</v>
      </c>
      <c r="O1080">
        <v>4</v>
      </c>
      <c r="P1080">
        <v>3</v>
      </c>
      <c r="Q1080">
        <v>1</v>
      </c>
      <c r="R1080">
        <v>2</v>
      </c>
      <c r="S1080">
        <v>4</v>
      </c>
      <c r="T1080">
        <v>4</v>
      </c>
      <c r="U1080" t="s">
        <v>37</v>
      </c>
      <c r="V1080" t="s">
        <v>54</v>
      </c>
      <c r="W1080" t="s">
        <v>39</v>
      </c>
      <c r="X1080" t="s">
        <v>40</v>
      </c>
      <c r="Y1080">
        <v>55</v>
      </c>
      <c r="Z1080" s="1">
        <v>45662</v>
      </c>
      <c r="AA1080" t="str" cm="1">
        <f t="array" ref="AA1080">_xlfn.IFS(AND(Table2[[#This Row],[Guest_Age]]&gt;=18,Table2[[#This Row],[Guest_Age]]&lt;=25),"Young Adults",AND(Table2[[#This Row],[Guest_Age]]&gt;=26,Table2[[#This Row],[Guest_Age]]&lt;=35),"Adults",AND(Table2[[#This Row],[Guest_Age]]&gt;=36,Table2[[#This Row],[Guest_Age]]&lt;=50),"Middle Aged Adults",Table2[[#This Row],[Guest_Age]]&gt;50,"Senior")</f>
        <v>Senior</v>
      </c>
      <c r="AB10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80" t="str" cm="1">
        <f t="array" ref="AC1080">_xlfn.IFS(Table2[[#This Row],[Satification_points]]&gt;=4.5,"GREAT",AND(Table2[[#This Row],[Satification_points]]&gt;=4,Table2[[#This Row],[Satification_points]]&lt;4.5),"GOOD",AND(Table2[[#This Row],[Satification_points]]&gt;=3,Table2[[#This Row],[Satification_points]]&lt;4),"AVERAGE",Table2[[#This Row],[Satification_points]]&lt;3,"POOR")</f>
        <v>AVERAGE</v>
      </c>
    </row>
    <row r="1081" spans="1:29" x14ac:dyDescent="0.3">
      <c r="A1081">
        <v>1080</v>
      </c>
      <c r="B1081">
        <v>92802</v>
      </c>
      <c r="C1081" t="s">
        <v>308</v>
      </c>
      <c r="D1081" t="s">
        <v>48</v>
      </c>
      <c r="E1081" t="s">
        <v>27</v>
      </c>
      <c r="F1081" s="1">
        <v>44956</v>
      </c>
      <c r="G1081" s="1">
        <v>45108</v>
      </c>
      <c r="H1081">
        <v>12</v>
      </c>
      <c r="I1081" t="s">
        <v>49</v>
      </c>
      <c r="J1081" t="s">
        <v>40</v>
      </c>
      <c r="K1081">
        <v>1</v>
      </c>
      <c r="L1081">
        <v>2</v>
      </c>
      <c r="M1081">
        <v>1</v>
      </c>
      <c r="N1081">
        <v>4</v>
      </c>
      <c r="O1081">
        <v>4</v>
      </c>
      <c r="P1081">
        <v>1</v>
      </c>
      <c r="Q1081">
        <v>2</v>
      </c>
      <c r="R1081">
        <v>2</v>
      </c>
      <c r="S1081">
        <v>4</v>
      </c>
      <c r="T1081">
        <v>3</v>
      </c>
      <c r="U1081" t="s">
        <v>37</v>
      </c>
      <c r="V1081" t="s">
        <v>58</v>
      </c>
      <c r="W1081" t="s">
        <v>56</v>
      </c>
      <c r="X1081" t="s">
        <v>33</v>
      </c>
      <c r="Y1081">
        <v>24</v>
      </c>
      <c r="Z1081" s="1">
        <v>45335</v>
      </c>
      <c r="AA1081" t="str" cm="1">
        <f t="array" ref="AA1081">_xlfn.IFS(AND(Table2[[#This Row],[Guest_Age]]&gt;=18,Table2[[#This Row],[Guest_Age]]&lt;=25),"Young Adults",AND(Table2[[#This Row],[Guest_Age]]&gt;=26,Table2[[#This Row],[Guest_Age]]&lt;=35),"Adults",AND(Table2[[#This Row],[Guest_Age]]&gt;=36,Table2[[#This Row],[Guest_Age]]&lt;=50),"Middle Aged Adults",Table2[[#This Row],[Guest_Age]]&gt;50,"Senior")</f>
        <v>Young Adults</v>
      </c>
      <c r="AB10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081" t="str" cm="1">
        <f t="array" ref="AC1081">_xlfn.IFS(Table2[[#This Row],[Satification_points]]&gt;=4.5,"GREAT",AND(Table2[[#This Row],[Satification_points]]&gt;=4,Table2[[#This Row],[Satification_points]]&lt;4.5),"GOOD",AND(Table2[[#This Row],[Satification_points]]&gt;=3,Table2[[#This Row],[Satification_points]]&lt;4),"AVERAGE",Table2[[#This Row],[Satification_points]]&lt;3,"POOR")</f>
        <v>POOR</v>
      </c>
    </row>
    <row r="1082" spans="1:29" x14ac:dyDescent="0.3">
      <c r="A1082">
        <v>1081</v>
      </c>
      <c r="B1082">
        <v>28055</v>
      </c>
      <c r="C1082" t="s">
        <v>1129</v>
      </c>
      <c r="D1082" t="s">
        <v>26</v>
      </c>
      <c r="E1082" t="s">
        <v>27</v>
      </c>
      <c r="F1082" s="1">
        <v>45559</v>
      </c>
      <c r="G1082" s="1">
        <v>45560</v>
      </c>
      <c r="H1082">
        <v>9</v>
      </c>
      <c r="I1082" t="s">
        <v>28</v>
      </c>
      <c r="J1082" t="s">
        <v>53</v>
      </c>
      <c r="K1082">
        <v>3</v>
      </c>
      <c r="L1082">
        <v>1</v>
      </c>
      <c r="M1082">
        <v>1</v>
      </c>
      <c r="N1082">
        <v>4</v>
      </c>
      <c r="O1082">
        <v>2</v>
      </c>
      <c r="P1082">
        <v>1</v>
      </c>
      <c r="Q1082">
        <v>1</v>
      </c>
      <c r="R1082">
        <v>2</v>
      </c>
      <c r="S1082">
        <v>1</v>
      </c>
      <c r="T1082">
        <v>1</v>
      </c>
      <c r="U1082" t="s">
        <v>30</v>
      </c>
      <c r="V1082" t="s">
        <v>31</v>
      </c>
      <c r="W1082" t="s">
        <v>55</v>
      </c>
      <c r="X1082" t="s">
        <v>40</v>
      </c>
      <c r="Y1082">
        <v>18</v>
      </c>
      <c r="Z1082" s="1">
        <v>45560</v>
      </c>
      <c r="AA1082" t="str" cm="1">
        <f t="array" ref="AA1082">_xlfn.IFS(AND(Table2[[#This Row],[Guest_Age]]&gt;=18,Table2[[#This Row],[Guest_Age]]&lt;=25),"Young Adults",AND(Table2[[#This Row],[Guest_Age]]&gt;=26,Table2[[#This Row],[Guest_Age]]&lt;=35),"Adults",AND(Table2[[#This Row],[Guest_Age]]&gt;=36,Table2[[#This Row],[Guest_Age]]&lt;=50),"Middle Aged Adults",Table2[[#This Row],[Guest_Age]]&gt;50,"Senior")</f>
        <v>Young Adults</v>
      </c>
      <c r="AB10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1.7</v>
      </c>
      <c r="AC1082" t="str" cm="1">
        <f t="array" ref="AC1082">_xlfn.IFS(Table2[[#This Row],[Satification_points]]&gt;=4.5,"GREAT",AND(Table2[[#This Row],[Satification_points]]&gt;=4,Table2[[#This Row],[Satification_points]]&lt;4.5),"GOOD",AND(Table2[[#This Row],[Satification_points]]&gt;=3,Table2[[#This Row],[Satification_points]]&lt;4),"AVERAGE",Table2[[#This Row],[Satification_points]]&lt;3,"POOR")</f>
        <v>POOR</v>
      </c>
    </row>
    <row r="1083" spans="1:29" x14ac:dyDescent="0.3">
      <c r="A1083">
        <v>1082</v>
      </c>
      <c r="B1083">
        <v>28558</v>
      </c>
      <c r="C1083" t="s">
        <v>1130</v>
      </c>
      <c r="D1083" t="s">
        <v>34</v>
      </c>
      <c r="E1083" t="s">
        <v>57</v>
      </c>
      <c r="F1083" s="1">
        <v>45116</v>
      </c>
      <c r="G1083" s="1">
        <v>45117</v>
      </c>
      <c r="H1083">
        <v>12</v>
      </c>
      <c r="I1083" t="s">
        <v>50</v>
      </c>
      <c r="J1083" t="s">
        <v>53</v>
      </c>
      <c r="K1083">
        <v>4</v>
      </c>
      <c r="L1083">
        <v>4</v>
      </c>
      <c r="M1083">
        <v>5</v>
      </c>
      <c r="N1083">
        <v>5</v>
      </c>
      <c r="O1083">
        <v>4</v>
      </c>
      <c r="P1083">
        <v>5</v>
      </c>
      <c r="Q1083">
        <v>2</v>
      </c>
      <c r="R1083">
        <v>3</v>
      </c>
      <c r="S1083">
        <v>3</v>
      </c>
      <c r="T1083">
        <v>2</v>
      </c>
      <c r="U1083" t="s">
        <v>30</v>
      </c>
      <c r="V1083" t="s">
        <v>38</v>
      </c>
      <c r="W1083" t="s">
        <v>32</v>
      </c>
      <c r="X1083" t="s">
        <v>44</v>
      </c>
      <c r="Y1083">
        <v>52</v>
      </c>
      <c r="Z1083" s="1">
        <v>45600</v>
      </c>
      <c r="AA1083" t="str" cm="1">
        <f t="array" ref="AA1083">_xlfn.IFS(AND(Table2[[#This Row],[Guest_Age]]&gt;=18,Table2[[#This Row],[Guest_Age]]&lt;=25),"Young Adults",AND(Table2[[#This Row],[Guest_Age]]&gt;=26,Table2[[#This Row],[Guest_Age]]&lt;=35),"Adults",AND(Table2[[#This Row],[Guest_Age]]&gt;=36,Table2[[#This Row],[Guest_Age]]&lt;=50),"Middle Aged Adults",Table2[[#This Row],[Guest_Age]]&gt;50,"Senior")</f>
        <v>Senior</v>
      </c>
      <c r="AB10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083" t="str" cm="1">
        <f t="array" ref="AC1083">_xlfn.IFS(Table2[[#This Row],[Satification_points]]&gt;=4.5,"GREAT",AND(Table2[[#This Row],[Satification_points]]&gt;=4,Table2[[#This Row],[Satification_points]]&lt;4.5),"GOOD",AND(Table2[[#This Row],[Satification_points]]&gt;=3,Table2[[#This Row],[Satification_points]]&lt;4),"AVERAGE",Table2[[#This Row],[Satification_points]]&lt;3,"POOR")</f>
        <v>AVERAGE</v>
      </c>
    </row>
    <row r="1084" spans="1:29" x14ac:dyDescent="0.3">
      <c r="A1084">
        <v>1083</v>
      </c>
      <c r="B1084">
        <v>15235</v>
      </c>
      <c r="C1084" t="s">
        <v>907</v>
      </c>
      <c r="D1084" t="s">
        <v>48</v>
      </c>
      <c r="E1084" t="s">
        <v>45</v>
      </c>
      <c r="F1084" s="1">
        <v>45078</v>
      </c>
      <c r="G1084" s="1">
        <v>45120</v>
      </c>
      <c r="H1084">
        <v>14</v>
      </c>
      <c r="I1084" t="s">
        <v>49</v>
      </c>
      <c r="J1084" t="s">
        <v>40</v>
      </c>
      <c r="K1084">
        <v>3</v>
      </c>
      <c r="L1084">
        <v>4</v>
      </c>
      <c r="M1084">
        <v>1</v>
      </c>
      <c r="N1084">
        <v>2</v>
      </c>
      <c r="O1084">
        <v>3</v>
      </c>
      <c r="P1084">
        <v>4</v>
      </c>
      <c r="Q1084">
        <v>5</v>
      </c>
      <c r="R1084">
        <v>1</v>
      </c>
      <c r="S1084">
        <v>1</v>
      </c>
      <c r="T1084">
        <v>3</v>
      </c>
      <c r="U1084" t="s">
        <v>30</v>
      </c>
      <c r="V1084" t="s">
        <v>31</v>
      </c>
      <c r="W1084" t="s">
        <v>47</v>
      </c>
      <c r="X1084" t="s">
        <v>40</v>
      </c>
      <c r="Y1084">
        <v>64</v>
      </c>
      <c r="Z1084" s="1">
        <v>45624</v>
      </c>
      <c r="AA1084" t="str" cm="1">
        <f t="array" ref="AA1084">_xlfn.IFS(AND(Table2[[#This Row],[Guest_Age]]&gt;=18,Table2[[#This Row],[Guest_Age]]&lt;=25),"Young Adults",AND(Table2[[#This Row],[Guest_Age]]&gt;=26,Table2[[#This Row],[Guest_Age]]&lt;=35),"Adults",AND(Table2[[#This Row],[Guest_Age]]&gt;=36,Table2[[#This Row],[Guest_Age]]&lt;=50),"Middle Aged Adults",Table2[[#This Row],[Guest_Age]]&gt;50,"Senior")</f>
        <v>Senior</v>
      </c>
      <c r="AB10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84" t="str" cm="1">
        <f t="array" ref="AC1084">_xlfn.IFS(Table2[[#This Row],[Satification_points]]&gt;=4.5,"GREAT",AND(Table2[[#This Row],[Satification_points]]&gt;=4,Table2[[#This Row],[Satification_points]]&lt;4.5),"GOOD",AND(Table2[[#This Row],[Satification_points]]&gt;=3,Table2[[#This Row],[Satification_points]]&lt;4),"AVERAGE",Table2[[#This Row],[Satification_points]]&lt;3,"POOR")</f>
        <v>POOR</v>
      </c>
    </row>
    <row r="1085" spans="1:29" x14ac:dyDescent="0.3">
      <c r="A1085">
        <v>1084</v>
      </c>
      <c r="B1085">
        <v>26161</v>
      </c>
      <c r="C1085" t="s">
        <v>1131</v>
      </c>
      <c r="D1085" t="s">
        <v>51</v>
      </c>
      <c r="E1085" t="s">
        <v>35</v>
      </c>
      <c r="F1085" s="1">
        <v>45302</v>
      </c>
      <c r="G1085" s="1">
        <v>45303</v>
      </c>
      <c r="H1085">
        <v>1</v>
      </c>
      <c r="I1085" t="s">
        <v>50</v>
      </c>
      <c r="J1085" t="s">
        <v>29</v>
      </c>
      <c r="K1085">
        <v>1</v>
      </c>
      <c r="L1085">
        <v>2</v>
      </c>
      <c r="M1085">
        <v>5</v>
      </c>
      <c r="N1085">
        <v>2</v>
      </c>
      <c r="O1085">
        <v>2</v>
      </c>
      <c r="P1085">
        <v>3</v>
      </c>
      <c r="Q1085">
        <v>1</v>
      </c>
      <c r="R1085">
        <v>2</v>
      </c>
      <c r="S1085">
        <v>2</v>
      </c>
      <c r="T1085">
        <v>5</v>
      </c>
      <c r="U1085" t="s">
        <v>37</v>
      </c>
      <c r="V1085" t="s">
        <v>31</v>
      </c>
      <c r="W1085" t="s">
        <v>56</v>
      </c>
      <c r="X1085" t="s">
        <v>33</v>
      </c>
      <c r="Y1085">
        <v>51</v>
      </c>
      <c r="Z1085" s="1">
        <v>45303</v>
      </c>
      <c r="AA1085" t="str" cm="1">
        <f t="array" ref="AA1085">_xlfn.IFS(AND(Table2[[#This Row],[Guest_Age]]&gt;=18,Table2[[#This Row],[Guest_Age]]&lt;=25),"Young Adults",AND(Table2[[#This Row],[Guest_Age]]&gt;=26,Table2[[#This Row],[Guest_Age]]&lt;=35),"Adults",AND(Table2[[#This Row],[Guest_Age]]&gt;=36,Table2[[#This Row],[Guest_Age]]&lt;=50),"Middle Aged Adults",Table2[[#This Row],[Guest_Age]]&gt;50,"Senior")</f>
        <v>Senior</v>
      </c>
      <c r="AB10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85" t="str" cm="1">
        <f t="array" ref="AC1085">_xlfn.IFS(Table2[[#This Row],[Satification_points]]&gt;=4.5,"GREAT",AND(Table2[[#This Row],[Satification_points]]&gt;=4,Table2[[#This Row],[Satification_points]]&lt;4.5),"GOOD",AND(Table2[[#This Row],[Satification_points]]&gt;=3,Table2[[#This Row],[Satification_points]]&lt;4),"AVERAGE",Table2[[#This Row],[Satification_points]]&lt;3,"POOR")</f>
        <v>POOR</v>
      </c>
    </row>
    <row r="1086" spans="1:29" x14ac:dyDescent="0.3">
      <c r="A1086">
        <v>1085</v>
      </c>
      <c r="B1086">
        <v>63418</v>
      </c>
      <c r="C1086" t="s">
        <v>1132</v>
      </c>
      <c r="D1086" t="s">
        <v>51</v>
      </c>
      <c r="E1086" t="s">
        <v>27</v>
      </c>
      <c r="F1086" s="1">
        <v>45181</v>
      </c>
      <c r="G1086" s="1">
        <v>45550</v>
      </c>
      <c r="H1086">
        <v>4</v>
      </c>
      <c r="I1086" t="s">
        <v>49</v>
      </c>
      <c r="J1086" t="s">
        <v>53</v>
      </c>
      <c r="K1086">
        <v>2</v>
      </c>
      <c r="L1086">
        <v>3</v>
      </c>
      <c r="M1086">
        <v>1</v>
      </c>
      <c r="N1086">
        <v>3</v>
      </c>
      <c r="O1086">
        <v>1</v>
      </c>
      <c r="P1086">
        <v>4</v>
      </c>
      <c r="Q1086">
        <v>4</v>
      </c>
      <c r="R1086">
        <v>2</v>
      </c>
      <c r="S1086">
        <v>2</v>
      </c>
      <c r="T1086">
        <v>1</v>
      </c>
      <c r="U1086" t="s">
        <v>37</v>
      </c>
      <c r="V1086" t="s">
        <v>31</v>
      </c>
      <c r="W1086" t="s">
        <v>39</v>
      </c>
      <c r="X1086" t="s">
        <v>44</v>
      </c>
      <c r="Y1086">
        <v>26</v>
      </c>
      <c r="Z1086" s="1">
        <v>45550</v>
      </c>
      <c r="AA1086" t="str" cm="1">
        <f t="array" ref="AA1086">_xlfn.IFS(AND(Table2[[#This Row],[Guest_Age]]&gt;=18,Table2[[#This Row],[Guest_Age]]&lt;=25),"Young Adults",AND(Table2[[#This Row],[Guest_Age]]&gt;=26,Table2[[#This Row],[Guest_Age]]&lt;=35),"Adults",AND(Table2[[#This Row],[Guest_Age]]&gt;=36,Table2[[#This Row],[Guest_Age]]&lt;=50),"Middle Aged Adults",Table2[[#This Row],[Guest_Age]]&gt;50,"Senior")</f>
        <v>Adults</v>
      </c>
      <c r="AB10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086" t="str" cm="1">
        <f t="array" ref="AC1086">_xlfn.IFS(Table2[[#This Row],[Satification_points]]&gt;=4.5,"GREAT",AND(Table2[[#This Row],[Satification_points]]&gt;=4,Table2[[#This Row],[Satification_points]]&lt;4.5),"GOOD",AND(Table2[[#This Row],[Satification_points]]&gt;=3,Table2[[#This Row],[Satification_points]]&lt;4),"AVERAGE",Table2[[#This Row],[Satification_points]]&lt;3,"POOR")</f>
        <v>POOR</v>
      </c>
    </row>
    <row r="1087" spans="1:29" x14ac:dyDescent="0.3">
      <c r="A1087">
        <v>1086</v>
      </c>
      <c r="B1087">
        <v>24547</v>
      </c>
      <c r="C1087" t="s">
        <v>1133</v>
      </c>
      <c r="D1087" t="s">
        <v>41</v>
      </c>
      <c r="E1087" t="s">
        <v>57</v>
      </c>
      <c r="F1087" s="1">
        <v>45629</v>
      </c>
      <c r="G1087" s="1">
        <v>45630</v>
      </c>
      <c r="H1087">
        <v>11</v>
      </c>
      <c r="I1087" t="s">
        <v>28</v>
      </c>
      <c r="J1087" t="s">
        <v>43</v>
      </c>
      <c r="K1087">
        <v>3</v>
      </c>
      <c r="L1087">
        <v>1</v>
      </c>
      <c r="M1087">
        <v>2</v>
      </c>
      <c r="N1087">
        <v>2</v>
      </c>
      <c r="O1087">
        <v>3</v>
      </c>
      <c r="P1087">
        <v>3</v>
      </c>
      <c r="Q1087">
        <v>3</v>
      </c>
      <c r="R1087">
        <v>3</v>
      </c>
      <c r="S1087">
        <v>2</v>
      </c>
      <c r="T1087">
        <v>1</v>
      </c>
      <c r="U1087" t="s">
        <v>37</v>
      </c>
      <c r="V1087" t="s">
        <v>46</v>
      </c>
      <c r="W1087" t="s">
        <v>32</v>
      </c>
      <c r="X1087" t="s">
        <v>33</v>
      </c>
      <c r="Y1087">
        <v>43</v>
      </c>
      <c r="Z1087" s="1">
        <v>45630</v>
      </c>
      <c r="AA1087" t="str" cm="1">
        <f t="array" ref="AA10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087" t="str" cm="1">
        <f t="array" ref="AC1087">_xlfn.IFS(Table2[[#This Row],[Satification_points]]&gt;=4.5,"GREAT",AND(Table2[[#This Row],[Satification_points]]&gt;=4,Table2[[#This Row],[Satification_points]]&lt;4.5),"GOOD",AND(Table2[[#This Row],[Satification_points]]&gt;=3,Table2[[#This Row],[Satification_points]]&lt;4),"AVERAGE",Table2[[#This Row],[Satification_points]]&lt;3,"POOR")</f>
        <v>POOR</v>
      </c>
    </row>
    <row r="1088" spans="1:29" x14ac:dyDescent="0.3">
      <c r="A1088">
        <v>1087</v>
      </c>
      <c r="B1088">
        <v>40908</v>
      </c>
      <c r="C1088" t="s">
        <v>1134</v>
      </c>
      <c r="D1088" t="s">
        <v>48</v>
      </c>
      <c r="E1088" t="s">
        <v>57</v>
      </c>
      <c r="F1088" s="1">
        <v>45580</v>
      </c>
      <c r="G1088" s="1">
        <v>45633</v>
      </c>
      <c r="H1088">
        <v>7</v>
      </c>
      <c r="I1088" t="s">
        <v>50</v>
      </c>
      <c r="J1088" t="s">
        <v>40</v>
      </c>
      <c r="K1088">
        <v>3</v>
      </c>
      <c r="L1088">
        <v>3</v>
      </c>
      <c r="M1088">
        <v>3</v>
      </c>
      <c r="N1088">
        <v>3</v>
      </c>
      <c r="O1088">
        <v>5</v>
      </c>
      <c r="P1088">
        <v>1</v>
      </c>
      <c r="Q1088">
        <v>5</v>
      </c>
      <c r="R1088">
        <v>5</v>
      </c>
      <c r="S1088">
        <v>1</v>
      </c>
      <c r="T1088">
        <v>3</v>
      </c>
      <c r="U1088" t="s">
        <v>37</v>
      </c>
      <c r="V1088" t="s">
        <v>58</v>
      </c>
      <c r="W1088" t="s">
        <v>47</v>
      </c>
      <c r="X1088" t="s">
        <v>33</v>
      </c>
      <c r="Y1088">
        <v>25</v>
      </c>
      <c r="Z1088" s="1">
        <v>45633</v>
      </c>
      <c r="AA1088" t="str" cm="1">
        <f t="array" ref="AA1088">_xlfn.IFS(AND(Table2[[#This Row],[Guest_Age]]&gt;=18,Table2[[#This Row],[Guest_Age]]&lt;=25),"Young Adults",AND(Table2[[#This Row],[Guest_Age]]&gt;=26,Table2[[#This Row],[Guest_Age]]&lt;=35),"Adults",AND(Table2[[#This Row],[Guest_Age]]&gt;=36,Table2[[#This Row],[Guest_Age]]&lt;=50),"Middle Aged Adults",Table2[[#This Row],[Guest_Age]]&gt;50,"Senior")</f>
        <v>Young Adults</v>
      </c>
      <c r="AB10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088" t="str" cm="1">
        <f t="array" ref="AC1088">_xlfn.IFS(Table2[[#This Row],[Satification_points]]&gt;=4.5,"GREAT",AND(Table2[[#This Row],[Satification_points]]&gt;=4,Table2[[#This Row],[Satification_points]]&lt;4.5),"GOOD",AND(Table2[[#This Row],[Satification_points]]&gt;=3,Table2[[#This Row],[Satification_points]]&lt;4),"AVERAGE",Table2[[#This Row],[Satification_points]]&lt;3,"POOR")</f>
        <v>AVERAGE</v>
      </c>
    </row>
    <row r="1089" spans="1:29" x14ac:dyDescent="0.3">
      <c r="A1089">
        <v>1088</v>
      </c>
      <c r="B1089">
        <v>56569</v>
      </c>
      <c r="C1089" t="s">
        <v>1135</v>
      </c>
      <c r="D1089" t="s">
        <v>26</v>
      </c>
      <c r="E1089" t="s">
        <v>57</v>
      </c>
      <c r="F1089" s="1">
        <v>44960</v>
      </c>
      <c r="G1089" s="1">
        <v>45563</v>
      </c>
      <c r="H1089">
        <v>4</v>
      </c>
      <c r="I1089" t="s">
        <v>28</v>
      </c>
      <c r="J1089" t="s">
        <v>40</v>
      </c>
      <c r="K1089">
        <v>2</v>
      </c>
      <c r="L1089">
        <v>1</v>
      </c>
      <c r="M1089">
        <v>4</v>
      </c>
      <c r="N1089">
        <v>1</v>
      </c>
      <c r="O1089">
        <v>5</v>
      </c>
      <c r="P1089">
        <v>1</v>
      </c>
      <c r="Q1089">
        <v>2</v>
      </c>
      <c r="R1089">
        <v>3</v>
      </c>
      <c r="S1089">
        <v>5</v>
      </c>
      <c r="T1089">
        <v>1</v>
      </c>
      <c r="U1089" t="s">
        <v>37</v>
      </c>
      <c r="V1089" t="s">
        <v>31</v>
      </c>
      <c r="W1089" t="s">
        <v>55</v>
      </c>
      <c r="X1089" t="s">
        <v>40</v>
      </c>
      <c r="Y1089">
        <v>36</v>
      </c>
      <c r="Z1089" s="1">
        <v>45563</v>
      </c>
      <c r="AA1089" t="str" cm="1">
        <f t="array" ref="AA10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89" t="str" cm="1">
        <f t="array" ref="AC1089">_xlfn.IFS(Table2[[#This Row],[Satification_points]]&gt;=4.5,"GREAT",AND(Table2[[#This Row],[Satification_points]]&gt;=4,Table2[[#This Row],[Satification_points]]&lt;4.5),"GOOD",AND(Table2[[#This Row],[Satification_points]]&gt;=3,Table2[[#This Row],[Satification_points]]&lt;4),"AVERAGE",Table2[[#This Row],[Satification_points]]&lt;3,"POOR")</f>
        <v>POOR</v>
      </c>
    </row>
    <row r="1090" spans="1:29" x14ac:dyDescent="0.3">
      <c r="A1090">
        <v>1089</v>
      </c>
      <c r="B1090">
        <v>64259</v>
      </c>
      <c r="C1090" t="s">
        <v>1136</v>
      </c>
      <c r="D1090" t="s">
        <v>26</v>
      </c>
      <c r="E1090" t="s">
        <v>45</v>
      </c>
      <c r="F1090" s="1">
        <v>45113</v>
      </c>
      <c r="G1090" s="1">
        <v>45114</v>
      </c>
      <c r="H1090">
        <v>8</v>
      </c>
      <c r="I1090" t="s">
        <v>49</v>
      </c>
      <c r="J1090" t="s">
        <v>53</v>
      </c>
      <c r="K1090">
        <v>3</v>
      </c>
      <c r="L1090">
        <v>5</v>
      </c>
      <c r="M1090">
        <v>5</v>
      </c>
      <c r="N1090">
        <v>2</v>
      </c>
      <c r="O1090">
        <v>3</v>
      </c>
      <c r="P1090">
        <v>1</v>
      </c>
      <c r="Q1090">
        <v>1</v>
      </c>
      <c r="R1090">
        <v>2</v>
      </c>
      <c r="S1090">
        <v>2</v>
      </c>
      <c r="T1090">
        <v>1</v>
      </c>
      <c r="U1090" t="s">
        <v>37</v>
      </c>
      <c r="V1090" t="s">
        <v>58</v>
      </c>
      <c r="W1090" t="s">
        <v>56</v>
      </c>
      <c r="X1090" t="s">
        <v>33</v>
      </c>
      <c r="Y1090">
        <v>43</v>
      </c>
      <c r="Z1090" s="1">
        <v>45584</v>
      </c>
      <c r="AA1090" t="str" cm="1">
        <f t="array" ref="AA10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090" t="str" cm="1">
        <f t="array" ref="AC1090">_xlfn.IFS(Table2[[#This Row],[Satification_points]]&gt;=4.5,"GREAT",AND(Table2[[#This Row],[Satification_points]]&gt;=4,Table2[[#This Row],[Satification_points]]&lt;4.5),"GOOD",AND(Table2[[#This Row],[Satification_points]]&gt;=3,Table2[[#This Row],[Satification_points]]&lt;4),"AVERAGE",Table2[[#This Row],[Satification_points]]&lt;3,"POOR")</f>
        <v>POOR</v>
      </c>
    </row>
    <row r="1091" spans="1:29" x14ac:dyDescent="0.3">
      <c r="A1091">
        <v>1090</v>
      </c>
      <c r="B1091">
        <v>66021</v>
      </c>
      <c r="C1091" t="s">
        <v>1137</v>
      </c>
      <c r="D1091" t="s">
        <v>34</v>
      </c>
      <c r="E1091" t="s">
        <v>27</v>
      </c>
      <c r="F1091" s="1">
        <v>45375</v>
      </c>
      <c r="G1091" s="1">
        <v>45575</v>
      </c>
      <c r="H1091">
        <v>7</v>
      </c>
      <c r="I1091" t="s">
        <v>28</v>
      </c>
      <c r="J1091" t="s">
        <v>29</v>
      </c>
      <c r="K1091">
        <v>5</v>
      </c>
      <c r="L1091">
        <v>5</v>
      </c>
      <c r="M1091">
        <v>1</v>
      </c>
      <c r="N1091">
        <v>2</v>
      </c>
      <c r="O1091">
        <v>4</v>
      </c>
      <c r="P1091">
        <v>5</v>
      </c>
      <c r="Q1091">
        <v>5</v>
      </c>
      <c r="R1091">
        <v>1</v>
      </c>
      <c r="S1091">
        <v>1</v>
      </c>
      <c r="T1091">
        <v>1</v>
      </c>
      <c r="U1091" t="s">
        <v>30</v>
      </c>
      <c r="V1091" t="s">
        <v>31</v>
      </c>
      <c r="W1091" t="s">
        <v>32</v>
      </c>
      <c r="X1091" t="s">
        <v>40</v>
      </c>
      <c r="Y1091">
        <v>63</v>
      </c>
      <c r="Z1091" s="1">
        <v>45575</v>
      </c>
      <c r="AA1091" t="str" cm="1">
        <f t="array" ref="AA1091">_xlfn.IFS(AND(Table2[[#This Row],[Guest_Age]]&gt;=18,Table2[[#This Row],[Guest_Age]]&lt;=25),"Young Adults",AND(Table2[[#This Row],[Guest_Age]]&gt;=26,Table2[[#This Row],[Guest_Age]]&lt;=35),"Adults",AND(Table2[[#This Row],[Guest_Age]]&gt;=36,Table2[[#This Row],[Guest_Age]]&lt;=50),"Middle Aged Adults",Table2[[#This Row],[Guest_Age]]&gt;50,"Senior")</f>
        <v>Senior</v>
      </c>
      <c r="AB10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091" t="str" cm="1">
        <f t="array" ref="AC1091">_xlfn.IFS(Table2[[#This Row],[Satification_points]]&gt;=4.5,"GREAT",AND(Table2[[#This Row],[Satification_points]]&gt;=4,Table2[[#This Row],[Satification_points]]&lt;4.5),"GOOD",AND(Table2[[#This Row],[Satification_points]]&gt;=3,Table2[[#This Row],[Satification_points]]&lt;4),"AVERAGE",Table2[[#This Row],[Satification_points]]&lt;3,"POOR")</f>
        <v>AVERAGE</v>
      </c>
    </row>
    <row r="1092" spans="1:29" x14ac:dyDescent="0.3">
      <c r="A1092">
        <v>1091</v>
      </c>
      <c r="B1092">
        <v>84881</v>
      </c>
      <c r="C1092" t="s">
        <v>1138</v>
      </c>
      <c r="D1092" t="s">
        <v>41</v>
      </c>
      <c r="E1092" t="s">
        <v>52</v>
      </c>
      <c r="F1092" s="1">
        <v>45012</v>
      </c>
      <c r="G1092" s="1">
        <v>45072</v>
      </c>
      <c r="H1092">
        <v>6</v>
      </c>
      <c r="I1092" t="s">
        <v>50</v>
      </c>
      <c r="J1092" t="s">
        <v>29</v>
      </c>
      <c r="K1092">
        <v>2</v>
      </c>
      <c r="L1092">
        <v>3</v>
      </c>
      <c r="M1092">
        <v>2</v>
      </c>
      <c r="N1092">
        <v>5</v>
      </c>
      <c r="O1092">
        <v>4</v>
      </c>
      <c r="P1092">
        <v>3</v>
      </c>
      <c r="Q1092">
        <v>1</v>
      </c>
      <c r="R1092">
        <v>3</v>
      </c>
      <c r="S1092">
        <v>2</v>
      </c>
      <c r="T1092">
        <v>3</v>
      </c>
      <c r="U1092" t="s">
        <v>37</v>
      </c>
      <c r="V1092" t="s">
        <v>38</v>
      </c>
      <c r="W1092" t="s">
        <v>47</v>
      </c>
      <c r="X1092" t="s">
        <v>44</v>
      </c>
      <c r="Y1092">
        <v>27</v>
      </c>
      <c r="Z1092" s="1">
        <v>45640</v>
      </c>
      <c r="AA1092" t="str" cm="1">
        <f t="array" ref="AA1092">_xlfn.IFS(AND(Table2[[#This Row],[Guest_Age]]&gt;=18,Table2[[#This Row],[Guest_Age]]&lt;=25),"Young Adults",AND(Table2[[#This Row],[Guest_Age]]&gt;=26,Table2[[#This Row],[Guest_Age]]&lt;=35),"Adults",AND(Table2[[#This Row],[Guest_Age]]&gt;=36,Table2[[#This Row],[Guest_Age]]&lt;=50),"Middle Aged Adults",Table2[[#This Row],[Guest_Age]]&gt;50,"Senior")</f>
        <v>Adults</v>
      </c>
      <c r="AB10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92" t="str" cm="1">
        <f t="array" ref="AC1092">_xlfn.IFS(Table2[[#This Row],[Satification_points]]&gt;=4.5,"GREAT",AND(Table2[[#This Row],[Satification_points]]&gt;=4,Table2[[#This Row],[Satification_points]]&lt;4.5),"GOOD",AND(Table2[[#This Row],[Satification_points]]&gt;=3,Table2[[#This Row],[Satification_points]]&lt;4),"AVERAGE",Table2[[#This Row],[Satification_points]]&lt;3,"POOR")</f>
        <v>POOR</v>
      </c>
    </row>
    <row r="1093" spans="1:29" x14ac:dyDescent="0.3">
      <c r="A1093">
        <v>1092</v>
      </c>
      <c r="B1093">
        <v>12070</v>
      </c>
      <c r="C1093" t="s">
        <v>1139</v>
      </c>
      <c r="D1093" t="s">
        <v>51</v>
      </c>
      <c r="E1093" t="s">
        <v>35</v>
      </c>
      <c r="F1093" s="1">
        <v>45599</v>
      </c>
      <c r="G1093" s="1">
        <v>45600</v>
      </c>
      <c r="H1093">
        <v>5</v>
      </c>
      <c r="I1093" t="s">
        <v>42</v>
      </c>
      <c r="J1093" t="s">
        <v>36</v>
      </c>
      <c r="K1093">
        <v>2</v>
      </c>
      <c r="L1093">
        <v>4</v>
      </c>
      <c r="M1093">
        <v>1</v>
      </c>
      <c r="N1093">
        <v>1</v>
      </c>
      <c r="O1093">
        <v>4</v>
      </c>
      <c r="P1093">
        <v>1</v>
      </c>
      <c r="Q1093">
        <v>4</v>
      </c>
      <c r="R1093">
        <v>2</v>
      </c>
      <c r="S1093">
        <v>2</v>
      </c>
      <c r="T1093">
        <v>5</v>
      </c>
      <c r="U1093" t="s">
        <v>37</v>
      </c>
      <c r="V1093" t="s">
        <v>38</v>
      </c>
      <c r="W1093" t="s">
        <v>55</v>
      </c>
      <c r="X1093" t="s">
        <v>44</v>
      </c>
      <c r="Y1093">
        <v>60</v>
      </c>
      <c r="Z1093" s="1">
        <v>45600</v>
      </c>
      <c r="AA1093" t="str" cm="1">
        <f t="array" ref="AA1093">_xlfn.IFS(AND(Table2[[#This Row],[Guest_Age]]&gt;=18,Table2[[#This Row],[Guest_Age]]&lt;=25),"Young Adults",AND(Table2[[#This Row],[Guest_Age]]&gt;=26,Table2[[#This Row],[Guest_Age]]&lt;=35),"Adults",AND(Table2[[#This Row],[Guest_Age]]&gt;=36,Table2[[#This Row],[Guest_Age]]&lt;=50),"Middle Aged Adults",Table2[[#This Row],[Guest_Age]]&gt;50,"Senior")</f>
        <v>Senior</v>
      </c>
      <c r="AB10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093" t="str" cm="1">
        <f t="array" ref="AC1093">_xlfn.IFS(Table2[[#This Row],[Satification_points]]&gt;=4.5,"GREAT",AND(Table2[[#This Row],[Satification_points]]&gt;=4,Table2[[#This Row],[Satification_points]]&lt;4.5),"GOOD",AND(Table2[[#This Row],[Satification_points]]&gt;=3,Table2[[#This Row],[Satification_points]]&lt;4),"AVERAGE",Table2[[#This Row],[Satification_points]]&lt;3,"POOR")</f>
        <v>POOR</v>
      </c>
    </row>
    <row r="1094" spans="1:29" x14ac:dyDescent="0.3">
      <c r="A1094">
        <v>1093</v>
      </c>
      <c r="B1094">
        <v>99266</v>
      </c>
      <c r="C1094" t="s">
        <v>1140</v>
      </c>
      <c r="D1094" t="s">
        <v>51</v>
      </c>
      <c r="E1094" t="s">
        <v>52</v>
      </c>
      <c r="F1094" s="1">
        <v>45044</v>
      </c>
      <c r="G1094" s="1">
        <v>45355</v>
      </c>
      <c r="H1094">
        <v>10</v>
      </c>
      <c r="I1094" t="s">
        <v>42</v>
      </c>
      <c r="J1094" t="s">
        <v>36</v>
      </c>
      <c r="K1094">
        <v>2</v>
      </c>
      <c r="L1094">
        <v>3</v>
      </c>
      <c r="M1094">
        <v>2</v>
      </c>
      <c r="N1094">
        <v>3</v>
      </c>
      <c r="O1094">
        <v>5</v>
      </c>
      <c r="P1094">
        <v>5</v>
      </c>
      <c r="Q1094">
        <v>1</v>
      </c>
      <c r="R1094">
        <v>1</v>
      </c>
      <c r="S1094">
        <v>4</v>
      </c>
      <c r="T1094">
        <v>1</v>
      </c>
      <c r="U1094" t="s">
        <v>30</v>
      </c>
      <c r="V1094" t="s">
        <v>58</v>
      </c>
      <c r="W1094" t="s">
        <v>39</v>
      </c>
      <c r="X1094" t="s">
        <v>44</v>
      </c>
      <c r="Y1094">
        <v>47</v>
      </c>
      <c r="Z1094" s="1">
        <v>45429</v>
      </c>
      <c r="AA1094" t="str" cm="1">
        <f t="array" ref="AA109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094" t="str" cm="1">
        <f t="array" ref="AC1094">_xlfn.IFS(Table2[[#This Row],[Satification_points]]&gt;=4.5,"GREAT",AND(Table2[[#This Row],[Satification_points]]&gt;=4,Table2[[#This Row],[Satification_points]]&lt;4.5),"GOOD",AND(Table2[[#This Row],[Satification_points]]&gt;=3,Table2[[#This Row],[Satification_points]]&lt;4),"AVERAGE",Table2[[#This Row],[Satification_points]]&lt;3,"POOR")</f>
        <v>POOR</v>
      </c>
    </row>
    <row r="1095" spans="1:29" x14ac:dyDescent="0.3">
      <c r="A1095">
        <v>1094</v>
      </c>
      <c r="B1095">
        <v>82080</v>
      </c>
      <c r="C1095" t="s">
        <v>1141</v>
      </c>
      <c r="D1095" t="s">
        <v>34</v>
      </c>
      <c r="E1095" t="s">
        <v>45</v>
      </c>
      <c r="F1095" s="1">
        <v>45549</v>
      </c>
      <c r="G1095" s="1">
        <v>45550</v>
      </c>
      <c r="H1095">
        <v>3</v>
      </c>
      <c r="I1095" t="s">
        <v>49</v>
      </c>
      <c r="J1095" t="s">
        <v>43</v>
      </c>
      <c r="K1095">
        <v>1</v>
      </c>
      <c r="L1095">
        <v>1</v>
      </c>
      <c r="M1095">
        <v>4</v>
      </c>
      <c r="N1095">
        <v>1</v>
      </c>
      <c r="O1095">
        <v>3</v>
      </c>
      <c r="P1095">
        <v>4</v>
      </c>
      <c r="Q1095">
        <v>2</v>
      </c>
      <c r="R1095">
        <v>3</v>
      </c>
      <c r="S1095">
        <v>1</v>
      </c>
      <c r="T1095">
        <v>1</v>
      </c>
      <c r="U1095" t="s">
        <v>30</v>
      </c>
      <c r="V1095" t="s">
        <v>31</v>
      </c>
      <c r="W1095" t="s">
        <v>32</v>
      </c>
      <c r="X1095" t="s">
        <v>33</v>
      </c>
      <c r="Y1095">
        <v>57</v>
      </c>
      <c r="Z1095" s="1">
        <v>45550</v>
      </c>
      <c r="AA1095" t="str" cm="1">
        <f t="array" ref="AA1095">_xlfn.IFS(AND(Table2[[#This Row],[Guest_Age]]&gt;=18,Table2[[#This Row],[Guest_Age]]&lt;=25),"Young Adults",AND(Table2[[#This Row],[Guest_Age]]&gt;=26,Table2[[#This Row],[Guest_Age]]&lt;=35),"Adults",AND(Table2[[#This Row],[Guest_Age]]&gt;=36,Table2[[#This Row],[Guest_Age]]&lt;=50),"Middle Aged Adults",Table2[[#This Row],[Guest_Age]]&gt;50,"Senior")</f>
        <v>Senior</v>
      </c>
      <c r="AB10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095" t="str" cm="1">
        <f t="array" ref="AC1095">_xlfn.IFS(Table2[[#This Row],[Satification_points]]&gt;=4.5,"GREAT",AND(Table2[[#This Row],[Satification_points]]&gt;=4,Table2[[#This Row],[Satification_points]]&lt;4.5),"GOOD",AND(Table2[[#This Row],[Satification_points]]&gt;=3,Table2[[#This Row],[Satification_points]]&lt;4),"AVERAGE",Table2[[#This Row],[Satification_points]]&lt;3,"POOR")</f>
        <v>POOR</v>
      </c>
    </row>
    <row r="1096" spans="1:29" x14ac:dyDescent="0.3">
      <c r="A1096">
        <v>1095</v>
      </c>
      <c r="B1096">
        <v>43688</v>
      </c>
      <c r="C1096" t="s">
        <v>1142</v>
      </c>
      <c r="D1096" t="s">
        <v>26</v>
      </c>
      <c r="E1096" t="s">
        <v>27</v>
      </c>
      <c r="F1096" s="1">
        <v>44984</v>
      </c>
      <c r="G1096" s="1">
        <v>45413</v>
      </c>
      <c r="H1096">
        <v>8</v>
      </c>
      <c r="I1096" t="s">
        <v>42</v>
      </c>
      <c r="J1096" t="s">
        <v>53</v>
      </c>
      <c r="K1096">
        <v>3</v>
      </c>
      <c r="L1096">
        <v>3</v>
      </c>
      <c r="M1096">
        <v>3</v>
      </c>
      <c r="N1096">
        <v>4</v>
      </c>
      <c r="O1096">
        <v>4</v>
      </c>
      <c r="P1096">
        <v>5</v>
      </c>
      <c r="Q1096">
        <v>2</v>
      </c>
      <c r="R1096">
        <v>4</v>
      </c>
      <c r="S1096">
        <v>4</v>
      </c>
      <c r="T1096">
        <v>4</v>
      </c>
      <c r="U1096" t="s">
        <v>37</v>
      </c>
      <c r="V1096" t="s">
        <v>58</v>
      </c>
      <c r="W1096" t="s">
        <v>56</v>
      </c>
      <c r="X1096" t="s">
        <v>40</v>
      </c>
      <c r="Y1096">
        <v>53</v>
      </c>
      <c r="Z1096" s="1">
        <v>45562</v>
      </c>
      <c r="AA1096" t="str" cm="1">
        <f t="array" ref="AA1096">_xlfn.IFS(AND(Table2[[#This Row],[Guest_Age]]&gt;=18,Table2[[#This Row],[Guest_Age]]&lt;=25),"Young Adults",AND(Table2[[#This Row],[Guest_Age]]&gt;=26,Table2[[#This Row],[Guest_Age]]&lt;=35),"Adults",AND(Table2[[#This Row],[Guest_Age]]&gt;=36,Table2[[#This Row],[Guest_Age]]&lt;=50),"Middle Aged Adults",Table2[[#This Row],[Guest_Age]]&gt;50,"Senior")</f>
        <v>Senior</v>
      </c>
      <c r="AB10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096" t="str" cm="1">
        <f t="array" ref="AC1096">_xlfn.IFS(Table2[[#This Row],[Satification_points]]&gt;=4.5,"GREAT",AND(Table2[[#This Row],[Satification_points]]&gt;=4,Table2[[#This Row],[Satification_points]]&lt;4.5),"GOOD",AND(Table2[[#This Row],[Satification_points]]&gt;=3,Table2[[#This Row],[Satification_points]]&lt;4),"AVERAGE",Table2[[#This Row],[Satification_points]]&lt;3,"POOR")</f>
        <v>AVERAGE</v>
      </c>
    </row>
    <row r="1097" spans="1:29" x14ac:dyDescent="0.3">
      <c r="A1097">
        <v>1096</v>
      </c>
      <c r="B1097">
        <v>56611</v>
      </c>
      <c r="C1097" t="s">
        <v>1143</v>
      </c>
      <c r="D1097" t="s">
        <v>26</v>
      </c>
      <c r="E1097" t="s">
        <v>52</v>
      </c>
      <c r="F1097" s="1">
        <v>44944</v>
      </c>
      <c r="G1097" s="1">
        <v>44958</v>
      </c>
      <c r="H1097">
        <v>4</v>
      </c>
      <c r="I1097" t="s">
        <v>49</v>
      </c>
      <c r="J1097" t="s">
        <v>29</v>
      </c>
      <c r="K1097">
        <v>4</v>
      </c>
      <c r="L1097">
        <v>3</v>
      </c>
      <c r="M1097">
        <v>3</v>
      </c>
      <c r="N1097">
        <v>5</v>
      </c>
      <c r="O1097">
        <v>2</v>
      </c>
      <c r="P1097">
        <v>5</v>
      </c>
      <c r="Q1097">
        <v>3</v>
      </c>
      <c r="R1097">
        <v>1</v>
      </c>
      <c r="S1097">
        <v>3</v>
      </c>
      <c r="T1097">
        <v>2</v>
      </c>
      <c r="U1097" t="s">
        <v>37</v>
      </c>
      <c r="V1097" t="s">
        <v>58</v>
      </c>
      <c r="W1097" t="s">
        <v>47</v>
      </c>
      <c r="X1097" t="s">
        <v>33</v>
      </c>
      <c r="Y1097">
        <v>48</v>
      </c>
      <c r="Z1097" s="1">
        <v>45600</v>
      </c>
      <c r="AA1097" t="str" cm="1">
        <f t="array" ref="AA10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0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097" t="str" cm="1">
        <f t="array" ref="AC1097">_xlfn.IFS(Table2[[#This Row],[Satification_points]]&gt;=4.5,"GREAT",AND(Table2[[#This Row],[Satification_points]]&gt;=4,Table2[[#This Row],[Satification_points]]&lt;4.5),"GOOD",AND(Table2[[#This Row],[Satification_points]]&gt;=3,Table2[[#This Row],[Satification_points]]&lt;4),"AVERAGE",Table2[[#This Row],[Satification_points]]&lt;3,"POOR")</f>
        <v>AVERAGE</v>
      </c>
    </row>
    <row r="1098" spans="1:29" x14ac:dyDescent="0.3">
      <c r="A1098">
        <v>1097</v>
      </c>
      <c r="B1098">
        <v>32856</v>
      </c>
      <c r="C1098" t="s">
        <v>1144</v>
      </c>
      <c r="D1098" t="s">
        <v>51</v>
      </c>
      <c r="E1098" t="s">
        <v>52</v>
      </c>
      <c r="F1098" s="1">
        <v>45066</v>
      </c>
      <c r="G1098" s="1">
        <v>45067</v>
      </c>
      <c r="H1098">
        <v>8</v>
      </c>
      <c r="I1098" t="s">
        <v>28</v>
      </c>
      <c r="J1098" t="s">
        <v>36</v>
      </c>
      <c r="K1098">
        <v>3</v>
      </c>
      <c r="L1098">
        <v>1</v>
      </c>
      <c r="M1098">
        <v>2</v>
      </c>
      <c r="N1098">
        <v>4</v>
      </c>
      <c r="O1098">
        <v>5</v>
      </c>
      <c r="P1098">
        <v>2</v>
      </c>
      <c r="Q1098">
        <v>3</v>
      </c>
      <c r="R1098">
        <v>2</v>
      </c>
      <c r="S1098">
        <v>2</v>
      </c>
      <c r="T1098">
        <v>4</v>
      </c>
      <c r="U1098" t="s">
        <v>37</v>
      </c>
      <c r="V1098" t="s">
        <v>46</v>
      </c>
      <c r="W1098" t="s">
        <v>39</v>
      </c>
      <c r="X1098" t="s">
        <v>33</v>
      </c>
      <c r="Y1098">
        <v>25</v>
      </c>
      <c r="Z1098" s="1">
        <v>45600</v>
      </c>
      <c r="AA1098" t="str" cm="1">
        <f t="array" ref="AA1098">_xlfn.IFS(AND(Table2[[#This Row],[Guest_Age]]&gt;=18,Table2[[#This Row],[Guest_Age]]&lt;=25),"Young Adults",AND(Table2[[#This Row],[Guest_Age]]&gt;=26,Table2[[#This Row],[Guest_Age]]&lt;=35),"Adults",AND(Table2[[#This Row],[Guest_Age]]&gt;=36,Table2[[#This Row],[Guest_Age]]&lt;=50),"Middle Aged Adults",Table2[[#This Row],[Guest_Age]]&gt;50,"Senior")</f>
        <v>Young Adults</v>
      </c>
      <c r="AB10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98" t="str" cm="1">
        <f t="array" ref="AC1098">_xlfn.IFS(Table2[[#This Row],[Satification_points]]&gt;=4.5,"GREAT",AND(Table2[[#This Row],[Satification_points]]&gt;=4,Table2[[#This Row],[Satification_points]]&lt;4.5),"GOOD",AND(Table2[[#This Row],[Satification_points]]&gt;=3,Table2[[#This Row],[Satification_points]]&lt;4),"AVERAGE",Table2[[#This Row],[Satification_points]]&lt;3,"POOR")</f>
        <v>POOR</v>
      </c>
    </row>
    <row r="1099" spans="1:29" x14ac:dyDescent="0.3">
      <c r="A1099">
        <v>1098</v>
      </c>
      <c r="B1099">
        <v>57574</v>
      </c>
      <c r="C1099" t="s">
        <v>1145</v>
      </c>
      <c r="D1099" t="s">
        <v>34</v>
      </c>
      <c r="E1099" t="s">
        <v>52</v>
      </c>
      <c r="F1099" s="1">
        <v>45384</v>
      </c>
      <c r="G1099" s="1">
        <v>45528</v>
      </c>
      <c r="H1099">
        <v>1</v>
      </c>
      <c r="I1099" t="s">
        <v>28</v>
      </c>
      <c r="J1099" t="s">
        <v>53</v>
      </c>
      <c r="K1099">
        <v>3</v>
      </c>
      <c r="L1099">
        <v>4</v>
      </c>
      <c r="M1099">
        <v>1</v>
      </c>
      <c r="N1099">
        <v>3</v>
      </c>
      <c r="O1099">
        <v>3</v>
      </c>
      <c r="P1099">
        <v>4</v>
      </c>
      <c r="Q1099">
        <v>2</v>
      </c>
      <c r="R1099">
        <v>1</v>
      </c>
      <c r="S1099">
        <v>2</v>
      </c>
      <c r="T1099">
        <v>5</v>
      </c>
      <c r="U1099" t="s">
        <v>30</v>
      </c>
      <c r="V1099" t="s">
        <v>31</v>
      </c>
      <c r="W1099" t="s">
        <v>39</v>
      </c>
      <c r="X1099" t="s">
        <v>40</v>
      </c>
      <c r="Y1099">
        <v>59</v>
      </c>
      <c r="Z1099" s="1">
        <v>45528</v>
      </c>
      <c r="AA1099" t="str" cm="1">
        <f t="array" ref="AA1099">_xlfn.IFS(AND(Table2[[#This Row],[Guest_Age]]&gt;=18,Table2[[#This Row],[Guest_Age]]&lt;=25),"Young Adults",AND(Table2[[#This Row],[Guest_Age]]&gt;=26,Table2[[#This Row],[Guest_Age]]&lt;=35),"Adults",AND(Table2[[#This Row],[Guest_Age]]&gt;=36,Table2[[#This Row],[Guest_Age]]&lt;=50),"Middle Aged Adults",Table2[[#This Row],[Guest_Age]]&gt;50,"Senior")</f>
        <v>Senior</v>
      </c>
      <c r="AB10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099" t="str" cm="1">
        <f t="array" ref="AC1099">_xlfn.IFS(Table2[[#This Row],[Satification_points]]&gt;=4.5,"GREAT",AND(Table2[[#This Row],[Satification_points]]&gt;=4,Table2[[#This Row],[Satification_points]]&lt;4.5),"GOOD",AND(Table2[[#This Row],[Satification_points]]&gt;=3,Table2[[#This Row],[Satification_points]]&lt;4),"AVERAGE",Table2[[#This Row],[Satification_points]]&lt;3,"POOR")</f>
        <v>POOR</v>
      </c>
    </row>
    <row r="1100" spans="1:29" x14ac:dyDescent="0.3">
      <c r="A1100">
        <v>1099</v>
      </c>
      <c r="B1100">
        <v>27827</v>
      </c>
      <c r="C1100" t="s">
        <v>1146</v>
      </c>
      <c r="D1100" t="s">
        <v>48</v>
      </c>
      <c r="E1100" t="s">
        <v>35</v>
      </c>
      <c r="F1100" s="1">
        <v>45632</v>
      </c>
      <c r="G1100" s="1">
        <v>45633</v>
      </c>
      <c r="H1100">
        <v>11</v>
      </c>
      <c r="I1100" t="s">
        <v>50</v>
      </c>
      <c r="J1100" t="s">
        <v>53</v>
      </c>
      <c r="K1100">
        <v>1</v>
      </c>
      <c r="L1100">
        <v>5</v>
      </c>
      <c r="M1100">
        <v>3</v>
      </c>
      <c r="N1100">
        <v>2</v>
      </c>
      <c r="O1100">
        <v>3</v>
      </c>
      <c r="P1100">
        <v>2</v>
      </c>
      <c r="Q1100">
        <v>2</v>
      </c>
      <c r="R1100">
        <v>1</v>
      </c>
      <c r="S1100">
        <v>4</v>
      </c>
      <c r="T1100">
        <v>4</v>
      </c>
      <c r="U1100" t="s">
        <v>37</v>
      </c>
      <c r="V1100" t="s">
        <v>46</v>
      </c>
      <c r="W1100" t="s">
        <v>47</v>
      </c>
      <c r="X1100" t="s">
        <v>33</v>
      </c>
      <c r="Y1100">
        <v>64</v>
      </c>
      <c r="Z1100" s="1">
        <v>45633</v>
      </c>
      <c r="AA1100" t="str" cm="1">
        <f t="array" ref="AA1100">_xlfn.IFS(AND(Table2[[#This Row],[Guest_Age]]&gt;=18,Table2[[#This Row],[Guest_Age]]&lt;=25),"Young Adults",AND(Table2[[#This Row],[Guest_Age]]&gt;=26,Table2[[#This Row],[Guest_Age]]&lt;=35),"Adults",AND(Table2[[#This Row],[Guest_Age]]&gt;=36,Table2[[#This Row],[Guest_Age]]&lt;=50),"Middle Aged Adults",Table2[[#This Row],[Guest_Age]]&gt;50,"Senior")</f>
        <v>Senior</v>
      </c>
      <c r="AB11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00" t="str" cm="1">
        <f t="array" ref="AC1100">_xlfn.IFS(Table2[[#This Row],[Satification_points]]&gt;=4.5,"GREAT",AND(Table2[[#This Row],[Satification_points]]&gt;=4,Table2[[#This Row],[Satification_points]]&lt;4.5),"GOOD",AND(Table2[[#This Row],[Satification_points]]&gt;=3,Table2[[#This Row],[Satification_points]]&lt;4),"AVERAGE",Table2[[#This Row],[Satification_points]]&lt;3,"POOR")</f>
        <v>POOR</v>
      </c>
    </row>
    <row r="1101" spans="1:29" x14ac:dyDescent="0.3">
      <c r="A1101">
        <v>1100</v>
      </c>
      <c r="B1101">
        <v>22699</v>
      </c>
      <c r="C1101" t="s">
        <v>1147</v>
      </c>
      <c r="D1101" t="s">
        <v>41</v>
      </c>
      <c r="E1101" t="s">
        <v>27</v>
      </c>
      <c r="F1101" s="1">
        <v>45568</v>
      </c>
      <c r="G1101" s="1">
        <v>45569</v>
      </c>
      <c r="H1101">
        <v>13</v>
      </c>
      <c r="I1101" t="s">
        <v>50</v>
      </c>
      <c r="J1101" t="s">
        <v>29</v>
      </c>
      <c r="K1101">
        <v>5</v>
      </c>
      <c r="L1101">
        <v>1</v>
      </c>
      <c r="M1101">
        <v>1</v>
      </c>
      <c r="N1101">
        <v>2</v>
      </c>
      <c r="O1101">
        <v>3</v>
      </c>
      <c r="P1101">
        <v>3</v>
      </c>
      <c r="Q1101">
        <v>2</v>
      </c>
      <c r="R1101">
        <v>2</v>
      </c>
      <c r="S1101">
        <v>1</v>
      </c>
      <c r="T1101">
        <v>3</v>
      </c>
      <c r="U1101" t="s">
        <v>30</v>
      </c>
      <c r="V1101" t="s">
        <v>31</v>
      </c>
      <c r="W1101" t="s">
        <v>47</v>
      </c>
      <c r="X1101" t="s">
        <v>44</v>
      </c>
      <c r="Y1101">
        <v>30</v>
      </c>
      <c r="Z1101" s="1">
        <v>45569</v>
      </c>
      <c r="AA1101" t="str" cm="1">
        <f t="array" ref="AA1101">_xlfn.IFS(AND(Table2[[#This Row],[Guest_Age]]&gt;=18,Table2[[#This Row],[Guest_Age]]&lt;=25),"Young Adults",AND(Table2[[#This Row],[Guest_Age]]&gt;=26,Table2[[#This Row],[Guest_Age]]&lt;=35),"Adults",AND(Table2[[#This Row],[Guest_Age]]&gt;=36,Table2[[#This Row],[Guest_Age]]&lt;=50),"Middle Aged Adults",Table2[[#This Row],[Guest_Age]]&gt;50,"Senior")</f>
        <v>Adults</v>
      </c>
      <c r="AB11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101" t="str" cm="1">
        <f t="array" ref="AC1101">_xlfn.IFS(Table2[[#This Row],[Satification_points]]&gt;=4.5,"GREAT",AND(Table2[[#This Row],[Satification_points]]&gt;=4,Table2[[#This Row],[Satification_points]]&lt;4.5),"GOOD",AND(Table2[[#This Row],[Satification_points]]&gt;=3,Table2[[#This Row],[Satification_points]]&lt;4),"AVERAGE",Table2[[#This Row],[Satification_points]]&lt;3,"POOR")</f>
        <v>POOR</v>
      </c>
    </row>
    <row r="1102" spans="1:29" x14ac:dyDescent="0.3">
      <c r="A1102">
        <v>1101</v>
      </c>
      <c r="B1102">
        <v>93695</v>
      </c>
      <c r="C1102" t="s">
        <v>1148</v>
      </c>
      <c r="D1102" t="s">
        <v>26</v>
      </c>
      <c r="E1102" t="s">
        <v>57</v>
      </c>
      <c r="F1102" s="1">
        <v>45138</v>
      </c>
      <c r="G1102" s="1">
        <v>45560</v>
      </c>
      <c r="H1102">
        <v>2</v>
      </c>
      <c r="I1102" t="s">
        <v>42</v>
      </c>
      <c r="J1102" t="s">
        <v>53</v>
      </c>
      <c r="K1102">
        <v>5</v>
      </c>
      <c r="L1102">
        <v>3</v>
      </c>
      <c r="M1102">
        <v>5</v>
      </c>
      <c r="N1102">
        <v>2</v>
      </c>
      <c r="O1102">
        <v>3</v>
      </c>
      <c r="P1102">
        <v>5</v>
      </c>
      <c r="Q1102">
        <v>5</v>
      </c>
      <c r="R1102">
        <v>4</v>
      </c>
      <c r="S1102">
        <v>5</v>
      </c>
      <c r="T1102">
        <v>4</v>
      </c>
      <c r="U1102" t="s">
        <v>37</v>
      </c>
      <c r="V1102" t="s">
        <v>54</v>
      </c>
      <c r="W1102" t="s">
        <v>47</v>
      </c>
      <c r="X1102" t="s">
        <v>40</v>
      </c>
      <c r="Y1102">
        <v>54</v>
      </c>
      <c r="Z1102" s="1">
        <v>45560</v>
      </c>
      <c r="AA1102" t="str" cm="1">
        <f t="array" ref="AA1102">_xlfn.IFS(AND(Table2[[#This Row],[Guest_Age]]&gt;=18,Table2[[#This Row],[Guest_Age]]&lt;=25),"Young Adults",AND(Table2[[#This Row],[Guest_Age]]&gt;=26,Table2[[#This Row],[Guest_Age]]&lt;=35),"Adults",AND(Table2[[#This Row],[Guest_Age]]&gt;=36,Table2[[#This Row],[Guest_Age]]&lt;=50),"Middle Aged Adults",Table2[[#This Row],[Guest_Age]]&gt;50,"Senior")</f>
        <v>Senior</v>
      </c>
      <c r="AB11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102" t="str" cm="1">
        <f t="array" ref="AC1102">_xlfn.IFS(Table2[[#This Row],[Satification_points]]&gt;=4.5,"GREAT",AND(Table2[[#This Row],[Satification_points]]&gt;=4,Table2[[#This Row],[Satification_points]]&lt;4.5),"GOOD",AND(Table2[[#This Row],[Satification_points]]&gt;=3,Table2[[#This Row],[Satification_points]]&lt;4),"AVERAGE",Table2[[#This Row],[Satification_points]]&lt;3,"POOR")</f>
        <v>GOOD</v>
      </c>
    </row>
    <row r="1103" spans="1:29" x14ac:dyDescent="0.3">
      <c r="A1103">
        <v>1102</v>
      </c>
      <c r="B1103">
        <v>83756</v>
      </c>
      <c r="C1103" t="s">
        <v>1149</v>
      </c>
      <c r="D1103" t="s">
        <v>26</v>
      </c>
      <c r="E1103" t="s">
        <v>27</v>
      </c>
      <c r="F1103" s="1">
        <v>45412</v>
      </c>
      <c r="G1103" s="1">
        <v>45516</v>
      </c>
      <c r="H1103">
        <v>14</v>
      </c>
      <c r="I1103" t="s">
        <v>28</v>
      </c>
      <c r="J1103" t="s">
        <v>40</v>
      </c>
      <c r="K1103">
        <v>1</v>
      </c>
      <c r="L1103">
        <v>2</v>
      </c>
      <c r="M1103">
        <v>1</v>
      </c>
      <c r="N1103">
        <v>3</v>
      </c>
      <c r="O1103">
        <v>1</v>
      </c>
      <c r="P1103">
        <v>5</v>
      </c>
      <c r="Q1103">
        <v>1</v>
      </c>
      <c r="R1103">
        <v>1</v>
      </c>
      <c r="S1103">
        <v>5</v>
      </c>
      <c r="T1103">
        <v>3</v>
      </c>
      <c r="U1103" t="s">
        <v>30</v>
      </c>
      <c r="V1103" t="s">
        <v>54</v>
      </c>
      <c r="W1103" t="s">
        <v>32</v>
      </c>
      <c r="X1103" t="s">
        <v>44</v>
      </c>
      <c r="Y1103">
        <v>47</v>
      </c>
      <c r="Z1103" s="1">
        <v>45516</v>
      </c>
      <c r="AA1103" t="str" cm="1">
        <f t="array" ref="AA11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103" t="str" cm="1">
        <f t="array" ref="AC1103">_xlfn.IFS(Table2[[#This Row],[Satification_points]]&gt;=4.5,"GREAT",AND(Table2[[#This Row],[Satification_points]]&gt;=4,Table2[[#This Row],[Satification_points]]&lt;4.5),"GOOD",AND(Table2[[#This Row],[Satification_points]]&gt;=3,Table2[[#This Row],[Satification_points]]&lt;4),"AVERAGE",Table2[[#This Row],[Satification_points]]&lt;3,"POOR")</f>
        <v>POOR</v>
      </c>
    </row>
    <row r="1104" spans="1:29" x14ac:dyDescent="0.3">
      <c r="A1104">
        <v>1103</v>
      </c>
      <c r="B1104">
        <v>28676</v>
      </c>
      <c r="C1104" t="s">
        <v>1150</v>
      </c>
      <c r="D1104" t="s">
        <v>26</v>
      </c>
      <c r="E1104" t="s">
        <v>52</v>
      </c>
      <c r="F1104" s="1">
        <v>45046</v>
      </c>
      <c r="G1104" s="1">
        <v>45200</v>
      </c>
      <c r="H1104">
        <v>2</v>
      </c>
      <c r="I1104" t="s">
        <v>50</v>
      </c>
      <c r="J1104" t="s">
        <v>36</v>
      </c>
      <c r="K1104">
        <v>1</v>
      </c>
      <c r="L1104">
        <v>3</v>
      </c>
      <c r="M1104">
        <v>5</v>
      </c>
      <c r="N1104">
        <v>4</v>
      </c>
      <c r="O1104">
        <v>2</v>
      </c>
      <c r="P1104">
        <v>5</v>
      </c>
      <c r="Q1104">
        <v>5</v>
      </c>
      <c r="R1104">
        <v>2</v>
      </c>
      <c r="S1104">
        <v>3</v>
      </c>
      <c r="T1104">
        <v>4</v>
      </c>
      <c r="U1104" t="s">
        <v>37</v>
      </c>
      <c r="V1104" t="s">
        <v>46</v>
      </c>
      <c r="W1104" t="s">
        <v>56</v>
      </c>
      <c r="X1104" t="s">
        <v>33</v>
      </c>
      <c r="Y1104">
        <v>32</v>
      </c>
      <c r="Z1104" s="1">
        <v>45478</v>
      </c>
      <c r="AA1104" t="str" cm="1">
        <f t="array" ref="AA1104">_xlfn.IFS(AND(Table2[[#This Row],[Guest_Age]]&gt;=18,Table2[[#This Row],[Guest_Age]]&lt;=25),"Young Adults",AND(Table2[[#This Row],[Guest_Age]]&gt;=26,Table2[[#This Row],[Guest_Age]]&lt;=35),"Adults",AND(Table2[[#This Row],[Guest_Age]]&gt;=36,Table2[[#This Row],[Guest_Age]]&lt;=50),"Middle Aged Adults",Table2[[#This Row],[Guest_Age]]&gt;50,"Senior")</f>
        <v>Adults</v>
      </c>
      <c r="AB11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04" t="str" cm="1">
        <f t="array" ref="AC1104">_xlfn.IFS(Table2[[#This Row],[Satification_points]]&gt;=4.5,"GREAT",AND(Table2[[#This Row],[Satification_points]]&gt;=4,Table2[[#This Row],[Satification_points]]&lt;4.5),"GOOD",AND(Table2[[#This Row],[Satification_points]]&gt;=3,Table2[[#This Row],[Satification_points]]&lt;4),"AVERAGE",Table2[[#This Row],[Satification_points]]&lt;3,"POOR")</f>
        <v>AVERAGE</v>
      </c>
    </row>
    <row r="1105" spans="1:29" x14ac:dyDescent="0.3">
      <c r="A1105">
        <v>1104</v>
      </c>
      <c r="B1105">
        <v>13703</v>
      </c>
      <c r="C1105" t="s">
        <v>1151</v>
      </c>
      <c r="D1105" t="s">
        <v>48</v>
      </c>
      <c r="E1105" t="s">
        <v>27</v>
      </c>
      <c r="F1105" s="1">
        <v>45480</v>
      </c>
      <c r="G1105" s="1">
        <v>45481</v>
      </c>
      <c r="H1105">
        <v>12</v>
      </c>
      <c r="I1105" t="s">
        <v>42</v>
      </c>
      <c r="J1105" t="s">
        <v>43</v>
      </c>
      <c r="K1105">
        <v>1</v>
      </c>
      <c r="L1105">
        <v>3</v>
      </c>
      <c r="M1105">
        <v>5</v>
      </c>
      <c r="N1105">
        <v>3</v>
      </c>
      <c r="O1105">
        <v>1</v>
      </c>
      <c r="P1105">
        <v>5</v>
      </c>
      <c r="Q1105">
        <v>4</v>
      </c>
      <c r="R1105">
        <v>1</v>
      </c>
      <c r="S1105">
        <v>1</v>
      </c>
      <c r="T1105">
        <v>4</v>
      </c>
      <c r="U1105" t="s">
        <v>30</v>
      </c>
      <c r="V1105" t="s">
        <v>54</v>
      </c>
      <c r="W1105" t="s">
        <v>39</v>
      </c>
      <c r="X1105" t="s">
        <v>33</v>
      </c>
      <c r="Y1105">
        <v>52</v>
      </c>
      <c r="Z1105" s="1">
        <v>45583</v>
      </c>
      <c r="AA1105" t="str" cm="1">
        <f t="array" ref="AA1105">_xlfn.IFS(AND(Table2[[#This Row],[Guest_Age]]&gt;=18,Table2[[#This Row],[Guest_Age]]&lt;=25),"Young Adults",AND(Table2[[#This Row],[Guest_Age]]&gt;=26,Table2[[#This Row],[Guest_Age]]&lt;=35),"Adults",AND(Table2[[#This Row],[Guest_Age]]&gt;=36,Table2[[#This Row],[Guest_Age]]&lt;=50),"Middle Aged Adults",Table2[[#This Row],[Guest_Age]]&gt;50,"Senior")</f>
        <v>Senior</v>
      </c>
      <c r="AB11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05" t="str" cm="1">
        <f t="array" ref="AC1105">_xlfn.IFS(Table2[[#This Row],[Satification_points]]&gt;=4.5,"GREAT",AND(Table2[[#This Row],[Satification_points]]&gt;=4,Table2[[#This Row],[Satification_points]]&lt;4.5),"GOOD",AND(Table2[[#This Row],[Satification_points]]&gt;=3,Table2[[#This Row],[Satification_points]]&lt;4),"AVERAGE",Table2[[#This Row],[Satification_points]]&lt;3,"POOR")</f>
        <v>POOR</v>
      </c>
    </row>
    <row r="1106" spans="1:29" x14ac:dyDescent="0.3">
      <c r="A1106">
        <v>1105</v>
      </c>
      <c r="B1106">
        <v>43593</v>
      </c>
      <c r="C1106" t="s">
        <v>1152</v>
      </c>
      <c r="D1106" t="s">
        <v>48</v>
      </c>
      <c r="E1106" t="s">
        <v>57</v>
      </c>
      <c r="F1106" s="1">
        <v>44929</v>
      </c>
      <c r="G1106" s="1">
        <v>44985</v>
      </c>
      <c r="H1106">
        <v>6</v>
      </c>
      <c r="I1106" t="s">
        <v>49</v>
      </c>
      <c r="J1106" t="s">
        <v>36</v>
      </c>
      <c r="K1106">
        <v>3</v>
      </c>
      <c r="L1106">
        <v>2</v>
      </c>
      <c r="M1106">
        <v>3</v>
      </c>
      <c r="N1106">
        <v>3</v>
      </c>
      <c r="O1106">
        <v>4</v>
      </c>
      <c r="P1106">
        <v>2</v>
      </c>
      <c r="Q1106">
        <v>3</v>
      </c>
      <c r="R1106">
        <v>5</v>
      </c>
      <c r="S1106">
        <v>1</v>
      </c>
      <c r="T1106">
        <v>2</v>
      </c>
      <c r="U1106" t="s">
        <v>30</v>
      </c>
      <c r="V1106" t="s">
        <v>46</v>
      </c>
      <c r="W1106" t="s">
        <v>55</v>
      </c>
      <c r="X1106" t="s">
        <v>44</v>
      </c>
      <c r="Y1106">
        <v>20</v>
      </c>
      <c r="Z1106" s="1">
        <v>45095</v>
      </c>
      <c r="AA1106" t="str" cm="1">
        <f t="array" ref="AA1106">_xlfn.IFS(AND(Table2[[#This Row],[Guest_Age]]&gt;=18,Table2[[#This Row],[Guest_Age]]&lt;=25),"Young Adults",AND(Table2[[#This Row],[Guest_Age]]&gt;=26,Table2[[#This Row],[Guest_Age]]&lt;=35),"Adults",AND(Table2[[#This Row],[Guest_Age]]&gt;=36,Table2[[#This Row],[Guest_Age]]&lt;=50),"Middle Aged Adults",Table2[[#This Row],[Guest_Age]]&gt;50,"Senior")</f>
        <v>Young Adults</v>
      </c>
      <c r="AB11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06" t="str" cm="1">
        <f t="array" ref="AC1106">_xlfn.IFS(Table2[[#This Row],[Satification_points]]&gt;=4.5,"GREAT",AND(Table2[[#This Row],[Satification_points]]&gt;=4,Table2[[#This Row],[Satification_points]]&lt;4.5),"GOOD",AND(Table2[[#This Row],[Satification_points]]&gt;=3,Table2[[#This Row],[Satification_points]]&lt;4),"AVERAGE",Table2[[#This Row],[Satification_points]]&lt;3,"POOR")</f>
        <v>POOR</v>
      </c>
    </row>
    <row r="1107" spans="1:29" x14ac:dyDescent="0.3">
      <c r="A1107">
        <v>1106</v>
      </c>
      <c r="B1107">
        <v>91547</v>
      </c>
      <c r="C1107" t="s">
        <v>1153</v>
      </c>
      <c r="D1107" t="s">
        <v>41</v>
      </c>
      <c r="E1107" t="s">
        <v>35</v>
      </c>
      <c r="F1107" s="1">
        <v>45155</v>
      </c>
      <c r="G1107" s="1">
        <v>45432</v>
      </c>
      <c r="H1107">
        <v>5</v>
      </c>
      <c r="I1107" t="s">
        <v>50</v>
      </c>
      <c r="J1107" t="s">
        <v>53</v>
      </c>
      <c r="K1107">
        <v>1</v>
      </c>
      <c r="L1107">
        <v>3</v>
      </c>
      <c r="M1107">
        <v>5</v>
      </c>
      <c r="N1107">
        <v>4</v>
      </c>
      <c r="O1107">
        <v>1</v>
      </c>
      <c r="P1107">
        <v>3</v>
      </c>
      <c r="Q1107">
        <v>1</v>
      </c>
      <c r="R1107">
        <v>4</v>
      </c>
      <c r="S1107">
        <v>4</v>
      </c>
      <c r="T1107">
        <v>3</v>
      </c>
      <c r="U1107" t="s">
        <v>30</v>
      </c>
      <c r="V1107" t="s">
        <v>54</v>
      </c>
      <c r="W1107" t="s">
        <v>47</v>
      </c>
      <c r="X1107" t="s">
        <v>33</v>
      </c>
      <c r="Y1107">
        <v>46</v>
      </c>
      <c r="Z1107" s="1">
        <v>45432</v>
      </c>
      <c r="AA1107" t="str" cm="1">
        <f t="array" ref="AA110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07" t="str" cm="1">
        <f t="array" ref="AC1107">_xlfn.IFS(Table2[[#This Row],[Satification_points]]&gt;=4.5,"GREAT",AND(Table2[[#This Row],[Satification_points]]&gt;=4,Table2[[#This Row],[Satification_points]]&lt;4.5),"GOOD",AND(Table2[[#This Row],[Satification_points]]&gt;=3,Table2[[#This Row],[Satification_points]]&lt;4),"AVERAGE",Table2[[#This Row],[Satification_points]]&lt;3,"POOR")</f>
        <v>POOR</v>
      </c>
    </row>
    <row r="1108" spans="1:29" x14ac:dyDescent="0.3">
      <c r="A1108">
        <v>1107</v>
      </c>
      <c r="B1108">
        <v>34714</v>
      </c>
      <c r="C1108" t="s">
        <v>1154</v>
      </c>
      <c r="D1108" t="s">
        <v>26</v>
      </c>
      <c r="E1108" t="s">
        <v>27</v>
      </c>
      <c r="F1108" s="1">
        <v>45155</v>
      </c>
      <c r="G1108" s="1">
        <v>45314</v>
      </c>
      <c r="H1108">
        <v>13</v>
      </c>
      <c r="I1108" t="s">
        <v>50</v>
      </c>
      <c r="J1108" t="s">
        <v>40</v>
      </c>
      <c r="K1108">
        <v>4</v>
      </c>
      <c r="L1108">
        <v>2</v>
      </c>
      <c r="M1108">
        <v>1</v>
      </c>
      <c r="N1108">
        <v>2</v>
      </c>
      <c r="O1108">
        <v>1</v>
      </c>
      <c r="P1108">
        <v>2</v>
      </c>
      <c r="Q1108">
        <v>3</v>
      </c>
      <c r="R1108">
        <v>5</v>
      </c>
      <c r="S1108">
        <v>2</v>
      </c>
      <c r="T1108">
        <v>5</v>
      </c>
      <c r="U1108" t="s">
        <v>30</v>
      </c>
      <c r="V1108" t="s">
        <v>46</v>
      </c>
      <c r="W1108" t="s">
        <v>56</v>
      </c>
      <c r="X1108" t="s">
        <v>33</v>
      </c>
      <c r="Y1108">
        <v>41</v>
      </c>
      <c r="Z1108" s="1">
        <v>45314</v>
      </c>
      <c r="AA1108" t="str" cm="1">
        <f t="array" ref="AA11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08" t="str" cm="1">
        <f t="array" ref="AC1108">_xlfn.IFS(Table2[[#This Row],[Satification_points]]&gt;=4.5,"GREAT",AND(Table2[[#This Row],[Satification_points]]&gt;=4,Table2[[#This Row],[Satification_points]]&lt;4.5),"GOOD",AND(Table2[[#This Row],[Satification_points]]&gt;=3,Table2[[#This Row],[Satification_points]]&lt;4),"AVERAGE",Table2[[#This Row],[Satification_points]]&lt;3,"POOR")</f>
        <v>POOR</v>
      </c>
    </row>
    <row r="1109" spans="1:29" x14ac:dyDescent="0.3">
      <c r="A1109">
        <v>1108</v>
      </c>
      <c r="B1109">
        <v>96372</v>
      </c>
      <c r="C1109" t="s">
        <v>1155</v>
      </c>
      <c r="D1109" t="s">
        <v>51</v>
      </c>
      <c r="E1109" t="s">
        <v>27</v>
      </c>
      <c r="F1109" s="1">
        <v>45269</v>
      </c>
      <c r="G1109" s="1">
        <v>45388</v>
      </c>
      <c r="H1109">
        <v>10</v>
      </c>
      <c r="I1109" t="s">
        <v>42</v>
      </c>
      <c r="J1109" t="s">
        <v>36</v>
      </c>
      <c r="K1109">
        <v>2</v>
      </c>
      <c r="L1109">
        <v>3</v>
      </c>
      <c r="M1109">
        <v>4</v>
      </c>
      <c r="N1109">
        <v>5</v>
      </c>
      <c r="O1109">
        <v>5</v>
      </c>
      <c r="P1109">
        <v>5</v>
      </c>
      <c r="Q1109">
        <v>4</v>
      </c>
      <c r="R1109">
        <v>1</v>
      </c>
      <c r="S1109">
        <v>2</v>
      </c>
      <c r="T1109">
        <v>1</v>
      </c>
      <c r="U1109" t="s">
        <v>37</v>
      </c>
      <c r="V1109" t="s">
        <v>54</v>
      </c>
      <c r="W1109" t="s">
        <v>55</v>
      </c>
      <c r="X1109" t="s">
        <v>40</v>
      </c>
      <c r="Y1109">
        <v>62</v>
      </c>
      <c r="Z1109" s="1">
        <v>45388</v>
      </c>
      <c r="AA1109" t="str" cm="1">
        <f t="array" ref="AA1109">_xlfn.IFS(AND(Table2[[#This Row],[Guest_Age]]&gt;=18,Table2[[#This Row],[Guest_Age]]&lt;=25),"Young Adults",AND(Table2[[#This Row],[Guest_Age]]&gt;=26,Table2[[#This Row],[Guest_Age]]&lt;=35),"Adults",AND(Table2[[#This Row],[Guest_Age]]&gt;=36,Table2[[#This Row],[Guest_Age]]&lt;=50),"Middle Aged Adults",Table2[[#This Row],[Guest_Age]]&gt;50,"Senior")</f>
        <v>Senior</v>
      </c>
      <c r="AB11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09" t="str" cm="1">
        <f t="array" ref="AC1109">_xlfn.IFS(Table2[[#This Row],[Satification_points]]&gt;=4.5,"GREAT",AND(Table2[[#This Row],[Satification_points]]&gt;=4,Table2[[#This Row],[Satification_points]]&lt;4.5),"GOOD",AND(Table2[[#This Row],[Satification_points]]&gt;=3,Table2[[#This Row],[Satification_points]]&lt;4),"AVERAGE",Table2[[#This Row],[Satification_points]]&lt;3,"POOR")</f>
        <v>AVERAGE</v>
      </c>
    </row>
    <row r="1110" spans="1:29" x14ac:dyDescent="0.3">
      <c r="A1110">
        <v>1109</v>
      </c>
      <c r="B1110">
        <v>93082</v>
      </c>
      <c r="C1110" t="s">
        <v>1156</v>
      </c>
      <c r="D1110" t="s">
        <v>26</v>
      </c>
      <c r="E1110" t="s">
        <v>35</v>
      </c>
      <c r="F1110" s="1">
        <v>45067</v>
      </c>
      <c r="G1110" s="1">
        <v>45535</v>
      </c>
      <c r="H1110">
        <v>10</v>
      </c>
      <c r="I1110" t="s">
        <v>50</v>
      </c>
      <c r="J1110" t="s">
        <v>29</v>
      </c>
      <c r="K1110">
        <v>5</v>
      </c>
      <c r="L1110">
        <v>4</v>
      </c>
      <c r="M1110">
        <v>1</v>
      </c>
      <c r="N1110">
        <v>3</v>
      </c>
      <c r="O1110">
        <v>3</v>
      </c>
      <c r="P1110">
        <v>3</v>
      </c>
      <c r="Q1110">
        <v>2</v>
      </c>
      <c r="R1110">
        <v>4</v>
      </c>
      <c r="S1110">
        <v>1</v>
      </c>
      <c r="T1110">
        <v>5</v>
      </c>
      <c r="U1110" t="s">
        <v>30</v>
      </c>
      <c r="V1110" t="s">
        <v>58</v>
      </c>
      <c r="W1110" t="s">
        <v>32</v>
      </c>
      <c r="X1110" t="s">
        <v>40</v>
      </c>
      <c r="Y1110">
        <v>40</v>
      </c>
      <c r="Z1110" s="1">
        <v>45535</v>
      </c>
      <c r="AA1110" t="str" cm="1">
        <f t="array" ref="AA11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10" t="str" cm="1">
        <f t="array" ref="AC1110">_xlfn.IFS(Table2[[#This Row],[Satification_points]]&gt;=4.5,"GREAT",AND(Table2[[#This Row],[Satification_points]]&gt;=4,Table2[[#This Row],[Satification_points]]&lt;4.5),"GOOD",AND(Table2[[#This Row],[Satification_points]]&gt;=3,Table2[[#This Row],[Satification_points]]&lt;4),"AVERAGE",Table2[[#This Row],[Satification_points]]&lt;3,"POOR")</f>
        <v>AVERAGE</v>
      </c>
    </row>
    <row r="1111" spans="1:29" x14ac:dyDescent="0.3">
      <c r="A1111">
        <v>1110</v>
      </c>
      <c r="B1111">
        <v>45301</v>
      </c>
      <c r="C1111" t="s">
        <v>1157</v>
      </c>
      <c r="D1111" t="s">
        <v>41</v>
      </c>
      <c r="E1111" t="s">
        <v>35</v>
      </c>
      <c r="F1111" s="1">
        <v>44983</v>
      </c>
      <c r="G1111" s="1">
        <v>44984</v>
      </c>
      <c r="H1111">
        <v>13</v>
      </c>
      <c r="I1111" t="s">
        <v>42</v>
      </c>
      <c r="J1111" t="s">
        <v>40</v>
      </c>
      <c r="K1111">
        <v>4</v>
      </c>
      <c r="L1111">
        <v>5</v>
      </c>
      <c r="M1111">
        <v>2</v>
      </c>
      <c r="N1111">
        <v>3</v>
      </c>
      <c r="O1111">
        <v>1</v>
      </c>
      <c r="P1111">
        <v>4</v>
      </c>
      <c r="Q1111">
        <v>3</v>
      </c>
      <c r="R1111">
        <v>2</v>
      </c>
      <c r="S1111">
        <v>5</v>
      </c>
      <c r="T1111">
        <v>4</v>
      </c>
      <c r="U1111" t="s">
        <v>37</v>
      </c>
      <c r="V1111" t="s">
        <v>58</v>
      </c>
      <c r="W1111" t="s">
        <v>39</v>
      </c>
      <c r="X1111" t="s">
        <v>44</v>
      </c>
      <c r="Y1111">
        <v>26</v>
      </c>
      <c r="Z1111" s="1">
        <v>45100</v>
      </c>
      <c r="AA1111" t="str" cm="1">
        <f t="array" ref="AA1111">_xlfn.IFS(AND(Table2[[#This Row],[Guest_Age]]&gt;=18,Table2[[#This Row],[Guest_Age]]&lt;=25),"Young Adults",AND(Table2[[#This Row],[Guest_Age]]&gt;=26,Table2[[#This Row],[Guest_Age]]&lt;=35),"Adults",AND(Table2[[#This Row],[Guest_Age]]&gt;=36,Table2[[#This Row],[Guest_Age]]&lt;=50),"Middle Aged Adults",Table2[[#This Row],[Guest_Age]]&gt;50,"Senior")</f>
        <v>Adults</v>
      </c>
      <c r="AB11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11" t="str" cm="1">
        <f t="array" ref="AC1111">_xlfn.IFS(Table2[[#This Row],[Satification_points]]&gt;=4.5,"GREAT",AND(Table2[[#This Row],[Satification_points]]&gt;=4,Table2[[#This Row],[Satification_points]]&lt;4.5),"GOOD",AND(Table2[[#This Row],[Satification_points]]&gt;=3,Table2[[#This Row],[Satification_points]]&lt;4),"AVERAGE",Table2[[#This Row],[Satification_points]]&lt;3,"POOR")</f>
        <v>AVERAGE</v>
      </c>
    </row>
    <row r="1112" spans="1:29" x14ac:dyDescent="0.3">
      <c r="A1112">
        <v>1111</v>
      </c>
      <c r="B1112">
        <v>48380</v>
      </c>
      <c r="C1112" t="s">
        <v>1158</v>
      </c>
      <c r="D1112" t="s">
        <v>41</v>
      </c>
      <c r="E1112" t="s">
        <v>52</v>
      </c>
      <c r="F1112" s="1">
        <v>45142</v>
      </c>
      <c r="G1112" s="1">
        <v>45218</v>
      </c>
      <c r="H1112">
        <v>7</v>
      </c>
      <c r="I1112" t="s">
        <v>50</v>
      </c>
      <c r="J1112" t="s">
        <v>36</v>
      </c>
      <c r="K1112">
        <v>5</v>
      </c>
      <c r="L1112">
        <v>4</v>
      </c>
      <c r="M1112">
        <v>2</v>
      </c>
      <c r="N1112">
        <v>4</v>
      </c>
      <c r="O1112">
        <v>3</v>
      </c>
      <c r="P1112">
        <v>2</v>
      </c>
      <c r="Q1112">
        <v>2</v>
      </c>
      <c r="R1112">
        <v>5</v>
      </c>
      <c r="S1112">
        <v>3</v>
      </c>
      <c r="T1112">
        <v>5</v>
      </c>
      <c r="U1112" t="s">
        <v>37</v>
      </c>
      <c r="V1112" t="s">
        <v>58</v>
      </c>
      <c r="W1112" t="s">
        <v>56</v>
      </c>
      <c r="X1112" t="s">
        <v>33</v>
      </c>
      <c r="Y1112">
        <v>19</v>
      </c>
      <c r="Z1112" s="1">
        <v>45218</v>
      </c>
      <c r="AA1112" t="str" cm="1">
        <f t="array" ref="AA1112">_xlfn.IFS(AND(Table2[[#This Row],[Guest_Age]]&gt;=18,Table2[[#This Row],[Guest_Age]]&lt;=25),"Young Adults",AND(Table2[[#This Row],[Guest_Age]]&gt;=26,Table2[[#This Row],[Guest_Age]]&lt;=35),"Adults",AND(Table2[[#This Row],[Guest_Age]]&gt;=36,Table2[[#This Row],[Guest_Age]]&lt;=50),"Middle Aged Adults",Table2[[#This Row],[Guest_Age]]&gt;50,"Senior")</f>
        <v>Young Adults</v>
      </c>
      <c r="AB11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112" t="str" cm="1">
        <f t="array" ref="AC1112">_xlfn.IFS(Table2[[#This Row],[Satification_points]]&gt;=4.5,"GREAT",AND(Table2[[#This Row],[Satification_points]]&gt;=4,Table2[[#This Row],[Satification_points]]&lt;4.5),"GOOD",AND(Table2[[#This Row],[Satification_points]]&gt;=3,Table2[[#This Row],[Satification_points]]&lt;4),"AVERAGE",Table2[[#This Row],[Satification_points]]&lt;3,"POOR")</f>
        <v>AVERAGE</v>
      </c>
    </row>
    <row r="1113" spans="1:29" x14ac:dyDescent="0.3">
      <c r="A1113">
        <v>1112</v>
      </c>
      <c r="B1113">
        <v>19551</v>
      </c>
      <c r="C1113" t="s">
        <v>1159</v>
      </c>
      <c r="D1113" t="s">
        <v>51</v>
      </c>
      <c r="E1113" t="s">
        <v>52</v>
      </c>
      <c r="F1113" s="1">
        <v>45569</v>
      </c>
      <c r="G1113" s="1">
        <v>45570</v>
      </c>
      <c r="H1113">
        <v>2</v>
      </c>
      <c r="I1113" t="s">
        <v>28</v>
      </c>
      <c r="J1113" t="s">
        <v>53</v>
      </c>
      <c r="K1113">
        <v>3</v>
      </c>
      <c r="L1113">
        <v>1</v>
      </c>
      <c r="M1113">
        <v>1</v>
      </c>
      <c r="N1113">
        <v>5</v>
      </c>
      <c r="O1113">
        <v>2</v>
      </c>
      <c r="P1113">
        <v>1</v>
      </c>
      <c r="Q1113">
        <v>3</v>
      </c>
      <c r="R1113">
        <v>4</v>
      </c>
      <c r="S1113">
        <v>4</v>
      </c>
      <c r="T1113">
        <v>4</v>
      </c>
      <c r="U1113" t="s">
        <v>30</v>
      </c>
      <c r="V1113" t="s">
        <v>31</v>
      </c>
      <c r="W1113" t="s">
        <v>56</v>
      </c>
      <c r="X1113" t="s">
        <v>44</v>
      </c>
      <c r="Y1113">
        <v>32</v>
      </c>
      <c r="Z1113" s="1">
        <v>45570</v>
      </c>
      <c r="AA1113" t="str" cm="1">
        <f t="array" ref="AA1113">_xlfn.IFS(AND(Table2[[#This Row],[Guest_Age]]&gt;=18,Table2[[#This Row],[Guest_Age]]&lt;=25),"Young Adults",AND(Table2[[#This Row],[Guest_Age]]&gt;=26,Table2[[#This Row],[Guest_Age]]&lt;=35),"Adults",AND(Table2[[#This Row],[Guest_Age]]&gt;=36,Table2[[#This Row],[Guest_Age]]&lt;=50),"Middle Aged Adults",Table2[[#This Row],[Guest_Age]]&gt;50,"Senior")</f>
        <v>Adults</v>
      </c>
      <c r="AB11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13" t="str" cm="1">
        <f t="array" ref="AC1113">_xlfn.IFS(Table2[[#This Row],[Satification_points]]&gt;=4.5,"GREAT",AND(Table2[[#This Row],[Satification_points]]&gt;=4,Table2[[#This Row],[Satification_points]]&lt;4.5),"GOOD",AND(Table2[[#This Row],[Satification_points]]&gt;=3,Table2[[#This Row],[Satification_points]]&lt;4),"AVERAGE",Table2[[#This Row],[Satification_points]]&lt;3,"POOR")</f>
        <v>POOR</v>
      </c>
    </row>
    <row r="1114" spans="1:29" x14ac:dyDescent="0.3">
      <c r="A1114">
        <v>1113</v>
      </c>
      <c r="B1114">
        <v>28609</v>
      </c>
      <c r="C1114" t="s">
        <v>1160</v>
      </c>
      <c r="D1114" t="s">
        <v>48</v>
      </c>
      <c r="E1114" t="s">
        <v>35</v>
      </c>
      <c r="F1114" s="1">
        <v>45040</v>
      </c>
      <c r="G1114" s="1">
        <v>45173</v>
      </c>
      <c r="H1114">
        <v>9</v>
      </c>
      <c r="I1114" t="s">
        <v>28</v>
      </c>
      <c r="J1114" t="s">
        <v>29</v>
      </c>
      <c r="K1114">
        <v>3</v>
      </c>
      <c r="L1114">
        <v>1</v>
      </c>
      <c r="M1114">
        <v>2</v>
      </c>
      <c r="N1114">
        <v>3</v>
      </c>
      <c r="O1114">
        <v>1</v>
      </c>
      <c r="P1114">
        <v>4</v>
      </c>
      <c r="Q1114">
        <v>4</v>
      </c>
      <c r="R1114">
        <v>4</v>
      </c>
      <c r="S1114">
        <v>1</v>
      </c>
      <c r="T1114">
        <v>4</v>
      </c>
      <c r="U1114" t="s">
        <v>30</v>
      </c>
      <c r="V1114" t="s">
        <v>38</v>
      </c>
      <c r="W1114" t="s">
        <v>39</v>
      </c>
      <c r="X1114" t="s">
        <v>33</v>
      </c>
      <c r="Y1114">
        <v>49</v>
      </c>
      <c r="Z1114" s="1">
        <v>45546</v>
      </c>
      <c r="AA1114" t="str" cm="1">
        <f t="array" ref="AA111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14" t="str" cm="1">
        <f t="array" ref="AC1114">_xlfn.IFS(Table2[[#This Row],[Satification_points]]&gt;=4.5,"GREAT",AND(Table2[[#This Row],[Satification_points]]&gt;=4,Table2[[#This Row],[Satification_points]]&lt;4.5),"GOOD",AND(Table2[[#This Row],[Satification_points]]&gt;=3,Table2[[#This Row],[Satification_points]]&lt;4),"AVERAGE",Table2[[#This Row],[Satification_points]]&lt;3,"POOR")</f>
        <v>POOR</v>
      </c>
    </row>
    <row r="1115" spans="1:29" x14ac:dyDescent="0.3">
      <c r="A1115">
        <v>1114</v>
      </c>
      <c r="B1115">
        <v>79208</v>
      </c>
      <c r="C1115" t="s">
        <v>1161</v>
      </c>
      <c r="D1115" t="s">
        <v>51</v>
      </c>
      <c r="E1115" t="s">
        <v>57</v>
      </c>
      <c r="F1115" s="1">
        <v>45629</v>
      </c>
      <c r="G1115" s="1">
        <v>45630</v>
      </c>
      <c r="H1115">
        <v>2</v>
      </c>
      <c r="I1115" t="s">
        <v>28</v>
      </c>
      <c r="J1115" t="s">
        <v>53</v>
      </c>
      <c r="K1115">
        <v>1</v>
      </c>
      <c r="L1115">
        <v>3</v>
      </c>
      <c r="M1115">
        <v>4</v>
      </c>
      <c r="N1115">
        <v>1</v>
      </c>
      <c r="O1115">
        <v>5</v>
      </c>
      <c r="P1115">
        <v>4</v>
      </c>
      <c r="Q1115">
        <v>3</v>
      </c>
      <c r="R1115">
        <v>1</v>
      </c>
      <c r="S1115">
        <v>3</v>
      </c>
      <c r="T1115">
        <v>1</v>
      </c>
      <c r="U1115" t="s">
        <v>30</v>
      </c>
      <c r="V1115" t="s">
        <v>46</v>
      </c>
      <c r="W1115" t="s">
        <v>39</v>
      </c>
      <c r="X1115" t="s">
        <v>40</v>
      </c>
      <c r="Y1115">
        <v>35</v>
      </c>
      <c r="Z1115" s="1">
        <v>45630</v>
      </c>
      <c r="AA1115" t="str" cm="1">
        <f t="array" ref="AA1115">_xlfn.IFS(AND(Table2[[#This Row],[Guest_Age]]&gt;=18,Table2[[#This Row],[Guest_Age]]&lt;=25),"Young Adults",AND(Table2[[#This Row],[Guest_Age]]&gt;=26,Table2[[#This Row],[Guest_Age]]&lt;=35),"Adults",AND(Table2[[#This Row],[Guest_Age]]&gt;=36,Table2[[#This Row],[Guest_Age]]&lt;=50),"Middle Aged Adults",Table2[[#This Row],[Guest_Age]]&gt;50,"Senior")</f>
        <v>Adults</v>
      </c>
      <c r="AB11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115" t="str" cm="1">
        <f t="array" ref="AC1115">_xlfn.IFS(Table2[[#This Row],[Satification_points]]&gt;=4.5,"GREAT",AND(Table2[[#This Row],[Satification_points]]&gt;=4,Table2[[#This Row],[Satification_points]]&lt;4.5),"GOOD",AND(Table2[[#This Row],[Satification_points]]&gt;=3,Table2[[#This Row],[Satification_points]]&lt;4),"AVERAGE",Table2[[#This Row],[Satification_points]]&lt;3,"POOR")</f>
        <v>POOR</v>
      </c>
    </row>
    <row r="1116" spans="1:29" x14ac:dyDescent="0.3">
      <c r="A1116">
        <v>1115</v>
      </c>
      <c r="B1116">
        <v>12160</v>
      </c>
      <c r="C1116" t="s">
        <v>1162</v>
      </c>
      <c r="D1116" t="s">
        <v>41</v>
      </c>
      <c r="E1116" t="s">
        <v>52</v>
      </c>
      <c r="F1116" s="1">
        <v>45220</v>
      </c>
      <c r="G1116" s="1">
        <v>45340</v>
      </c>
      <c r="H1116">
        <v>1</v>
      </c>
      <c r="I1116" t="s">
        <v>50</v>
      </c>
      <c r="J1116" t="s">
        <v>53</v>
      </c>
      <c r="K1116">
        <v>5</v>
      </c>
      <c r="L1116">
        <v>1</v>
      </c>
      <c r="M1116">
        <v>2</v>
      </c>
      <c r="N1116">
        <v>5</v>
      </c>
      <c r="O1116">
        <v>5</v>
      </c>
      <c r="P1116">
        <v>5</v>
      </c>
      <c r="Q1116">
        <v>4</v>
      </c>
      <c r="R1116">
        <v>5</v>
      </c>
      <c r="S1116">
        <v>1</v>
      </c>
      <c r="T1116">
        <v>2</v>
      </c>
      <c r="U1116" t="s">
        <v>30</v>
      </c>
      <c r="V1116" t="s">
        <v>38</v>
      </c>
      <c r="W1116" t="s">
        <v>47</v>
      </c>
      <c r="X1116" t="s">
        <v>40</v>
      </c>
      <c r="Y1116">
        <v>46</v>
      </c>
      <c r="Z1116" s="1">
        <v>45340</v>
      </c>
      <c r="AA1116" t="str" cm="1">
        <f t="array" ref="AA11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116" t="str" cm="1">
        <f t="array" ref="AC1116">_xlfn.IFS(Table2[[#This Row],[Satification_points]]&gt;=4.5,"GREAT",AND(Table2[[#This Row],[Satification_points]]&gt;=4,Table2[[#This Row],[Satification_points]]&lt;4.5),"GOOD",AND(Table2[[#This Row],[Satification_points]]&gt;=3,Table2[[#This Row],[Satification_points]]&lt;4),"AVERAGE",Table2[[#This Row],[Satification_points]]&lt;3,"POOR")</f>
        <v>AVERAGE</v>
      </c>
    </row>
    <row r="1117" spans="1:29" x14ac:dyDescent="0.3">
      <c r="A1117">
        <v>1116</v>
      </c>
      <c r="B1117">
        <v>67626</v>
      </c>
      <c r="C1117" t="s">
        <v>1163</v>
      </c>
      <c r="D1117" t="s">
        <v>51</v>
      </c>
      <c r="E1117" t="s">
        <v>57</v>
      </c>
      <c r="F1117" s="1">
        <v>44954</v>
      </c>
      <c r="G1117" s="1">
        <v>45055</v>
      </c>
      <c r="H1117">
        <v>14</v>
      </c>
      <c r="I1117" t="s">
        <v>42</v>
      </c>
      <c r="J1117" t="s">
        <v>29</v>
      </c>
      <c r="K1117">
        <v>3</v>
      </c>
      <c r="L1117">
        <v>1</v>
      </c>
      <c r="M1117">
        <v>3</v>
      </c>
      <c r="N1117">
        <v>3</v>
      </c>
      <c r="O1117">
        <v>4</v>
      </c>
      <c r="P1117">
        <v>5</v>
      </c>
      <c r="Q1117">
        <v>1</v>
      </c>
      <c r="R1117">
        <v>2</v>
      </c>
      <c r="S1117">
        <v>3</v>
      </c>
      <c r="T1117">
        <v>2</v>
      </c>
      <c r="U1117" t="s">
        <v>37</v>
      </c>
      <c r="V1117" t="s">
        <v>58</v>
      </c>
      <c r="W1117" t="s">
        <v>39</v>
      </c>
      <c r="X1117" t="s">
        <v>33</v>
      </c>
      <c r="Y1117">
        <v>57</v>
      </c>
      <c r="Z1117" s="1">
        <v>45553</v>
      </c>
      <c r="AA1117" t="str" cm="1">
        <f t="array" ref="AA1117">_xlfn.IFS(AND(Table2[[#This Row],[Guest_Age]]&gt;=18,Table2[[#This Row],[Guest_Age]]&lt;=25),"Young Adults",AND(Table2[[#This Row],[Guest_Age]]&gt;=26,Table2[[#This Row],[Guest_Age]]&lt;=35),"Adults",AND(Table2[[#This Row],[Guest_Age]]&gt;=36,Table2[[#This Row],[Guest_Age]]&lt;=50),"Middle Aged Adults",Table2[[#This Row],[Guest_Age]]&gt;50,"Senior")</f>
        <v>Senior</v>
      </c>
      <c r="AB11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17" t="str" cm="1">
        <f t="array" ref="AC1117">_xlfn.IFS(Table2[[#This Row],[Satification_points]]&gt;=4.5,"GREAT",AND(Table2[[#This Row],[Satification_points]]&gt;=4,Table2[[#This Row],[Satification_points]]&lt;4.5),"GOOD",AND(Table2[[#This Row],[Satification_points]]&gt;=3,Table2[[#This Row],[Satification_points]]&lt;4),"AVERAGE",Table2[[#This Row],[Satification_points]]&lt;3,"POOR")</f>
        <v>POOR</v>
      </c>
    </row>
    <row r="1118" spans="1:29" x14ac:dyDescent="0.3">
      <c r="A1118">
        <v>1117</v>
      </c>
      <c r="B1118">
        <v>11797</v>
      </c>
      <c r="C1118" t="s">
        <v>1164</v>
      </c>
      <c r="D1118" t="s">
        <v>26</v>
      </c>
      <c r="E1118" t="s">
        <v>35</v>
      </c>
      <c r="F1118" s="1">
        <v>45464</v>
      </c>
      <c r="G1118" s="1">
        <v>45641</v>
      </c>
      <c r="H1118">
        <v>2</v>
      </c>
      <c r="I1118" t="s">
        <v>28</v>
      </c>
      <c r="J1118" t="s">
        <v>40</v>
      </c>
      <c r="K1118">
        <v>3</v>
      </c>
      <c r="L1118">
        <v>3</v>
      </c>
      <c r="M1118">
        <v>4</v>
      </c>
      <c r="N1118">
        <v>5</v>
      </c>
      <c r="O1118">
        <v>1</v>
      </c>
      <c r="P1118">
        <v>4</v>
      </c>
      <c r="Q1118">
        <v>5</v>
      </c>
      <c r="R1118">
        <v>3</v>
      </c>
      <c r="S1118">
        <v>3</v>
      </c>
      <c r="T1118">
        <v>1</v>
      </c>
      <c r="U1118" t="s">
        <v>30</v>
      </c>
      <c r="V1118" t="s">
        <v>46</v>
      </c>
      <c r="W1118" t="s">
        <v>56</v>
      </c>
      <c r="X1118" t="s">
        <v>40</v>
      </c>
      <c r="Y1118">
        <v>20</v>
      </c>
      <c r="Z1118" s="1">
        <v>45641</v>
      </c>
      <c r="AA1118" t="str" cm="1">
        <f t="array" ref="AA1118">_xlfn.IFS(AND(Table2[[#This Row],[Guest_Age]]&gt;=18,Table2[[#This Row],[Guest_Age]]&lt;=25),"Young Adults",AND(Table2[[#This Row],[Guest_Age]]&gt;=26,Table2[[#This Row],[Guest_Age]]&lt;=35),"Adults",AND(Table2[[#This Row],[Guest_Age]]&gt;=36,Table2[[#This Row],[Guest_Age]]&lt;=50),"Middle Aged Adults",Table2[[#This Row],[Guest_Age]]&gt;50,"Senior")</f>
        <v>Young Adults</v>
      </c>
      <c r="AB11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18" t="str" cm="1">
        <f t="array" ref="AC1118">_xlfn.IFS(Table2[[#This Row],[Satification_points]]&gt;=4.5,"GREAT",AND(Table2[[#This Row],[Satification_points]]&gt;=4,Table2[[#This Row],[Satification_points]]&lt;4.5),"GOOD",AND(Table2[[#This Row],[Satification_points]]&gt;=3,Table2[[#This Row],[Satification_points]]&lt;4),"AVERAGE",Table2[[#This Row],[Satification_points]]&lt;3,"POOR")</f>
        <v>AVERAGE</v>
      </c>
    </row>
    <row r="1119" spans="1:29" x14ac:dyDescent="0.3">
      <c r="A1119">
        <v>1118</v>
      </c>
      <c r="B1119">
        <v>21171</v>
      </c>
      <c r="C1119" t="s">
        <v>1165</v>
      </c>
      <c r="D1119" t="s">
        <v>41</v>
      </c>
      <c r="E1119" t="s">
        <v>27</v>
      </c>
      <c r="F1119" s="1">
        <v>45522</v>
      </c>
      <c r="G1119" s="1">
        <v>45523</v>
      </c>
      <c r="H1119">
        <v>11</v>
      </c>
      <c r="I1119" t="s">
        <v>49</v>
      </c>
      <c r="J1119" t="s">
        <v>36</v>
      </c>
      <c r="K1119">
        <v>5</v>
      </c>
      <c r="L1119">
        <v>3</v>
      </c>
      <c r="M1119">
        <v>3</v>
      </c>
      <c r="N1119">
        <v>1</v>
      </c>
      <c r="O1119">
        <v>2</v>
      </c>
      <c r="P1119">
        <v>2</v>
      </c>
      <c r="Q1119">
        <v>4</v>
      </c>
      <c r="R1119">
        <v>1</v>
      </c>
      <c r="S1119">
        <v>2</v>
      </c>
      <c r="T1119">
        <v>5</v>
      </c>
      <c r="U1119" t="s">
        <v>30</v>
      </c>
      <c r="V1119" t="s">
        <v>46</v>
      </c>
      <c r="W1119" t="s">
        <v>47</v>
      </c>
      <c r="X1119" t="s">
        <v>40</v>
      </c>
      <c r="Y1119">
        <v>50</v>
      </c>
      <c r="Z1119" s="1">
        <v>45523</v>
      </c>
      <c r="AA1119" t="str" cm="1">
        <f t="array" ref="AA11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19" t="str" cm="1">
        <f t="array" ref="AC1119">_xlfn.IFS(Table2[[#This Row],[Satification_points]]&gt;=4.5,"GREAT",AND(Table2[[#This Row],[Satification_points]]&gt;=4,Table2[[#This Row],[Satification_points]]&lt;4.5),"GOOD",AND(Table2[[#This Row],[Satification_points]]&gt;=3,Table2[[#This Row],[Satification_points]]&lt;4),"AVERAGE",Table2[[#This Row],[Satification_points]]&lt;3,"POOR")</f>
        <v>POOR</v>
      </c>
    </row>
    <row r="1120" spans="1:29" x14ac:dyDescent="0.3">
      <c r="A1120">
        <v>1119</v>
      </c>
      <c r="B1120">
        <v>57958</v>
      </c>
      <c r="C1120" t="s">
        <v>1166</v>
      </c>
      <c r="D1120" t="s">
        <v>48</v>
      </c>
      <c r="E1120" t="s">
        <v>35</v>
      </c>
      <c r="F1120" s="1">
        <v>45247</v>
      </c>
      <c r="G1120" s="1">
        <v>45345</v>
      </c>
      <c r="H1120">
        <v>3</v>
      </c>
      <c r="I1120" t="s">
        <v>50</v>
      </c>
      <c r="J1120" t="s">
        <v>40</v>
      </c>
      <c r="K1120">
        <v>3</v>
      </c>
      <c r="L1120">
        <v>5</v>
      </c>
      <c r="M1120">
        <v>3</v>
      </c>
      <c r="N1120">
        <v>1</v>
      </c>
      <c r="O1120">
        <v>3</v>
      </c>
      <c r="P1120">
        <v>3</v>
      </c>
      <c r="Q1120">
        <v>3</v>
      </c>
      <c r="R1120">
        <v>4</v>
      </c>
      <c r="S1120">
        <v>4</v>
      </c>
      <c r="T1120">
        <v>3</v>
      </c>
      <c r="U1120" t="s">
        <v>30</v>
      </c>
      <c r="V1120" t="s">
        <v>31</v>
      </c>
      <c r="W1120" t="s">
        <v>39</v>
      </c>
      <c r="X1120" t="s">
        <v>33</v>
      </c>
      <c r="Y1120">
        <v>24</v>
      </c>
      <c r="Z1120" s="1">
        <v>45345</v>
      </c>
      <c r="AA1120" t="str" cm="1">
        <f t="array" ref="AA1120">_xlfn.IFS(AND(Table2[[#This Row],[Guest_Age]]&gt;=18,Table2[[#This Row],[Guest_Age]]&lt;=25),"Young Adults",AND(Table2[[#This Row],[Guest_Age]]&gt;=26,Table2[[#This Row],[Guest_Age]]&lt;=35),"Adults",AND(Table2[[#This Row],[Guest_Age]]&gt;=36,Table2[[#This Row],[Guest_Age]]&lt;=50),"Middle Aged Adults",Table2[[#This Row],[Guest_Age]]&gt;50,"Senior")</f>
        <v>Young Adults</v>
      </c>
      <c r="AB11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20" t="str" cm="1">
        <f t="array" ref="AC1120">_xlfn.IFS(Table2[[#This Row],[Satification_points]]&gt;=4.5,"GREAT",AND(Table2[[#This Row],[Satification_points]]&gt;=4,Table2[[#This Row],[Satification_points]]&lt;4.5),"GOOD",AND(Table2[[#This Row],[Satification_points]]&gt;=3,Table2[[#This Row],[Satification_points]]&lt;4),"AVERAGE",Table2[[#This Row],[Satification_points]]&lt;3,"POOR")</f>
        <v>AVERAGE</v>
      </c>
    </row>
    <row r="1121" spans="1:29" x14ac:dyDescent="0.3">
      <c r="A1121">
        <v>1120</v>
      </c>
      <c r="B1121">
        <v>33453</v>
      </c>
      <c r="C1121" t="s">
        <v>1167</v>
      </c>
      <c r="D1121" t="s">
        <v>48</v>
      </c>
      <c r="E1121" t="s">
        <v>35</v>
      </c>
      <c r="F1121" s="1">
        <v>45640</v>
      </c>
      <c r="G1121" s="1">
        <v>45641</v>
      </c>
      <c r="H1121">
        <v>14</v>
      </c>
      <c r="I1121" t="s">
        <v>42</v>
      </c>
      <c r="J1121" t="s">
        <v>29</v>
      </c>
      <c r="K1121">
        <v>1</v>
      </c>
      <c r="L1121">
        <v>2</v>
      </c>
      <c r="M1121">
        <v>4</v>
      </c>
      <c r="N1121">
        <v>5</v>
      </c>
      <c r="O1121">
        <v>1</v>
      </c>
      <c r="P1121">
        <v>2</v>
      </c>
      <c r="Q1121">
        <v>1</v>
      </c>
      <c r="R1121">
        <v>5</v>
      </c>
      <c r="S1121">
        <v>4</v>
      </c>
      <c r="T1121">
        <v>1</v>
      </c>
      <c r="U1121" t="s">
        <v>37</v>
      </c>
      <c r="V1121" t="s">
        <v>38</v>
      </c>
      <c r="W1121" t="s">
        <v>55</v>
      </c>
      <c r="X1121" t="s">
        <v>40</v>
      </c>
      <c r="Y1121">
        <v>47</v>
      </c>
      <c r="Z1121" s="1">
        <v>45641</v>
      </c>
      <c r="AA1121" t="str" cm="1">
        <f t="array" ref="AA112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121" t="str" cm="1">
        <f t="array" ref="AC1121">_xlfn.IFS(Table2[[#This Row],[Satification_points]]&gt;=4.5,"GREAT",AND(Table2[[#This Row],[Satification_points]]&gt;=4,Table2[[#This Row],[Satification_points]]&lt;4.5),"GOOD",AND(Table2[[#This Row],[Satification_points]]&gt;=3,Table2[[#This Row],[Satification_points]]&lt;4),"AVERAGE",Table2[[#This Row],[Satification_points]]&lt;3,"POOR")</f>
        <v>POOR</v>
      </c>
    </row>
    <row r="1122" spans="1:29" x14ac:dyDescent="0.3">
      <c r="A1122">
        <v>1121</v>
      </c>
      <c r="B1122">
        <v>83429</v>
      </c>
      <c r="C1122" t="s">
        <v>1168</v>
      </c>
      <c r="D1122" t="s">
        <v>51</v>
      </c>
      <c r="E1122" t="s">
        <v>45</v>
      </c>
      <c r="F1122" s="1">
        <v>45499</v>
      </c>
      <c r="G1122" s="1">
        <v>45500</v>
      </c>
      <c r="H1122">
        <v>6</v>
      </c>
      <c r="I1122" t="s">
        <v>50</v>
      </c>
      <c r="J1122" t="s">
        <v>36</v>
      </c>
      <c r="K1122">
        <v>3</v>
      </c>
      <c r="L1122">
        <v>3</v>
      </c>
      <c r="M1122">
        <v>3</v>
      </c>
      <c r="N1122">
        <v>2</v>
      </c>
      <c r="O1122">
        <v>4</v>
      </c>
      <c r="P1122">
        <v>2</v>
      </c>
      <c r="Q1122">
        <v>4</v>
      </c>
      <c r="R1122">
        <v>3</v>
      </c>
      <c r="S1122">
        <v>2</v>
      </c>
      <c r="T1122">
        <v>4</v>
      </c>
      <c r="U1122" t="s">
        <v>30</v>
      </c>
      <c r="V1122" t="s">
        <v>38</v>
      </c>
      <c r="W1122" t="s">
        <v>55</v>
      </c>
      <c r="X1122" t="s">
        <v>33</v>
      </c>
      <c r="Y1122">
        <v>44</v>
      </c>
      <c r="Z1122" s="1">
        <v>45500</v>
      </c>
      <c r="AA1122" t="str" cm="1">
        <f t="array" ref="AA112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22" t="str" cm="1">
        <f t="array" ref="AC1122">_xlfn.IFS(Table2[[#This Row],[Satification_points]]&gt;=4.5,"GREAT",AND(Table2[[#This Row],[Satification_points]]&gt;=4,Table2[[#This Row],[Satification_points]]&lt;4.5),"GOOD",AND(Table2[[#This Row],[Satification_points]]&gt;=3,Table2[[#This Row],[Satification_points]]&lt;4),"AVERAGE",Table2[[#This Row],[Satification_points]]&lt;3,"POOR")</f>
        <v>AVERAGE</v>
      </c>
    </row>
    <row r="1123" spans="1:29" x14ac:dyDescent="0.3">
      <c r="A1123">
        <v>1122</v>
      </c>
      <c r="B1123">
        <v>30792</v>
      </c>
      <c r="C1123" t="s">
        <v>1169</v>
      </c>
      <c r="D1123" t="s">
        <v>51</v>
      </c>
      <c r="E1123" t="s">
        <v>35</v>
      </c>
      <c r="F1123" s="1">
        <v>45623</v>
      </c>
      <c r="G1123" s="1">
        <v>45624</v>
      </c>
      <c r="H1123">
        <v>7</v>
      </c>
      <c r="I1123" t="s">
        <v>42</v>
      </c>
      <c r="J1123" t="s">
        <v>29</v>
      </c>
      <c r="K1123">
        <v>4</v>
      </c>
      <c r="L1123">
        <v>5</v>
      </c>
      <c r="M1123">
        <v>2</v>
      </c>
      <c r="N1123">
        <v>5</v>
      </c>
      <c r="O1123">
        <v>5</v>
      </c>
      <c r="P1123">
        <v>4</v>
      </c>
      <c r="Q1123">
        <v>3</v>
      </c>
      <c r="R1123">
        <v>4</v>
      </c>
      <c r="S1123">
        <v>5</v>
      </c>
      <c r="T1123">
        <v>2</v>
      </c>
      <c r="U1123" t="s">
        <v>30</v>
      </c>
      <c r="V1123" t="s">
        <v>54</v>
      </c>
      <c r="W1123" t="s">
        <v>39</v>
      </c>
      <c r="X1123" t="s">
        <v>44</v>
      </c>
      <c r="Y1123">
        <v>55</v>
      </c>
      <c r="Z1123" s="1">
        <v>45624</v>
      </c>
      <c r="AA1123" t="str" cm="1">
        <f t="array" ref="AA1123">_xlfn.IFS(AND(Table2[[#This Row],[Guest_Age]]&gt;=18,Table2[[#This Row],[Guest_Age]]&lt;=25),"Young Adults",AND(Table2[[#This Row],[Guest_Age]]&gt;=26,Table2[[#This Row],[Guest_Age]]&lt;=35),"Adults",AND(Table2[[#This Row],[Guest_Age]]&gt;=36,Table2[[#This Row],[Guest_Age]]&lt;=50),"Middle Aged Adults",Table2[[#This Row],[Guest_Age]]&gt;50,"Senior")</f>
        <v>Senior</v>
      </c>
      <c r="AB11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23" t="str" cm="1">
        <f t="array" ref="AC1123">_xlfn.IFS(Table2[[#This Row],[Satification_points]]&gt;=4.5,"GREAT",AND(Table2[[#This Row],[Satification_points]]&gt;=4,Table2[[#This Row],[Satification_points]]&lt;4.5),"GOOD",AND(Table2[[#This Row],[Satification_points]]&gt;=3,Table2[[#This Row],[Satification_points]]&lt;4),"AVERAGE",Table2[[#This Row],[Satification_points]]&lt;3,"POOR")</f>
        <v>AVERAGE</v>
      </c>
    </row>
    <row r="1124" spans="1:29" x14ac:dyDescent="0.3">
      <c r="A1124">
        <v>1123</v>
      </c>
      <c r="B1124">
        <v>11930</v>
      </c>
      <c r="C1124" t="s">
        <v>1170</v>
      </c>
      <c r="D1124" t="s">
        <v>51</v>
      </c>
      <c r="E1124" t="s">
        <v>52</v>
      </c>
      <c r="F1124" s="1">
        <v>45439</v>
      </c>
      <c r="G1124" s="1">
        <v>45440</v>
      </c>
      <c r="H1124">
        <v>11</v>
      </c>
      <c r="I1124" t="s">
        <v>42</v>
      </c>
      <c r="J1124" t="s">
        <v>43</v>
      </c>
      <c r="K1124">
        <v>4</v>
      </c>
      <c r="L1124">
        <v>4</v>
      </c>
      <c r="M1124">
        <v>1</v>
      </c>
      <c r="N1124">
        <v>4</v>
      </c>
      <c r="O1124">
        <v>1</v>
      </c>
      <c r="P1124">
        <v>2</v>
      </c>
      <c r="Q1124">
        <v>4</v>
      </c>
      <c r="R1124">
        <v>5</v>
      </c>
      <c r="S1124">
        <v>4</v>
      </c>
      <c r="T1124">
        <v>2</v>
      </c>
      <c r="U1124" t="s">
        <v>30</v>
      </c>
      <c r="V1124" t="s">
        <v>46</v>
      </c>
      <c r="W1124" t="s">
        <v>56</v>
      </c>
      <c r="X1124" t="s">
        <v>33</v>
      </c>
      <c r="Y1124">
        <v>46</v>
      </c>
      <c r="Z1124" s="1">
        <v>45440</v>
      </c>
      <c r="AA1124" t="str" cm="1">
        <f t="array" ref="AA112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24" t="str" cm="1">
        <f t="array" ref="AC1124">_xlfn.IFS(Table2[[#This Row],[Satification_points]]&gt;=4.5,"GREAT",AND(Table2[[#This Row],[Satification_points]]&gt;=4,Table2[[#This Row],[Satification_points]]&lt;4.5),"GOOD",AND(Table2[[#This Row],[Satification_points]]&gt;=3,Table2[[#This Row],[Satification_points]]&lt;4),"AVERAGE",Table2[[#This Row],[Satification_points]]&lt;3,"POOR")</f>
        <v>AVERAGE</v>
      </c>
    </row>
    <row r="1125" spans="1:29" x14ac:dyDescent="0.3">
      <c r="A1125">
        <v>1124</v>
      </c>
      <c r="B1125">
        <v>25705</v>
      </c>
      <c r="C1125" t="s">
        <v>1171</v>
      </c>
      <c r="D1125" t="s">
        <v>26</v>
      </c>
      <c r="E1125" t="s">
        <v>27</v>
      </c>
      <c r="F1125" s="1">
        <v>44958</v>
      </c>
      <c r="G1125" s="1">
        <v>45495</v>
      </c>
      <c r="H1125">
        <v>6</v>
      </c>
      <c r="I1125" t="s">
        <v>50</v>
      </c>
      <c r="J1125" t="s">
        <v>43</v>
      </c>
      <c r="K1125">
        <v>1</v>
      </c>
      <c r="L1125">
        <v>1</v>
      </c>
      <c r="M1125">
        <v>4</v>
      </c>
      <c r="N1125">
        <v>2</v>
      </c>
      <c r="O1125">
        <v>4</v>
      </c>
      <c r="P1125">
        <v>3</v>
      </c>
      <c r="Q1125">
        <v>4</v>
      </c>
      <c r="R1125">
        <v>5</v>
      </c>
      <c r="S1125">
        <v>2</v>
      </c>
      <c r="T1125">
        <v>5</v>
      </c>
      <c r="U1125" t="s">
        <v>30</v>
      </c>
      <c r="V1125" t="s">
        <v>58</v>
      </c>
      <c r="W1125" t="s">
        <v>47</v>
      </c>
      <c r="X1125" t="s">
        <v>44</v>
      </c>
      <c r="Y1125">
        <v>48</v>
      </c>
      <c r="Z1125" s="1">
        <v>45495</v>
      </c>
      <c r="AA1125" t="str" cm="1">
        <f t="array" ref="AA11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25" t="str" cm="1">
        <f t="array" ref="AC1125">_xlfn.IFS(Table2[[#This Row],[Satification_points]]&gt;=4.5,"GREAT",AND(Table2[[#This Row],[Satification_points]]&gt;=4,Table2[[#This Row],[Satification_points]]&lt;4.5),"GOOD",AND(Table2[[#This Row],[Satification_points]]&gt;=3,Table2[[#This Row],[Satification_points]]&lt;4),"AVERAGE",Table2[[#This Row],[Satification_points]]&lt;3,"POOR")</f>
        <v>AVERAGE</v>
      </c>
    </row>
    <row r="1126" spans="1:29" x14ac:dyDescent="0.3">
      <c r="A1126">
        <v>1125</v>
      </c>
      <c r="B1126">
        <v>94438</v>
      </c>
      <c r="C1126" t="s">
        <v>1172</v>
      </c>
      <c r="D1126" t="s">
        <v>48</v>
      </c>
      <c r="E1126" t="s">
        <v>57</v>
      </c>
      <c r="F1126" s="1">
        <v>45337</v>
      </c>
      <c r="G1126" s="1">
        <v>45338</v>
      </c>
      <c r="H1126">
        <v>1</v>
      </c>
      <c r="I1126" t="s">
        <v>49</v>
      </c>
      <c r="J1126" t="s">
        <v>40</v>
      </c>
      <c r="K1126">
        <v>4</v>
      </c>
      <c r="L1126">
        <v>2</v>
      </c>
      <c r="M1126">
        <v>1</v>
      </c>
      <c r="N1126">
        <v>1</v>
      </c>
      <c r="O1126">
        <v>2</v>
      </c>
      <c r="P1126">
        <v>4</v>
      </c>
      <c r="Q1126">
        <v>2</v>
      </c>
      <c r="R1126">
        <v>3</v>
      </c>
      <c r="S1126">
        <v>3</v>
      </c>
      <c r="T1126">
        <v>3</v>
      </c>
      <c r="U1126" t="s">
        <v>37</v>
      </c>
      <c r="V1126" t="s">
        <v>54</v>
      </c>
      <c r="W1126" t="s">
        <v>47</v>
      </c>
      <c r="X1126" t="s">
        <v>33</v>
      </c>
      <c r="Y1126">
        <v>18</v>
      </c>
      <c r="Z1126" s="1">
        <v>45446</v>
      </c>
      <c r="AA1126" t="str" cm="1">
        <f t="array" ref="AA1126">_xlfn.IFS(AND(Table2[[#This Row],[Guest_Age]]&gt;=18,Table2[[#This Row],[Guest_Age]]&lt;=25),"Young Adults",AND(Table2[[#This Row],[Guest_Age]]&gt;=26,Table2[[#This Row],[Guest_Age]]&lt;=35),"Adults",AND(Table2[[#This Row],[Guest_Age]]&gt;=36,Table2[[#This Row],[Guest_Age]]&lt;=50),"Middle Aged Adults",Table2[[#This Row],[Guest_Age]]&gt;50,"Senior")</f>
        <v>Young Adults</v>
      </c>
      <c r="AB11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126" t="str" cm="1">
        <f t="array" ref="AC1126">_xlfn.IFS(Table2[[#This Row],[Satification_points]]&gt;=4.5,"GREAT",AND(Table2[[#This Row],[Satification_points]]&gt;=4,Table2[[#This Row],[Satification_points]]&lt;4.5),"GOOD",AND(Table2[[#This Row],[Satification_points]]&gt;=3,Table2[[#This Row],[Satification_points]]&lt;4),"AVERAGE",Table2[[#This Row],[Satification_points]]&lt;3,"POOR")</f>
        <v>POOR</v>
      </c>
    </row>
    <row r="1127" spans="1:29" x14ac:dyDescent="0.3">
      <c r="A1127">
        <v>1126</v>
      </c>
      <c r="B1127">
        <v>72594</v>
      </c>
      <c r="C1127" t="s">
        <v>1173</v>
      </c>
      <c r="D1127" t="s">
        <v>41</v>
      </c>
      <c r="E1127" t="s">
        <v>45</v>
      </c>
      <c r="F1127" s="1">
        <v>45323</v>
      </c>
      <c r="G1127" s="1">
        <v>45324</v>
      </c>
      <c r="H1127">
        <v>9</v>
      </c>
      <c r="I1127" t="s">
        <v>49</v>
      </c>
      <c r="J1127" t="s">
        <v>29</v>
      </c>
      <c r="K1127">
        <v>3</v>
      </c>
      <c r="L1127">
        <v>4</v>
      </c>
      <c r="M1127">
        <v>4</v>
      </c>
      <c r="N1127">
        <v>2</v>
      </c>
      <c r="O1127">
        <v>3</v>
      </c>
      <c r="P1127">
        <v>2</v>
      </c>
      <c r="Q1127">
        <v>3</v>
      </c>
      <c r="R1127">
        <v>4</v>
      </c>
      <c r="S1127">
        <v>3</v>
      </c>
      <c r="T1127">
        <v>1</v>
      </c>
      <c r="U1127" t="s">
        <v>30</v>
      </c>
      <c r="V1127" t="s">
        <v>54</v>
      </c>
      <c r="W1127" t="s">
        <v>47</v>
      </c>
      <c r="X1127" t="s">
        <v>33</v>
      </c>
      <c r="Y1127">
        <v>58</v>
      </c>
      <c r="Z1127" s="1">
        <v>45324</v>
      </c>
      <c r="AA1127" t="str" cm="1">
        <f t="array" ref="AA1127">_xlfn.IFS(AND(Table2[[#This Row],[Guest_Age]]&gt;=18,Table2[[#This Row],[Guest_Age]]&lt;=25),"Young Adults",AND(Table2[[#This Row],[Guest_Age]]&gt;=26,Table2[[#This Row],[Guest_Age]]&lt;=35),"Adults",AND(Table2[[#This Row],[Guest_Age]]&gt;=36,Table2[[#This Row],[Guest_Age]]&lt;=50),"Middle Aged Adults",Table2[[#This Row],[Guest_Age]]&gt;50,"Senior")</f>
        <v>Senior</v>
      </c>
      <c r="AB11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27" t="str" cm="1">
        <f t="array" ref="AC1127">_xlfn.IFS(Table2[[#This Row],[Satification_points]]&gt;=4.5,"GREAT",AND(Table2[[#This Row],[Satification_points]]&gt;=4,Table2[[#This Row],[Satification_points]]&lt;4.5),"GOOD",AND(Table2[[#This Row],[Satification_points]]&gt;=3,Table2[[#This Row],[Satification_points]]&lt;4),"AVERAGE",Table2[[#This Row],[Satification_points]]&lt;3,"POOR")</f>
        <v>POOR</v>
      </c>
    </row>
    <row r="1128" spans="1:29" x14ac:dyDescent="0.3">
      <c r="A1128">
        <v>1127</v>
      </c>
      <c r="B1128">
        <v>10047</v>
      </c>
      <c r="C1128" t="s">
        <v>1174</v>
      </c>
      <c r="D1128" t="s">
        <v>41</v>
      </c>
      <c r="E1128" t="s">
        <v>52</v>
      </c>
      <c r="F1128" s="1">
        <v>44943</v>
      </c>
      <c r="G1128" s="1">
        <v>45352</v>
      </c>
      <c r="H1128">
        <v>12</v>
      </c>
      <c r="I1128" t="s">
        <v>50</v>
      </c>
      <c r="J1128" t="s">
        <v>36</v>
      </c>
      <c r="K1128">
        <v>4</v>
      </c>
      <c r="L1128">
        <v>3</v>
      </c>
      <c r="M1128">
        <v>4</v>
      </c>
      <c r="N1128">
        <v>1</v>
      </c>
      <c r="O1128">
        <v>2</v>
      </c>
      <c r="P1128">
        <v>5</v>
      </c>
      <c r="Q1128">
        <v>5</v>
      </c>
      <c r="R1128">
        <v>3</v>
      </c>
      <c r="S1128">
        <v>4</v>
      </c>
      <c r="T1128">
        <v>4</v>
      </c>
      <c r="U1128" t="s">
        <v>37</v>
      </c>
      <c r="V1128" t="s">
        <v>46</v>
      </c>
      <c r="W1128" t="s">
        <v>32</v>
      </c>
      <c r="X1128" t="s">
        <v>33</v>
      </c>
      <c r="Y1128">
        <v>60</v>
      </c>
      <c r="Z1128" s="1">
        <v>45588</v>
      </c>
      <c r="AA1128" t="str" cm="1">
        <f t="array" ref="AA1128">_xlfn.IFS(AND(Table2[[#This Row],[Guest_Age]]&gt;=18,Table2[[#This Row],[Guest_Age]]&lt;=25),"Young Adults",AND(Table2[[#This Row],[Guest_Age]]&gt;=26,Table2[[#This Row],[Guest_Age]]&lt;=35),"Adults",AND(Table2[[#This Row],[Guest_Age]]&gt;=36,Table2[[#This Row],[Guest_Age]]&lt;=50),"Middle Aged Adults",Table2[[#This Row],[Guest_Age]]&gt;50,"Senior")</f>
        <v>Senior</v>
      </c>
      <c r="AB11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128" t="str" cm="1">
        <f t="array" ref="AC1128">_xlfn.IFS(Table2[[#This Row],[Satification_points]]&gt;=4.5,"GREAT",AND(Table2[[#This Row],[Satification_points]]&gt;=4,Table2[[#This Row],[Satification_points]]&lt;4.5),"GOOD",AND(Table2[[#This Row],[Satification_points]]&gt;=3,Table2[[#This Row],[Satification_points]]&lt;4),"AVERAGE",Table2[[#This Row],[Satification_points]]&lt;3,"POOR")</f>
        <v>AVERAGE</v>
      </c>
    </row>
    <row r="1129" spans="1:29" x14ac:dyDescent="0.3">
      <c r="A1129">
        <v>1128</v>
      </c>
      <c r="B1129">
        <v>10133</v>
      </c>
      <c r="C1129" t="s">
        <v>1175</v>
      </c>
      <c r="D1129" t="s">
        <v>48</v>
      </c>
      <c r="E1129" t="s">
        <v>27</v>
      </c>
      <c r="F1129" s="1">
        <v>45527</v>
      </c>
      <c r="G1129" s="1">
        <v>45528</v>
      </c>
      <c r="H1129">
        <v>8</v>
      </c>
      <c r="I1129" t="s">
        <v>28</v>
      </c>
      <c r="J1129" t="s">
        <v>40</v>
      </c>
      <c r="K1129">
        <v>4</v>
      </c>
      <c r="L1129">
        <v>4</v>
      </c>
      <c r="M1129">
        <v>3</v>
      </c>
      <c r="N1129">
        <v>1</v>
      </c>
      <c r="O1129">
        <v>2</v>
      </c>
      <c r="P1129">
        <v>2</v>
      </c>
      <c r="Q1129">
        <v>4</v>
      </c>
      <c r="R1129">
        <v>2</v>
      </c>
      <c r="S1129">
        <v>3</v>
      </c>
      <c r="T1129">
        <v>4</v>
      </c>
      <c r="U1129" t="s">
        <v>30</v>
      </c>
      <c r="V1129" t="s">
        <v>54</v>
      </c>
      <c r="W1129" t="s">
        <v>39</v>
      </c>
      <c r="X1129" t="s">
        <v>33</v>
      </c>
      <c r="Y1129">
        <v>44</v>
      </c>
      <c r="Z1129" s="1">
        <v>45528</v>
      </c>
      <c r="AA1129" t="str" cm="1">
        <f t="array" ref="AA112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29" t="str" cm="1">
        <f t="array" ref="AC1129">_xlfn.IFS(Table2[[#This Row],[Satification_points]]&gt;=4.5,"GREAT",AND(Table2[[#This Row],[Satification_points]]&gt;=4,Table2[[#This Row],[Satification_points]]&lt;4.5),"GOOD",AND(Table2[[#This Row],[Satification_points]]&gt;=3,Table2[[#This Row],[Satification_points]]&lt;4),"AVERAGE",Table2[[#This Row],[Satification_points]]&lt;3,"POOR")</f>
        <v>POOR</v>
      </c>
    </row>
    <row r="1130" spans="1:29" x14ac:dyDescent="0.3">
      <c r="A1130">
        <v>1129</v>
      </c>
      <c r="B1130">
        <v>57622</v>
      </c>
      <c r="C1130" t="s">
        <v>1176</v>
      </c>
      <c r="D1130" t="s">
        <v>51</v>
      </c>
      <c r="E1130" t="s">
        <v>57</v>
      </c>
      <c r="F1130" s="1">
        <v>44978</v>
      </c>
      <c r="G1130" s="1">
        <v>45139</v>
      </c>
      <c r="H1130">
        <v>12</v>
      </c>
      <c r="I1130" t="s">
        <v>28</v>
      </c>
      <c r="J1130" t="s">
        <v>43</v>
      </c>
      <c r="K1130">
        <v>3</v>
      </c>
      <c r="L1130">
        <v>5</v>
      </c>
      <c r="M1130">
        <v>1</v>
      </c>
      <c r="N1130">
        <v>1</v>
      </c>
      <c r="O1130">
        <v>3</v>
      </c>
      <c r="P1130">
        <v>4</v>
      </c>
      <c r="Q1130">
        <v>1</v>
      </c>
      <c r="R1130">
        <v>1</v>
      </c>
      <c r="S1130">
        <v>4</v>
      </c>
      <c r="T1130">
        <v>3</v>
      </c>
      <c r="U1130" t="s">
        <v>37</v>
      </c>
      <c r="V1130" t="s">
        <v>46</v>
      </c>
      <c r="W1130" t="s">
        <v>32</v>
      </c>
      <c r="X1130" t="s">
        <v>33</v>
      </c>
      <c r="Y1130">
        <v>44</v>
      </c>
      <c r="Z1130" s="1">
        <v>45574</v>
      </c>
      <c r="AA1130" t="str" cm="1">
        <f t="array" ref="AA113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130" t="str" cm="1">
        <f t="array" ref="AC1130">_xlfn.IFS(Table2[[#This Row],[Satification_points]]&gt;=4.5,"GREAT",AND(Table2[[#This Row],[Satification_points]]&gt;=4,Table2[[#This Row],[Satification_points]]&lt;4.5),"GOOD",AND(Table2[[#This Row],[Satification_points]]&gt;=3,Table2[[#This Row],[Satification_points]]&lt;4),"AVERAGE",Table2[[#This Row],[Satification_points]]&lt;3,"POOR")</f>
        <v>POOR</v>
      </c>
    </row>
    <row r="1131" spans="1:29" x14ac:dyDescent="0.3">
      <c r="A1131">
        <v>1130</v>
      </c>
      <c r="B1131">
        <v>97595</v>
      </c>
      <c r="C1131" t="s">
        <v>1177</v>
      </c>
      <c r="D1131" t="s">
        <v>34</v>
      </c>
      <c r="E1131" t="s">
        <v>27</v>
      </c>
      <c r="F1131" s="1">
        <v>45296</v>
      </c>
      <c r="G1131" s="1">
        <v>45526</v>
      </c>
      <c r="H1131">
        <v>2</v>
      </c>
      <c r="I1131" t="s">
        <v>42</v>
      </c>
      <c r="J1131" t="s">
        <v>43</v>
      </c>
      <c r="K1131">
        <v>5</v>
      </c>
      <c r="L1131">
        <v>3</v>
      </c>
      <c r="M1131">
        <v>2</v>
      </c>
      <c r="N1131">
        <v>4</v>
      </c>
      <c r="O1131">
        <v>1</v>
      </c>
      <c r="P1131">
        <v>4</v>
      </c>
      <c r="Q1131">
        <v>3</v>
      </c>
      <c r="R1131">
        <v>1</v>
      </c>
      <c r="S1131">
        <v>1</v>
      </c>
      <c r="T1131">
        <v>5</v>
      </c>
      <c r="U1131" t="s">
        <v>30</v>
      </c>
      <c r="V1131" t="s">
        <v>46</v>
      </c>
      <c r="W1131" t="s">
        <v>32</v>
      </c>
      <c r="X1131" t="s">
        <v>44</v>
      </c>
      <c r="Y1131">
        <v>46</v>
      </c>
      <c r="Z1131" s="1">
        <v>45571</v>
      </c>
      <c r="AA1131" t="str" cm="1">
        <f t="array" ref="AA11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31" t="str" cm="1">
        <f t="array" ref="AC1131">_xlfn.IFS(Table2[[#This Row],[Satification_points]]&gt;=4.5,"GREAT",AND(Table2[[#This Row],[Satification_points]]&gt;=4,Table2[[#This Row],[Satification_points]]&lt;4.5),"GOOD",AND(Table2[[#This Row],[Satification_points]]&gt;=3,Table2[[#This Row],[Satification_points]]&lt;4),"AVERAGE",Table2[[#This Row],[Satification_points]]&lt;3,"POOR")</f>
        <v>POOR</v>
      </c>
    </row>
    <row r="1132" spans="1:29" x14ac:dyDescent="0.3">
      <c r="A1132">
        <v>1131</v>
      </c>
      <c r="B1132">
        <v>21238</v>
      </c>
      <c r="C1132" t="s">
        <v>1178</v>
      </c>
      <c r="D1132" t="s">
        <v>51</v>
      </c>
      <c r="E1132" t="s">
        <v>52</v>
      </c>
      <c r="F1132" s="1">
        <v>45090</v>
      </c>
      <c r="G1132" s="1">
        <v>45234</v>
      </c>
      <c r="H1132">
        <v>1</v>
      </c>
      <c r="I1132" t="s">
        <v>28</v>
      </c>
      <c r="J1132" t="s">
        <v>43</v>
      </c>
      <c r="K1132">
        <v>1</v>
      </c>
      <c r="L1132">
        <v>3</v>
      </c>
      <c r="M1132">
        <v>1</v>
      </c>
      <c r="N1132">
        <v>4</v>
      </c>
      <c r="O1132">
        <v>3</v>
      </c>
      <c r="P1132">
        <v>5</v>
      </c>
      <c r="Q1132">
        <v>5</v>
      </c>
      <c r="R1132">
        <v>2</v>
      </c>
      <c r="S1132">
        <v>2</v>
      </c>
      <c r="T1132">
        <v>3</v>
      </c>
      <c r="U1132" t="s">
        <v>30</v>
      </c>
      <c r="V1132" t="s">
        <v>54</v>
      </c>
      <c r="W1132" t="s">
        <v>55</v>
      </c>
      <c r="X1132" t="s">
        <v>40</v>
      </c>
      <c r="Y1132">
        <v>22</v>
      </c>
      <c r="Z1132" s="1">
        <v>45273</v>
      </c>
      <c r="AA1132" t="str" cm="1">
        <f t="array" ref="AA1132">_xlfn.IFS(AND(Table2[[#This Row],[Guest_Age]]&gt;=18,Table2[[#This Row],[Guest_Age]]&lt;=25),"Young Adults",AND(Table2[[#This Row],[Guest_Age]]&gt;=26,Table2[[#This Row],[Guest_Age]]&lt;=35),"Adults",AND(Table2[[#This Row],[Guest_Age]]&gt;=36,Table2[[#This Row],[Guest_Age]]&lt;=50),"Middle Aged Adults",Table2[[#This Row],[Guest_Age]]&gt;50,"Senior")</f>
        <v>Young Adults</v>
      </c>
      <c r="AB11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32" t="str" cm="1">
        <f t="array" ref="AC1132">_xlfn.IFS(Table2[[#This Row],[Satification_points]]&gt;=4.5,"GREAT",AND(Table2[[#This Row],[Satification_points]]&gt;=4,Table2[[#This Row],[Satification_points]]&lt;4.5),"GOOD",AND(Table2[[#This Row],[Satification_points]]&gt;=3,Table2[[#This Row],[Satification_points]]&lt;4),"AVERAGE",Table2[[#This Row],[Satification_points]]&lt;3,"POOR")</f>
        <v>POOR</v>
      </c>
    </row>
    <row r="1133" spans="1:29" x14ac:dyDescent="0.3">
      <c r="A1133">
        <v>1132</v>
      </c>
      <c r="B1133">
        <v>45132</v>
      </c>
      <c r="C1133" t="s">
        <v>1179</v>
      </c>
      <c r="D1133" t="s">
        <v>48</v>
      </c>
      <c r="E1133" t="s">
        <v>27</v>
      </c>
      <c r="F1133" s="1">
        <v>45229</v>
      </c>
      <c r="G1133" s="1">
        <v>45230</v>
      </c>
      <c r="H1133">
        <v>7</v>
      </c>
      <c r="I1133" t="s">
        <v>50</v>
      </c>
      <c r="J1133" t="s">
        <v>40</v>
      </c>
      <c r="K1133">
        <v>5</v>
      </c>
      <c r="L1133">
        <v>2</v>
      </c>
      <c r="M1133">
        <v>4</v>
      </c>
      <c r="N1133">
        <v>3</v>
      </c>
      <c r="O1133">
        <v>4</v>
      </c>
      <c r="P1133">
        <v>4</v>
      </c>
      <c r="Q1133">
        <v>3</v>
      </c>
      <c r="R1133">
        <v>4</v>
      </c>
      <c r="S1133">
        <v>5</v>
      </c>
      <c r="T1133">
        <v>5</v>
      </c>
      <c r="U1133" t="s">
        <v>30</v>
      </c>
      <c r="V1133" t="s">
        <v>58</v>
      </c>
      <c r="W1133" t="s">
        <v>47</v>
      </c>
      <c r="X1133" t="s">
        <v>33</v>
      </c>
      <c r="Y1133">
        <v>20</v>
      </c>
      <c r="Z1133" s="1">
        <v>45457</v>
      </c>
      <c r="AA1133" t="str" cm="1">
        <f t="array" ref="AA1133">_xlfn.IFS(AND(Table2[[#This Row],[Guest_Age]]&gt;=18,Table2[[#This Row],[Guest_Age]]&lt;=25),"Young Adults",AND(Table2[[#This Row],[Guest_Age]]&gt;=26,Table2[[#This Row],[Guest_Age]]&lt;=35),"Adults",AND(Table2[[#This Row],[Guest_Age]]&gt;=36,Table2[[#This Row],[Guest_Age]]&lt;=50),"Middle Aged Adults",Table2[[#This Row],[Guest_Age]]&gt;50,"Senior")</f>
        <v>Young Adults</v>
      </c>
      <c r="AB11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33" t="str" cm="1">
        <f t="array" ref="AC1133">_xlfn.IFS(Table2[[#This Row],[Satification_points]]&gt;=4.5,"GREAT",AND(Table2[[#This Row],[Satification_points]]&gt;=4,Table2[[#This Row],[Satification_points]]&lt;4.5),"GOOD",AND(Table2[[#This Row],[Satification_points]]&gt;=3,Table2[[#This Row],[Satification_points]]&lt;4),"AVERAGE",Table2[[#This Row],[Satification_points]]&lt;3,"POOR")</f>
        <v>AVERAGE</v>
      </c>
    </row>
    <row r="1134" spans="1:29" x14ac:dyDescent="0.3">
      <c r="A1134">
        <v>1133</v>
      </c>
      <c r="B1134">
        <v>38082</v>
      </c>
      <c r="C1134" t="s">
        <v>1180</v>
      </c>
      <c r="D1134" t="s">
        <v>26</v>
      </c>
      <c r="E1134" t="s">
        <v>35</v>
      </c>
      <c r="F1134" s="1">
        <v>45376</v>
      </c>
      <c r="G1134" s="1">
        <v>45377</v>
      </c>
      <c r="H1134">
        <v>3</v>
      </c>
      <c r="I1134" t="s">
        <v>50</v>
      </c>
      <c r="J1134" t="s">
        <v>36</v>
      </c>
      <c r="K1134">
        <v>5</v>
      </c>
      <c r="L1134">
        <v>5</v>
      </c>
      <c r="M1134">
        <v>2</v>
      </c>
      <c r="N1134">
        <v>4</v>
      </c>
      <c r="O1134">
        <v>2</v>
      </c>
      <c r="P1134">
        <v>1</v>
      </c>
      <c r="Q1134">
        <v>5</v>
      </c>
      <c r="R1134">
        <v>3</v>
      </c>
      <c r="S1134">
        <v>4</v>
      </c>
      <c r="T1134">
        <v>5</v>
      </c>
      <c r="U1134" t="s">
        <v>30</v>
      </c>
      <c r="V1134" t="s">
        <v>54</v>
      </c>
      <c r="W1134" t="s">
        <v>32</v>
      </c>
      <c r="X1134" t="s">
        <v>44</v>
      </c>
      <c r="Y1134">
        <v>46</v>
      </c>
      <c r="Z1134" s="1">
        <v>45377</v>
      </c>
      <c r="AA1134" t="str" cm="1">
        <f t="array" ref="AA11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134" t="str" cm="1">
        <f t="array" ref="AC1134">_xlfn.IFS(Table2[[#This Row],[Satification_points]]&gt;=4.5,"GREAT",AND(Table2[[#This Row],[Satification_points]]&gt;=4,Table2[[#This Row],[Satification_points]]&lt;4.5),"GOOD",AND(Table2[[#This Row],[Satification_points]]&gt;=3,Table2[[#This Row],[Satification_points]]&lt;4),"AVERAGE",Table2[[#This Row],[Satification_points]]&lt;3,"POOR")</f>
        <v>AVERAGE</v>
      </c>
    </row>
    <row r="1135" spans="1:29" x14ac:dyDescent="0.3">
      <c r="A1135">
        <v>1134</v>
      </c>
      <c r="B1135">
        <v>66305</v>
      </c>
      <c r="C1135" t="s">
        <v>1181</v>
      </c>
      <c r="D1135" t="s">
        <v>51</v>
      </c>
      <c r="E1135" t="s">
        <v>27</v>
      </c>
      <c r="F1135" s="1">
        <v>45470</v>
      </c>
      <c r="G1135" s="1">
        <v>45522</v>
      </c>
      <c r="H1135">
        <v>3</v>
      </c>
      <c r="I1135" t="s">
        <v>49</v>
      </c>
      <c r="J1135" t="s">
        <v>43</v>
      </c>
      <c r="K1135">
        <v>4</v>
      </c>
      <c r="L1135">
        <v>1</v>
      </c>
      <c r="M1135">
        <v>3</v>
      </c>
      <c r="N1135">
        <v>1</v>
      </c>
      <c r="O1135">
        <v>3</v>
      </c>
      <c r="P1135">
        <v>4</v>
      </c>
      <c r="Q1135">
        <v>5</v>
      </c>
      <c r="R1135">
        <v>1</v>
      </c>
      <c r="S1135">
        <v>5</v>
      </c>
      <c r="T1135">
        <v>1</v>
      </c>
      <c r="U1135" t="s">
        <v>37</v>
      </c>
      <c r="V1135" t="s">
        <v>38</v>
      </c>
      <c r="W1135" t="s">
        <v>56</v>
      </c>
      <c r="X1135" t="s">
        <v>44</v>
      </c>
      <c r="Y1135">
        <v>58</v>
      </c>
      <c r="Z1135" s="1">
        <v>45522</v>
      </c>
      <c r="AA1135" t="str" cm="1">
        <f t="array" ref="AA1135">_xlfn.IFS(AND(Table2[[#This Row],[Guest_Age]]&gt;=18,Table2[[#This Row],[Guest_Age]]&lt;=25),"Young Adults",AND(Table2[[#This Row],[Guest_Age]]&gt;=26,Table2[[#This Row],[Guest_Age]]&lt;=35),"Adults",AND(Table2[[#This Row],[Guest_Age]]&gt;=36,Table2[[#This Row],[Guest_Age]]&lt;=50),"Middle Aged Adults",Table2[[#This Row],[Guest_Age]]&gt;50,"Senior")</f>
        <v>Senior</v>
      </c>
      <c r="AB11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35" t="str" cm="1">
        <f t="array" ref="AC1135">_xlfn.IFS(Table2[[#This Row],[Satification_points]]&gt;=4.5,"GREAT",AND(Table2[[#This Row],[Satification_points]]&gt;=4,Table2[[#This Row],[Satification_points]]&lt;4.5),"GOOD",AND(Table2[[#This Row],[Satification_points]]&gt;=3,Table2[[#This Row],[Satification_points]]&lt;4),"AVERAGE",Table2[[#This Row],[Satification_points]]&lt;3,"POOR")</f>
        <v>POOR</v>
      </c>
    </row>
    <row r="1136" spans="1:29" x14ac:dyDescent="0.3">
      <c r="A1136">
        <v>1135</v>
      </c>
      <c r="B1136">
        <v>63246</v>
      </c>
      <c r="C1136" t="s">
        <v>1182</v>
      </c>
      <c r="D1136" t="s">
        <v>41</v>
      </c>
      <c r="E1136" t="s">
        <v>35</v>
      </c>
      <c r="F1136" s="1">
        <v>45636</v>
      </c>
      <c r="G1136" s="1">
        <v>45637</v>
      </c>
      <c r="H1136">
        <v>11</v>
      </c>
      <c r="I1136" t="s">
        <v>28</v>
      </c>
      <c r="J1136" t="s">
        <v>40</v>
      </c>
      <c r="K1136">
        <v>2</v>
      </c>
      <c r="L1136">
        <v>4</v>
      </c>
      <c r="M1136">
        <v>2</v>
      </c>
      <c r="N1136">
        <v>5</v>
      </c>
      <c r="O1136">
        <v>5</v>
      </c>
      <c r="P1136">
        <v>2</v>
      </c>
      <c r="Q1136">
        <v>4</v>
      </c>
      <c r="R1136">
        <v>2</v>
      </c>
      <c r="S1136">
        <v>2</v>
      </c>
      <c r="T1136">
        <v>1</v>
      </c>
      <c r="U1136" t="s">
        <v>37</v>
      </c>
      <c r="V1136" t="s">
        <v>46</v>
      </c>
      <c r="W1136" t="s">
        <v>39</v>
      </c>
      <c r="X1136" t="s">
        <v>33</v>
      </c>
      <c r="Y1136">
        <v>56</v>
      </c>
      <c r="Z1136" s="1">
        <v>45637</v>
      </c>
      <c r="AA1136" t="str" cm="1">
        <f t="array" ref="AA1136">_xlfn.IFS(AND(Table2[[#This Row],[Guest_Age]]&gt;=18,Table2[[#This Row],[Guest_Age]]&lt;=25),"Young Adults",AND(Table2[[#This Row],[Guest_Age]]&gt;=26,Table2[[#This Row],[Guest_Age]]&lt;=35),"Adults",AND(Table2[[#This Row],[Guest_Age]]&gt;=36,Table2[[#This Row],[Guest_Age]]&lt;=50),"Middle Aged Adults",Table2[[#This Row],[Guest_Age]]&gt;50,"Senior")</f>
        <v>Senior</v>
      </c>
      <c r="AB11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36" t="str" cm="1">
        <f t="array" ref="AC1136">_xlfn.IFS(Table2[[#This Row],[Satification_points]]&gt;=4.5,"GREAT",AND(Table2[[#This Row],[Satification_points]]&gt;=4,Table2[[#This Row],[Satification_points]]&lt;4.5),"GOOD",AND(Table2[[#This Row],[Satification_points]]&gt;=3,Table2[[#This Row],[Satification_points]]&lt;4),"AVERAGE",Table2[[#This Row],[Satification_points]]&lt;3,"POOR")</f>
        <v>POOR</v>
      </c>
    </row>
    <row r="1137" spans="1:29" x14ac:dyDescent="0.3">
      <c r="A1137">
        <v>1136</v>
      </c>
      <c r="B1137">
        <v>61689</v>
      </c>
      <c r="C1137" t="s">
        <v>1183</v>
      </c>
      <c r="D1137" t="s">
        <v>26</v>
      </c>
      <c r="E1137" t="s">
        <v>52</v>
      </c>
      <c r="F1137" s="1">
        <v>45428</v>
      </c>
      <c r="G1137" s="1">
        <v>45650</v>
      </c>
      <c r="H1137">
        <v>10</v>
      </c>
      <c r="I1137" t="s">
        <v>28</v>
      </c>
      <c r="J1137" t="s">
        <v>40</v>
      </c>
      <c r="K1137">
        <v>5</v>
      </c>
      <c r="L1137">
        <v>2</v>
      </c>
      <c r="M1137">
        <v>2</v>
      </c>
      <c r="N1137">
        <v>2</v>
      </c>
      <c r="O1137">
        <v>3</v>
      </c>
      <c r="P1137">
        <v>3</v>
      </c>
      <c r="Q1137">
        <v>2</v>
      </c>
      <c r="R1137">
        <v>5</v>
      </c>
      <c r="S1137">
        <v>2</v>
      </c>
      <c r="T1137">
        <v>4</v>
      </c>
      <c r="U1137" t="s">
        <v>30</v>
      </c>
      <c r="V1137" t="s">
        <v>58</v>
      </c>
      <c r="W1137" t="s">
        <v>56</v>
      </c>
      <c r="X1137" t="s">
        <v>33</v>
      </c>
      <c r="Y1137">
        <v>69</v>
      </c>
      <c r="Z1137" s="1">
        <v>45650</v>
      </c>
      <c r="AA1137" t="str" cm="1">
        <f t="array" ref="AA1137">_xlfn.IFS(AND(Table2[[#This Row],[Guest_Age]]&gt;=18,Table2[[#This Row],[Guest_Age]]&lt;=25),"Young Adults",AND(Table2[[#This Row],[Guest_Age]]&gt;=26,Table2[[#This Row],[Guest_Age]]&lt;=35),"Adults",AND(Table2[[#This Row],[Guest_Age]]&gt;=36,Table2[[#This Row],[Guest_Age]]&lt;=50),"Middle Aged Adults",Table2[[#This Row],[Guest_Age]]&gt;50,"Senior")</f>
        <v>Senior</v>
      </c>
      <c r="AB11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37" t="str" cm="1">
        <f t="array" ref="AC1137">_xlfn.IFS(Table2[[#This Row],[Satification_points]]&gt;=4.5,"GREAT",AND(Table2[[#This Row],[Satification_points]]&gt;=4,Table2[[#This Row],[Satification_points]]&lt;4.5),"GOOD",AND(Table2[[#This Row],[Satification_points]]&gt;=3,Table2[[#This Row],[Satification_points]]&lt;4),"AVERAGE",Table2[[#This Row],[Satification_points]]&lt;3,"POOR")</f>
        <v>AVERAGE</v>
      </c>
    </row>
    <row r="1138" spans="1:29" x14ac:dyDescent="0.3">
      <c r="A1138">
        <v>1137</v>
      </c>
      <c r="B1138">
        <v>50764</v>
      </c>
      <c r="C1138" t="s">
        <v>1184</v>
      </c>
      <c r="D1138" t="s">
        <v>48</v>
      </c>
      <c r="E1138" t="s">
        <v>45</v>
      </c>
      <c r="F1138" s="1">
        <v>45277</v>
      </c>
      <c r="G1138" s="1">
        <v>45399</v>
      </c>
      <c r="H1138">
        <v>9</v>
      </c>
      <c r="I1138" t="s">
        <v>42</v>
      </c>
      <c r="J1138" t="s">
        <v>53</v>
      </c>
      <c r="K1138">
        <v>3</v>
      </c>
      <c r="L1138">
        <v>2</v>
      </c>
      <c r="M1138">
        <v>1</v>
      </c>
      <c r="N1138">
        <v>5</v>
      </c>
      <c r="O1138">
        <v>3</v>
      </c>
      <c r="P1138">
        <v>2</v>
      </c>
      <c r="Q1138">
        <v>3</v>
      </c>
      <c r="R1138">
        <v>1</v>
      </c>
      <c r="S1138">
        <v>1</v>
      </c>
      <c r="T1138">
        <v>2</v>
      </c>
      <c r="U1138" t="s">
        <v>30</v>
      </c>
      <c r="V1138" t="s">
        <v>31</v>
      </c>
      <c r="W1138" t="s">
        <v>47</v>
      </c>
      <c r="X1138" t="s">
        <v>33</v>
      </c>
      <c r="Y1138">
        <v>30</v>
      </c>
      <c r="Z1138" s="1">
        <v>45399</v>
      </c>
      <c r="AA1138" t="str" cm="1">
        <f t="array" ref="AA1138">_xlfn.IFS(AND(Table2[[#This Row],[Guest_Age]]&gt;=18,Table2[[#This Row],[Guest_Age]]&lt;=25),"Young Adults",AND(Table2[[#This Row],[Guest_Age]]&gt;=26,Table2[[#This Row],[Guest_Age]]&lt;=35),"Adults",AND(Table2[[#This Row],[Guest_Age]]&gt;=36,Table2[[#This Row],[Guest_Age]]&lt;=50),"Middle Aged Adults",Table2[[#This Row],[Guest_Age]]&gt;50,"Senior")</f>
        <v>Adults</v>
      </c>
      <c r="AB11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138" t="str" cm="1">
        <f t="array" ref="AC1138">_xlfn.IFS(Table2[[#This Row],[Satification_points]]&gt;=4.5,"GREAT",AND(Table2[[#This Row],[Satification_points]]&gt;=4,Table2[[#This Row],[Satification_points]]&lt;4.5),"GOOD",AND(Table2[[#This Row],[Satification_points]]&gt;=3,Table2[[#This Row],[Satification_points]]&lt;4),"AVERAGE",Table2[[#This Row],[Satification_points]]&lt;3,"POOR")</f>
        <v>POOR</v>
      </c>
    </row>
    <row r="1139" spans="1:29" x14ac:dyDescent="0.3">
      <c r="A1139">
        <v>1138</v>
      </c>
      <c r="B1139">
        <v>32362</v>
      </c>
      <c r="C1139" t="s">
        <v>1185</v>
      </c>
      <c r="D1139" t="s">
        <v>34</v>
      </c>
      <c r="E1139" t="s">
        <v>35</v>
      </c>
      <c r="F1139" s="1">
        <v>45305</v>
      </c>
      <c r="G1139" s="1">
        <v>45306</v>
      </c>
      <c r="H1139">
        <v>14</v>
      </c>
      <c r="I1139" t="s">
        <v>50</v>
      </c>
      <c r="J1139" t="s">
        <v>53</v>
      </c>
      <c r="K1139">
        <v>3</v>
      </c>
      <c r="L1139">
        <v>3</v>
      </c>
      <c r="M1139">
        <v>4</v>
      </c>
      <c r="N1139">
        <v>1</v>
      </c>
      <c r="O1139">
        <v>4</v>
      </c>
      <c r="P1139">
        <v>4</v>
      </c>
      <c r="Q1139">
        <v>1</v>
      </c>
      <c r="R1139">
        <v>1</v>
      </c>
      <c r="S1139">
        <v>2</v>
      </c>
      <c r="T1139">
        <v>5</v>
      </c>
      <c r="U1139" t="s">
        <v>37</v>
      </c>
      <c r="V1139" t="s">
        <v>31</v>
      </c>
      <c r="W1139" t="s">
        <v>55</v>
      </c>
      <c r="X1139" t="s">
        <v>44</v>
      </c>
      <c r="Y1139">
        <v>50</v>
      </c>
      <c r="Z1139" s="1">
        <v>45429</v>
      </c>
      <c r="AA1139" t="str" cm="1">
        <f t="array" ref="AA11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39" t="str" cm="1">
        <f t="array" ref="AC1139">_xlfn.IFS(Table2[[#This Row],[Satification_points]]&gt;=4.5,"GREAT",AND(Table2[[#This Row],[Satification_points]]&gt;=4,Table2[[#This Row],[Satification_points]]&lt;4.5),"GOOD",AND(Table2[[#This Row],[Satification_points]]&gt;=3,Table2[[#This Row],[Satification_points]]&lt;4),"AVERAGE",Table2[[#This Row],[Satification_points]]&lt;3,"POOR")</f>
        <v>POOR</v>
      </c>
    </row>
    <row r="1140" spans="1:29" x14ac:dyDescent="0.3">
      <c r="A1140">
        <v>1139</v>
      </c>
      <c r="B1140">
        <v>45239</v>
      </c>
      <c r="C1140" t="s">
        <v>1186</v>
      </c>
      <c r="D1140" t="s">
        <v>51</v>
      </c>
      <c r="E1140" t="s">
        <v>27</v>
      </c>
      <c r="F1140" s="1">
        <v>45365</v>
      </c>
      <c r="G1140" s="1">
        <v>45596</v>
      </c>
      <c r="H1140">
        <v>2</v>
      </c>
      <c r="I1140" t="s">
        <v>50</v>
      </c>
      <c r="J1140" t="s">
        <v>36</v>
      </c>
      <c r="K1140">
        <v>3</v>
      </c>
      <c r="L1140">
        <v>4</v>
      </c>
      <c r="M1140">
        <v>4</v>
      </c>
      <c r="N1140">
        <v>5</v>
      </c>
      <c r="O1140">
        <v>2</v>
      </c>
      <c r="P1140">
        <v>1</v>
      </c>
      <c r="Q1140">
        <v>1</v>
      </c>
      <c r="R1140">
        <v>2</v>
      </c>
      <c r="S1140">
        <v>3</v>
      </c>
      <c r="T1140">
        <v>4</v>
      </c>
      <c r="U1140" t="s">
        <v>37</v>
      </c>
      <c r="V1140" t="s">
        <v>54</v>
      </c>
      <c r="W1140" t="s">
        <v>56</v>
      </c>
      <c r="X1140" t="s">
        <v>33</v>
      </c>
      <c r="Y1140">
        <v>37</v>
      </c>
      <c r="Z1140" s="1">
        <v>45596</v>
      </c>
      <c r="AA1140" t="str" cm="1">
        <f t="array" ref="AA114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40" t="str" cm="1">
        <f t="array" ref="AC1140">_xlfn.IFS(Table2[[#This Row],[Satification_points]]&gt;=4.5,"GREAT",AND(Table2[[#This Row],[Satification_points]]&gt;=4,Table2[[#This Row],[Satification_points]]&lt;4.5),"GOOD",AND(Table2[[#This Row],[Satification_points]]&gt;=3,Table2[[#This Row],[Satification_points]]&lt;4),"AVERAGE",Table2[[#This Row],[Satification_points]]&lt;3,"POOR")</f>
        <v>POOR</v>
      </c>
    </row>
    <row r="1141" spans="1:29" x14ac:dyDescent="0.3">
      <c r="A1141">
        <v>1140</v>
      </c>
      <c r="B1141">
        <v>77970</v>
      </c>
      <c r="C1141" t="s">
        <v>1187</v>
      </c>
      <c r="D1141" t="s">
        <v>26</v>
      </c>
      <c r="E1141" t="s">
        <v>27</v>
      </c>
      <c r="F1141" s="1">
        <v>45127</v>
      </c>
      <c r="G1141" s="1">
        <v>45128</v>
      </c>
      <c r="H1141">
        <v>14</v>
      </c>
      <c r="I1141" t="s">
        <v>50</v>
      </c>
      <c r="J1141" t="s">
        <v>43</v>
      </c>
      <c r="K1141">
        <v>2</v>
      </c>
      <c r="L1141">
        <v>2</v>
      </c>
      <c r="M1141">
        <v>4</v>
      </c>
      <c r="N1141">
        <v>2</v>
      </c>
      <c r="O1141">
        <v>4</v>
      </c>
      <c r="P1141">
        <v>2</v>
      </c>
      <c r="Q1141">
        <v>2</v>
      </c>
      <c r="R1141">
        <v>3</v>
      </c>
      <c r="S1141">
        <v>5</v>
      </c>
      <c r="T1141">
        <v>2</v>
      </c>
      <c r="U1141" t="s">
        <v>30</v>
      </c>
      <c r="V1141" t="s">
        <v>31</v>
      </c>
      <c r="W1141" t="s">
        <v>56</v>
      </c>
      <c r="X1141" t="s">
        <v>33</v>
      </c>
      <c r="Y1141">
        <v>20</v>
      </c>
      <c r="Z1141" s="1">
        <v>45253</v>
      </c>
      <c r="AA1141" t="str" cm="1">
        <f t="array" ref="AA1141">_xlfn.IFS(AND(Table2[[#This Row],[Guest_Age]]&gt;=18,Table2[[#This Row],[Guest_Age]]&lt;=25),"Young Adults",AND(Table2[[#This Row],[Guest_Age]]&gt;=26,Table2[[#This Row],[Guest_Age]]&lt;=35),"Adults",AND(Table2[[#This Row],[Guest_Age]]&gt;=36,Table2[[#This Row],[Guest_Age]]&lt;=50),"Middle Aged Adults",Table2[[#This Row],[Guest_Age]]&gt;50,"Senior")</f>
        <v>Young Adults</v>
      </c>
      <c r="AB11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41" t="str" cm="1">
        <f t="array" ref="AC1141">_xlfn.IFS(Table2[[#This Row],[Satification_points]]&gt;=4.5,"GREAT",AND(Table2[[#This Row],[Satification_points]]&gt;=4,Table2[[#This Row],[Satification_points]]&lt;4.5),"GOOD",AND(Table2[[#This Row],[Satification_points]]&gt;=3,Table2[[#This Row],[Satification_points]]&lt;4),"AVERAGE",Table2[[#This Row],[Satification_points]]&lt;3,"POOR")</f>
        <v>POOR</v>
      </c>
    </row>
    <row r="1142" spans="1:29" x14ac:dyDescent="0.3">
      <c r="A1142">
        <v>1141</v>
      </c>
      <c r="B1142">
        <v>79871</v>
      </c>
      <c r="C1142" t="s">
        <v>1188</v>
      </c>
      <c r="D1142" t="s">
        <v>26</v>
      </c>
      <c r="E1142" t="s">
        <v>27</v>
      </c>
      <c r="F1142" s="1">
        <v>45033</v>
      </c>
      <c r="G1142" s="1">
        <v>45308</v>
      </c>
      <c r="H1142">
        <v>13</v>
      </c>
      <c r="I1142" t="s">
        <v>49</v>
      </c>
      <c r="J1142" t="s">
        <v>53</v>
      </c>
      <c r="K1142">
        <v>2</v>
      </c>
      <c r="L1142">
        <v>3</v>
      </c>
      <c r="M1142">
        <v>5</v>
      </c>
      <c r="N1142">
        <v>3</v>
      </c>
      <c r="O1142">
        <v>4</v>
      </c>
      <c r="P1142">
        <v>3</v>
      </c>
      <c r="Q1142">
        <v>1</v>
      </c>
      <c r="R1142">
        <v>1</v>
      </c>
      <c r="S1142">
        <v>2</v>
      </c>
      <c r="T1142">
        <v>4</v>
      </c>
      <c r="U1142" t="s">
        <v>37</v>
      </c>
      <c r="V1142" t="s">
        <v>38</v>
      </c>
      <c r="W1142" t="s">
        <v>32</v>
      </c>
      <c r="X1142" t="s">
        <v>40</v>
      </c>
      <c r="Y1142">
        <v>23</v>
      </c>
      <c r="Z1142" s="1">
        <v>45308</v>
      </c>
      <c r="AA1142" t="str" cm="1">
        <f t="array" ref="AA1142">_xlfn.IFS(AND(Table2[[#This Row],[Guest_Age]]&gt;=18,Table2[[#This Row],[Guest_Age]]&lt;=25),"Young Adults",AND(Table2[[#This Row],[Guest_Age]]&gt;=26,Table2[[#This Row],[Guest_Age]]&lt;=35),"Adults",AND(Table2[[#This Row],[Guest_Age]]&gt;=36,Table2[[#This Row],[Guest_Age]]&lt;=50),"Middle Aged Adults",Table2[[#This Row],[Guest_Age]]&gt;50,"Senior")</f>
        <v>Young Adults</v>
      </c>
      <c r="AB11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42" t="str" cm="1">
        <f t="array" ref="AC1142">_xlfn.IFS(Table2[[#This Row],[Satification_points]]&gt;=4.5,"GREAT",AND(Table2[[#This Row],[Satification_points]]&gt;=4,Table2[[#This Row],[Satification_points]]&lt;4.5),"GOOD",AND(Table2[[#This Row],[Satification_points]]&gt;=3,Table2[[#This Row],[Satification_points]]&lt;4),"AVERAGE",Table2[[#This Row],[Satification_points]]&lt;3,"POOR")</f>
        <v>POOR</v>
      </c>
    </row>
    <row r="1143" spans="1:29" x14ac:dyDescent="0.3">
      <c r="A1143">
        <v>1142</v>
      </c>
      <c r="B1143">
        <v>91559</v>
      </c>
      <c r="C1143" t="s">
        <v>1189</v>
      </c>
      <c r="D1143" t="s">
        <v>41</v>
      </c>
      <c r="E1143" t="s">
        <v>52</v>
      </c>
      <c r="F1143" s="1">
        <v>45431</v>
      </c>
      <c r="G1143" s="1">
        <v>45570</v>
      </c>
      <c r="H1143">
        <v>5</v>
      </c>
      <c r="I1143" t="s">
        <v>49</v>
      </c>
      <c r="J1143" t="s">
        <v>36</v>
      </c>
      <c r="K1143">
        <v>1</v>
      </c>
      <c r="L1143">
        <v>3</v>
      </c>
      <c r="M1143">
        <v>3</v>
      </c>
      <c r="N1143">
        <v>3</v>
      </c>
      <c r="O1143">
        <v>5</v>
      </c>
      <c r="P1143">
        <v>2</v>
      </c>
      <c r="Q1143">
        <v>3</v>
      </c>
      <c r="R1143">
        <v>3</v>
      </c>
      <c r="S1143">
        <v>2</v>
      </c>
      <c r="T1143">
        <v>5</v>
      </c>
      <c r="U1143" t="s">
        <v>37</v>
      </c>
      <c r="V1143" t="s">
        <v>54</v>
      </c>
      <c r="W1143" t="s">
        <v>56</v>
      </c>
      <c r="X1143" t="s">
        <v>44</v>
      </c>
      <c r="Y1143">
        <v>60</v>
      </c>
      <c r="Z1143" s="1">
        <v>45570</v>
      </c>
      <c r="AA1143" t="str" cm="1">
        <f t="array" ref="AA1143">_xlfn.IFS(AND(Table2[[#This Row],[Guest_Age]]&gt;=18,Table2[[#This Row],[Guest_Age]]&lt;=25),"Young Adults",AND(Table2[[#This Row],[Guest_Age]]&gt;=26,Table2[[#This Row],[Guest_Age]]&lt;=35),"Adults",AND(Table2[[#This Row],[Guest_Age]]&gt;=36,Table2[[#This Row],[Guest_Age]]&lt;=50),"Middle Aged Adults",Table2[[#This Row],[Guest_Age]]&gt;50,"Senior")</f>
        <v>Senior</v>
      </c>
      <c r="AB11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43" t="str" cm="1">
        <f t="array" ref="AC1143">_xlfn.IFS(Table2[[#This Row],[Satification_points]]&gt;=4.5,"GREAT",AND(Table2[[#This Row],[Satification_points]]&gt;=4,Table2[[#This Row],[Satification_points]]&lt;4.5),"GOOD",AND(Table2[[#This Row],[Satification_points]]&gt;=3,Table2[[#This Row],[Satification_points]]&lt;4),"AVERAGE",Table2[[#This Row],[Satification_points]]&lt;3,"POOR")</f>
        <v>AVERAGE</v>
      </c>
    </row>
    <row r="1144" spans="1:29" x14ac:dyDescent="0.3">
      <c r="A1144">
        <v>1143</v>
      </c>
      <c r="B1144">
        <v>95442</v>
      </c>
      <c r="C1144" t="s">
        <v>1190</v>
      </c>
      <c r="D1144" t="s">
        <v>51</v>
      </c>
      <c r="E1144" t="s">
        <v>57</v>
      </c>
      <c r="F1144" s="1">
        <v>45310</v>
      </c>
      <c r="G1144" s="1">
        <v>45654</v>
      </c>
      <c r="H1144">
        <v>4</v>
      </c>
      <c r="I1144" t="s">
        <v>49</v>
      </c>
      <c r="J1144" t="s">
        <v>53</v>
      </c>
      <c r="K1144">
        <v>2</v>
      </c>
      <c r="L1144">
        <v>5</v>
      </c>
      <c r="M1144">
        <v>1</v>
      </c>
      <c r="N1144">
        <v>4</v>
      </c>
      <c r="O1144">
        <v>4</v>
      </c>
      <c r="P1144">
        <v>5</v>
      </c>
      <c r="Q1144">
        <v>1</v>
      </c>
      <c r="R1144">
        <v>2</v>
      </c>
      <c r="S1144">
        <v>5</v>
      </c>
      <c r="T1144">
        <v>2</v>
      </c>
      <c r="U1144" t="s">
        <v>30</v>
      </c>
      <c r="V1144" t="s">
        <v>54</v>
      </c>
      <c r="W1144" t="s">
        <v>55</v>
      </c>
      <c r="X1144" t="s">
        <v>33</v>
      </c>
      <c r="Y1144">
        <v>34</v>
      </c>
      <c r="Z1144" s="1">
        <v>45654</v>
      </c>
      <c r="AA1144" t="str" cm="1">
        <f t="array" ref="AA1144">_xlfn.IFS(AND(Table2[[#This Row],[Guest_Age]]&gt;=18,Table2[[#This Row],[Guest_Age]]&lt;=25),"Young Adults",AND(Table2[[#This Row],[Guest_Age]]&gt;=26,Table2[[#This Row],[Guest_Age]]&lt;=35),"Adults",AND(Table2[[#This Row],[Guest_Age]]&gt;=36,Table2[[#This Row],[Guest_Age]]&lt;=50),"Middle Aged Adults",Table2[[#This Row],[Guest_Age]]&gt;50,"Senior")</f>
        <v>Adults</v>
      </c>
      <c r="AB11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44" t="str" cm="1">
        <f t="array" ref="AC1144">_xlfn.IFS(Table2[[#This Row],[Satification_points]]&gt;=4.5,"GREAT",AND(Table2[[#This Row],[Satification_points]]&gt;=4,Table2[[#This Row],[Satification_points]]&lt;4.5),"GOOD",AND(Table2[[#This Row],[Satification_points]]&gt;=3,Table2[[#This Row],[Satification_points]]&lt;4),"AVERAGE",Table2[[#This Row],[Satification_points]]&lt;3,"POOR")</f>
        <v>AVERAGE</v>
      </c>
    </row>
    <row r="1145" spans="1:29" x14ac:dyDescent="0.3">
      <c r="A1145">
        <v>1144</v>
      </c>
      <c r="B1145">
        <v>94225</v>
      </c>
      <c r="C1145" t="s">
        <v>1191</v>
      </c>
      <c r="D1145" t="s">
        <v>34</v>
      </c>
      <c r="E1145" t="s">
        <v>27</v>
      </c>
      <c r="F1145" s="1">
        <v>45222</v>
      </c>
      <c r="G1145" s="1">
        <v>45223</v>
      </c>
      <c r="H1145">
        <v>14</v>
      </c>
      <c r="I1145" t="s">
        <v>50</v>
      </c>
      <c r="J1145" t="s">
        <v>43</v>
      </c>
      <c r="K1145">
        <v>1</v>
      </c>
      <c r="L1145">
        <v>3</v>
      </c>
      <c r="M1145">
        <v>4</v>
      </c>
      <c r="N1145">
        <v>5</v>
      </c>
      <c r="O1145">
        <v>4</v>
      </c>
      <c r="P1145">
        <v>1</v>
      </c>
      <c r="Q1145">
        <v>3</v>
      </c>
      <c r="R1145">
        <v>5</v>
      </c>
      <c r="S1145">
        <v>5</v>
      </c>
      <c r="T1145">
        <v>3</v>
      </c>
      <c r="U1145" t="s">
        <v>37</v>
      </c>
      <c r="V1145" t="s">
        <v>58</v>
      </c>
      <c r="W1145" t="s">
        <v>56</v>
      </c>
      <c r="X1145" t="s">
        <v>44</v>
      </c>
      <c r="Y1145">
        <v>64</v>
      </c>
      <c r="Z1145" s="1">
        <v>45381</v>
      </c>
      <c r="AA1145" t="str" cm="1">
        <f t="array" ref="AA1145">_xlfn.IFS(AND(Table2[[#This Row],[Guest_Age]]&gt;=18,Table2[[#This Row],[Guest_Age]]&lt;=25),"Young Adults",AND(Table2[[#This Row],[Guest_Age]]&gt;=26,Table2[[#This Row],[Guest_Age]]&lt;=35),"Adults",AND(Table2[[#This Row],[Guest_Age]]&gt;=36,Table2[[#This Row],[Guest_Age]]&lt;=50),"Middle Aged Adults",Table2[[#This Row],[Guest_Age]]&gt;50,"Senior")</f>
        <v>Senior</v>
      </c>
      <c r="AB11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45" t="str" cm="1">
        <f t="array" ref="AC1145">_xlfn.IFS(Table2[[#This Row],[Satification_points]]&gt;=4.5,"GREAT",AND(Table2[[#This Row],[Satification_points]]&gt;=4,Table2[[#This Row],[Satification_points]]&lt;4.5),"GOOD",AND(Table2[[#This Row],[Satification_points]]&gt;=3,Table2[[#This Row],[Satification_points]]&lt;4),"AVERAGE",Table2[[#This Row],[Satification_points]]&lt;3,"POOR")</f>
        <v>AVERAGE</v>
      </c>
    </row>
    <row r="1146" spans="1:29" x14ac:dyDescent="0.3">
      <c r="A1146">
        <v>1145</v>
      </c>
      <c r="B1146">
        <v>97207</v>
      </c>
      <c r="C1146" t="s">
        <v>1192</v>
      </c>
      <c r="D1146" t="s">
        <v>26</v>
      </c>
      <c r="E1146" t="s">
        <v>27</v>
      </c>
      <c r="F1146" s="1">
        <v>44954</v>
      </c>
      <c r="G1146" s="1">
        <v>45429</v>
      </c>
      <c r="H1146">
        <v>1</v>
      </c>
      <c r="I1146" t="s">
        <v>50</v>
      </c>
      <c r="J1146" t="s">
        <v>40</v>
      </c>
      <c r="K1146">
        <v>3</v>
      </c>
      <c r="L1146">
        <v>1</v>
      </c>
      <c r="M1146">
        <v>2</v>
      </c>
      <c r="N1146">
        <v>4</v>
      </c>
      <c r="O1146">
        <v>5</v>
      </c>
      <c r="P1146">
        <v>4</v>
      </c>
      <c r="Q1146">
        <v>5</v>
      </c>
      <c r="R1146">
        <v>1</v>
      </c>
      <c r="S1146">
        <v>1</v>
      </c>
      <c r="T1146">
        <v>1</v>
      </c>
      <c r="U1146" t="s">
        <v>37</v>
      </c>
      <c r="V1146" t="s">
        <v>46</v>
      </c>
      <c r="W1146" t="s">
        <v>56</v>
      </c>
      <c r="X1146" t="s">
        <v>33</v>
      </c>
      <c r="Y1146">
        <v>21</v>
      </c>
      <c r="Z1146" s="1">
        <v>45456</v>
      </c>
      <c r="AA1146" t="str" cm="1">
        <f t="array" ref="AA1146">_xlfn.IFS(AND(Table2[[#This Row],[Guest_Age]]&gt;=18,Table2[[#This Row],[Guest_Age]]&lt;=25),"Young Adults",AND(Table2[[#This Row],[Guest_Age]]&gt;=26,Table2[[#This Row],[Guest_Age]]&lt;=35),"Adults",AND(Table2[[#This Row],[Guest_Age]]&gt;=36,Table2[[#This Row],[Guest_Age]]&lt;=50),"Middle Aged Adults",Table2[[#This Row],[Guest_Age]]&gt;50,"Senior")</f>
        <v>Young Adults</v>
      </c>
      <c r="AB11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46" t="str" cm="1">
        <f t="array" ref="AC1146">_xlfn.IFS(Table2[[#This Row],[Satification_points]]&gt;=4.5,"GREAT",AND(Table2[[#This Row],[Satification_points]]&gt;=4,Table2[[#This Row],[Satification_points]]&lt;4.5),"GOOD",AND(Table2[[#This Row],[Satification_points]]&gt;=3,Table2[[#This Row],[Satification_points]]&lt;4),"AVERAGE",Table2[[#This Row],[Satification_points]]&lt;3,"POOR")</f>
        <v>POOR</v>
      </c>
    </row>
    <row r="1147" spans="1:29" x14ac:dyDescent="0.3">
      <c r="A1147">
        <v>1146</v>
      </c>
      <c r="B1147">
        <v>56272</v>
      </c>
      <c r="C1147" t="s">
        <v>1193</v>
      </c>
      <c r="D1147" t="s">
        <v>41</v>
      </c>
      <c r="E1147" t="s">
        <v>35</v>
      </c>
      <c r="F1147" s="1">
        <v>45263</v>
      </c>
      <c r="G1147" s="1">
        <v>45562</v>
      </c>
      <c r="H1147">
        <v>6</v>
      </c>
      <c r="I1147" t="s">
        <v>28</v>
      </c>
      <c r="J1147" t="s">
        <v>43</v>
      </c>
      <c r="K1147">
        <v>2</v>
      </c>
      <c r="L1147">
        <v>5</v>
      </c>
      <c r="M1147">
        <v>5</v>
      </c>
      <c r="N1147">
        <v>4</v>
      </c>
      <c r="O1147">
        <v>1</v>
      </c>
      <c r="P1147">
        <v>2</v>
      </c>
      <c r="Q1147">
        <v>4</v>
      </c>
      <c r="R1147">
        <v>3</v>
      </c>
      <c r="S1147">
        <v>2</v>
      </c>
      <c r="T1147">
        <v>1</v>
      </c>
      <c r="U1147" t="s">
        <v>30</v>
      </c>
      <c r="V1147" t="s">
        <v>54</v>
      </c>
      <c r="W1147" t="s">
        <v>47</v>
      </c>
      <c r="X1147" t="s">
        <v>33</v>
      </c>
      <c r="Y1147">
        <v>50</v>
      </c>
      <c r="Z1147" s="1">
        <v>45562</v>
      </c>
      <c r="AA1147" t="str" cm="1">
        <f t="array" ref="AA11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47" t="str" cm="1">
        <f t="array" ref="AC1147">_xlfn.IFS(Table2[[#This Row],[Satification_points]]&gt;=4.5,"GREAT",AND(Table2[[#This Row],[Satification_points]]&gt;=4,Table2[[#This Row],[Satification_points]]&lt;4.5),"GOOD",AND(Table2[[#This Row],[Satification_points]]&gt;=3,Table2[[#This Row],[Satification_points]]&lt;4),"AVERAGE",Table2[[#This Row],[Satification_points]]&lt;3,"POOR")</f>
        <v>POOR</v>
      </c>
    </row>
    <row r="1148" spans="1:29" x14ac:dyDescent="0.3">
      <c r="A1148">
        <v>1147</v>
      </c>
      <c r="B1148">
        <v>97601</v>
      </c>
      <c r="C1148" t="s">
        <v>1194</v>
      </c>
      <c r="D1148" t="s">
        <v>51</v>
      </c>
      <c r="E1148" t="s">
        <v>45</v>
      </c>
      <c r="F1148" s="1">
        <v>45213</v>
      </c>
      <c r="G1148" s="1">
        <v>45315</v>
      </c>
      <c r="H1148">
        <v>6</v>
      </c>
      <c r="I1148" t="s">
        <v>50</v>
      </c>
      <c r="J1148" t="s">
        <v>53</v>
      </c>
      <c r="K1148">
        <v>4</v>
      </c>
      <c r="L1148">
        <v>5</v>
      </c>
      <c r="M1148">
        <v>3</v>
      </c>
      <c r="N1148">
        <v>5</v>
      </c>
      <c r="O1148">
        <v>4</v>
      </c>
      <c r="P1148">
        <v>2</v>
      </c>
      <c r="Q1148">
        <v>2</v>
      </c>
      <c r="R1148">
        <v>3</v>
      </c>
      <c r="S1148">
        <v>3</v>
      </c>
      <c r="T1148">
        <v>2</v>
      </c>
      <c r="U1148" t="s">
        <v>30</v>
      </c>
      <c r="V1148" t="s">
        <v>54</v>
      </c>
      <c r="W1148" t="s">
        <v>55</v>
      </c>
      <c r="X1148" t="s">
        <v>44</v>
      </c>
      <c r="Y1148">
        <v>50</v>
      </c>
      <c r="Z1148" s="1">
        <v>45315</v>
      </c>
      <c r="AA1148" t="str" cm="1">
        <f t="array" ref="AA11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48" t="str" cm="1">
        <f t="array" ref="AC1148">_xlfn.IFS(Table2[[#This Row],[Satification_points]]&gt;=4.5,"GREAT",AND(Table2[[#This Row],[Satification_points]]&gt;=4,Table2[[#This Row],[Satification_points]]&lt;4.5),"GOOD",AND(Table2[[#This Row],[Satification_points]]&gt;=3,Table2[[#This Row],[Satification_points]]&lt;4),"AVERAGE",Table2[[#This Row],[Satification_points]]&lt;3,"POOR")</f>
        <v>AVERAGE</v>
      </c>
    </row>
    <row r="1149" spans="1:29" x14ac:dyDescent="0.3">
      <c r="A1149">
        <v>1148</v>
      </c>
      <c r="B1149">
        <v>82979</v>
      </c>
      <c r="C1149" t="s">
        <v>1195</v>
      </c>
      <c r="D1149" t="s">
        <v>51</v>
      </c>
      <c r="E1149" t="s">
        <v>27</v>
      </c>
      <c r="F1149" s="1">
        <v>45557</v>
      </c>
      <c r="G1149" s="1">
        <v>45558</v>
      </c>
      <c r="H1149">
        <v>11</v>
      </c>
      <c r="I1149" t="s">
        <v>50</v>
      </c>
      <c r="J1149" t="s">
        <v>43</v>
      </c>
      <c r="K1149">
        <v>4</v>
      </c>
      <c r="L1149">
        <v>1</v>
      </c>
      <c r="M1149">
        <v>4</v>
      </c>
      <c r="N1149">
        <v>5</v>
      </c>
      <c r="O1149">
        <v>3</v>
      </c>
      <c r="P1149">
        <v>2</v>
      </c>
      <c r="Q1149">
        <v>2</v>
      </c>
      <c r="R1149">
        <v>4</v>
      </c>
      <c r="S1149">
        <v>3</v>
      </c>
      <c r="T1149">
        <v>2</v>
      </c>
      <c r="U1149" t="s">
        <v>37</v>
      </c>
      <c r="V1149" t="s">
        <v>54</v>
      </c>
      <c r="W1149" t="s">
        <v>56</v>
      </c>
      <c r="X1149" t="s">
        <v>44</v>
      </c>
      <c r="Y1149">
        <v>23</v>
      </c>
      <c r="Z1149" s="1">
        <v>45558</v>
      </c>
      <c r="AA1149" t="str" cm="1">
        <f t="array" ref="AA1149">_xlfn.IFS(AND(Table2[[#This Row],[Guest_Age]]&gt;=18,Table2[[#This Row],[Guest_Age]]&lt;=25),"Young Adults",AND(Table2[[#This Row],[Guest_Age]]&gt;=26,Table2[[#This Row],[Guest_Age]]&lt;=35),"Adults",AND(Table2[[#This Row],[Guest_Age]]&gt;=36,Table2[[#This Row],[Guest_Age]]&lt;=50),"Middle Aged Adults",Table2[[#This Row],[Guest_Age]]&gt;50,"Senior")</f>
        <v>Young Adults</v>
      </c>
      <c r="AB11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49" t="str" cm="1">
        <f t="array" ref="AC1149">_xlfn.IFS(Table2[[#This Row],[Satification_points]]&gt;=4.5,"GREAT",AND(Table2[[#This Row],[Satification_points]]&gt;=4,Table2[[#This Row],[Satification_points]]&lt;4.5),"GOOD",AND(Table2[[#This Row],[Satification_points]]&gt;=3,Table2[[#This Row],[Satification_points]]&lt;4),"AVERAGE",Table2[[#This Row],[Satification_points]]&lt;3,"POOR")</f>
        <v>AVERAGE</v>
      </c>
    </row>
    <row r="1150" spans="1:29" x14ac:dyDescent="0.3">
      <c r="A1150">
        <v>1149</v>
      </c>
      <c r="B1150">
        <v>54014</v>
      </c>
      <c r="C1150" t="s">
        <v>1196</v>
      </c>
      <c r="D1150" t="s">
        <v>34</v>
      </c>
      <c r="E1150" t="s">
        <v>52</v>
      </c>
      <c r="F1150" s="1">
        <v>45269</v>
      </c>
      <c r="G1150" s="1">
        <v>45270</v>
      </c>
      <c r="H1150">
        <v>1</v>
      </c>
      <c r="I1150" t="s">
        <v>49</v>
      </c>
      <c r="J1150" t="s">
        <v>40</v>
      </c>
      <c r="K1150">
        <v>4</v>
      </c>
      <c r="L1150">
        <v>1</v>
      </c>
      <c r="M1150">
        <v>5</v>
      </c>
      <c r="N1150">
        <v>2</v>
      </c>
      <c r="O1150">
        <v>4</v>
      </c>
      <c r="P1150">
        <v>2</v>
      </c>
      <c r="Q1150">
        <v>1</v>
      </c>
      <c r="R1150">
        <v>3</v>
      </c>
      <c r="S1150">
        <v>1</v>
      </c>
      <c r="T1150">
        <v>5</v>
      </c>
      <c r="U1150" t="s">
        <v>30</v>
      </c>
      <c r="V1150" t="s">
        <v>58</v>
      </c>
      <c r="W1150" t="s">
        <v>47</v>
      </c>
      <c r="X1150" t="s">
        <v>44</v>
      </c>
      <c r="Y1150">
        <v>58</v>
      </c>
      <c r="Z1150" s="1">
        <v>45270</v>
      </c>
      <c r="AA1150" t="str" cm="1">
        <f t="array" ref="AA1150">_xlfn.IFS(AND(Table2[[#This Row],[Guest_Age]]&gt;=18,Table2[[#This Row],[Guest_Age]]&lt;=25),"Young Adults",AND(Table2[[#This Row],[Guest_Age]]&gt;=26,Table2[[#This Row],[Guest_Age]]&lt;=35),"Adults",AND(Table2[[#This Row],[Guest_Age]]&gt;=36,Table2[[#This Row],[Guest_Age]]&lt;=50),"Middle Aged Adults",Table2[[#This Row],[Guest_Age]]&gt;50,"Senior")</f>
        <v>Senior</v>
      </c>
      <c r="AB11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50" t="str" cm="1">
        <f t="array" ref="AC1150">_xlfn.IFS(Table2[[#This Row],[Satification_points]]&gt;=4.5,"GREAT",AND(Table2[[#This Row],[Satification_points]]&gt;=4,Table2[[#This Row],[Satification_points]]&lt;4.5),"GOOD",AND(Table2[[#This Row],[Satification_points]]&gt;=3,Table2[[#This Row],[Satification_points]]&lt;4),"AVERAGE",Table2[[#This Row],[Satification_points]]&lt;3,"POOR")</f>
        <v>POOR</v>
      </c>
    </row>
    <row r="1151" spans="1:29" x14ac:dyDescent="0.3">
      <c r="A1151">
        <v>1150</v>
      </c>
      <c r="B1151">
        <v>74880</v>
      </c>
      <c r="C1151" t="s">
        <v>1197</v>
      </c>
      <c r="D1151" t="s">
        <v>41</v>
      </c>
      <c r="E1151" t="s">
        <v>57</v>
      </c>
      <c r="F1151" s="1">
        <v>44957</v>
      </c>
      <c r="G1151" s="1">
        <v>45631</v>
      </c>
      <c r="H1151">
        <v>7</v>
      </c>
      <c r="I1151" t="s">
        <v>28</v>
      </c>
      <c r="J1151" t="s">
        <v>29</v>
      </c>
      <c r="K1151">
        <v>2</v>
      </c>
      <c r="L1151">
        <v>2</v>
      </c>
      <c r="M1151">
        <v>3</v>
      </c>
      <c r="N1151">
        <v>5</v>
      </c>
      <c r="O1151">
        <v>2</v>
      </c>
      <c r="P1151">
        <v>3</v>
      </c>
      <c r="Q1151">
        <v>3</v>
      </c>
      <c r="R1151">
        <v>3</v>
      </c>
      <c r="S1151">
        <v>2</v>
      </c>
      <c r="T1151">
        <v>2</v>
      </c>
      <c r="U1151" t="s">
        <v>30</v>
      </c>
      <c r="V1151" t="s">
        <v>54</v>
      </c>
      <c r="W1151" t="s">
        <v>39</v>
      </c>
      <c r="X1151" t="s">
        <v>44</v>
      </c>
      <c r="Y1151">
        <v>31</v>
      </c>
      <c r="Z1151" s="1">
        <v>45631</v>
      </c>
      <c r="AA1151" t="str" cm="1">
        <f t="array" ref="AA1151">_xlfn.IFS(AND(Table2[[#This Row],[Guest_Age]]&gt;=18,Table2[[#This Row],[Guest_Age]]&lt;=25),"Young Adults",AND(Table2[[#This Row],[Guest_Age]]&gt;=26,Table2[[#This Row],[Guest_Age]]&lt;=35),"Adults",AND(Table2[[#This Row],[Guest_Age]]&gt;=36,Table2[[#This Row],[Guest_Age]]&lt;=50),"Middle Aged Adults",Table2[[#This Row],[Guest_Age]]&gt;50,"Senior")</f>
        <v>Adults</v>
      </c>
      <c r="AB11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51" t="str" cm="1">
        <f t="array" ref="AC1151">_xlfn.IFS(Table2[[#This Row],[Satification_points]]&gt;=4.5,"GREAT",AND(Table2[[#This Row],[Satification_points]]&gt;=4,Table2[[#This Row],[Satification_points]]&lt;4.5),"GOOD",AND(Table2[[#This Row],[Satification_points]]&gt;=3,Table2[[#This Row],[Satification_points]]&lt;4),"AVERAGE",Table2[[#This Row],[Satification_points]]&lt;3,"POOR")</f>
        <v>POOR</v>
      </c>
    </row>
    <row r="1152" spans="1:29" x14ac:dyDescent="0.3">
      <c r="A1152">
        <v>1151</v>
      </c>
      <c r="B1152">
        <v>25665</v>
      </c>
      <c r="C1152" t="s">
        <v>1198</v>
      </c>
      <c r="D1152" t="s">
        <v>34</v>
      </c>
      <c r="E1152" t="s">
        <v>57</v>
      </c>
      <c r="F1152" s="1">
        <v>45592</v>
      </c>
      <c r="G1152" s="1">
        <v>45593</v>
      </c>
      <c r="H1152">
        <v>6</v>
      </c>
      <c r="I1152" t="s">
        <v>50</v>
      </c>
      <c r="J1152" t="s">
        <v>40</v>
      </c>
      <c r="K1152">
        <v>2</v>
      </c>
      <c r="L1152">
        <v>2</v>
      </c>
      <c r="M1152">
        <v>2</v>
      </c>
      <c r="N1152">
        <v>5</v>
      </c>
      <c r="O1152">
        <v>3</v>
      </c>
      <c r="P1152">
        <v>5</v>
      </c>
      <c r="Q1152">
        <v>4</v>
      </c>
      <c r="R1152">
        <v>2</v>
      </c>
      <c r="S1152">
        <v>5</v>
      </c>
      <c r="T1152">
        <v>1</v>
      </c>
      <c r="U1152" t="s">
        <v>37</v>
      </c>
      <c r="V1152" t="s">
        <v>46</v>
      </c>
      <c r="W1152" t="s">
        <v>56</v>
      </c>
      <c r="X1152" t="s">
        <v>40</v>
      </c>
      <c r="Y1152">
        <v>63</v>
      </c>
      <c r="Z1152" s="1">
        <v>45593</v>
      </c>
      <c r="AA1152" t="str" cm="1">
        <f t="array" ref="AA1152">_xlfn.IFS(AND(Table2[[#This Row],[Guest_Age]]&gt;=18,Table2[[#This Row],[Guest_Age]]&lt;=25),"Young Adults",AND(Table2[[#This Row],[Guest_Age]]&gt;=26,Table2[[#This Row],[Guest_Age]]&lt;=35),"Adults",AND(Table2[[#This Row],[Guest_Age]]&gt;=36,Table2[[#This Row],[Guest_Age]]&lt;=50),"Middle Aged Adults",Table2[[#This Row],[Guest_Age]]&gt;50,"Senior")</f>
        <v>Senior</v>
      </c>
      <c r="AB11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52" t="str" cm="1">
        <f t="array" ref="AC1152">_xlfn.IFS(Table2[[#This Row],[Satification_points]]&gt;=4.5,"GREAT",AND(Table2[[#This Row],[Satification_points]]&gt;=4,Table2[[#This Row],[Satification_points]]&lt;4.5),"GOOD",AND(Table2[[#This Row],[Satification_points]]&gt;=3,Table2[[#This Row],[Satification_points]]&lt;4),"AVERAGE",Table2[[#This Row],[Satification_points]]&lt;3,"POOR")</f>
        <v>AVERAGE</v>
      </c>
    </row>
    <row r="1153" spans="1:29" x14ac:dyDescent="0.3">
      <c r="A1153">
        <v>1152</v>
      </c>
      <c r="B1153">
        <v>50542</v>
      </c>
      <c r="C1153" t="s">
        <v>1199</v>
      </c>
      <c r="D1153" t="s">
        <v>26</v>
      </c>
      <c r="E1153" t="s">
        <v>57</v>
      </c>
      <c r="F1153" s="1">
        <v>45413</v>
      </c>
      <c r="G1153" s="1">
        <v>45587</v>
      </c>
      <c r="H1153">
        <v>14</v>
      </c>
      <c r="I1153" t="s">
        <v>42</v>
      </c>
      <c r="J1153" t="s">
        <v>53</v>
      </c>
      <c r="K1153">
        <v>2</v>
      </c>
      <c r="L1153">
        <v>1</v>
      </c>
      <c r="M1153">
        <v>5</v>
      </c>
      <c r="N1153">
        <v>4</v>
      </c>
      <c r="O1153">
        <v>3</v>
      </c>
      <c r="P1153">
        <v>5</v>
      </c>
      <c r="Q1153">
        <v>1</v>
      </c>
      <c r="R1153">
        <v>3</v>
      </c>
      <c r="S1153">
        <v>3</v>
      </c>
      <c r="T1153">
        <v>5</v>
      </c>
      <c r="U1153" t="s">
        <v>30</v>
      </c>
      <c r="V1153" t="s">
        <v>46</v>
      </c>
      <c r="W1153" t="s">
        <v>56</v>
      </c>
      <c r="X1153" t="s">
        <v>44</v>
      </c>
      <c r="Y1153">
        <v>24</v>
      </c>
      <c r="Z1153" s="1">
        <v>45587</v>
      </c>
      <c r="AA1153" t="str" cm="1">
        <f t="array" ref="AA1153">_xlfn.IFS(AND(Table2[[#This Row],[Guest_Age]]&gt;=18,Table2[[#This Row],[Guest_Age]]&lt;=25),"Young Adults",AND(Table2[[#This Row],[Guest_Age]]&gt;=26,Table2[[#This Row],[Guest_Age]]&lt;=35),"Adults",AND(Table2[[#This Row],[Guest_Age]]&gt;=36,Table2[[#This Row],[Guest_Age]]&lt;=50),"Middle Aged Adults",Table2[[#This Row],[Guest_Age]]&gt;50,"Senior")</f>
        <v>Young Adults</v>
      </c>
      <c r="AB11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53" t="str" cm="1">
        <f t="array" ref="AC1153">_xlfn.IFS(Table2[[#This Row],[Satification_points]]&gt;=4.5,"GREAT",AND(Table2[[#This Row],[Satification_points]]&gt;=4,Table2[[#This Row],[Satification_points]]&lt;4.5),"GOOD",AND(Table2[[#This Row],[Satification_points]]&gt;=3,Table2[[#This Row],[Satification_points]]&lt;4),"AVERAGE",Table2[[#This Row],[Satification_points]]&lt;3,"POOR")</f>
        <v>AVERAGE</v>
      </c>
    </row>
    <row r="1154" spans="1:29" x14ac:dyDescent="0.3">
      <c r="A1154">
        <v>1153</v>
      </c>
      <c r="B1154">
        <v>96769</v>
      </c>
      <c r="C1154" t="s">
        <v>1200</v>
      </c>
      <c r="D1154" t="s">
        <v>48</v>
      </c>
      <c r="E1154" t="s">
        <v>52</v>
      </c>
      <c r="F1154" s="1">
        <v>45545</v>
      </c>
      <c r="G1154" s="1">
        <v>45546</v>
      </c>
      <c r="H1154">
        <v>14</v>
      </c>
      <c r="I1154" t="s">
        <v>49</v>
      </c>
      <c r="J1154" t="s">
        <v>40</v>
      </c>
      <c r="K1154">
        <v>4</v>
      </c>
      <c r="L1154">
        <v>2</v>
      </c>
      <c r="M1154">
        <v>1</v>
      </c>
      <c r="N1154">
        <v>3</v>
      </c>
      <c r="O1154">
        <v>1</v>
      </c>
      <c r="P1154">
        <v>1</v>
      </c>
      <c r="Q1154">
        <v>4</v>
      </c>
      <c r="R1154">
        <v>4</v>
      </c>
      <c r="S1154">
        <v>2</v>
      </c>
      <c r="T1154">
        <v>4</v>
      </c>
      <c r="U1154" t="s">
        <v>30</v>
      </c>
      <c r="V1154" t="s">
        <v>54</v>
      </c>
      <c r="W1154" t="s">
        <v>47</v>
      </c>
      <c r="X1154" t="s">
        <v>33</v>
      </c>
      <c r="Y1154">
        <v>23</v>
      </c>
      <c r="Z1154" s="1">
        <v>45546</v>
      </c>
      <c r="AA1154" t="str" cm="1">
        <f t="array" ref="AA1154">_xlfn.IFS(AND(Table2[[#This Row],[Guest_Age]]&gt;=18,Table2[[#This Row],[Guest_Age]]&lt;=25),"Young Adults",AND(Table2[[#This Row],[Guest_Age]]&gt;=26,Table2[[#This Row],[Guest_Age]]&lt;=35),"Adults",AND(Table2[[#This Row],[Guest_Age]]&gt;=36,Table2[[#This Row],[Guest_Age]]&lt;=50),"Middle Aged Adults",Table2[[#This Row],[Guest_Age]]&gt;50,"Senior")</f>
        <v>Young Adults</v>
      </c>
      <c r="AB11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154" t="str" cm="1">
        <f t="array" ref="AC1154">_xlfn.IFS(Table2[[#This Row],[Satification_points]]&gt;=4.5,"GREAT",AND(Table2[[#This Row],[Satification_points]]&gt;=4,Table2[[#This Row],[Satification_points]]&lt;4.5),"GOOD",AND(Table2[[#This Row],[Satification_points]]&gt;=3,Table2[[#This Row],[Satification_points]]&lt;4),"AVERAGE",Table2[[#This Row],[Satification_points]]&lt;3,"POOR")</f>
        <v>POOR</v>
      </c>
    </row>
    <row r="1155" spans="1:29" x14ac:dyDescent="0.3">
      <c r="A1155">
        <v>1154</v>
      </c>
      <c r="B1155">
        <v>46968</v>
      </c>
      <c r="C1155" t="s">
        <v>1201</v>
      </c>
      <c r="D1155" t="s">
        <v>48</v>
      </c>
      <c r="E1155" t="s">
        <v>57</v>
      </c>
      <c r="F1155" s="1">
        <v>45177</v>
      </c>
      <c r="G1155" s="1">
        <v>45563</v>
      </c>
      <c r="H1155">
        <v>4</v>
      </c>
      <c r="I1155" t="s">
        <v>42</v>
      </c>
      <c r="J1155" t="s">
        <v>36</v>
      </c>
      <c r="K1155">
        <v>3</v>
      </c>
      <c r="L1155">
        <v>1</v>
      </c>
      <c r="M1155">
        <v>3</v>
      </c>
      <c r="N1155">
        <v>1</v>
      </c>
      <c r="O1155">
        <v>2</v>
      </c>
      <c r="P1155">
        <v>1</v>
      </c>
      <c r="Q1155">
        <v>3</v>
      </c>
      <c r="R1155">
        <v>5</v>
      </c>
      <c r="S1155">
        <v>1</v>
      </c>
      <c r="T1155">
        <v>1</v>
      </c>
      <c r="U1155" t="s">
        <v>37</v>
      </c>
      <c r="V1155" t="s">
        <v>58</v>
      </c>
      <c r="W1155" t="s">
        <v>47</v>
      </c>
      <c r="X1155" t="s">
        <v>33</v>
      </c>
      <c r="Y1155">
        <v>68</v>
      </c>
      <c r="Z1155" s="1">
        <v>45563</v>
      </c>
      <c r="AA1155" t="str" cm="1">
        <f t="array" ref="AA1155">_xlfn.IFS(AND(Table2[[#This Row],[Guest_Age]]&gt;=18,Table2[[#This Row],[Guest_Age]]&lt;=25),"Young Adults",AND(Table2[[#This Row],[Guest_Age]]&gt;=26,Table2[[#This Row],[Guest_Age]]&lt;=35),"Adults",AND(Table2[[#This Row],[Guest_Age]]&gt;=36,Table2[[#This Row],[Guest_Age]]&lt;=50),"Middle Aged Adults",Table2[[#This Row],[Guest_Age]]&gt;50,"Senior")</f>
        <v>Senior</v>
      </c>
      <c r="AB11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155" t="str" cm="1">
        <f t="array" ref="AC1155">_xlfn.IFS(Table2[[#This Row],[Satification_points]]&gt;=4.5,"GREAT",AND(Table2[[#This Row],[Satification_points]]&gt;=4,Table2[[#This Row],[Satification_points]]&lt;4.5),"GOOD",AND(Table2[[#This Row],[Satification_points]]&gt;=3,Table2[[#This Row],[Satification_points]]&lt;4),"AVERAGE",Table2[[#This Row],[Satification_points]]&lt;3,"POOR")</f>
        <v>POOR</v>
      </c>
    </row>
    <row r="1156" spans="1:29" x14ac:dyDescent="0.3">
      <c r="A1156">
        <v>1155</v>
      </c>
      <c r="B1156">
        <v>33481</v>
      </c>
      <c r="C1156" t="s">
        <v>1202</v>
      </c>
      <c r="D1156" t="s">
        <v>34</v>
      </c>
      <c r="E1156" t="s">
        <v>57</v>
      </c>
      <c r="F1156" s="1">
        <v>45289</v>
      </c>
      <c r="G1156" s="1">
        <v>45325</v>
      </c>
      <c r="H1156">
        <v>7</v>
      </c>
      <c r="I1156" t="s">
        <v>28</v>
      </c>
      <c r="J1156" t="s">
        <v>43</v>
      </c>
      <c r="K1156">
        <v>5</v>
      </c>
      <c r="L1156">
        <v>1</v>
      </c>
      <c r="M1156">
        <v>5</v>
      </c>
      <c r="N1156">
        <v>3</v>
      </c>
      <c r="O1156">
        <v>2</v>
      </c>
      <c r="P1156">
        <v>3</v>
      </c>
      <c r="Q1156">
        <v>1</v>
      </c>
      <c r="R1156">
        <v>4</v>
      </c>
      <c r="S1156">
        <v>1</v>
      </c>
      <c r="T1156">
        <v>3</v>
      </c>
      <c r="U1156" t="s">
        <v>30</v>
      </c>
      <c r="V1156" t="s">
        <v>31</v>
      </c>
      <c r="W1156" t="s">
        <v>47</v>
      </c>
      <c r="X1156" t="s">
        <v>44</v>
      </c>
      <c r="Y1156">
        <v>20</v>
      </c>
      <c r="Z1156" s="1">
        <v>45529</v>
      </c>
      <c r="AA1156" t="str" cm="1">
        <f t="array" ref="AA1156">_xlfn.IFS(AND(Table2[[#This Row],[Guest_Age]]&gt;=18,Table2[[#This Row],[Guest_Age]]&lt;=25),"Young Adults",AND(Table2[[#This Row],[Guest_Age]]&gt;=26,Table2[[#This Row],[Guest_Age]]&lt;=35),"Adults",AND(Table2[[#This Row],[Guest_Age]]&gt;=36,Table2[[#This Row],[Guest_Age]]&lt;=50),"Middle Aged Adults",Table2[[#This Row],[Guest_Age]]&gt;50,"Senior")</f>
        <v>Young Adults</v>
      </c>
      <c r="AB11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56" t="str" cm="1">
        <f t="array" ref="AC1156">_xlfn.IFS(Table2[[#This Row],[Satification_points]]&gt;=4.5,"GREAT",AND(Table2[[#This Row],[Satification_points]]&gt;=4,Table2[[#This Row],[Satification_points]]&lt;4.5),"GOOD",AND(Table2[[#This Row],[Satification_points]]&gt;=3,Table2[[#This Row],[Satification_points]]&lt;4),"AVERAGE",Table2[[#This Row],[Satification_points]]&lt;3,"POOR")</f>
        <v>POOR</v>
      </c>
    </row>
    <row r="1157" spans="1:29" x14ac:dyDescent="0.3">
      <c r="A1157">
        <v>1156</v>
      </c>
      <c r="B1157">
        <v>80558</v>
      </c>
      <c r="C1157" t="s">
        <v>1203</v>
      </c>
      <c r="D1157" t="s">
        <v>34</v>
      </c>
      <c r="E1157" t="s">
        <v>35</v>
      </c>
      <c r="F1157" s="1">
        <v>45033</v>
      </c>
      <c r="G1157" s="1">
        <v>45034</v>
      </c>
      <c r="H1157">
        <v>3</v>
      </c>
      <c r="I1157" t="s">
        <v>49</v>
      </c>
      <c r="J1157" t="s">
        <v>29</v>
      </c>
      <c r="K1157">
        <v>3</v>
      </c>
      <c r="L1157">
        <v>3</v>
      </c>
      <c r="M1157">
        <v>5</v>
      </c>
      <c r="N1157">
        <v>5</v>
      </c>
      <c r="O1157">
        <v>2</v>
      </c>
      <c r="P1157">
        <v>5</v>
      </c>
      <c r="Q1157">
        <v>1</v>
      </c>
      <c r="R1157">
        <v>5</v>
      </c>
      <c r="S1157">
        <v>5</v>
      </c>
      <c r="T1157">
        <v>5</v>
      </c>
      <c r="U1157" t="s">
        <v>30</v>
      </c>
      <c r="V1157" t="s">
        <v>54</v>
      </c>
      <c r="W1157" t="s">
        <v>56</v>
      </c>
      <c r="X1157" t="s">
        <v>44</v>
      </c>
      <c r="Y1157">
        <v>54</v>
      </c>
      <c r="Z1157" s="1">
        <v>45034</v>
      </c>
      <c r="AA1157" t="str" cm="1">
        <f t="array" ref="AA1157">_xlfn.IFS(AND(Table2[[#This Row],[Guest_Age]]&gt;=18,Table2[[#This Row],[Guest_Age]]&lt;=25),"Young Adults",AND(Table2[[#This Row],[Guest_Age]]&gt;=26,Table2[[#This Row],[Guest_Age]]&lt;=35),"Adults",AND(Table2[[#This Row],[Guest_Age]]&gt;=36,Table2[[#This Row],[Guest_Age]]&lt;=50),"Middle Aged Adults",Table2[[#This Row],[Guest_Age]]&gt;50,"Senior")</f>
        <v>Senior</v>
      </c>
      <c r="AB11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57" t="str" cm="1">
        <f t="array" ref="AC1157">_xlfn.IFS(Table2[[#This Row],[Satification_points]]&gt;=4.5,"GREAT",AND(Table2[[#This Row],[Satification_points]]&gt;=4,Table2[[#This Row],[Satification_points]]&lt;4.5),"GOOD",AND(Table2[[#This Row],[Satification_points]]&gt;=3,Table2[[#This Row],[Satification_points]]&lt;4),"AVERAGE",Table2[[#This Row],[Satification_points]]&lt;3,"POOR")</f>
        <v>AVERAGE</v>
      </c>
    </row>
    <row r="1158" spans="1:29" x14ac:dyDescent="0.3">
      <c r="A1158">
        <v>1157</v>
      </c>
      <c r="B1158">
        <v>62644</v>
      </c>
      <c r="C1158" t="s">
        <v>1204</v>
      </c>
      <c r="D1158" t="s">
        <v>48</v>
      </c>
      <c r="E1158" t="s">
        <v>57</v>
      </c>
      <c r="F1158" s="1">
        <v>45432</v>
      </c>
      <c r="G1158" s="1">
        <v>45514</v>
      </c>
      <c r="H1158">
        <v>10</v>
      </c>
      <c r="I1158" t="s">
        <v>28</v>
      </c>
      <c r="J1158" t="s">
        <v>29</v>
      </c>
      <c r="K1158">
        <v>2</v>
      </c>
      <c r="L1158">
        <v>2</v>
      </c>
      <c r="M1158">
        <v>3</v>
      </c>
      <c r="N1158">
        <v>1</v>
      </c>
      <c r="O1158">
        <v>4</v>
      </c>
      <c r="P1158">
        <v>1</v>
      </c>
      <c r="Q1158">
        <v>4</v>
      </c>
      <c r="R1158">
        <v>1</v>
      </c>
      <c r="S1158">
        <v>1</v>
      </c>
      <c r="T1158">
        <v>3</v>
      </c>
      <c r="U1158" t="s">
        <v>30</v>
      </c>
      <c r="V1158" t="s">
        <v>54</v>
      </c>
      <c r="W1158" t="s">
        <v>32</v>
      </c>
      <c r="X1158" t="s">
        <v>44</v>
      </c>
      <c r="Y1158">
        <v>39</v>
      </c>
      <c r="Z1158" s="1">
        <v>45542</v>
      </c>
      <c r="AA1158" t="str" cm="1">
        <f t="array" ref="AA115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158" t="str" cm="1">
        <f t="array" ref="AC1158">_xlfn.IFS(Table2[[#This Row],[Satification_points]]&gt;=4.5,"GREAT",AND(Table2[[#This Row],[Satification_points]]&gt;=4,Table2[[#This Row],[Satification_points]]&lt;4.5),"GOOD",AND(Table2[[#This Row],[Satification_points]]&gt;=3,Table2[[#This Row],[Satification_points]]&lt;4),"AVERAGE",Table2[[#This Row],[Satification_points]]&lt;3,"POOR")</f>
        <v>POOR</v>
      </c>
    </row>
    <row r="1159" spans="1:29" x14ac:dyDescent="0.3">
      <c r="A1159">
        <v>1158</v>
      </c>
      <c r="B1159">
        <v>56954</v>
      </c>
      <c r="C1159" t="s">
        <v>1205</v>
      </c>
      <c r="D1159" t="s">
        <v>26</v>
      </c>
      <c r="E1159" t="s">
        <v>35</v>
      </c>
      <c r="F1159" s="1">
        <v>45368</v>
      </c>
      <c r="G1159" s="1">
        <v>45369</v>
      </c>
      <c r="H1159">
        <v>11</v>
      </c>
      <c r="I1159" t="s">
        <v>50</v>
      </c>
      <c r="J1159" t="s">
        <v>43</v>
      </c>
      <c r="K1159">
        <v>5</v>
      </c>
      <c r="L1159">
        <v>5</v>
      </c>
      <c r="M1159">
        <v>5</v>
      </c>
      <c r="N1159">
        <v>5</v>
      </c>
      <c r="O1159">
        <v>4</v>
      </c>
      <c r="P1159">
        <v>4</v>
      </c>
      <c r="Q1159">
        <v>1</v>
      </c>
      <c r="R1159">
        <v>5</v>
      </c>
      <c r="S1159">
        <v>1</v>
      </c>
      <c r="T1159">
        <v>2</v>
      </c>
      <c r="U1159" t="s">
        <v>30</v>
      </c>
      <c r="V1159" t="s">
        <v>38</v>
      </c>
      <c r="W1159" t="s">
        <v>32</v>
      </c>
      <c r="X1159" t="s">
        <v>44</v>
      </c>
      <c r="Y1159">
        <v>55</v>
      </c>
      <c r="Z1159" s="1">
        <v>45514</v>
      </c>
      <c r="AA1159" t="str" cm="1">
        <f t="array" ref="AA1159">_xlfn.IFS(AND(Table2[[#This Row],[Guest_Age]]&gt;=18,Table2[[#This Row],[Guest_Age]]&lt;=25),"Young Adults",AND(Table2[[#This Row],[Guest_Age]]&gt;=26,Table2[[#This Row],[Guest_Age]]&lt;=35),"Adults",AND(Table2[[#This Row],[Guest_Age]]&gt;=36,Table2[[#This Row],[Guest_Age]]&lt;=50),"Middle Aged Adults",Table2[[#This Row],[Guest_Age]]&gt;50,"Senior")</f>
        <v>Senior</v>
      </c>
      <c r="AB11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159" t="str" cm="1">
        <f t="array" ref="AC1159">_xlfn.IFS(Table2[[#This Row],[Satification_points]]&gt;=4.5,"GREAT",AND(Table2[[#This Row],[Satification_points]]&gt;=4,Table2[[#This Row],[Satification_points]]&lt;4.5),"GOOD",AND(Table2[[#This Row],[Satification_points]]&gt;=3,Table2[[#This Row],[Satification_points]]&lt;4),"AVERAGE",Table2[[#This Row],[Satification_points]]&lt;3,"POOR")</f>
        <v>AVERAGE</v>
      </c>
    </row>
    <row r="1160" spans="1:29" x14ac:dyDescent="0.3">
      <c r="A1160">
        <v>1159</v>
      </c>
      <c r="B1160">
        <v>19145</v>
      </c>
      <c r="C1160" t="s">
        <v>1206</v>
      </c>
      <c r="D1160" t="s">
        <v>34</v>
      </c>
      <c r="E1160" t="s">
        <v>35</v>
      </c>
      <c r="F1160" s="1">
        <v>45043</v>
      </c>
      <c r="G1160" s="1">
        <v>45113</v>
      </c>
      <c r="H1160">
        <v>6</v>
      </c>
      <c r="I1160" t="s">
        <v>49</v>
      </c>
      <c r="J1160" t="s">
        <v>43</v>
      </c>
      <c r="K1160">
        <v>5</v>
      </c>
      <c r="L1160">
        <v>5</v>
      </c>
      <c r="M1160">
        <v>5</v>
      </c>
      <c r="N1160">
        <v>2</v>
      </c>
      <c r="O1160">
        <v>3</v>
      </c>
      <c r="P1160">
        <v>5</v>
      </c>
      <c r="Q1160">
        <v>4</v>
      </c>
      <c r="R1160">
        <v>5</v>
      </c>
      <c r="S1160">
        <v>1</v>
      </c>
      <c r="T1160">
        <v>4</v>
      </c>
      <c r="U1160" t="s">
        <v>30</v>
      </c>
      <c r="V1160" t="s">
        <v>58</v>
      </c>
      <c r="W1160" t="s">
        <v>47</v>
      </c>
      <c r="X1160" t="s">
        <v>44</v>
      </c>
      <c r="Y1160">
        <v>25</v>
      </c>
      <c r="Z1160" s="1">
        <v>45353</v>
      </c>
      <c r="AA1160" t="str" cm="1">
        <f t="array" ref="AA1160">_xlfn.IFS(AND(Table2[[#This Row],[Guest_Age]]&gt;=18,Table2[[#This Row],[Guest_Age]]&lt;=25),"Young Adults",AND(Table2[[#This Row],[Guest_Age]]&gt;=26,Table2[[#This Row],[Guest_Age]]&lt;=35),"Adults",AND(Table2[[#This Row],[Guest_Age]]&gt;=36,Table2[[#This Row],[Guest_Age]]&lt;=50),"Middle Aged Adults",Table2[[#This Row],[Guest_Age]]&gt;50,"Senior")</f>
        <v>Young Adults</v>
      </c>
      <c r="AB11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60" t="str" cm="1">
        <f t="array" ref="AC1160">_xlfn.IFS(Table2[[#This Row],[Satification_points]]&gt;=4.5,"GREAT",AND(Table2[[#This Row],[Satification_points]]&gt;=4,Table2[[#This Row],[Satification_points]]&lt;4.5),"GOOD",AND(Table2[[#This Row],[Satification_points]]&gt;=3,Table2[[#This Row],[Satification_points]]&lt;4),"AVERAGE",Table2[[#This Row],[Satification_points]]&lt;3,"POOR")</f>
        <v>AVERAGE</v>
      </c>
    </row>
    <row r="1161" spans="1:29" x14ac:dyDescent="0.3">
      <c r="A1161">
        <v>1160</v>
      </c>
      <c r="B1161">
        <v>60494</v>
      </c>
      <c r="C1161" t="s">
        <v>1207</v>
      </c>
      <c r="D1161" t="s">
        <v>26</v>
      </c>
      <c r="E1161" t="s">
        <v>35</v>
      </c>
      <c r="F1161" s="1">
        <v>45171</v>
      </c>
      <c r="G1161" s="1">
        <v>45478</v>
      </c>
      <c r="H1161">
        <v>6</v>
      </c>
      <c r="I1161" t="s">
        <v>28</v>
      </c>
      <c r="J1161" t="s">
        <v>36</v>
      </c>
      <c r="K1161">
        <v>3</v>
      </c>
      <c r="L1161">
        <v>2</v>
      </c>
      <c r="M1161">
        <v>3</v>
      </c>
      <c r="N1161">
        <v>5</v>
      </c>
      <c r="O1161">
        <v>1</v>
      </c>
      <c r="P1161">
        <v>2</v>
      </c>
      <c r="Q1161">
        <v>3</v>
      </c>
      <c r="R1161">
        <v>4</v>
      </c>
      <c r="S1161">
        <v>3</v>
      </c>
      <c r="T1161">
        <v>2</v>
      </c>
      <c r="U1161" t="s">
        <v>37</v>
      </c>
      <c r="V1161" t="s">
        <v>46</v>
      </c>
      <c r="W1161" t="s">
        <v>32</v>
      </c>
      <c r="X1161" t="s">
        <v>33</v>
      </c>
      <c r="Y1161">
        <v>41</v>
      </c>
      <c r="Z1161" s="1">
        <v>45478</v>
      </c>
      <c r="AA1161" t="str" cm="1">
        <f t="array" ref="AA11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61" t="str" cm="1">
        <f t="array" ref="AC1161">_xlfn.IFS(Table2[[#This Row],[Satification_points]]&gt;=4.5,"GREAT",AND(Table2[[#This Row],[Satification_points]]&gt;=4,Table2[[#This Row],[Satification_points]]&lt;4.5),"GOOD",AND(Table2[[#This Row],[Satification_points]]&gt;=3,Table2[[#This Row],[Satification_points]]&lt;4),"AVERAGE",Table2[[#This Row],[Satification_points]]&lt;3,"POOR")</f>
        <v>POOR</v>
      </c>
    </row>
    <row r="1162" spans="1:29" x14ac:dyDescent="0.3">
      <c r="A1162">
        <v>1161</v>
      </c>
      <c r="B1162">
        <v>70835</v>
      </c>
      <c r="C1162" t="s">
        <v>1208</v>
      </c>
      <c r="D1162" t="s">
        <v>26</v>
      </c>
      <c r="E1162" t="s">
        <v>52</v>
      </c>
      <c r="F1162" s="1">
        <v>45005</v>
      </c>
      <c r="G1162" s="1">
        <v>45161</v>
      </c>
      <c r="H1162">
        <v>13</v>
      </c>
      <c r="I1162" t="s">
        <v>28</v>
      </c>
      <c r="J1162" t="s">
        <v>40</v>
      </c>
      <c r="K1162">
        <v>4</v>
      </c>
      <c r="L1162">
        <v>2</v>
      </c>
      <c r="M1162">
        <v>2</v>
      </c>
      <c r="N1162">
        <v>1</v>
      </c>
      <c r="O1162">
        <v>4</v>
      </c>
      <c r="P1162">
        <v>5</v>
      </c>
      <c r="Q1162">
        <v>4</v>
      </c>
      <c r="R1162">
        <v>2</v>
      </c>
      <c r="S1162">
        <v>5</v>
      </c>
      <c r="T1162">
        <v>1</v>
      </c>
      <c r="U1162" t="s">
        <v>30</v>
      </c>
      <c r="V1162" t="s">
        <v>58</v>
      </c>
      <c r="W1162" t="s">
        <v>39</v>
      </c>
      <c r="X1162" t="s">
        <v>40</v>
      </c>
      <c r="Y1162">
        <v>30</v>
      </c>
      <c r="Z1162" s="1">
        <v>45161</v>
      </c>
      <c r="AA1162" t="str" cm="1">
        <f t="array" ref="AA1162">_xlfn.IFS(AND(Table2[[#This Row],[Guest_Age]]&gt;=18,Table2[[#This Row],[Guest_Age]]&lt;=25),"Young Adults",AND(Table2[[#This Row],[Guest_Age]]&gt;=26,Table2[[#This Row],[Guest_Age]]&lt;=35),"Adults",AND(Table2[[#This Row],[Guest_Age]]&gt;=36,Table2[[#This Row],[Guest_Age]]&lt;=50),"Middle Aged Adults",Table2[[#This Row],[Guest_Age]]&gt;50,"Senior")</f>
        <v>Adults</v>
      </c>
      <c r="AB11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62" t="str" cm="1">
        <f t="array" ref="AC1162">_xlfn.IFS(Table2[[#This Row],[Satification_points]]&gt;=4.5,"GREAT",AND(Table2[[#This Row],[Satification_points]]&gt;=4,Table2[[#This Row],[Satification_points]]&lt;4.5),"GOOD",AND(Table2[[#This Row],[Satification_points]]&gt;=3,Table2[[#This Row],[Satification_points]]&lt;4),"AVERAGE",Table2[[#This Row],[Satification_points]]&lt;3,"POOR")</f>
        <v>AVERAGE</v>
      </c>
    </row>
    <row r="1163" spans="1:29" x14ac:dyDescent="0.3">
      <c r="A1163">
        <v>1162</v>
      </c>
      <c r="B1163">
        <v>75506</v>
      </c>
      <c r="C1163" t="s">
        <v>1209</v>
      </c>
      <c r="D1163" t="s">
        <v>41</v>
      </c>
      <c r="E1163" t="s">
        <v>27</v>
      </c>
      <c r="F1163" s="1">
        <v>45412</v>
      </c>
      <c r="G1163" s="1">
        <v>45413</v>
      </c>
      <c r="H1163">
        <v>10</v>
      </c>
      <c r="I1163" t="s">
        <v>28</v>
      </c>
      <c r="J1163" t="s">
        <v>29</v>
      </c>
      <c r="K1163">
        <v>1</v>
      </c>
      <c r="L1163">
        <v>2</v>
      </c>
      <c r="M1163">
        <v>1</v>
      </c>
      <c r="N1163">
        <v>2</v>
      </c>
      <c r="O1163">
        <v>4</v>
      </c>
      <c r="P1163">
        <v>4</v>
      </c>
      <c r="Q1163">
        <v>3</v>
      </c>
      <c r="R1163">
        <v>2</v>
      </c>
      <c r="S1163">
        <v>5</v>
      </c>
      <c r="T1163">
        <v>4</v>
      </c>
      <c r="U1163" t="s">
        <v>30</v>
      </c>
      <c r="V1163" t="s">
        <v>58</v>
      </c>
      <c r="W1163" t="s">
        <v>32</v>
      </c>
      <c r="X1163" t="s">
        <v>44</v>
      </c>
      <c r="Y1163">
        <v>30</v>
      </c>
      <c r="Z1163" s="1">
        <v>45413</v>
      </c>
      <c r="AA1163" t="str" cm="1">
        <f t="array" ref="AA1163">_xlfn.IFS(AND(Table2[[#This Row],[Guest_Age]]&gt;=18,Table2[[#This Row],[Guest_Age]]&lt;=25),"Young Adults",AND(Table2[[#This Row],[Guest_Age]]&gt;=26,Table2[[#This Row],[Guest_Age]]&lt;=35),"Adults",AND(Table2[[#This Row],[Guest_Age]]&gt;=36,Table2[[#This Row],[Guest_Age]]&lt;=50),"Middle Aged Adults",Table2[[#This Row],[Guest_Age]]&gt;50,"Senior")</f>
        <v>Adults</v>
      </c>
      <c r="AB11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163" t="str" cm="1">
        <f t="array" ref="AC1163">_xlfn.IFS(Table2[[#This Row],[Satification_points]]&gt;=4.5,"GREAT",AND(Table2[[#This Row],[Satification_points]]&gt;=4,Table2[[#This Row],[Satification_points]]&lt;4.5),"GOOD",AND(Table2[[#This Row],[Satification_points]]&gt;=3,Table2[[#This Row],[Satification_points]]&lt;4),"AVERAGE",Table2[[#This Row],[Satification_points]]&lt;3,"POOR")</f>
        <v>POOR</v>
      </c>
    </row>
    <row r="1164" spans="1:29" x14ac:dyDescent="0.3">
      <c r="A1164">
        <v>1163</v>
      </c>
      <c r="B1164">
        <v>53064</v>
      </c>
      <c r="C1164" t="s">
        <v>1210</v>
      </c>
      <c r="D1164" t="s">
        <v>26</v>
      </c>
      <c r="E1164" t="s">
        <v>45</v>
      </c>
      <c r="F1164" s="1">
        <v>44949</v>
      </c>
      <c r="G1164" s="1">
        <v>45326</v>
      </c>
      <c r="H1164">
        <v>6</v>
      </c>
      <c r="I1164" t="s">
        <v>42</v>
      </c>
      <c r="J1164" t="s">
        <v>53</v>
      </c>
      <c r="K1164">
        <v>4</v>
      </c>
      <c r="L1164">
        <v>2</v>
      </c>
      <c r="M1164">
        <v>3</v>
      </c>
      <c r="N1164">
        <v>1</v>
      </c>
      <c r="O1164">
        <v>1</v>
      </c>
      <c r="P1164">
        <v>2</v>
      </c>
      <c r="Q1164">
        <v>3</v>
      </c>
      <c r="R1164">
        <v>5</v>
      </c>
      <c r="S1164">
        <v>5</v>
      </c>
      <c r="T1164">
        <v>1</v>
      </c>
      <c r="U1164" t="s">
        <v>37</v>
      </c>
      <c r="V1164" t="s">
        <v>54</v>
      </c>
      <c r="W1164" t="s">
        <v>32</v>
      </c>
      <c r="X1164" t="s">
        <v>44</v>
      </c>
      <c r="Y1164">
        <v>18</v>
      </c>
      <c r="Z1164" s="1">
        <v>45326</v>
      </c>
      <c r="AA1164" t="str" cm="1">
        <f t="array" ref="AA1164">_xlfn.IFS(AND(Table2[[#This Row],[Guest_Age]]&gt;=18,Table2[[#This Row],[Guest_Age]]&lt;=25),"Young Adults",AND(Table2[[#This Row],[Guest_Age]]&gt;=26,Table2[[#This Row],[Guest_Age]]&lt;=35),"Adults",AND(Table2[[#This Row],[Guest_Age]]&gt;=36,Table2[[#This Row],[Guest_Age]]&lt;=50),"Middle Aged Adults",Table2[[#This Row],[Guest_Age]]&gt;50,"Senior")</f>
        <v>Young Adults</v>
      </c>
      <c r="AB11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64" t="str" cm="1">
        <f t="array" ref="AC1164">_xlfn.IFS(Table2[[#This Row],[Satification_points]]&gt;=4.5,"GREAT",AND(Table2[[#This Row],[Satification_points]]&gt;=4,Table2[[#This Row],[Satification_points]]&lt;4.5),"GOOD",AND(Table2[[#This Row],[Satification_points]]&gt;=3,Table2[[#This Row],[Satification_points]]&lt;4),"AVERAGE",Table2[[#This Row],[Satification_points]]&lt;3,"POOR")</f>
        <v>POOR</v>
      </c>
    </row>
    <row r="1165" spans="1:29" x14ac:dyDescent="0.3">
      <c r="A1165">
        <v>1164</v>
      </c>
      <c r="B1165">
        <v>32954</v>
      </c>
      <c r="C1165" t="s">
        <v>1211</v>
      </c>
      <c r="D1165" t="s">
        <v>51</v>
      </c>
      <c r="E1165" t="s">
        <v>57</v>
      </c>
      <c r="F1165" s="1">
        <v>45123</v>
      </c>
      <c r="G1165" s="1">
        <v>45256</v>
      </c>
      <c r="H1165">
        <v>3</v>
      </c>
      <c r="I1165" t="s">
        <v>49</v>
      </c>
      <c r="J1165" t="s">
        <v>43</v>
      </c>
      <c r="K1165">
        <v>4</v>
      </c>
      <c r="L1165">
        <v>3</v>
      </c>
      <c r="M1165">
        <v>4</v>
      </c>
      <c r="N1165">
        <v>2</v>
      </c>
      <c r="O1165">
        <v>2</v>
      </c>
      <c r="P1165">
        <v>5</v>
      </c>
      <c r="Q1165">
        <v>5</v>
      </c>
      <c r="R1165">
        <v>4</v>
      </c>
      <c r="S1165">
        <v>1</v>
      </c>
      <c r="T1165">
        <v>4</v>
      </c>
      <c r="U1165" t="s">
        <v>37</v>
      </c>
      <c r="V1165" t="s">
        <v>38</v>
      </c>
      <c r="W1165" t="s">
        <v>56</v>
      </c>
      <c r="X1165" t="s">
        <v>44</v>
      </c>
      <c r="Y1165">
        <v>68</v>
      </c>
      <c r="Z1165" s="1">
        <v>45365</v>
      </c>
      <c r="AA1165" t="str" cm="1">
        <f t="array" ref="AA1165">_xlfn.IFS(AND(Table2[[#This Row],[Guest_Age]]&gt;=18,Table2[[#This Row],[Guest_Age]]&lt;=25),"Young Adults",AND(Table2[[#This Row],[Guest_Age]]&gt;=26,Table2[[#This Row],[Guest_Age]]&lt;=35),"Adults",AND(Table2[[#This Row],[Guest_Age]]&gt;=36,Table2[[#This Row],[Guest_Age]]&lt;=50),"Middle Aged Adults",Table2[[#This Row],[Guest_Age]]&gt;50,"Senior")</f>
        <v>Senior</v>
      </c>
      <c r="AB11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65" t="str" cm="1">
        <f t="array" ref="AC1165">_xlfn.IFS(Table2[[#This Row],[Satification_points]]&gt;=4.5,"GREAT",AND(Table2[[#This Row],[Satification_points]]&gt;=4,Table2[[#This Row],[Satification_points]]&lt;4.5),"GOOD",AND(Table2[[#This Row],[Satification_points]]&gt;=3,Table2[[#This Row],[Satification_points]]&lt;4),"AVERAGE",Table2[[#This Row],[Satification_points]]&lt;3,"POOR")</f>
        <v>AVERAGE</v>
      </c>
    </row>
    <row r="1166" spans="1:29" x14ac:dyDescent="0.3">
      <c r="A1166">
        <v>1165</v>
      </c>
      <c r="B1166">
        <v>49051</v>
      </c>
      <c r="C1166" t="s">
        <v>1212</v>
      </c>
      <c r="D1166" t="s">
        <v>48</v>
      </c>
      <c r="E1166" t="s">
        <v>45</v>
      </c>
      <c r="F1166" s="1">
        <v>45287</v>
      </c>
      <c r="G1166" s="1">
        <v>45570</v>
      </c>
      <c r="H1166">
        <v>10</v>
      </c>
      <c r="I1166" t="s">
        <v>28</v>
      </c>
      <c r="J1166" t="s">
        <v>43</v>
      </c>
      <c r="K1166">
        <v>5</v>
      </c>
      <c r="L1166">
        <v>1</v>
      </c>
      <c r="M1166">
        <v>5</v>
      </c>
      <c r="N1166">
        <v>4</v>
      </c>
      <c r="O1166">
        <v>3</v>
      </c>
      <c r="P1166">
        <v>2</v>
      </c>
      <c r="Q1166">
        <v>4</v>
      </c>
      <c r="R1166">
        <v>2</v>
      </c>
      <c r="S1166">
        <v>1</v>
      </c>
      <c r="T1166">
        <v>3</v>
      </c>
      <c r="U1166" t="s">
        <v>37</v>
      </c>
      <c r="V1166" t="s">
        <v>54</v>
      </c>
      <c r="W1166" t="s">
        <v>32</v>
      </c>
      <c r="X1166" t="s">
        <v>44</v>
      </c>
      <c r="Y1166">
        <v>58</v>
      </c>
      <c r="Z1166" s="1">
        <v>45570</v>
      </c>
      <c r="AA1166" t="str" cm="1">
        <f t="array" ref="AA1166">_xlfn.IFS(AND(Table2[[#This Row],[Guest_Age]]&gt;=18,Table2[[#This Row],[Guest_Age]]&lt;=25),"Young Adults",AND(Table2[[#This Row],[Guest_Age]]&gt;=26,Table2[[#This Row],[Guest_Age]]&lt;=35),"Adults",AND(Table2[[#This Row],[Guest_Age]]&gt;=36,Table2[[#This Row],[Guest_Age]]&lt;=50),"Middle Aged Adults",Table2[[#This Row],[Guest_Age]]&gt;50,"Senior")</f>
        <v>Senior</v>
      </c>
      <c r="AB11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66" t="str" cm="1">
        <f t="array" ref="AC1166">_xlfn.IFS(Table2[[#This Row],[Satification_points]]&gt;=4.5,"GREAT",AND(Table2[[#This Row],[Satification_points]]&gt;=4,Table2[[#This Row],[Satification_points]]&lt;4.5),"GOOD",AND(Table2[[#This Row],[Satification_points]]&gt;=3,Table2[[#This Row],[Satification_points]]&lt;4),"AVERAGE",Table2[[#This Row],[Satification_points]]&lt;3,"POOR")</f>
        <v>AVERAGE</v>
      </c>
    </row>
    <row r="1167" spans="1:29" x14ac:dyDescent="0.3">
      <c r="A1167">
        <v>1166</v>
      </c>
      <c r="B1167">
        <v>96167</v>
      </c>
      <c r="C1167" t="s">
        <v>1213</v>
      </c>
      <c r="D1167" t="s">
        <v>48</v>
      </c>
      <c r="E1167" t="s">
        <v>27</v>
      </c>
      <c r="F1167" s="1">
        <v>45626</v>
      </c>
      <c r="G1167" s="1">
        <v>45627</v>
      </c>
      <c r="H1167">
        <v>5</v>
      </c>
      <c r="I1167" t="s">
        <v>49</v>
      </c>
      <c r="J1167" t="s">
        <v>29</v>
      </c>
      <c r="K1167">
        <v>2</v>
      </c>
      <c r="L1167">
        <v>2</v>
      </c>
      <c r="M1167">
        <v>1</v>
      </c>
      <c r="N1167">
        <v>1</v>
      </c>
      <c r="O1167">
        <v>4</v>
      </c>
      <c r="P1167">
        <v>2</v>
      </c>
      <c r="Q1167">
        <v>2</v>
      </c>
      <c r="R1167">
        <v>2</v>
      </c>
      <c r="S1167">
        <v>3</v>
      </c>
      <c r="T1167">
        <v>1</v>
      </c>
      <c r="U1167" t="s">
        <v>30</v>
      </c>
      <c r="V1167" t="s">
        <v>58</v>
      </c>
      <c r="W1167" t="s">
        <v>47</v>
      </c>
      <c r="X1167" t="s">
        <v>40</v>
      </c>
      <c r="Y1167">
        <v>53</v>
      </c>
      <c r="Z1167" s="1">
        <v>45627</v>
      </c>
      <c r="AA1167" t="str" cm="1">
        <f t="array" ref="AA1167">_xlfn.IFS(AND(Table2[[#This Row],[Guest_Age]]&gt;=18,Table2[[#This Row],[Guest_Age]]&lt;=25),"Young Adults",AND(Table2[[#This Row],[Guest_Age]]&gt;=26,Table2[[#This Row],[Guest_Age]]&lt;=35),"Adults",AND(Table2[[#This Row],[Guest_Age]]&gt;=36,Table2[[#This Row],[Guest_Age]]&lt;=50),"Middle Aged Adults",Table2[[#This Row],[Guest_Age]]&gt;50,"Senior")</f>
        <v>Senior</v>
      </c>
      <c r="AB11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167" t="str" cm="1">
        <f t="array" ref="AC1167">_xlfn.IFS(Table2[[#This Row],[Satification_points]]&gt;=4.5,"GREAT",AND(Table2[[#This Row],[Satification_points]]&gt;=4,Table2[[#This Row],[Satification_points]]&lt;4.5),"GOOD",AND(Table2[[#This Row],[Satification_points]]&gt;=3,Table2[[#This Row],[Satification_points]]&lt;4),"AVERAGE",Table2[[#This Row],[Satification_points]]&lt;3,"POOR")</f>
        <v>POOR</v>
      </c>
    </row>
    <row r="1168" spans="1:29" x14ac:dyDescent="0.3">
      <c r="A1168">
        <v>1167</v>
      </c>
      <c r="B1168">
        <v>16574</v>
      </c>
      <c r="C1168" t="s">
        <v>1214</v>
      </c>
      <c r="D1168" t="s">
        <v>34</v>
      </c>
      <c r="E1168" t="s">
        <v>35</v>
      </c>
      <c r="F1168" s="1">
        <v>45353</v>
      </c>
      <c r="G1168" s="1">
        <v>45354</v>
      </c>
      <c r="H1168">
        <v>13</v>
      </c>
      <c r="I1168" t="s">
        <v>50</v>
      </c>
      <c r="J1168" t="s">
        <v>43</v>
      </c>
      <c r="K1168">
        <v>2</v>
      </c>
      <c r="L1168">
        <v>2</v>
      </c>
      <c r="M1168">
        <v>1</v>
      </c>
      <c r="N1168">
        <v>4</v>
      </c>
      <c r="O1168">
        <v>1</v>
      </c>
      <c r="P1168">
        <v>3</v>
      </c>
      <c r="Q1168">
        <v>5</v>
      </c>
      <c r="R1168">
        <v>4</v>
      </c>
      <c r="S1168">
        <v>1</v>
      </c>
      <c r="T1168">
        <v>1</v>
      </c>
      <c r="U1168" t="s">
        <v>37</v>
      </c>
      <c r="V1168" t="s">
        <v>54</v>
      </c>
      <c r="W1168" t="s">
        <v>56</v>
      </c>
      <c r="X1168" t="s">
        <v>40</v>
      </c>
      <c r="Y1168">
        <v>49</v>
      </c>
      <c r="Z1168" s="1">
        <v>45646</v>
      </c>
      <c r="AA1168" t="str" cm="1">
        <f t="array" ref="AA116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168" t="str" cm="1">
        <f t="array" ref="AC1168">_xlfn.IFS(Table2[[#This Row],[Satification_points]]&gt;=4.5,"GREAT",AND(Table2[[#This Row],[Satification_points]]&gt;=4,Table2[[#This Row],[Satification_points]]&lt;4.5),"GOOD",AND(Table2[[#This Row],[Satification_points]]&gt;=3,Table2[[#This Row],[Satification_points]]&lt;4),"AVERAGE",Table2[[#This Row],[Satification_points]]&lt;3,"POOR")</f>
        <v>POOR</v>
      </c>
    </row>
    <row r="1169" spans="1:29" x14ac:dyDescent="0.3">
      <c r="A1169">
        <v>1168</v>
      </c>
      <c r="B1169">
        <v>42381</v>
      </c>
      <c r="C1169" t="s">
        <v>1215</v>
      </c>
      <c r="D1169" t="s">
        <v>34</v>
      </c>
      <c r="E1169" t="s">
        <v>35</v>
      </c>
      <c r="F1169" s="1">
        <v>45143</v>
      </c>
      <c r="G1169" s="1">
        <v>45326</v>
      </c>
      <c r="H1169">
        <v>1</v>
      </c>
      <c r="I1169" t="s">
        <v>50</v>
      </c>
      <c r="J1169" t="s">
        <v>29</v>
      </c>
      <c r="K1169">
        <v>5</v>
      </c>
      <c r="L1169">
        <v>1</v>
      </c>
      <c r="M1169">
        <v>3</v>
      </c>
      <c r="N1169">
        <v>4</v>
      </c>
      <c r="O1169">
        <v>1</v>
      </c>
      <c r="P1169">
        <v>4</v>
      </c>
      <c r="Q1169">
        <v>5</v>
      </c>
      <c r="R1169">
        <v>5</v>
      </c>
      <c r="S1169">
        <v>3</v>
      </c>
      <c r="T1169">
        <v>2</v>
      </c>
      <c r="U1169" t="s">
        <v>30</v>
      </c>
      <c r="V1169" t="s">
        <v>58</v>
      </c>
      <c r="W1169" t="s">
        <v>32</v>
      </c>
      <c r="X1169" t="s">
        <v>33</v>
      </c>
      <c r="Y1169">
        <v>22</v>
      </c>
      <c r="Z1169" s="1">
        <v>45326</v>
      </c>
      <c r="AA1169" t="str" cm="1">
        <f t="array" ref="AA1169">_xlfn.IFS(AND(Table2[[#This Row],[Guest_Age]]&gt;=18,Table2[[#This Row],[Guest_Age]]&lt;=25),"Young Adults",AND(Table2[[#This Row],[Guest_Age]]&gt;=26,Table2[[#This Row],[Guest_Age]]&lt;=35),"Adults",AND(Table2[[#This Row],[Guest_Age]]&gt;=36,Table2[[#This Row],[Guest_Age]]&lt;=50),"Middle Aged Adults",Table2[[#This Row],[Guest_Age]]&gt;50,"Senior")</f>
        <v>Young Adults</v>
      </c>
      <c r="AB11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69" t="str" cm="1">
        <f t="array" ref="AC1169">_xlfn.IFS(Table2[[#This Row],[Satification_points]]&gt;=4.5,"GREAT",AND(Table2[[#This Row],[Satification_points]]&gt;=4,Table2[[#This Row],[Satification_points]]&lt;4.5),"GOOD",AND(Table2[[#This Row],[Satification_points]]&gt;=3,Table2[[#This Row],[Satification_points]]&lt;4),"AVERAGE",Table2[[#This Row],[Satification_points]]&lt;3,"POOR")</f>
        <v>AVERAGE</v>
      </c>
    </row>
    <row r="1170" spans="1:29" x14ac:dyDescent="0.3">
      <c r="A1170">
        <v>1169</v>
      </c>
      <c r="B1170">
        <v>36039</v>
      </c>
      <c r="C1170" t="s">
        <v>1216</v>
      </c>
      <c r="D1170" t="s">
        <v>41</v>
      </c>
      <c r="E1170" t="s">
        <v>35</v>
      </c>
      <c r="F1170" s="1">
        <v>45592</v>
      </c>
      <c r="G1170" s="1">
        <v>45593</v>
      </c>
      <c r="H1170">
        <v>6</v>
      </c>
      <c r="I1170" t="s">
        <v>28</v>
      </c>
      <c r="J1170" t="s">
        <v>53</v>
      </c>
      <c r="K1170">
        <v>4</v>
      </c>
      <c r="L1170">
        <v>1</v>
      </c>
      <c r="M1170">
        <v>4</v>
      </c>
      <c r="N1170">
        <v>5</v>
      </c>
      <c r="O1170">
        <v>2</v>
      </c>
      <c r="P1170">
        <v>3</v>
      </c>
      <c r="Q1170">
        <v>4</v>
      </c>
      <c r="R1170">
        <v>1</v>
      </c>
      <c r="S1170">
        <v>5</v>
      </c>
      <c r="T1170">
        <v>5</v>
      </c>
      <c r="U1170" t="s">
        <v>37</v>
      </c>
      <c r="V1170" t="s">
        <v>46</v>
      </c>
      <c r="W1170" t="s">
        <v>39</v>
      </c>
      <c r="X1170" t="s">
        <v>44</v>
      </c>
      <c r="Y1170">
        <v>66</v>
      </c>
      <c r="Z1170" s="1">
        <v>45593</v>
      </c>
      <c r="AA1170" t="str" cm="1">
        <f t="array" ref="AA1170">_xlfn.IFS(AND(Table2[[#This Row],[Guest_Age]]&gt;=18,Table2[[#This Row],[Guest_Age]]&lt;=25),"Young Adults",AND(Table2[[#This Row],[Guest_Age]]&gt;=26,Table2[[#This Row],[Guest_Age]]&lt;=35),"Adults",AND(Table2[[#This Row],[Guest_Age]]&gt;=36,Table2[[#This Row],[Guest_Age]]&lt;=50),"Middle Aged Adults",Table2[[#This Row],[Guest_Age]]&gt;50,"Senior")</f>
        <v>Senior</v>
      </c>
      <c r="AB11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70" t="str" cm="1">
        <f t="array" ref="AC1170">_xlfn.IFS(Table2[[#This Row],[Satification_points]]&gt;=4.5,"GREAT",AND(Table2[[#This Row],[Satification_points]]&gt;=4,Table2[[#This Row],[Satification_points]]&lt;4.5),"GOOD",AND(Table2[[#This Row],[Satification_points]]&gt;=3,Table2[[#This Row],[Satification_points]]&lt;4),"AVERAGE",Table2[[#This Row],[Satification_points]]&lt;3,"POOR")</f>
        <v>AVERAGE</v>
      </c>
    </row>
    <row r="1171" spans="1:29" x14ac:dyDescent="0.3">
      <c r="A1171">
        <v>1170</v>
      </c>
      <c r="B1171">
        <v>15331</v>
      </c>
      <c r="C1171" t="s">
        <v>1217</v>
      </c>
      <c r="D1171" t="s">
        <v>41</v>
      </c>
      <c r="E1171" t="s">
        <v>35</v>
      </c>
      <c r="F1171" s="1">
        <v>45633</v>
      </c>
      <c r="G1171" s="1">
        <v>45634</v>
      </c>
      <c r="H1171">
        <v>7</v>
      </c>
      <c r="I1171" t="s">
        <v>49</v>
      </c>
      <c r="J1171" t="s">
        <v>53</v>
      </c>
      <c r="K1171">
        <v>3</v>
      </c>
      <c r="L1171">
        <v>1</v>
      </c>
      <c r="M1171">
        <v>4</v>
      </c>
      <c r="N1171">
        <v>3</v>
      </c>
      <c r="O1171">
        <v>5</v>
      </c>
      <c r="P1171">
        <v>5</v>
      </c>
      <c r="Q1171">
        <v>5</v>
      </c>
      <c r="R1171">
        <v>4</v>
      </c>
      <c r="S1171">
        <v>3</v>
      </c>
      <c r="T1171">
        <v>1</v>
      </c>
      <c r="U1171" t="s">
        <v>37</v>
      </c>
      <c r="V1171" t="s">
        <v>54</v>
      </c>
      <c r="W1171" t="s">
        <v>56</v>
      </c>
      <c r="X1171" t="s">
        <v>44</v>
      </c>
      <c r="Y1171">
        <v>24</v>
      </c>
      <c r="Z1171" s="1">
        <v>45634</v>
      </c>
      <c r="AA1171" t="str" cm="1">
        <f t="array" ref="AA1171">_xlfn.IFS(AND(Table2[[#This Row],[Guest_Age]]&gt;=18,Table2[[#This Row],[Guest_Age]]&lt;=25),"Young Adults",AND(Table2[[#This Row],[Guest_Age]]&gt;=26,Table2[[#This Row],[Guest_Age]]&lt;=35),"Adults",AND(Table2[[#This Row],[Guest_Age]]&gt;=36,Table2[[#This Row],[Guest_Age]]&lt;=50),"Middle Aged Adults",Table2[[#This Row],[Guest_Age]]&gt;50,"Senior")</f>
        <v>Young Adults</v>
      </c>
      <c r="AB11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71" t="str" cm="1">
        <f t="array" ref="AC1171">_xlfn.IFS(Table2[[#This Row],[Satification_points]]&gt;=4.5,"GREAT",AND(Table2[[#This Row],[Satification_points]]&gt;=4,Table2[[#This Row],[Satification_points]]&lt;4.5),"GOOD",AND(Table2[[#This Row],[Satification_points]]&gt;=3,Table2[[#This Row],[Satification_points]]&lt;4),"AVERAGE",Table2[[#This Row],[Satification_points]]&lt;3,"POOR")</f>
        <v>AVERAGE</v>
      </c>
    </row>
    <row r="1172" spans="1:29" x14ac:dyDescent="0.3">
      <c r="A1172">
        <v>1171</v>
      </c>
      <c r="B1172">
        <v>40412</v>
      </c>
      <c r="C1172" t="s">
        <v>1218</v>
      </c>
      <c r="D1172" t="s">
        <v>51</v>
      </c>
      <c r="E1172" t="s">
        <v>57</v>
      </c>
      <c r="F1172" s="1">
        <v>45554</v>
      </c>
      <c r="G1172" s="1">
        <v>45555</v>
      </c>
      <c r="H1172">
        <v>5</v>
      </c>
      <c r="I1172" t="s">
        <v>28</v>
      </c>
      <c r="J1172" t="s">
        <v>29</v>
      </c>
      <c r="K1172">
        <v>1</v>
      </c>
      <c r="L1172">
        <v>4</v>
      </c>
      <c r="M1172">
        <v>2</v>
      </c>
      <c r="N1172">
        <v>2</v>
      </c>
      <c r="O1172">
        <v>5</v>
      </c>
      <c r="P1172">
        <v>2</v>
      </c>
      <c r="Q1172">
        <v>5</v>
      </c>
      <c r="R1172">
        <v>4</v>
      </c>
      <c r="S1172">
        <v>2</v>
      </c>
      <c r="T1172">
        <v>4</v>
      </c>
      <c r="U1172" t="s">
        <v>30</v>
      </c>
      <c r="V1172" t="s">
        <v>54</v>
      </c>
      <c r="W1172" t="s">
        <v>56</v>
      </c>
      <c r="X1172" t="s">
        <v>33</v>
      </c>
      <c r="Y1172">
        <v>67</v>
      </c>
      <c r="Z1172" s="1">
        <v>45555</v>
      </c>
      <c r="AA1172" t="str" cm="1">
        <f t="array" ref="AA1172">_xlfn.IFS(AND(Table2[[#This Row],[Guest_Age]]&gt;=18,Table2[[#This Row],[Guest_Age]]&lt;=25),"Young Adults",AND(Table2[[#This Row],[Guest_Age]]&gt;=26,Table2[[#This Row],[Guest_Age]]&lt;=35),"Adults",AND(Table2[[#This Row],[Guest_Age]]&gt;=36,Table2[[#This Row],[Guest_Age]]&lt;=50),"Middle Aged Adults",Table2[[#This Row],[Guest_Age]]&gt;50,"Senior")</f>
        <v>Senior</v>
      </c>
      <c r="AB11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72" t="str" cm="1">
        <f t="array" ref="AC1172">_xlfn.IFS(Table2[[#This Row],[Satification_points]]&gt;=4.5,"GREAT",AND(Table2[[#This Row],[Satification_points]]&gt;=4,Table2[[#This Row],[Satification_points]]&lt;4.5),"GOOD",AND(Table2[[#This Row],[Satification_points]]&gt;=3,Table2[[#This Row],[Satification_points]]&lt;4),"AVERAGE",Table2[[#This Row],[Satification_points]]&lt;3,"POOR")</f>
        <v>AVERAGE</v>
      </c>
    </row>
    <row r="1173" spans="1:29" x14ac:dyDescent="0.3">
      <c r="A1173">
        <v>1172</v>
      </c>
      <c r="B1173">
        <v>93857</v>
      </c>
      <c r="C1173" t="s">
        <v>1219</v>
      </c>
      <c r="D1173" t="s">
        <v>34</v>
      </c>
      <c r="E1173" t="s">
        <v>27</v>
      </c>
      <c r="F1173" s="1">
        <v>45122</v>
      </c>
      <c r="G1173" s="1">
        <v>45517</v>
      </c>
      <c r="H1173">
        <v>5</v>
      </c>
      <c r="I1173" t="s">
        <v>28</v>
      </c>
      <c r="J1173" t="s">
        <v>43</v>
      </c>
      <c r="K1173">
        <v>4</v>
      </c>
      <c r="L1173">
        <v>5</v>
      </c>
      <c r="M1173">
        <v>4</v>
      </c>
      <c r="N1173">
        <v>1</v>
      </c>
      <c r="O1173">
        <v>5</v>
      </c>
      <c r="P1173">
        <v>5</v>
      </c>
      <c r="Q1173">
        <v>1</v>
      </c>
      <c r="R1173">
        <v>4</v>
      </c>
      <c r="S1173">
        <v>4</v>
      </c>
      <c r="T1173">
        <v>2</v>
      </c>
      <c r="U1173" t="s">
        <v>30</v>
      </c>
      <c r="V1173" t="s">
        <v>46</v>
      </c>
      <c r="W1173" t="s">
        <v>56</v>
      </c>
      <c r="X1173" t="s">
        <v>33</v>
      </c>
      <c r="Y1173">
        <v>62</v>
      </c>
      <c r="Z1173" s="1">
        <v>45517</v>
      </c>
      <c r="AA1173" t="str" cm="1">
        <f t="array" ref="AA1173">_xlfn.IFS(AND(Table2[[#This Row],[Guest_Age]]&gt;=18,Table2[[#This Row],[Guest_Age]]&lt;=25),"Young Adults",AND(Table2[[#This Row],[Guest_Age]]&gt;=26,Table2[[#This Row],[Guest_Age]]&lt;=35),"Adults",AND(Table2[[#This Row],[Guest_Age]]&gt;=36,Table2[[#This Row],[Guest_Age]]&lt;=50),"Middle Aged Adults",Table2[[#This Row],[Guest_Age]]&gt;50,"Senior")</f>
        <v>Senior</v>
      </c>
      <c r="AB11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173" t="str" cm="1">
        <f t="array" ref="AC1173">_xlfn.IFS(Table2[[#This Row],[Satification_points]]&gt;=4.5,"GREAT",AND(Table2[[#This Row],[Satification_points]]&gt;=4,Table2[[#This Row],[Satification_points]]&lt;4.5),"GOOD",AND(Table2[[#This Row],[Satification_points]]&gt;=3,Table2[[#This Row],[Satification_points]]&lt;4),"AVERAGE",Table2[[#This Row],[Satification_points]]&lt;3,"POOR")</f>
        <v>AVERAGE</v>
      </c>
    </row>
    <row r="1174" spans="1:29" x14ac:dyDescent="0.3">
      <c r="A1174">
        <v>1173</v>
      </c>
      <c r="B1174">
        <v>27458</v>
      </c>
      <c r="C1174" t="s">
        <v>1220</v>
      </c>
      <c r="D1174" t="s">
        <v>48</v>
      </c>
      <c r="E1174" t="s">
        <v>27</v>
      </c>
      <c r="F1174" s="1">
        <v>45493</v>
      </c>
      <c r="G1174" s="1">
        <v>45494</v>
      </c>
      <c r="H1174">
        <v>13</v>
      </c>
      <c r="I1174" t="s">
        <v>42</v>
      </c>
      <c r="J1174" t="s">
        <v>36</v>
      </c>
      <c r="K1174">
        <v>4</v>
      </c>
      <c r="L1174">
        <v>2</v>
      </c>
      <c r="M1174">
        <v>3</v>
      </c>
      <c r="N1174">
        <v>4</v>
      </c>
      <c r="O1174">
        <v>5</v>
      </c>
      <c r="P1174">
        <v>5</v>
      </c>
      <c r="Q1174">
        <v>3</v>
      </c>
      <c r="R1174">
        <v>5</v>
      </c>
      <c r="S1174">
        <v>1</v>
      </c>
      <c r="T1174">
        <v>5</v>
      </c>
      <c r="U1174" t="s">
        <v>37</v>
      </c>
      <c r="V1174" t="s">
        <v>54</v>
      </c>
      <c r="W1174" t="s">
        <v>32</v>
      </c>
      <c r="X1174" t="s">
        <v>44</v>
      </c>
      <c r="Y1174">
        <v>49</v>
      </c>
      <c r="Z1174" s="1">
        <v>45561</v>
      </c>
      <c r="AA1174" t="str" cm="1">
        <f t="array" ref="AA117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174" t="str" cm="1">
        <f t="array" ref="AC1174">_xlfn.IFS(Table2[[#This Row],[Satification_points]]&gt;=4.5,"GREAT",AND(Table2[[#This Row],[Satification_points]]&gt;=4,Table2[[#This Row],[Satification_points]]&lt;4.5),"GOOD",AND(Table2[[#This Row],[Satification_points]]&gt;=3,Table2[[#This Row],[Satification_points]]&lt;4),"AVERAGE",Table2[[#This Row],[Satification_points]]&lt;3,"POOR")</f>
        <v>AVERAGE</v>
      </c>
    </row>
    <row r="1175" spans="1:29" x14ac:dyDescent="0.3">
      <c r="A1175">
        <v>1174</v>
      </c>
      <c r="B1175">
        <v>24058</v>
      </c>
      <c r="C1175" t="s">
        <v>1221</v>
      </c>
      <c r="D1175" t="s">
        <v>51</v>
      </c>
      <c r="E1175" t="s">
        <v>27</v>
      </c>
      <c r="F1175" s="1">
        <v>45613</v>
      </c>
      <c r="G1175" s="1">
        <v>45614</v>
      </c>
      <c r="H1175">
        <v>6</v>
      </c>
      <c r="I1175" t="s">
        <v>49</v>
      </c>
      <c r="J1175" t="s">
        <v>36</v>
      </c>
      <c r="K1175">
        <v>1</v>
      </c>
      <c r="L1175">
        <v>3</v>
      </c>
      <c r="M1175">
        <v>1</v>
      </c>
      <c r="N1175">
        <v>5</v>
      </c>
      <c r="O1175">
        <v>4</v>
      </c>
      <c r="P1175">
        <v>3</v>
      </c>
      <c r="Q1175">
        <v>2</v>
      </c>
      <c r="R1175">
        <v>5</v>
      </c>
      <c r="S1175">
        <v>5</v>
      </c>
      <c r="T1175">
        <v>1</v>
      </c>
      <c r="U1175" t="s">
        <v>30</v>
      </c>
      <c r="V1175" t="s">
        <v>58</v>
      </c>
      <c r="W1175" t="s">
        <v>47</v>
      </c>
      <c r="X1175" t="s">
        <v>40</v>
      </c>
      <c r="Y1175">
        <v>45</v>
      </c>
      <c r="Z1175" s="1">
        <v>45614</v>
      </c>
      <c r="AA1175" t="str" cm="1">
        <f t="array" ref="AA117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75" t="str" cm="1">
        <f t="array" ref="AC1175">_xlfn.IFS(Table2[[#This Row],[Satification_points]]&gt;=4.5,"GREAT",AND(Table2[[#This Row],[Satification_points]]&gt;=4,Table2[[#This Row],[Satification_points]]&lt;4.5),"GOOD",AND(Table2[[#This Row],[Satification_points]]&gt;=3,Table2[[#This Row],[Satification_points]]&lt;4),"AVERAGE",Table2[[#This Row],[Satification_points]]&lt;3,"POOR")</f>
        <v>AVERAGE</v>
      </c>
    </row>
    <row r="1176" spans="1:29" x14ac:dyDescent="0.3">
      <c r="A1176">
        <v>1175</v>
      </c>
      <c r="B1176">
        <v>45341</v>
      </c>
      <c r="C1176" t="s">
        <v>1222</v>
      </c>
      <c r="D1176" t="s">
        <v>34</v>
      </c>
      <c r="E1176" t="s">
        <v>45</v>
      </c>
      <c r="F1176" s="1">
        <v>45369</v>
      </c>
      <c r="G1176" s="1">
        <v>45570</v>
      </c>
      <c r="H1176">
        <v>7</v>
      </c>
      <c r="I1176" t="s">
        <v>42</v>
      </c>
      <c r="J1176" t="s">
        <v>40</v>
      </c>
      <c r="K1176">
        <v>3</v>
      </c>
      <c r="L1176">
        <v>3</v>
      </c>
      <c r="M1176">
        <v>1</v>
      </c>
      <c r="N1176">
        <v>1</v>
      </c>
      <c r="O1176">
        <v>1</v>
      </c>
      <c r="P1176">
        <v>5</v>
      </c>
      <c r="Q1176">
        <v>4</v>
      </c>
      <c r="R1176">
        <v>4</v>
      </c>
      <c r="S1176">
        <v>4</v>
      </c>
      <c r="T1176">
        <v>3</v>
      </c>
      <c r="U1176" t="s">
        <v>37</v>
      </c>
      <c r="V1176" t="s">
        <v>31</v>
      </c>
      <c r="W1176" t="s">
        <v>55</v>
      </c>
      <c r="X1176" t="s">
        <v>33</v>
      </c>
      <c r="Y1176">
        <v>50</v>
      </c>
      <c r="Z1176" s="1">
        <v>45570</v>
      </c>
      <c r="AA1176" t="str" cm="1">
        <f t="array" ref="AA11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76" t="str" cm="1">
        <f t="array" ref="AC1176">_xlfn.IFS(Table2[[#This Row],[Satification_points]]&gt;=4.5,"GREAT",AND(Table2[[#This Row],[Satification_points]]&gt;=4,Table2[[#This Row],[Satification_points]]&lt;4.5),"GOOD",AND(Table2[[#This Row],[Satification_points]]&gt;=3,Table2[[#This Row],[Satification_points]]&lt;4),"AVERAGE",Table2[[#This Row],[Satification_points]]&lt;3,"POOR")</f>
        <v>POOR</v>
      </c>
    </row>
    <row r="1177" spans="1:29" x14ac:dyDescent="0.3">
      <c r="A1177">
        <v>1176</v>
      </c>
      <c r="B1177">
        <v>45165</v>
      </c>
      <c r="C1177" t="s">
        <v>1223</v>
      </c>
      <c r="D1177" t="s">
        <v>51</v>
      </c>
      <c r="E1177" t="s">
        <v>35</v>
      </c>
      <c r="F1177" s="1">
        <v>45385</v>
      </c>
      <c r="G1177" s="1">
        <v>45666</v>
      </c>
      <c r="H1177">
        <v>4</v>
      </c>
      <c r="I1177" t="s">
        <v>28</v>
      </c>
      <c r="J1177" t="s">
        <v>36</v>
      </c>
      <c r="K1177">
        <v>1</v>
      </c>
      <c r="L1177">
        <v>1</v>
      </c>
      <c r="M1177">
        <v>4</v>
      </c>
      <c r="N1177">
        <v>5</v>
      </c>
      <c r="O1177">
        <v>3</v>
      </c>
      <c r="P1177">
        <v>4</v>
      </c>
      <c r="Q1177">
        <v>1</v>
      </c>
      <c r="R1177">
        <v>2</v>
      </c>
      <c r="S1177">
        <v>4</v>
      </c>
      <c r="T1177">
        <v>2</v>
      </c>
      <c r="U1177" t="s">
        <v>30</v>
      </c>
      <c r="V1177" t="s">
        <v>54</v>
      </c>
      <c r="W1177" t="s">
        <v>55</v>
      </c>
      <c r="X1177" t="s">
        <v>44</v>
      </c>
      <c r="Y1177">
        <v>63</v>
      </c>
      <c r="Z1177" s="1">
        <v>45666</v>
      </c>
      <c r="AA1177" t="str" cm="1">
        <f t="array" ref="AA1177">_xlfn.IFS(AND(Table2[[#This Row],[Guest_Age]]&gt;=18,Table2[[#This Row],[Guest_Age]]&lt;=25),"Young Adults",AND(Table2[[#This Row],[Guest_Age]]&gt;=26,Table2[[#This Row],[Guest_Age]]&lt;=35),"Adults",AND(Table2[[#This Row],[Guest_Age]]&gt;=36,Table2[[#This Row],[Guest_Age]]&lt;=50),"Middle Aged Adults",Table2[[#This Row],[Guest_Age]]&gt;50,"Senior")</f>
        <v>Senior</v>
      </c>
      <c r="AB11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77" t="str" cm="1">
        <f t="array" ref="AC1177">_xlfn.IFS(Table2[[#This Row],[Satification_points]]&gt;=4.5,"GREAT",AND(Table2[[#This Row],[Satification_points]]&gt;=4,Table2[[#This Row],[Satification_points]]&lt;4.5),"GOOD",AND(Table2[[#This Row],[Satification_points]]&gt;=3,Table2[[#This Row],[Satification_points]]&lt;4),"AVERAGE",Table2[[#This Row],[Satification_points]]&lt;3,"POOR")</f>
        <v>POOR</v>
      </c>
    </row>
    <row r="1178" spans="1:29" x14ac:dyDescent="0.3">
      <c r="A1178">
        <v>1177</v>
      </c>
      <c r="B1178">
        <v>68425</v>
      </c>
      <c r="C1178" t="s">
        <v>1224</v>
      </c>
      <c r="D1178" t="s">
        <v>26</v>
      </c>
      <c r="E1178" t="s">
        <v>52</v>
      </c>
      <c r="F1178" s="1">
        <v>45385</v>
      </c>
      <c r="G1178" s="1">
        <v>45386</v>
      </c>
      <c r="H1178">
        <v>7</v>
      </c>
      <c r="I1178" t="s">
        <v>42</v>
      </c>
      <c r="J1178" t="s">
        <v>43</v>
      </c>
      <c r="K1178">
        <v>5</v>
      </c>
      <c r="L1178">
        <v>3</v>
      </c>
      <c r="M1178">
        <v>5</v>
      </c>
      <c r="N1178">
        <v>1</v>
      </c>
      <c r="O1178">
        <v>4</v>
      </c>
      <c r="P1178">
        <v>2</v>
      </c>
      <c r="Q1178">
        <v>2</v>
      </c>
      <c r="R1178">
        <v>1</v>
      </c>
      <c r="S1178">
        <v>5</v>
      </c>
      <c r="T1178">
        <v>3</v>
      </c>
      <c r="U1178" t="s">
        <v>37</v>
      </c>
      <c r="V1178" t="s">
        <v>46</v>
      </c>
      <c r="W1178" t="s">
        <v>55</v>
      </c>
      <c r="X1178" t="s">
        <v>44</v>
      </c>
      <c r="Y1178">
        <v>31</v>
      </c>
      <c r="Z1178" s="1">
        <v>45386</v>
      </c>
      <c r="AA1178" t="str" cm="1">
        <f t="array" ref="AA1178">_xlfn.IFS(AND(Table2[[#This Row],[Guest_Age]]&gt;=18,Table2[[#This Row],[Guest_Age]]&lt;=25),"Young Adults",AND(Table2[[#This Row],[Guest_Age]]&gt;=26,Table2[[#This Row],[Guest_Age]]&lt;=35),"Adults",AND(Table2[[#This Row],[Guest_Age]]&gt;=36,Table2[[#This Row],[Guest_Age]]&lt;=50),"Middle Aged Adults",Table2[[#This Row],[Guest_Age]]&gt;50,"Senior")</f>
        <v>Adults</v>
      </c>
      <c r="AB11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78" t="str" cm="1">
        <f t="array" ref="AC1178">_xlfn.IFS(Table2[[#This Row],[Satification_points]]&gt;=4.5,"GREAT",AND(Table2[[#This Row],[Satification_points]]&gt;=4,Table2[[#This Row],[Satification_points]]&lt;4.5),"GOOD",AND(Table2[[#This Row],[Satification_points]]&gt;=3,Table2[[#This Row],[Satification_points]]&lt;4),"AVERAGE",Table2[[#This Row],[Satification_points]]&lt;3,"POOR")</f>
        <v>AVERAGE</v>
      </c>
    </row>
    <row r="1179" spans="1:29" x14ac:dyDescent="0.3">
      <c r="A1179">
        <v>1178</v>
      </c>
      <c r="B1179">
        <v>10418</v>
      </c>
      <c r="C1179" t="s">
        <v>1225</v>
      </c>
      <c r="D1179" t="s">
        <v>26</v>
      </c>
      <c r="E1179" t="s">
        <v>27</v>
      </c>
      <c r="F1179" s="1">
        <v>45410</v>
      </c>
      <c r="G1179" s="1">
        <v>45411</v>
      </c>
      <c r="H1179">
        <v>5</v>
      </c>
      <c r="I1179" t="s">
        <v>42</v>
      </c>
      <c r="J1179" t="s">
        <v>36</v>
      </c>
      <c r="K1179">
        <v>1</v>
      </c>
      <c r="L1179">
        <v>5</v>
      </c>
      <c r="M1179">
        <v>2</v>
      </c>
      <c r="N1179">
        <v>5</v>
      </c>
      <c r="O1179">
        <v>5</v>
      </c>
      <c r="P1179">
        <v>1</v>
      </c>
      <c r="Q1179">
        <v>2</v>
      </c>
      <c r="R1179">
        <v>3</v>
      </c>
      <c r="S1179">
        <v>4</v>
      </c>
      <c r="T1179">
        <v>4</v>
      </c>
      <c r="U1179" t="s">
        <v>30</v>
      </c>
      <c r="V1179" t="s">
        <v>46</v>
      </c>
      <c r="W1179" t="s">
        <v>32</v>
      </c>
      <c r="X1179" t="s">
        <v>44</v>
      </c>
      <c r="Y1179">
        <v>30</v>
      </c>
      <c r="Z1179" s="1">
        <v>45411</v>
      </c>
      <c r="AA1179" t="str" cm="1">
        <f t="array" ref="AA1179">_xlfn.IFS(AND(Table2[[#This Row],[Guest_Age]]&gt;=18,Table2[[#This Row],[Guest_Age]]&lt;=25),"Young Adults",AND(Table2[[#This Row],[Guest_Age]]&gt;=26,Table2[[#This Row],[Guest_Age]]&lt;=35),"Adults",AND(Table2[[#This Row],[Guest_Age]]&gt;=36,Table2[[#This Row],[Guest_Age]]&lt;=50),"Middle Aged Adults",Table2[[#This Row],[Guest_Age]]&gt;50,"Senior")</f>
        <v>Adults</v>
      </c>
      <c r="AB11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79" t="str" cm="1">
        <f t="array" ref="AC1179">_xlfn.IFS(Table2[[#This Row],[Satification_points]]&gt;=4.5,"GREAT",AND(Table2[[#This Row],[Satification_points]]&gt;=4,Table2[[#This Row],[Satification_points]]&lt;4.5),"GOOD",AND(Table2[[#This Row],[Satification_points]]&gt;=3,Table2[[#This Row],[Satification_points]]&lt;4),"AVERAGE",Table2[[#This Row],[Satification_points]]&lt;3,"POOR")</f>
        <v>AVERAGE</v>
      </c>
    </row>
    <row r="1180" spans="1:29" x14ac:dyDescent="0.3">
      <c r="A1180">
        <v>1179</v>
      </c>
      <c r="B1180">
        <v>92559</v>
      </c>
      <c r="C1180" t="s">
        <v>1226</v>
      </c>
      <c r="D1180" t="s">
        <v>51</v>
      </c>
      <c r="E1180" t="s">
        <v>45</v>
      </c>
      <c r="F1180" s="1">
        <v>45070</v>
      </c>
      <c r="G1180" s="1">
        <v>45251</v>
      </c>
      <c r="H1180">
        <v>7</v>
      </c>
      <c r="I1180" t="s">
        <v>42</v>
      </c>
      <c r="J1180" t="s">
        <v>40</v>
      </c>
      <c r="K1180">
        <v>1</v>
      </c>
      <c r="L1180">
        <v>2</v>
      </c>
      <c r="M1180">
        <v>4</v>
      </c>
      <c r="N1180">
        <v>5</v>
      </c>
      <c r="O1180">
        <v>3</v>
      </c>
      <c r="P1180">
        <v>4</v>
      </c>
      <c r="Q1180">
        <v>1</v>
      </c>
      <c r="R1180">
        <v>4</v>
      </c>
      <c r="S1180">
        <v>3</v>
      </c>
      <c r="T1180">
        <v>2</v>
      </c>
      <c r="U1180" t="s">
        <v>37</v>
      </c>
      <c r="V1180" t="s">
        <v>31</v>
      </c>
      <c r="W1180" t="s">
        <v>39</v>
      </c>
      <c r="X1180" t="s">
        <v>33</v>
      </c>
      <c r="Y1180">
        <v>46</v>
      </c>
      <c r="Z1180" s="1">
        <v>45458</v>
      </c>
      <c r="AA1180" t="str" cm="1">
        <f t="array" ref="AA11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80" t="str" cm="1">
        <f t="array" ref="AC1180">_xlfn.IFS(Table2[[#This Row],[Satification_points]]&gt;=4.5,"GREAT",AND(Table2[[#This Row],[Satification_points]]&gt;=4,Table2[[#This Row],[Satification_points]]&lt;4.5),"GOOD",AND(Table2[[#This Row],[Satification_points]]&gt;=3,Table2[[#This Row],[Satification_points]]&lt;4),"AVERAGE",Table2[[#This Row],[Satification_points]]&lt;3,"POOR")</f>
        <v>POOR</v>
      </c>
    </row>
    <row r="1181" spans="1:29" x14ac:dyDescent="0.3">
      <c r="A1181">
        <v>1180</v>
      </c>
      <c r="B1181">
        <v>61236</v>
      </c>
      <c r="C1181" t="s">
        <v>1227</v>
      </c>
      <c r="D1181" t="s">
        <v>34</v>
      </c>
      <c r="E1181" t="s">
        <v>57</v>
      </c>
      <c r="F1181" s="1">
        <v>45240</v>
      </c>
      <c r="G1181" s="1">
        <v>45241</v>
      </c>
      <c r="H1181">
        <v>1</v>
      </c>
      <c r="I1181" t="s">
        <v>50</v>
      </c>
      <c r="J1181" t="s">
        <v>53</v>
      </c>
      <c r="K1181">
        <v>4</v>
      </c>
      <c r="L1181">
        <v>3</v>
      </c>
      <c r="M1181">
        <v>3</v>
      </c>
      <c r="N1181">
        <v>3</v>
      </c>
      <c r="O1181">
        <v>3</v>
      </c>
      <c r="P1181">
        <v>1</v>
      </c>
      <c r="Q1181">
        <v>4</v>
      </c>
      <c r="R1181">
        <v>4</v>
      </c>
      <c r="S1181">
        <v>5</v>
      </c>
      <c r="T1181">
        <v>2</v>
      </c>
      <c r="U1181" t="s">
        <v>30</v>
      </c>
      <c r="V1181" t="s">
        <v>58</v>
      </c>
      <c r="W1181" t="s">
        <v>56</v>
      </c>
      <c r="X1181" t="s">
        <v>33</v>
      </c>
      <c r="Y1181">
        <v>67</v>
      </c>
      <c r="Z1181" s="1">
        <v>45241</v>
      </c>
      <c r="AA1181" t="str" cm="1">
        <f t="array" ref="AA1181">_xlfn.IFS(AND(Table2[[#This Row],[Guest_Age]]&gt;=18,Table2[[#This Row],[Guest_Age]]&lt;=25),"Young Adults",AND(Table2[[#This Row],[Guest_Age]]&gt;=26,Table2[[#This Row],[Guest_Age]]&lt;=35),"Adults",AND(Table2[[#This Row],[Guest_Age]]&gt;=36,Table2[[#This Row],[Guest_Age]]&lt;=50),"Middle Aged Adults",Table2[[#This Row],[Guest_Age]]&gt;50,"Senior")</f>
        <v>Senior</v>
      </c>
      <c r="AB11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181" t="str" cm="1">
        <f t="array" ref="AC1181">_xlfn.IFS(Table2[[#This Row],[Satification_points]]&gt;=4.5,"GREAT",AND(Table2[[#This Row],[Satification_points]]&gt;=4,Table2[[#This Row],[Satification_points]]&lt;4.5),"GOOD",AND(Table2[[#This Row],[Satification_points]]&gt;=3,Table2[[#This Row],[Satification_points]]&lt;4),"AVERAGE",Table2[[#This Row],[Satification_points]]&lt;3,"POOR")</f>
        <v>AVERAGE</v>
      </c>
    </row>
    <row r="1182" spans="1:29" x14ac:dyDescent="0.3">
      <c r="A1182">
        <v>1181</v>
      </c>
      <c r="B1182">
        <v>47357</v>
      </c>
      <c r="C1182" t="s">
        <v>1228</v>
      </c>
      <c r="D1182" t="s">
        <v>26</v>
      </c>
      <c r="E1182" t="s">
        <v>35</v>
      </c>
      <c r="F1182" s="1">
        <v>45655</v>
      </c>
      <c r="G1182" s="1">
        <v>45656</v>
      </c>
      <c r="H1182">
        <v>10</v>
      </c>
      <c r="I1182" t="s">
        <v>50</v>
      </c>
      <c r="J1182" t="s">
        <v>29</v>
      </c>
      <c r="K1182">
        <v>4</v>
      </c>
      <c r="L1182">
        <v>5</v>
      </c>
      <c r="M1182">
        <v>2</v>
      </c>
      <c r="N1182">
        <v>4</v>
      </c>
      <c r="O1182">
        <v>5</v>
      </c>
      <c r="P1182">
        <v>1</v>
      </c>
      <c r="Q1182">
        <v>3</v>
      </c>
      <c r="R1182">
        <v>5</v>
      </c>
      <c r="S1182">
        <v>5</v>
      </c>
      <c r="T1182">
        <v>2</v>
      </c>
      <c r="U1182" t="s">
        <v>37</v>
      </c>
      <c r="V1182" t="s">
        <v>38</v>
      </c>
      <c r="W1182" t="s">
        <v>56</v>
      </c>
      <c r="X1182" t="s">
        <v>33</v>
      </c>
      <c r="Y1182">
        <v>57</v>
      </c>
      <c r="Z1182" s="1">
        <v>45656</v>
      </c>
      <c r="AA1182" t="str" cm="1">
        <f t="array" ref="AA1182">_xlfn.IFS(AND(Table2[[#This Row],[Guest_Age]]&gt;=18,Table2[[#This Row],[Guest_Age]]&lt;=25),"Young Adults",AND(Table2[[#This Row],[Guest_Age]]&gt;=26,Table2[[#This Row],[Guest_Age]]&lt;=35),"Adults",AND(Table2[[#This Row],[Guest_Age]]&gt;=36,Table2[[#This Row],[Guest_Age]]&lt;=50),"Middle Aged Adults",Table2[[#This Row],[Guest_Age]]&gt;50,"Senior")</f>
        <v>Senior</v>
      </c>
      <c r="AB11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182" t="str" cm="1">
        <f t="array" ref="AC1182">_xlfn.IFS(Table2[[#This Row],[Satification_points]]&gt;=4.5,"GREAT",AND(Table2[[#This Row],[Satification_points]]&gt;=4,Table2[[#This Row],[Satification_points]]&lt;4.5),"GOOD",AND(Table2[[#This Row],[Satification_points]]&gt;=3,Table2[[#This Row],[Satification_points]]&lt;4),"AVERAGE",Table2[[#This Row],[Satification_points]]&lt;3,"POOR")</f>
        <v>AVERAGE</v>
      </c>
    </row>
    <row r="1183" spans="1:29" x14ac:dyDescent="0.3">
      <c r="A1183">
        <v>1182</v>
      </c>
      <c r="B1183">
        <v>92278</v>
      </c>
      <c r="C1183" t="s">
        <v>341</v>
      </c>
      <c r="D1183" t="s">
        <v>26</v>
      </c>
      <c r="E1183" t="s">
        <v>45</v>
      </c>
      <c r="F1183" s="1">
        <v>45183</v>
      </c>
      <c r="G1183" s="1">
        <v>45627</v>
      </c>
      <c r="H1183">
        <v>12</v>
      </c>
      <c r="I1183" t="s">
        <v>42</v>
      </c>
      <c r="J1183" t="s">
        <v>36</v>
      </c>
      <c r="K1183">
        <v>2</v>
      </c>
      <c r="L1183">
        <v>5</v>
      </c>
      <c r="M1183">
        <v>4</v>
      </c>
      <c r="N1183">
        <v>2</v>
      </c>
      <c r="O1183">
        <v>3</v>
      </c>
      <c r="P1183">
        <v>3</v>
      </c>
      <c r="Q1183">
        <v>1</v>
      </c>
      <c r="R1183">
        <v>5</v>
      </c>
      <c r="S1183">
        <v>3</v>
      </c>
      <c r="T1183">
        <v>5</v>
      </c>
      <c r="U1183" t="s">
        <v>30</v>
      </c>
      <c r="V1183" t="s">
        <v>58</v>
      </c>
      <c r="W1183" t="s">
        <v>47</v>
      </c>
      <c r="X1183" t="s">
        <v>44</v>
      </c>
      <c r="Y1183">
        <v>18</v>
      </c>
      <c r="Z1183" s="1">
        <v>45627</v>
      </c>
      <c r="AA1183" t="str" cm="1">
        <f t="array" ref="AA1183">_xlfn.IFS(AND(Table2[[#This Row],[Guest_Age]]&gt;=18,Table2[[#This Row],[Guest_Age]]&lt;=25),"Young Adults",AND(Table2[[#This Row],[Guest_Age]]&gt;=26,Table2[[#This Row],[Guest_Age]]&lt;=35),"Adults",AND(Table2[[#This Row],[Guest_Age]]&gt;=36,Table2[[#This Row],[Guest_Age]]&lt;=50),"Middle Aged Adults",Table2[[#This Row],[Guest_Age]]&gt;50,"Senior")</f>
        <v>Young Adults</v>
      </c>
      <c r="AB11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83" t="str" cm="1">
        <f t="array" ref="AC1183">_xlfn.IFS(Table2[[#This Row],[Satification_points]]&gt;=4.5,"GREAT",AND(Table2[[#This Row],[Satification_points]]&gt;=4,Table2[[#This Row],[Satification_points]]&lt;4.5),"GOOD",AND(Table2[[#This Row],[Satification_points]]&gt;=3,Table2[[#This Row],[Satification_points]]&lt;4),"AVERAGE",Table2[[#This Row],[Satification_points]]&lt;3,"POOR")</f>
        <v>AVERAGE</v>
      </c>
    </row>
    <row r="1184" spans="1:29" x14ac:dyDescent="0.3">
      <c r="A1184">
        <v>1183</v>
      </c>
      <c r="B1184">
        <v>93723</v>
      </c>
      <c r="C1184" t="s">
        <v>1229</v>
      </c>
      <c r="D1184" t="s">
        <v>51</v>
      </c>
      <c r="E1184" t="s">
        <v>52</v>
      </c>
      <c r="F1184" s="1">
        <v>45565</v>
      </c>
      <c r="G1184" s="1">
        <v>45578</v>
      </c>
      <c r="H1184">
        <v>2</v>
      </c>
      <c r="I1184" t="s">
        <v>49</v>
      </c>
      <c r="J1184" t="s">
        <v>29</v>
      </c>
      <c r="K1184">
        <v>1</v>
      </c>
      <c r="L1184">
        <v>4</v>
      </c>
      <c r="M1184">
        <v>2</v>
      </c>
      <c r="N1184">
        <v>2</v>
      </c>
      <c r="O1184">
        <v>4</v>
      </c>
      <c r="P1184">
        <v>1</v>
      </c>
      <c r="Q1184">
        <v>5</v>
      </c>
      <c r="R1184">
        <v>3</v>
      </c>
      <c r="S1184">
        <v>2</v>
      </c>
      <c r="T1184">
        <v>5</v>
      </c>
      <c r="U1184" t="s">
        <v>30</v>
      </c>
      <c r="V1184" t="s">
        <v>54</v>
      </c>
      <c r="W1184" t="s">
        <v>56</v>
      </c>
      <c r="X1184" t="s">
        <v>33</v>
      </c>
      <c r="Y1184">
        <v>64</v>
      </c>
      <c r="Z1184" s="1">
        <v>45578</v>
      </c>
      <c r="AA1184" t="str" cm="1">
        <f t="array" ref="AA1184">_xlfn.IFS(AND(Table2[[#This Row],[Guest_Age]]&gt;=18,Table2[[#This Row],[Guest_Age]]&lt;=25),"Young Adults",AND(Table2[[#This Row],[Guest_Age]]&gt;=26,Table2[[#This Row],[Guest_Age]]&lt;=35),"Adults",AND(Table2[[#This Row],[Guest_Age]]&gt;=36,Table2[[#This Row],[Guest_Age]]&lt;=50),"Middle Aged Adults",Table2[[#This Row],[Guest_Age]]&gt;50,"Senior")</f>
        <v>Senior</v>
      </c>
      <c r="AB11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84" t="str" cm="1">
        <f t="array" ref="AC1184">_xlfn.IFS(Table2[[#This Row],[Satification_points]]&gt;=4.5,"GREAT",AND(Table2[[#This Row],[Satification_points]]&gt;=4,Table2[[#This Row],[Satification_points]]&lt;4.5),"GOOD",AND(Table2[[#This Row],[Satification_points]]&gt;=3,Table2[[#This Row],[Satification_points]]&lt;4),"AVERAGE",Table2[[#This Row],[Satification_points]]&lt;3,"POOR")</f>
        <v>POOR</v>
      </c>
    </row>
    <row r="1185" spans="1:29" x14ac:dyDescent="0.3">
      <c r="A1185">
        <v>1184</v>
      </c>
      <c r="B1185">
        <v>47972</v>
      </c>
      <c r="C1185" t="s">
        <v>1230</v>
      </c>
      <c r="D1185" t="s">
        <v>26</v>
      </c>
      <c r="E1185" t="s">
        <v>52</v>
      </c>
      <c r="F1185" s="1">
        <v>45400</v>
      </c>
      <c r="G1185" s="1">
        <v>45401</v>
      </c>
      <c r="H1185">
        <v>2</v>
      </c>
      <c r="I1185" t="s">
        <v>50</v>
      </c>
      <c r="J1185" t="s">
        <v>29</v>
      </c>
      <c r="K1185">
        <v>5</v>
      </c>
      <c r="L1185">
        <v>4</v>
      </c>
      <c r="M1185">
        <v>5</v>
      </c>
      <c r="N1185">
        <v>1</v>
      </c>
      <c r="O1185">
        <v>2</v>
      </c>
      <c r="P1185">
        <v>2</v>
      </c>
      <c r="Q1185">
        <v>2</v>
      </c>
      <c r="R1185">
        <v>5</v>
      </c>
      <c r="S1185">
        <v>2</v>
      </c>
      <c r="T1185">
        <v>1</v>
      </c>
      <c r="U1185" t="s">
        <v>30</v>
      </c>
      <c r="V1185" t="s">
        <v>46</v>
      </c>
      <c r="W1185" t="s">
        <v>47</v>
      </c>
      <c r="X1185" t="s">
        <v>44</v>
      </c>
      <c r="Y1185">
        <v>66</v>
      </c>
      <c r="Z1185" s="1">
        <v>45401</v>
      </c>
      <c r="AA1185" t="str" cm="1">
        <f t="array" ref="AA1185">_xlfn.IFS(AND(Table2[[#This Row],[Guest_Age]]&gt;=18,Table2[[#This Row],[Guest_Age]]&lt;=25),"Young Adults",AND(Table2[[#This Row],[Guest_Age]]&gt;=26,Table2[[#This Row],[Guest_Age]]&lt;=35),"Adults",AND(Table2[[#This Row],[Guest_Age]]&gt;=36,Table2[[#This Row],[Guest_Age]]&lt;=50),"Middle Aged Adults",Table2[[#This Row],[Guest_Age]]&gt;50,"Senior")</f>
        <v>Senior</v>
      </c>
      <c r="AB11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85" t="str" cm="1">
        <f t="array" ref="AC1185">_xlfn.IFS(Table2[[#This Row],[Satification_points]]&gt;=4.5,"GREAT",AND(Table2[[#This Row],[Satification_points]]&gt;=4,Table2[[#This Row],[Satification_points]]&lt;4.5),"GOOD",AND(Table2[[#This Row],[Satification_points]]&gt;=3,Table2[[#This Row],[Satification_points]]&lt;4),"AVERAGE",Table2[[#This Row],[Satification_points]]&lt;3,"POOR")</f>
        <v>POOR</v>
      </c>
    </row>
    <row r="1186" spans="1:29" x14ac:dyDescent="0.3">
      <c r="A1186">
        <v>1185</v>
      </c>
      <c r="B1186">
        <v>50657</v>
      </c>
      <c r="C1186" t="s">
        <v>1231</v>
      </c>
      <c r="D1186" t="s">
        <v>48</v>
      </c>
      <c r="E1186" t="s">
        <v>57</v>
      </c>
      <c r="F1186" s="1">
        <v>45611</v>
      </c>
      <c r="G1186" s="1">
        <v>45612</v>
      </c>
      <c r="H1186">
        <v>7</v>
      </c>
      <c r="I1186" t="s">
        <v>42</v>
      </c>
      <c r="J1186" t="s">
        <v>53</v>
      </c>
      <c r="K1186">
        <v>2</v>
      </c>
      <c r="L1186">
        <v>3</v>
      </c>
      <c r="M1186">
        <v>3</v>
      </c>
      <c r="N1186">
        <v>1</v>
      </c>
      <c r="O1186">
        <v>4</v>
      </c>
      <c r="P1186">
        <v>3</v>
      </c>
      <c r="Q1186">
        <v>5</v>
      </c>
      <c r="R1186">
        <v>5</v>
      </c>
      <c r="S1186">
        <v>4</v>
      </c>
      <c r="T1186">
        <v>3</v>
      </c>
      <c r="U1186" t="s">
        <v>30</v>
      </c>
      <c r="V1186" t="s">
        <v>46</v>
      </c>
      <c r="W1186" t="s">
        <v>32</v>
      </c>
      <c r="X1186" t="s">
        <v>40</v>
      </c>
      <c r="Y1186">
        <v>66</v>
      </c>
      <c r="Z1186" s="1">
        <v>45612</v>
      </c>
      <c r="AA1186" t="str" cm="1">
        <f t="array" ref="AA1186">_xlfn.IFS(AND(Table2[[#This Row],[Guest_Age]]&gt;=18,Table2[[#This Row],[Guest_Age]]&lt;=25),"Young Adults",AND(Table2[[#This Row],[Guest_Age]]&gt;=26,Table2[[#This Row],[Guest_Age]]&lt;=35),"Adults",AND(Table2[[#This Row],[Guest_Age]]&gt;=36,Table2[[#This Row],[Guest_Age]]&lt;=50),"Middle Aged Adults",Table2[[#This Row],[Guest_Age]]&gt;50,"Senior")</f>
        <v>Senior</v>
      </c>
      <c r="AB11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86" t="str" cm="1">
        <f t="array" ref="AC1186">_xlfn.IFS(Table2[[#This Row],[Satification_points]]&gt;=4.5,"GREAT",AND(Table2[[#This Row],[Satification_points]]&gt;=4,Table2[[#This Row],[Satification_points]]&lt;4.5),"GOOD",AND(Table2[[#This Row],[Satification_points]]&gt;=3,Table2[[#This Row],[Satification_points]]&lt;4),"AVERAGE",Table2[[#This Row],[Satification_points]]&lt;3,"POOR")</f>
        <v>AVERAGE</v>
      </c>
    </row>
    <row r="1187" spans="1:29" x14ac:dyDescent="0.3">
      <c r="A1187">
        <v>1186</v>
      </c>
      <c r="B1187">
        <v>59690</v>
      </c>
      <c r="C1187" t="s">
        <v>1232</v>
      </c>
      <c r="D1187" t="s">
        <v>26</v>
      </c>
      <c r="E1187" t="s">
        <v>27</v>
      </c>
      <c r="F1187" s="1">
        <v>45532</v>
      </c>
      <c r="G1187" s="1">
        <v>45533</v>
      </c>
      <c r="H1187">
        <v>9</v>
      </c>
      <c r="I1187" t="s">
        <v>28</v>
      </c>
      <c r="J1187" t="s">
        <v>40</v>
      </c>
      <c r="K1187">
        <v>1</v>
      </c>
      <c r="L1187">
        <v>5</v>
      </c>
      <c r="M1187">
        <v>4</v>
      </c>
      <c r="N1187">
        <v>3</v>
      </c>
      <c r="O1187">
        <v>4</v>
      </c>
      <c r="P1187">
        <v>4</v>
      </c>
      <c r="Q1187">
        <v>4</v>
      </c>
      <c r="R1187">
        <v>2</v>
      </c>
      <c r="S1187">
        <v>5</v>
      </c>
      <c r="T1187">
        <v>1</v>
      </c>
      <c r="U1187" t="s">
        <v>30</v>
      </c>
      <c r="V1187" t="s">
        <v>58</v>
      </c>
      <c r="W1187" t="s">
        <v>55</v>
      </c>
      <c r="X1187" t="s">
        <v>40</v>
      </c>
      <c r="Y1187">
        <v>44</v>
      </c>
      <c r="Z1187" s="1">
        <v>45533</v>
      </c>
      <c r="AA1187" t="str" cm="1">
        <f t="array" ref="AA11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187" t="str" cm="1">
        <f t="array" ref="AC1187">_xlfn.IFS(Table2[[#This Row],[Satification_points]]&gt;=4.5,"GREAT",AND(Table2[[#This Row],[Satification_points]]&gt;=4,Table2[[#This Row],[Satification_points]]&lt;4.5),"GOOD",AND(Table2[[#This Row],[Satification_points]]&gt;=3,Table2[[#This Row],[Satification_points]]&lt;4),"AVERAGE",Table2[[#This Row],[Satification_points]]&lt;3,"POOR")</f>
        <v>AVERAGE</v>
      </c>
    </row>
    <row r="1188" spans="1:29" x14ac:dyDescent="0.3">
      <c r="A1188">
        <v>1187</v>
      </c>
      <c r="B1188">
        <v>79975</v>
      </c>
      <c r="C1188" t="s">
        <v>1233</v>
      </c>
      <c r="D1188" t="s">
        <v>51</v>
      </c>
      <c r="E1188" t="s">
        <v>27</v>
      </c>
      <c r="F1188" s="1">
        <v>45425</v>
      </c>
      <c r="G1188" s="1">
        <v>45426</v>
      </c>
      <c r="H1188">
        <v>7</v>
      </c>
      <c r="I1188" t="s">
        <v>50</v>
      </c>
      <c r="J1188" t="s">
        <v>43</v>
      </c>
      <c r="K1188">
        <v>4</v>
      </c>
      <c r="L1188">
        <v>1</v>
      </c>
      <c r="M1188">
        <v>1</v>
      </c>
      <c r="N1188">
        <v>1</v>
      </c>
      <c r="O1188">
        <v>2</v>
      </c>
      <c r="P1188">
        <v>4</v>
      </c>
      <c r="Q1188">
        <v>3</v>
      </c>
      <c r="R1188">
        <v>1</v>
      </c>
      <c r="S1188">
        <v>3</v>
      </c>
      <c r="T1188">
        <v>3</v>
      </c>
      <c r="U1188" t="s">
        <v>37</v>
      </c>
      <c r="V1188" t="s">
        <v>58</v>
      </c>
      <c r="W1188" t="s">
        <v>47</v>
      </c>
      <c r="X1188" t="s">
        <v>40</v>
      </c>
      <c r="Y1188">
        <v>47</v>
      </c>
      <c r="Z1188" s="1">
        <v>45426</v>
      </c>
      <c r="AA1188" t="str" cm="1">
        <f t="array" ref="AA11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188" t="str" cm="1">
        <f t="array" ref="AC1188">_xlfn.IFS(Table2[[#This Row],[Satification_points]]&gt;=4.5,"GREAT",AND(Table2[[#This Row],[Satification_points]]&gt;=4,Table2[[#This Row],[Satification_points]]&lt;4.5),"GOOD",AND(Table2[[#This Row],[Satification_points]]&gt;=3,Table2[[#This Row],[Satification_points]]&lt;4),"AVERAGE",Table2[[#This Row],[Satification_points]]&lt;3,"POOR")</f>
        <v>POOR</v>
      </c>
    </row>
    <row r="1189" spans="1:29" x14ac:dyDescent="0.3">
      <c r="A1189">
        <v>1188</v>
      </c>
      <c r="B1189">
        <v>66040</v>
      </c>
      <c r="C1189" t="s">
        <v>1234</v>
      </c>
      <c r="D1189" t="s">
        <v>26</v>
      </c>
      <c r="E1189" t="s">
        <v>45</v>
      </c>
      <c r="F1189" s="1">
        <v>45145</v>
      </c>
      <c r="G1189" s="1">
        <v>45186</v>
      </c>
      <c r="H1189">
        <v>12</v>
      </c>
      <c r="I1189" t="s">
        <v>28</v>
      </c>
      <c r="J1189" t="s">
        <v>43</v>
      </c>
      <c r="K1189">
        <v>5</v>
      </c>
      <c r="L1189">
        <v>4</v>
      </c>
      <c r="M1189">
        <v>3</v>
      </c>
      <c r="N1189">
        <v>2</v>
      </c>
      <c r="O1189">
        <v>5</v>
      </c>
      <c r="P1189">
        <v>4</v>
      </c>
      <c r="Q1189">
        <v>3</v>
      </c>
      <c r="R1189">
        <v>2</v>
      </c>
      <c r="S1189">
        <v>5</v>
      </c>
      <c r="T1189">
        <v>1</v>
      </c>
      <c r="U1189" t="s">
        <v>37</v>
      </c>
      <c r="V1189" t="s">
        <v>54</v>
      </c>
      <c r="W1189" t="s">
        <v>47</v>
      </c>
      <c r="X1189" t="s">
        <v>33</v>
      </c>
      <c r="Y1189">
        <v>51</v>
      </c>
      <c r="Z1189" s="1">
        <v>45186</v>
      </c>
      <c r="AA1189" t="str" cm="1">
        <f t="array" ref="AA1189">_xlfn.IFS(AND(Table2[[#This Row],[Guest_Age]]&gt;=18,Table2[[#This Row],[Guest_Age]]&lt;=25),"Young Adults",AND(Table2[[#This Row],[Guest_Age]]&gt;=26,Table2[[#This Row],[Guest_Age]]&lt;=35),"Adults",AND(Table2[[#This Row],[Guest_Age]]&gt;=36,Table2[[#This Row],[Guest_Age]]&lt;=50),"Middle Aged Adults",Table2[[#This Row],[Guest_Age]]&gt;50,"Senior")</f>
        <v>Senior</v>
      </c>
      <c r="AB11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189" t="str" cm="1">
        <f t="array" ref="AC1189">_xlfn.IFS(Table2[[#This Row],[Satification_points]]&gt;=4.5,"GREAT",AND(Table2[[#This Row],[Satification_points]]&gt;=4,Table2[[#This Row],[Satification_points]]&lt;4.5),"GOOD",AND(Table2[[#This Row],[Satification_points]]&gt;=3,Table2[[#This Row],[Satification_points]]&lt;4),"AVERAGE",Table2[[#This Row],[Satification_points]]&lt;3,"POOR")</f>
        <v>AVERAGE</v>
      </c>
    </row>
    <row r="1190" spans="1:29" x14ac:dyDescent="0.3">
      <c r="A1190">
        <v>1189</v>
      </c>
      <c r="B1190">
        <v>36794</v>
      </c>
      <c r="C1190" t="s">
        <v>1235</v>
      </c>
      <c r="D1190" t="s">
        <v>26</v>
      </c>
      <c r="E1190" t="s">
        <v>45</v>
      </c>
      <c r="F1190" s="1">
        <v>45490</v>
      </c>
      <c r="G1190" s="1">
        <v>45491</v>
      </c>
      <c r="H1190">
        <v>6</v>
      </c>
      <c r="I1190" t="s">
        <v>42</v>
      </c>
      <c r="J1190" t="s">
        <v>43</v>
      </c>
      <c r="K1190">
        <v>3</v>
      </c>
      <c r="L1190">
        <v>5</v>
      </c>
      <c r="M1190">
        <v>5</v>
      </c>
      <c r="N1190">
        <v>4</v>
      </c>
      <c r="O1190">
        <v>5</v>
      </c>
      <c r="P1190">
        <v>5</v>
      </c>
      <c r="Q1190">
        <v>3</v>
      </c>
      <c r="R1190">
        <v>4</v>
      </c>
      <c r="S1190">
        <v>3</v>
      </c>
      <c r="T1190">
        <v>2</v>
      </c>
      <c r="U1190" t="s">
        <v>30</v>
      </c>
      <c r="V1190" t="s">
        <v>58</v>
      </c>
      <c r="W1190" t="s">
        <v>56</v>
      </c>
      <c r="X1190" t="s">
        <v>44</v>
      </c>
      <c r="Y1190">
        <v>63</v>
      </c>
      <c r="Z1190" s="1">
        <v>45539</v>
      </c>
      <c r="AA1190" t="str" cm="1">
        <f t="array" ref="AA1190">_xlfn.IFS(AND(Table2[[#This Row],[Guest_Age]]&gt;=18,Table2[[#This Row],[Guest_Age]]&lt;=25),"Young Adults",AND(Table2[[#This Row],[Guest_Age]]&gt;=26,Table2[[#This Row],[Guest_Age]]&lt;=35),"Adults",AND(Table2[[#This Row],[Guest_Age]]&gt;=36,Table2[[#This Row],[Guest_Age]]&lt;=50),"Middle Aged Adults",Table2[[#This Row],[Guest_Age]]&gt;50,"Senior")</f>
        <v>Senior</v>
      </c>
      <c r="AB11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90" t="str" cm="1">
        <f t="array" ref="AC1190">_xlfn.IFS(Table2[[#This Row],[Satification_points]]&gt;=4.5,"GREAT",AND(Table2[[#This Row],[Satification_points]]&gt;=4,Table2[[#This Row],[Satification_points]]&lt;4.5),"GOOD",AND(Table2[[#This Row],[Satification_points]]&gt;=3,Table2[[#This Row],[Satification_points]]&lt;4),"AVERAGE",Table2[[#This Row],[Satification_points]]&lt;3,"POOR")</f>
        <v>AVERAGE</v>
      </c>
    </row>
    <row r="1191" spans="1:29" x14ac:dyDescent="0.3">
      <c r="A1191">
        <v>1190</v>
      </c>
      <c r="B1191">
        <v>19905</v>
      </c>
      <c r="C1191" t="s">
        <v>1236</v>
      </c>
      <c r="D1191" t="s">
        <v>41</v>
      </c>
      <c r="E1191" t="s">
        <v>27</v>
      </c>
      <c r="F1191" s="1">
        <v>45457</v>
      </c>
      <c r="G1191" s="1">
        <v>45524</v>
      </c>
      <c r="H1191">
        <v>3</v>
      </c>
      <c r="I1191" t="s">
        <v>42</v>
      </c>
      <c r="J1191" t="s">
        <v>40</v>
      </c>
      <c r="K1191">
        <v>2</v>
      </c>
      <c r="L1191">
        <v>4</v>
      </c>
      <c r="M1191">
        <v>5</v>
      </c>
      <c r="N1191">
        <v>3</v>
      </c>
      <c r="O1191">
        <v>2</v>
      </c>
      <c r="P1191">
        <v>3</v>
      </c>
      <c r="Q1191">
        <v>5</v>
      </c>
      <c r="R1191">
        <v>2</v>
      </c>
      <c r="S1191">
        <v>2</v>
      </c>
      <c r="T1191">
        <v>2</v>
      </c>
      <c r="U1191" t="s">
        <v>30</v>
      </c>
      <c r="V1191" t="s">
        <v>31</v>
      </c>
      <c r="W1191" t="s">
        <v>32</v>
      </c>
      <c r="X1191" t="s">
        <v>33</v>
      </c>
      <c r="Y1191">
        <v>18</v>
      </c>
      <c r="Z1191" s="1">
        <v>45612</v>
      </c>
      <c r="AA1191" t="str" cm="1">
        <f t="array" ref="AA1191">_xlfn.IFS(AND(Table2[[#This Row],[Guest_Age]]&gt;=18,Table2[[#This Row],[Guest_Age]]&lt;=25),"Young Adults",AND(Table2[[#This Row],[Guest_Age]]&gt;=26,Table2[[#This Row],[Guest_Age]]&lt;=35),"Adults",AND(Table2[[#This Row],[Guest_Age]]&gt;=36,Table2[[#This Row],[Guest_Age]]&lt;=50),"Middle Aged Adults",Table2[[#This Row],[Guest_Age]]&gt;50,"Senior")</f>
        <v>Young Adults</v>
      </c>
      <c r="AB11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91" t="str" cm="1">
        <f t="array" ref="AC1191">_xlfn.IFS(Table2[[#This Row],[Satification_points]]&gt;=4.5,"GREAT",AND(Table2[[#This Row],[Satification_points]]&gt;=4,Table2[[#This Row],[Satification_points]]&lt;4.5),"GOOD",AND(Table2[[#This Row],[Satification_points]]&gt;=3,Table2[[#This Row],[Satification_points]]&lt;4),"AVERAGE",Table2[[#This Row],[Satification_points]]&lt;3,"POOR")</f>
        <v>AVERAGE</v>
      </c>
    </row>
    <row r="1192" spans="1:29" x14ac:dyDescent="0.3">
      <c r="A1192">
        <v>1191</v>
      </c>
      <c r="B1192">
        <v>76401</v>
      </c>
      <c r="C1192" t="s">
        <v>1237</v>
      </c>
      <c r="D1192" t="s">
        <v>51</v>
      </c>
      <c r="E1192" t="s">
        <v>27</v>
      </c>
      <c r="F1192" s="1">
        <v>45284</v>
      </c>
      <c r="G1192" s="1">
        <v>45285</v>
      </c>
      <c r="H1192">
        <v>5</v>
      </c>
      <c r="I1192" t="s">
        <v>42</v>
      </c>
      <c r="J1192" t="s">
        <v>40</v>
      </c>
      <c r="K1192">
        <v>4</v>
      </c>
      <c r="L1192">
        <v>2</v>
      </c>
      <c r="M1192">
        <v>1</v>
      </c>
      <c r="N1192">
        <v>1</v>
      </c>
      <c r="O1192">
        <v>4</v>
      </c>
      <c r="P1192">
        <v>3</v>
      </c>
      <c r="Q1192">
        <v>4</v>
      </c>
      <c r="R1192">
        <v>3</v>
      </c>
      <c r="S1192">
        <v>2</v>
      </c>
      <c r="T1192">
        <v>3</v>
      </c>
      <c r="U1192" t="s">
        <v>37</v>
      </c>
      <c r="V1192" t="s">
        <v>31</v>
      </c>
      <c r="W1192" t="s">
        <v>55</v>
      </c>
      <c r="X1192" t="s">
        <v>40</v>
      </c>
      <c r="Y1192">
        <v>51</v>
      </c>
      <c r="Z1192" s="1">
        <v>45285</v>
      </c>
      <c r="AA1192" t="str" cm="1">
        <f t="array" ref="AA1192">_xlfn.IFS(AND(Table2[[#This Row],[Guest_Age]]&gt;=18,Table2[[#This Row],[Guest_Age]]&lt;=25),"Young Adults",AND(Table2[[#This Row],[Guest_Age]]&gt;=26,Table2[[#This Row],[Guest_Age]]&lt;=35),"Adults",AND(Table2[[#This Row],[Guest_Age]]&gt;=36,Table2[[#This Row],[Guest_Age]]&lt;=50),"Middle Aged Adults",Table2[[#This Row],[Guest_Age]]&gt;50,"Senior")</f>
        <v>Senior</v>
      </c>
      <c r="AB11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192" t="str" cm="1">
        <f t="array" ref="AC1192">_xlfn.IFS(Table2[[#This Row],[Satification_points]]&gt;=4.5,"GREAT",AND(Table2[[#This Row],[Satification_points]]&gt;=4,Table2[[#This Row],[Satification_points]]&lt;4.5),"GOOD",AND(Table2[[#This Row],[Satification_points]]&gt;=3,Table2[[#This Row],[Satification_points]]&lt;4),"AVERAGE",Table2[[#This Row],[Satification_points]]&lt;3,"POOR")</f>
        <v>POOR</v>
      </c>
    </row>
    <row r="1193" spans="1:29" x14ac:dyDescent="0.3">
      <c r="A1193">
        <v>1192</v>
      </c>
      <c r="B1193">
        <v>36926</v>
      </c>
      <c r="C1193" t="s">
        <v>1238</v>
      </c>
      <c r="D1193" t="s">
        <v>51</v>
      </c>
      <c r="E1193" t="s">
        <v>45</v>
      </c>
      <c r="F1193" s="1">
        <v>45163</v>
      </c>
      <c r="G1193" s="1">
        <v>45453</v>
      </c>
      <c r="H1193">
        <v>10</v>
      </c>
      <c r="I1193" t="s">
        <v>28</v>
      </c>
      <c r="J1193" t="s">
        <v>40</v>
      </c>
      <c r="K1193">
        <v>3</v>
      </c>
      <c r="L1193">
        <v>5</v>
      </c>
      <c r="M1193">
        <v>3</v>
      </c>
      <c r="N1193">
        <v>3</v>
      </c>
      <c r="O1193">
        <v>1</v>
      </c>
      <c r="P1193">
        <v>3</v>
      </c>
      <c r="Q1193">
        <v>5</v>
      </c>
      <c r="R1193">
        <v>2</v>
      </c>
      <c r="S1193">
        <v>4</v>
      </c>
      <c r="T1193">
        <v>2</v>
      </c>
      <c r="U1193" t="s">
        <v>37</v>
      </c>
      <c r="V1193" t="s">
        <v>38</v>
      </c>
      <c r="W1193" t="s">
        <v>32</v>
      </c>
      <c r="X1193" t="s">
        <v>44</v>
      </c>
      <c r="Y1193">
        <v>24</v>
      </c>
      <c r="Z1193" s="1">
        <v>45453</v>
      </c>
      <c r="AA1193" t="str" cm="1">
        <f t="array" ref="AA1193">_xlfn.IFS(AND(Table2[[#This Row],[Guest_Age]]&gt;=18,Table2[[#This Row],[Guest_Age]]&lt;=25),"Young Adults",AND(Table2[[#This Row],[Guest_Age]]&gt;=26,Table2[[#This Row],[Guest_Age]]&lt;=35),"Adults",AND(Table2[[#This Row],[Guest_Age]]&gt;=36,Table2[[#This Row],[Guest_Age]]&lt;=50),"Middle Aged Adults",Table2[[#This Row],[Guest_Age]]&gt;50,"Senior")</f>
        <v>Young Adults</v>
      </c>
      <c r="AB11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193" t="str" cm="1">
        <f t="array" ref="AC1193">_xlfn.IFS(Table2[[#This Row],[Satification_points]]&gt;=4.5,"GREAT",AND(Table2[[#This Row],[Satification_points]]&gt;=4,Table2[[#This Row],[Satification_points]]&lt;4.5),"GOOD",AND(Table2[[#This Row],[Satification_points]]&gt;=3,Table2[[#This Row],[Satification_points]]&lt;4),"AVERAGE",Table2[[#This Row],[Satification_points]]&lt;3,"POOR")</f>
        <v>AVERAGE</v>
      </c>
    </row>
    <row r="1194" spans="1:29" x14ac:dyDescent="0.3">
      <c r="A1194">
        <v>1193</v>
      </c>
      <c r="B1194">
        <v>56052</v>
      </c>
      <c r="C1194" t="s">
        <v>1239</v>
      </c>
      <c r="D1194" t="s">
        <v>41</v>
      </c>
      <c r="E1194" t="s">
        <v>35</v>
      </c>
      <c r="F1194" s="1">
        <v>45609</v>
      </c>
      <c r="G1194" s="1">
        <v>45610</v>
      </c>
      <c r="H1194">
        <v>2</v>
      </c>
      <c r="I1194" t="s">
        <v>50</v>
      </c>
      <c r="J1194" t="s">
        <v>36</v>
      </c>
      <c r="K1194">
        <v>1</v>
      </c>
      <c r="L1194">
        <v>5</v>
      </c>
      <c r="M1194">
        <v>4</v>
      </c>
      <c r="N1194">
        <v>3</v>
      </c>
      <c r="O1194">
        <v>3</v>
      </c>
      <c r="P1194">
        <v>2</v>
      </c>
      <c r="Q1194">
        <v>2</v>
      </c>
      <c r="R1194">
        <v>5</v>
      </c>
      <c r="S1194">
        <v>3</v>
      </c>
      <c r="T1194">
        <v>1</v>
      </c>
      <c r="U1194" t="s">
        <v>30</v>
      </c>
      <c r="V1194" t="s">
        <v>46</v>
      </c>
      <c r="W1194" t="s">
        <v>55</v>
      </c>
      <c r="X1194" t="s">
        <v>40</v>
      </c>
      <c r="Y1194">
        <v>18</v>
      </c>
      <c r="Z1194" s="1">
        <v>45610</v>
      </c>
      <c r="AA1194" t="str" cm="1">
        <f t="array" ref="AA1194">_xlfn.IFS(AND(Table2[[#This Row],[Guest_Age]]&gt;=18,Table2[[#This Row],[Guest_Age]]&lt;=25),"Young Adults",AND(Table2[[#This Row],[Guest_Age]]&gt;=26,Table2[[#This Row],[Guest_Age]]&lt;=35),"Adults",AND(Table2[[#This Row],[Guest_Age]]&gt;=36,Table2[[#This Row],[Guest_Age]]&lt;=50),"Middle Aged Adults",Table2[[#This Row],[Guest_Age]]&gt;50,"Senior")</f>
        <v>Young Adults</v>
      </c>
      <c r="AB11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94" t="str" cm="1">
        <f t="array" ref="AC1194">_xlfn.IFS(Table2[[#This Row],[Satification_points]]&gt;=4.5,"GREAT",AND(Table2[[#This Row],[Satification_points]]&gt;=4,Table2[[#This Row],[Satification_points]]&lt;4.5),"GOOD",AND(Table2[[#This Row],[Satification_points]]&gt;=3,Table2[[#This Row],[Satification_points]]&lt;4),"AVERAGE",Table2[[#This Row],[Satification_points]]&lt;3,"POOR")</f>
        <v>POOR</v>
      </c>
    </row>
    <row r="1195" spans="1:29" x14ac:dyDescent="0.3">
      <c r="A1195">
        <v>1194</v>
      </c>
      <c r="B1195">
        <v>54228</v>
      </c>
      <c r="C1195" t="s">
        <v>1240</v>
      </c>
      <c r="D1195" t="s">
        <v>41</v>
      </c>
      <c r="E1195" t="s">
        <v>52</v>
      </c>
      <c r="F1195" s="1">
        <v>45201</v>
      </c>
      <c r="G1195" s="1">
        <v>45206</v>
      </c>
      <c r="H1195">
        <v>9</v>
      </c>
      <c r="I1195" t="s">
        <v>42</v>
      </c>
      <c r="J1195" t="s">
        <v>29</v>
      </c>
      <c r="K1195">
        <v>5</v>
      </c>
      <c r="L1195">
        <v>2</v>
      </c>
      <c r="M1195">
        <v>1</v>
      </c>
      <c r="N1195">
        <v>3</v>
      </c>
      <c r="O1195">
        <v>3</v>
      </c>
      <c r="P1195">
        <v>3</v>
      </c>
      <c r="Q1195">
        <v>3</v>
      </c>
      <c r="R1195">
        <v>3</v>
      </c>
      <c r="S1195">
        <v>2</v>
      </c>
      <c r="T1195">
        <v>5</v>
      </c>
      <c r="U1195" t="s">
        <v>37</v>
      </c>
      <c r="V1195" t="s">
        <v>54</v>
      </c>
      <c r="W1195" t="s">
        <v>39</v>
      </c>
      <c r="X1195" t="s">
        <v>44</v>
      </c>
      <c r="Y1195">
        <v>59</v>
      </c>
      <c r="Z1195" s="1">
        <v>45206</v>
      </c>
      <c r="AA1195" t="str" cm="1">
        <f t="array" ref="AA1195">_xlfn.IFS(AND(Table2[[#This Row],[Guest_Age]]&gt;=18,Table2[[#This Row],[Guest_Age]]&lt;=25),"Young Adults",AND(Table2[[#This Row],[Guest_Age]]&gt;=26,Table2[[#This Row],[Guest_Age]]&lt;=35),"Adults",AND(Table2[[#This Row],[Guest_Age]]&gt;=36,Table2[[#This Row],[Guest_Age]]&lt;=50),"Middle Aged Adults",Table2[[#This Row],[Guest_Age]]&gt;50,"Senior")</f>
        <v>Senior</v>
      </c>
      <c r="AB11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95" t="str" cm="1">
        <f t="array" ref="AC1195">_xlfn.IFS(Table2[[#This Row],[Satification_points]]&gt;=4.5,"GREAT",AND(Table2[[#This Row],[Satification_points]]&gt;=4,Table2[[#This Row],[Satification_points]]&lt;4.5),"GOOD",AND(Table2[[#This Row],[Satification_points]]&gt;=3,Table2[[#This Row],[Satification_points]]&lt;4),"AVERAGE",Table2[[#This Row],[Satification_points]]&lt;3,"POOR")</f>
        <v>AVERAGE</v>
      </c>
    </row>
    <row r="1196" spans="1:29" x14ac:dyDescent="0.3">
      <c r="A1196">
        <v>1195</v>
      </c>
      <c r="B1196">
        <v>41046</v>
      </c>
      <c r="C1196" t="s">
        <v>1241</v>
      </c>
      <c r="D1196" t="s">
        <v>48</v>
      </c>
      <c r="E1196" t="s">
        <v>52</v>
      </c>
      <c r="F1196" s="1">
        <v>45598</v>
      </c>
      <c r="G1196" s="1">
        <v>45599</v>
      </c>
      <c r="H1196">
        <v>6</v>
      </c>
      <c r="I1196" t="s">
        <v>49</v>
      </c>
      <c r="J1196" t="s">
        <v>40</v>
      </c>
      <c r="K1196">
        <v>4</v>
      </c>
      <c r="L1196">
        <v>4</v>
      </c>
      <c r="M1196">
        <v>4</v>
      </c>
      <c r="N1196">
        <v>1</v>
      </c>
      <c r="O1196">
        <v>3</v>
      </c>
      <c r="P1196">
        <v>2</v>
      </c>
      <c r="Q1196">
        <v>4</v>
      </c>
      <c r="R1196">
        <v>3</v>
      </c>
      <c r="S1196">
        <v>1</v>
      </c>
      <c r="T1196">
        <v>4</v>
      </c>
      <c r="U1196" t="s">
        <v>37</v>
      </c>
      <c r="V1196" t="s">
        <v>54</v>
      </c>
      <c r="W1196" t="s">
        <v>32</v>
      </c>
      <c r="X1196" t="s">
        <v>33</v>
      </c>
      <c r="Y1196">
        <v>35</v>
      </c>
      <c r="Z1196" s="1">
        <v>45599</v>
      </c>
      <c r="AA1196" t="str" cm="1">
        <f t="array" ref="AA1196">_xlfn.IFS(AND(Table2[[#This Row],[Guest_Age]]&gt;=18,Table2[[#This Row],[Guest_Age]]&lt;=25),"Young Adults",AND(Table2[[#This Row],[Guest_Age]]&gt;=26,Table2[[#This Row],[Guest_Age]]&lt;=35),"Adults",AND(Table2[[#This Row],[Guest_Age]]&gt;=36,Table2[[#This Row],[Guest_Age]]&lt;=50),"Middle Aged Adults",Table2[[#This Row],[Guest_Age]]&gt;50,"Senior")</f>
        <v>Adults</v>
      </c>
      <c r="AB11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96" t="str" cm="1">
        <f t="array" ref="AC1196">_xlfn.IFS(Table2[[#This Row],[Satification_points]]&gt;=4.5,"GREAT",AND(Table2[[#This Row],[Satification_points]]&gt;=4,Table2[[#This Row],[Satification_points]]&lt;4.5),"GOOD",AND(Table2[[#This Row],[Satification_points]]&gt;=3,Table2[[#This Row],[Satification_points]]&lt;4),"AVERAGE",Table2[[#This Row],[Satification_points]]&lt;3,"POOR")</f>
        <v>AVERAGE</v>
      </c>
    </row>
    <row r="1197" spans="1:29" x14ac:dyDescent="0.3">
      <c r="A1197">
        <v>1196</v>
      </c>
      <c r="B1197">
        <v>14671</v>
      </c>
      <c r="C1197" t="s">
        <v>1242</v>
      </c>
      <c r="D1197" t="s">
        <v>26</v>
      </c>
      <c r="E1197" t="s">
        <v>57</v>
      </c>
      <c r="F1197" s="1">
        <v>45503</v>
      </c>
      <c r="G1197" s="1">
        <v>45516</v>
      </c>
      <c r="H1197">
        <v>9</v>
      </c>
      <c r="I1197" t="s">
        <v>42</v>
      </c>
      <c r="J1197" t="s">
        <v>40</v>
      </c>
      <c r="K1197">
        <v>4</v>
      </c>
      <c r="L1197">
        <v>2</v>
      </c>
      <c r="M1197">
        <v>2</v>
      </c>
      <c r="N1197">
        <v>5</v>
      </c>
      <c r="O1197">
        <v>1</v>
      </c>
      <c r="P1197">
        <v>4</v>
      </c>
      <c r="Q1197">
        <v>5</v>
      </c>
      <c r="R1197">
        <v>4</v>
      </c>
      <c r="S1197">
        <v>2</v>
      </c>
      <c r="T1197">
        <v>1</v>
      </c>
      <c r="U1197" t="s">
        <v>30</v>
      </c>
      <c r="V1197" t="s">
        <v>58</v>
      </c>
      <c r="W1197" t="s">
        <v>39</v>
      </c>
      <c r="X1197" t="s">
        <v>44</v>
      </c>
      <c r="Y1197">
        <v>52</v>
      </c>
      <c r="Z1197" s="1">
        <v>45516</v>
      </c>
      <c r="AA1197" t="str" cm="1">
        <f t="array" ref="AA1197">_xlfn.IFS(AND(Table2[[#This Row],[Guest_Age]]&gt;=18,Table2[[#This Row],[Guest_Age]]&lt;=25),"Young Adults",AND(Table2[[#This Row],[Guest_Age]]&gt;=26,Table2[[#This Row],[Guest_Age]]&lt;=35),"Adults",AND(Table2[[#This Row],[Guest_Age]]&gt;=36,Table2[[#This Row],[Guest_Age]]&lt;=50),"Middle Aged Adults",Table2[[#This Row],[Guest_Age]]&gt;50,"Senior")</f>
        <v>Senior</v>
      </c>
      <c r="AB11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197" t="str" cm="1">
        <f t="array" ref="AC1197">_xlfn.IFS(Table2[[#This Row],[Satification_points]]&gt;=4.5,"GREAT",AND(Table2[[#This Row],[Satification_points]]&gt;=4,Table2[[#This Row],[Satification_points]]&lt;4.5),"GOOD",AND(Table2[[#This Row],[Satification_points]]&gt;=3,Table2[[#This Row],[Satification_points]]&lt;4),"AVERAGE",Table2[[#This Row],[Satification_points]]&lt;3,"POOR")</f>
        <v>AVERAGE</v>
      </c>
    </row>
    <row r="1198" spans="1:29" x14ac:dyDescent="0.3">
      <c r="A1198">
        <v>1197</v>
      </c>
      <c r="B1198">
        <v>70971</v>
      </c>
      <c r="C1198" t="s">
        <v>1243</v>
      </c>
      <c r="D1198" t="s">
        <v>34</v>
      </c>
      <c r="E1198" t="s">
        <v>52</v>
      </c>
      <c r="F1198" s="1">
        <v>45143</v>
      </c>
      <c r="G1198" s="1">
        <v>45199</v>
      </c>
      <c r="H1198">
        <v>9</v>
      </c>
      <c r="I1198" t="s">
        <v>50</v>
      </c>
      <c r="J1198" t="s">
        <v>36</v>
      </c>
      <c r="K1198">
        <v>5</v>
      </c>
      <c r="L1198">
        <v>3</v>
      </c>
      <c r="M1198">
        <v>4</v>
      </c>
      <c r="N1198">
        <v>1</v>
      </c>
      <c r="O1198">
        <v>4</v>
      </c>
      <c r="P1198">
        <v>5</v>
      </c>
      <c r="Q1198">
        <v>5</v>
      </c>
      <c r="R1198">
        <v>4</v>
      </c>
      <c r="S1198">
        <v>5</v>
      </c>
      <c r="T1198">
        <v>3</v>
      </c>
      <c r="U1198" t="s">
        <v>37</v>
      </c>
      <c r="V1198" t="s">
        <v>46</v>
      </c>
      <c r="W1198" t="s">
        <v>55</v>
      </c>
      <c r="X1198" t="s">
        <v>40</v>
      </c>
      <c r="Y1198">
        <v>67</v>
      </c>
      <c r="Z1198" s="1">
        <v>45267</v>
      </c>
      <c r="AA1198" t="str" cm="1">
        <f t="array" ref="AA1198">_xlfn.IFS(AND(Table2[[#This Row],[Guest_Age]]&gt;=18,Table2[[#This Row],[Guest_Age]]&lt;=25),"Young Adults",AND(Table2[[#This Row],[Guest_Age]]&gt;=26,Table2[[#This Row],[Guest_Age]]&lt;=35),"Adults",AND(Table2[[#This Row],[Guest_Age]]&gt;=36,Table2[[#This Row],[Guest_Age]]&lt;=50),"Middle Aged Adults",Table2[[#This Row],[Guest_Age]]&gt;50,"Senior")</f>
        <v>Senior</v>
      </c>
      <c r="AB11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198" t="str" cm="1">
        <f t="array" ref="AC1198">_xlfn.IFS(Table2[[#This Row],[Satification_points]]&gt;=4.5,"GREAT",AND(Table2[[#This Row],[Satification_points]]&gt;=4,Table2[[#This Row],[Satification_points]]&lt;4.5),"GOOD",AND(Table2[[#This Row],[Satification_points]]&gt;=3,Table2[[#This Row],[Satification_points]]&lt;4),"AVERAGE",Table2[[#This Row],[Satification_points]]&lt;3,"POOR")</f>
        <v>AVERAGE</v>
      </c>
    </row>
    <row r="1199" spans="1:29" x14ac:dyDescent="0.3">
      <c r="A1199">
        <v>1198</v>
      </c>
      <c r="B1199">
        <v>60187</v>
      </c>
      <c r="C1199" t="s">
        <v>1244</v>
      </c>
      <c r="D1199" t="s">
        <v>34</v>
      </c>
      <c r="E1199" t="s">
        <v>45</v>
      </c>
      <c r="F1199" s="1">
        <v>45485</v>
      </c>
      <c r="G1199" s="1">
        <v>45486</v>
      </c>
      <c r="H1199">
        <v>12</v>
      </c>
      <c r="I1199" t="s">
        <v>50</v>
      </c>
      <c r="J1199" t="s">
        <v>29</v>
      </c>
      <c r="K1199">
        <v>4</v>
      </c>
      <c r="L1199">
        <v>1</v>
      </c>
      <c r="M1199">
        <v>2</v>
      </c>
      <c r="N1199">
        <v>1</v>
      </c>
      <c r="O1199">
        <v>5</v>
      </c>
      <c r="P1199">
        <v>1</v>
      </c>
      <c r="Q1199">
        <v>5</v>
      </c>
      <c r="R1199">
        <v>5</v>
      </c>
      <c r="S1199">
        <v>3</v>
      </c>
      <c r="T1199">
        <v>2</v>
      </c>
      <c r="U1199" t="s">
        <v>30</v>
      </c>
      <c r="V1199" t="s">
        <v>38</v>
      </c>
      <c r="W1199" t="s">
        <v>47</v>
      </c>
      <c r="X1199" t="s">
        <v>44</v>
      </c>
      <c r="Y1199">
        <v>36</v>
      </c>
      <c r="Z1199" s="1">
        <v>45486</v>
      </c>
      <c r="AA1199" t="str" cm="1">
        <f t="array" ref="AA11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1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199" t="str" cm="1">
        <f t="array" ref="AC1199">_xlfn.IFS(Table2[[#This Row],[Satification_points]]&gt;=4.5,"GREAT",AND(Table2[[#This Row],[Satification_points]]&gt;=4,Table2[[#This Row],[Satification_points]]&lt;4.5),"GOOD",AND(Table2[[#This Row],[Satification_points]]&gt;=3,Table2[[#This Row],[Satification_points]]&lt;4),"AVERAGE",Table2[[#This Row],[Satification_points]]&lt;3,"POOR")</f>
        <v>POOR</v>
      </c>
    </row>
    <row r="1200" spans="1:29" x14ac:dyDescent="0.3">
      <c r="A1200">
        <v>1199</v>
      </c>
      <c r="B1200">
        <v>34871</v>
      </c>
      <c r="C1200" t="s">
        <v>1245</v>
      </c>
      <c r="D1200" t="s">
        <v>41</v>
      </c>
      <c r="E1200" t="s">
        <v>35</v>
      </c>
      <c r="F1200" s="1">
        <v>45323</v>
      </c>
      <c r="G1200" s="1">
        <v>45585</v>
      </c>
      <c r="H1200">
        <v>7</v>
      </c>
      <c r="I1200" t="s">
        <v>49</v>
      </c>
      <c r="J1200" t="s">
        <v>43</v>
      </c>
      <c r="K1200">
        <v>4</v>
      </c>
      <c r="L1200">
        <v>4</v>
      </c>
      <c r="M1200">
        <v>4</v>
      </c>
      <c r="N1200">
        <v>1</v>
      </c>
      <c r="O1200">
        <v>2</v>
      </c>
      <c r="P1200">
        <v>5</v>
      </c>
      <c r="Q1200">
        <v>5</v>
      </c>
      <c r="R1200">
        <v>1</v>
      </c>
      <c r="S1200">
        <v>1</v>
      </c>
      <c r="T1200">
        <v>4</v>
      </c>
      <c r="U1200" t="s">
        <v>37</v>
      </c>
      <c r="V1200" t="s">
        <v>38</v>
      </c>
      <c r="W1200" t="s">
        <v>39</v>
      </c>
      <c r="X1200" t="s">
        <v>44</v>
      </c>
      <c r="Y1200">
        <v>30</v>
      </c>
      <c r="Z1200" s="1">
        <v>45585</v>
      </c>
      <c r="AA1200" t="str" cm="1">
        <f t="array" ref="AA1200">_xlfn.IFS(AND(Table2[[#This Row],[Guest_Age]]&gt;=18,Table2[[#This Row],[Guest_Age]]&lt;=25),"Young Adults",AND(Table2[[#This Row],[Guest_Age]]&gt;=26,Table2[[#This Row],[Guest_Age]]&lt;=35),"Adults",AND(Table2[[#This Row],[Guest_Age]]&gt;=36,Table2[[#This Row],[Guest_Age]]&lt;=50),"Middle Aged Adults",Table2[[#This Row],[Guest_Age]]&gt;50,"Senior")</f>
        <v>Adults</v>
      </c>
      <c r="AB12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00" t="str" cm="1">
        <f t="array" ref="AC1200">_xlfn.IFS(Table2[[#This Row],[Satification_points]]&gt;=4.5,"GREAT",AND(Table2[[#This Row],[Satification_points]]&gt;=4,Table2[[#This Row],[Satification_points]]&lt;4.5),"GOOD",AND(Table2[[#This Row],[Satification_points]]&gt;=3,Table2[[#This Row],[Satification_points]]&lt;4),"AVERAGE",Table2[[#This Row],[Satification_points]]&lt;3,"POOR")</f>
        <v>AVERAGE</v>
      </c>
    </row>
    <row r="1201" spans="1:29" x14ac:dyDescent="0.3">
      <c r="A1201">
        <v>1200</v>
      </c>
      <c r="B1201">
        <v>76962</v>
      </c>
      <c r="C1201" t="s">
        <v>1246</v>
      </c>
      <c r="D1201" t="s">
        <v>51</v>
      </c>
      <c r="E1201" t="s">
        <v>45</v>
      </c>
      <c r="F1201" s="1">
        <v>45000</v>
      </c>
      <c r="G1201" s="1">
        <v>45196</v>
      </c>
      <c r="H1201">
        <v>14</v>
      </c>
      <c r="I1201" t="s">
        <v>42</v>
      </c>
      <c r="J1201" t="s">
        <v>53</v>
      </c>
      <c r="K1201">
        <v>1</v>
      </c>
      <c r="L1201">
        <v>5</v>
      </c>
      <c r="M1201">
        <v>2</v>
      </c>
      <c r="N1201">
        <v>1</v>
      </c>
      <c r="O1201">
        <v>3</v>
      </c>
      <c r="P1201">
        <v>5</v>
      </c>
      <c r="Q1201">
        <v>5</v>
      </c>
      <c r="R1201">
        <v>3</v>
      </c>
      <c r="S1201">
        <v>2</v>
      </c>
      <c r="T1201">
        <v>4</v>
      </c>
      <c r="U1201" t="s">
        <v>37</v>
      </c>
      <c r="V1201" t="s">
        <v>38</v>
      </c>
      <c r="W1201" t="s">
        <v>55</v>
      </c>
      <c r="X1201" t="s">
        <v>40</v>
      </c>
      <c r="Y1201">
        <v>40</v>
      </c>
      <c r="Z1201" s="1">
        <v>45196</v>
      </c>
      <c r="AA1201" t="str" cm="1">
        <f t="array" ref="AA120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01" t="str" cm="1">
        <f t="array" ref="AC1201">_xlfn.IFS(Table2[[#This Row],[Satification_points]]&gt;=4.5,"GREAT",AND(Table2[[#This Row],[Satification_points]]&gt;=4,Table2[[#This Row],[Satification_points]]&lt;4.5),"GOOD",AND(Table2[[#This Row],[Satification_points]]&gt;=3,Table2[[#This Row],[Satification_points]]&lt;4),"AVERAGE",Table2[[#This Row],[Satification_points]]&lt;3,"POOR")</f>
        <v>AVERAGE</v>
      </c>
    </row>
    <row r="1202" spans="1:29" x14ac:dyDescent="0.3">
      <c r="A1202">
        <v>1201</v>
      </c>
      <c r="B1202">
        <v>74142</v>
      </c>
      <c r="C1202" t="s">
        <v>1247</v>
      </c>
      <c r="D1202" t="s">
        <v>51</v>
      </c>
      <c r="E1202" t="s">
        <v>27</v>
      </c>
      <c r="F1202" s="1">
        <v>45602</v>
      </c>
      <c r="G1202" s="1">
        <v>45603</v>
      </c>
      <c r="H1202">
        <v>5</v>
      </c>
      <c r="I1202" t="s">
        <v>50</v>
      </c>
      <c r="J1202" t="s">
        <v>40</v>
      </c>
      <c r="K1202">
        <v>2</v>
      </c>
      <c r="L1202">
        <v>3</v>
      </c>
      <c r="M1202">
        <v>3</v>
      </c>
      <c r="N1202">
        <v>1</v>
      </c>
      <c r="O1202">
        <v>1</v>
      </c>
      <c r="P1202">
        <v>5</v>
      </c>
      <c r="Q1202">
        <v>2</v>
      </c>
      <c r="R1202">
        <v>5</v>
      </c>
      <c r="S1202">
        <v>2</v>
      </c>
      <c r="T1202">
        <v>2</v>
      </c>
      <c r="U1202" t="s">
        <v>30</v>
      </c>
      <c r="V1202" t="s">
        <v>46</v>
      </c>
      <c r="W1202" t="s">
        <v>55</v>
      </c>
      <c r="X1202" t="s">
        <v>40</v>
      </c>
      <c r="Y1202">
        <v>19</v>
      </c>
      <c r="Z1202" s="1">
        <v>45650</v>
      </c>
      <c r="AA1202" t="str" cm="1">
        <f t="array" ref="AA1202">_xlfn.IFS(AND(Table2[[#This Row],[Guest_Age]]&gt;=18,Table2[[#This Row],[Guest_Age]]&lt;=25),"Young Adults",AND(Table2[[#This Row],[Guest_Age]]&gt;=26,Table2[[#This Row],[Guest_Age]]&lt;=35),"Adults",AND(Table2[[#This Row],[Guest_Age]]&gt;=36,Table2[[#This Row],[Guest_Age]]&lt;=50),"Middle Aged Adults",Table2[[#This Row],[Guest_Age]]&gt;50,"Senior")</f>
        <v>Young Adults</v>
      </c>
      <c r="AB12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02" t="str" cm="1">
        <f t="array" ref="AC1202">_xlfn.IFS(Table2[[#This Row],[Satification_points]]&gt;=4.5,"GREAT",AND(Table2[[#This Row],[Satification_points]]&gt;=4,Table2[[#This Row],[Satification_points]]&lt;4.5),"GOOD",AND(Table2[[#This Row],[Satification_points]]&gt;=3,Table2[[#This Row],[Satification_points]]&lt;4),"AVERAGE",Table2[[#This Row],[Satification_points]]&lt;3,"POOR")</f>
        <v>POOR</v>
      </c>
    </row>
    <row r="1203" spans="1:29" x14ac:dyDescent="0.3">
      <c r="A1203">
        <v>1202</v>
      </c>
      <c r="B1203">
        <v>86593</v>
      </c>
      <c r="C1203" t="s">
        <v>1248</v>
      </c>
      <c r="D1203" t="s">
        <v>48</v>
      </c>
      <c r="E1203" t="s">
        <v>27</v>
      </c>
      <c r="F1203" s="1">
        <v>45636</v>
      </c>
      <c r="G1203" s="1">
        <v>45637</v>
      </c>
      <c r="H1203">
        <v>4</v>
      </c>
      <c r="I1203" t="s">
        <v>50</v>
      </c>
      <c r="J1203" t="s">
        <v>40</v>
      </c>
      <c r="K1203">
        <v>3</v>
      </c>
      <c r="L1203">
        <v>4</v>
      </c>
      <c r="M1203">
        <v>5</v>
      </c>
      <c r="N1203">
        <v>3</v>
      </c>
      <c r="O1203">
        <v>2</v>
      </c>
      <c r="P1203">
        <v>1</v>
      </c>
      <c r="Q1203">
        <v>3</v>
      </c>
      <c r="R1203">
        <v>4</v>
      </c>
      <c r="S1203">
        <v>3</v>
      </c>
      <c r="T1203">
        <v>1</v>
      </c>
      <c r="U1203" t="s">
        <v>30</v>
      </c>
      <c r="V1203" t="s">
        <v>38</v>
      </c>
      <c r="W1203" t="s">
        <v>39</v>
      </c>
      <c r="X1203" t="s">
        <v>40</v>
      </c>
      <c r="Y1203">
        <v>20</v>
      </c>
      <c r="Z1203" s="1">
        <v>45637</v>
      </c>
      <c r="AA1203" t="str" cm="1">
        <f t="array" ref="AA1203">_xlfn.IFS(AND(Table2[[#This Row],[Guest_Age]]&gt;=18,Table2[[#This Row],[Guest_Age]]&lt;=25),"Young Adults",AND(Table2[[#This Row],[Guest_Age]]&gt;=26,Table2[[#This Row],[Guest_Age]]&lt;=35),"Adults",AND(Table2[[#This Row],[Guest_Age]]&gt;=36,Table2[[#This Row],[Guest_Age]]&lt;=50),"Middle Aged Adults",Table2[[#This Row],[Guest_Age]]&gt;50,"Senior")</f>
        <v>Young Adults</v>
      </c>
      <c r="AB12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03" t="str" cm="1">
        <f t="array" ref="AC1203">_xlfn.IFS(Table2[[#This Row],[Satification_points]]&gt;=4.5,"GREAT",AND(Table2[[#This Row],[Satification_points]]&gt;=4,Table2[[#This Row],[Satification_points]]&lt;4.5),"GOOD",AND(Table2[[#This Row],[Satification_points]]&gt;=3,Table2[[#This Row],[Satification_points]]&lt;4),"AVERAGE",Table2[[#This Row],[Satification_points]]&lt;3,"POOR")</f>
        <v>POOR</v>
      </c>
    </row>
    <row r="1204" spans="1:29" x14ac:dyDescent="0.3">
      <c r="A1204">
        <v>1203</v>
      </c>
      <c r="B1204">
        <v>43460</v>
      </c>
      <c r="C1204" t="s">
        <v>1249</v>
      </c>
      <c r="D1204" t="s">
        <v>34</v>
      </c>
      <c r="E1204" t="s">
        <v>52</v>
      </c>
      <c r="F1204" s="1">
        <v>45254</v>
      </c>
      <c r="G1204" s="1">
        <v>45612</v>
      </c>
      <c r="H1204">
        <v>1</v>
      </c>
      <c r="I1204" t="s">
        <v>50</v>
      </c>
      <c r="J1204" t="s">
        <v>53</v>
      </c>
      <c r="K1204">
        <v>5</v>
      </c>
      <c r="L1204">
        <v>1</v>
      </c>
      <c r="M1204">
        <v>3</v>
      </c>
      <c r="N1204">
        <v>3</v>
      </c>
      <c r="O1204">
        <v>4</v>
      </c>
      <c r="P1204">
        <v>2</v>
      </c>
      <c r="Q1204">
        <v>5</v>
      </c>
      <c r="R1204">
        <v>4</v>
      </c>
      <c r="S1204">
        <v>1</v>
      </c>
      <c r="T1204">
        <v>2</v>
      </c>
      <c r="U1204" t="s">
        <v>30</v>
      </c>
      <c r="V1204" t="s">
        <v>31</v>
      </c>
      <c r="W1204" t="s">
        <v>32</v>
      </c>
      <c r="X1204" t="s">
        <v>40</v>
      </c>
      <c r="Y1204">
        <v>39</v>
      </c>
      <c r="Z1204" s="1">
        <v>45612</v>
      </c>
      <c r="AA1204" t="str" cm="1">
        <f t="array" ref="AA120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04" t="str" cm="1">
        <f t="array" ref="AC1204">_xlfn.IFS(Table2[[#This Row],[Satification_points]]&gt;=4.5,"GREAT",AND(Table2[[#This Row],[Satification_points]]&gt;=4,Table2[[#This Row],[Satification_points]]&lt;4.5),"GOOD",AND(Table2[[#This Row],[Satification_points]]&gt;=3,Table2[[#This Row],[Satification_points]]&lt;4),"AVERAGE",Table2[[#This Row],[Satification_points]]&lt;3,"POOR")</f>
        <v>AVERAGE</v>
      </c>
    </row>
    <row r="1205" spans="1:29" x14ac:dyDescent="0.3">
      <c r="A1205">
        <v>1204</v>
      </c>
      <c r="B1205">
        <v>39171</v>
      </c>
      <c r="C1205" t="s">
        <v>1250</v>
      </c>
      <c r="D1205" t="s">
        <v>51</v>
      </c>
      <c r="E1205" t="s">
        <v>35</v>
      </c>
      <c r="F1205" s="1">
        <v>45334</v>
      </c>
      <c r="G1205" s="1">
        <v>45479</v>
      </c>
      <c r="H1205">
        <v>9</v>
      </c>
      <c r="I1205" t="s">
        <v>28</v>
      </c>
      <c r="J1205" t="s">
        <v>40</v>
      </c>
      <c r="K1205">
        <v>3</v>
      </c>
      <c r="L1205">
        <v>5</v>
      </c>
      <c r="M1205">
        <v>1</v>
      </c>
      <c r="N1205">
        <v>1</v>
      </c>
      <c r="O1205">
        <v>1</v>
      </c>
      <c r="P1205">
        <v>4</v>
      </c>
      <c r="Q1205">
        <v>2</v>
      </c>
      <c r="R1205">
        <v>1</v>
      </c>
      <c r="S1205">
        <v>3</v>
      </c>
      <c r="T1205">
        <v>5</v>
      </c>
      <c r="U1205" t="s">
        <v>30</v>
      </c>
      <c r="V1205" t="s">
        <v>58</v>
      </c>
      <c r="W1205" t="s">
        <v>47</v>
      </c>
      <c r="X1205" t="s">
        <v>44</v>
      </c>
      <c r="Y1205">
        <v>53</v>
      </c>
      <c r="Z1205" s="1">
        <v>45479</v>
      </c>
      <c r="AA1205" t="str" cm="1">
        <f t="array" ref="AA1205">_xlfn.IFS(AND(Table2[[#This Row],[Guest_Age]]&gt;=18,Table2[[#This Row],[Guest_Age]]&lt;=25),"Young Adults",AND(Table2[[#This Row],[Guest_Age]]&gt;=26,Table2[[#This Row],[Guest_Age]]&lt;=35),"Adults",AND(Table2[[#This Row],[Guest_Age]]&gt;=36,Table2[[#This Row],[Guest_Age]]&lt;=50),"Middle Aged Adults",Table2[[#This Row],[Guest_Age]]&gt;50,"Senior")</f>
        <v>Senior</v>
      </c>
      <c r="AB12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05" t="str" cm="1">
        <f t="array" ref="AC1205">_xlfn.IFS(Table2[[#This Row],[Satification_points]]&gt;=4.5,"GREAT",AND(Table2[[#This Row],[Satification_points]]&gt;=4,Table2[[#This Row],[Satification_points]]&lt;4.5),"GOOD",AND(Table2[[#This Row],[Satification_points]]&gt;=3,Table2[[#This Row],[Satification_points]]&lt;4),"AVERAGE",Table2[[#This Row],[Satification_points]]&lt;3,"POOR")</f>
        <v>POOR</v>
      </c>
    </row>
    <row r="1206" spans="1:29" x14ac:dyDescent="0.3">
      <c r="A1206">
        <v>1205</v>
      </c>
      <c r="B1206">
        <v>66745</v>
      </c>
      <c r="C1206" t="s">
        <v>1251</v>
      </c>
      <c r="D1206" t="s">
        <v>48</v>
      </c>
      <c r="E1206" t="s">
        <v>57</v>
      </c>
      <c r="F1206" s="1">
        <v>45074</v>
      </c>
      <c r="G1206" s="1">
        <v>45086</v>
      </c>
      <c r="H1206">
        <v>6</v>
      </c>
      <c r="I1206" t="s">
        <v>50</v>
      </c>
      <c r="J1206" t="s">
        <v>40</v>
      </c>
      <c r="K1206">
        <v>5</v>
      </c>
      <c r="L1206">
        <v>2</v>
      </c>
      <c r="M1206">
        <v>3</v>
      </c>
      <c r="N1206">
        <v>4</v>
      </c>
      <c r="O1206">
        <v>1</v>
      </c>
      <c r="P1206">
        <v>1</v>
      </c>
      <c r="Q1206">
        <v>4</v>
      </c>
      <c r="R1206">
        <v>3</v>
      </c>
      <c r="S1206">
        <v>2</v>
      </c>
      <c r="T1206">
        <v>3</v>
      </c>
      <c r="U1206" t="s">
        <v>37</v>
      </c>
      <c r="V1206" t="s">
        <v>38</v>
      </c>
      <c r="W1206" t="s">
        <v>55</v>
      </c>
      <c r="X1206" t="s">
        <v>44</v>
      </c>
      <c r="Y1206">
        <v>66</v>
      </c>
      <c r="Z1206" s="1">
        <v>45401</v>
      </c>
      <c r="AA1206" t="str" cm="1">
        <f t="array" ref="AA1206">_xlfn.IFS(AND(Table2[[#This Row],[Guest_Age]]&gt;=18,Table2[[#This Row],[Guest_Age]]&lt;=25),"Young Adults",AND(Table2[[#This Row],[Guest_Age]]&gt;=26,Table2[[#This Row],[Guest_Age]]&lt;=35),"Adults",AND(Table2[[#This Row],[Guest_Age]]&gt;=36,Table2[[#This Row],[Guest_Age]]&lt;=50),"Middle Aged Adults",Table2[[#This Row],[Guest_Age]]&gt;50,"Senior")</f>
        <v>Senior</v>
      </c>
      <c r="AB12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06" t="str" cm="1">
        <f t="array" ref="AC1206">_xlfn.IFS(Table2[[#This Row],[Satification_points]]&gt;=4.5,"GREAT",AND(Table2[[#This Row],[Satification_points]]&gt;=4,Table2[[#This Row],[Satification_points]]&lt;4.5),"GOOD",AND(Table2[[#This Row],[Satification_points]]&gt;=3,Table2[[#This Row],[Satification_points]]&lt;4),"AVERAGE",Table2[[#This Row],[Satification_points]]&lt;3,"POOR")</f>
        <v>POOR</v>
      </c>
    </row>
    <row r="1207" spans="1:29" x14ac:dyDescent="0.3">
      <c r="A1207">
        <v>1206</v>
      </c>
      <c r="B1207">
        <v>91772</v>
      </c>
      <c r="C1207" t="s">
        <v>1252</v>
      </c>
      <c r="D1207" t="s">
        <v>48</v>
      </c>
      <c r="E1207" t="s">
        <v>45</v>
      </c>
      <c r="F1207" s="1">
        <v>45012</v>
      </c>
      <c r="G1207" s="1">
        <v>45287</v>
      </c>
      <c r="H1207">
        <v>14</v>
      </c>
      <c r="I1207" t="s">
        <v>50</v>
      </c>
      <c r="J1207" t="s">
        <v>40</v>
      </c>
      <c r="K1207">
        <v>5</v>
      </c>
      <c r="L1207">
        <v>1</v>
      </c>
      <c r="M1207">
        <v>3</v>
      </c>
      <c r="N1207">
        <v>4</v>
      </c>
      <c r="O1207">
        <v>2</v>
      </c>
      <c r="P1207">
        <v>4</v>
      </c>
      <c r="Q1207">
        <v>4</v>
      </c>
      <c r="R1207">
        <v>3</v>
      </c>
      <c r="S1207">
        <v>4</v>
      </c>
      <c r="T1207">
        <v>2</v>
      </c>
      <c r="U1207" t="s">
        <v>37</v>
      </c>
      <c r="V1207" t="s">
        <v>31</v>
      </c>
      <c r="W1207" t="s">
        <v>32</v>
      </c>
      <c r="X1207" t="s">
        <v>40</v>
      </c>
      <c r="Y1207">
        <v>25</v>
      </c>
      <c r="Z1207" s="1">
        <v>45485</v>
      </c>
      <c r="AA1207" t="str" cm="1">
        <f t="array" ref="AA1207">_xlfn.IFS(AND(Table2[[#This Row],[Guest_Age]]&gt;=18,Table2[[#This Row],[Guest_Age]]&lt;=25),"Young Adults",AND(Table2[[#This Row],[Guest_Age]]&gt;=26,Table2[[#This Row],[Guest_Age]]&lt;=35),"Adults",AND(Table2[[#This Row],[Guest_Age]]&gt;=36,Table2[[#This Row],[Guest_Age]]&lt;=50),"Middle Aged Adults",Table2[[#This Row],[Guest_Age]]&gt;50,"Senior")</f>
        <v>Young Adults</v>
      </c>
      <c r="AB12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07" t="str" cm="1">
        <f t="array" ref="AC1207">_xlfn.IFS(Table2[[#This Row],[Satification_points]]&gt;=4.5,"GREAT",AND(Table2[[#This Row],[Satification_points]]&gt;=4,Table2[[#This Row],[Satification_points]]&lt;4.5),"GOOD",AND(Table2[[#This Row],[Satification_points]]&gt;=3,Table2[[#This Row],[Satification_points]]&lt;4),"AVERAGE",Table2[[#This Row],[Satification_points]]&lt;3,"POOR")</f>
        <v>AVERAGE</v>
      </c>
    </row>
    <row r="1208" spans="1:29" x14ac:dyDescent="0.3">
      <c r="A1208">
        <v>1207</v>
      </c>
      <c r="B1208">
        <v>43835</v>
      </c>
      <c r="C1208" t="s">
        <v>1253</v>
      </c>
      <c r="D1208" t="s">
        <v>41</v>
      </c>
      <c r="E1208" t="s">
        <v>57</v>
      </c>
      <c r="F1208" s="1">
        <v>45447</v>
      </c>
      <c r="G1208" s="1">
        <v>45448</v>
      </c>
      <c r="H1208">
        <v>2</v>
      </c>
      <c r="I1208" t="s">
        <v>28</v>
      </c>
      <c r="J1208" t="s">
        <v>53</v>
      </c>
      <c r="K1208">
        <v>4</v>
      </c>
      <c r="L1208">
        <v>4</v>
      </c>
      <c r="M1208">
        <v>5</v>
      </c>
      <c r="N1208">
        <v>5</v>
      </c>
      <c r="O1208">
        <v>2</v>
      </c>
      <c r="P1208">
        <v>2</v>
      </c>
      <c r="Q1208">
        <v>2</v>
      </c>
      <c r="R1208">
        <v>5</v>
      </c>
      <c r="S1208">
        <v>3</v>
      </c>
      <c r="T1208">
        <v>1</v>
      </c>
      <c r="U1208" t="s">
        <v>30</v>
      </c>
      <c r="V1208" t="s">
        <v>31</v>
      </c>
      <c r="W1208" t="s">
        <v>55</v>
      </c>
      <c r="X1208" t="s">
        <v>44</v>
      </c>
      <c r="Y1208">
        <v>40</v>
      </c>
      <c r="Z1208" s="1">
        <v>45558</v>
      </c>
      <c r="AA1208" t="str" cm="1">
        <f t="array" ref="AA12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08" t="str" cm="1">
        <f t="array" ref="AC1208">_xlfn.IFS(Table2[[#This Row],[Satification_points]]&gt;=4.5,"GREAT",AND(Table2[[#This Row],[Satification_points]]&gt;=4,Table2[[#This Row],[Satification_points]]&lt;4.5),"GOOD",AND(Table2[[#This Row],[Satification_points]]&gt;=3,Table2[[#This Row],[Satification_points]]&lt;4),"AVERAGE",Table2[[#This Row],[Satification_points]]&lt;3,"POOR")</f>
        <v>AVERAGE</v>
      </c>
    </row>
    <row r="1209" spans="1:29" x14ac:dyDescent="0.3">
      <c r="A1209">
        <v>1208</v>
      </c>
      <c r="B1209">
        <v>76668</v>
      </c>
      <c r="C1209" t="s">
        <v>1254</v>
      </c>
      <c r="D1209" t="s">
        <v>34</v>
      </c>
      <c r="E1209" t="s">
        <v>57</v>
      </c>
      <c r="F1209" s="1">
        <v>45429</v>
      </c>
      <c r="G1209" s="1">
        <v>45471</v>
      </c>
      <c r="H1209">
        <v>12</v>
      </c>
      <c r="I1209" t="s">
        <v>42</v>
      </c>
      <c r="J1209" t="s">
        <v>36</v>
      </c>
      <c r="K1209">
        <v>1</v>
      </c>
      <c r="L1209">
        <v>5</v>
      </c>
      <c r="M1209">
        <v>3</v>
      </c>
      <c r="N1209">
        <v>4</v>
      </c>
      <c r="O1209">
        <v>3</v>
      </c>
      <c r="P1209">
        <v>4</v>
      </c>
      <c r="Q1209">
        <v>2</v>
      </c>
      <c r="R1209">
        <v>1</v>
      </c>
      <c r="S1209">
        <v>2</v>
      </c>
      <c r="T1209">
        <v>5</v>
      </c>
      <c r="U1209" t="s">
        <v>37</v>
      </c>
      <c r="V1209" t="s">
        <v>54</v>
      </c>
      <c r="W1209" t="s">
        <v>55</v>
      </c>
      <c r="X1209" t="s">
        <v>40</v>
      </c>
      <c r="Y1209">
        <v>25</v>
      </c>
      <c r="Z1209" s="1">
        <v>45471</v>
      </c>
      <c r="AA1209" t="str" cm="1">
        <f t="array" ref="AA1209">_xlfn.IFS(AND(Table2[[#This Row],[Guest_Age]]&gt;=18,Table2[[#This Row],[Guest_Age]]&lt;=25),"Young Adults",AND(Table2[[#This Row],[Guest_Age]]&gt;=26,Table2[[#This Row],[Guest_Age]]&lt;=35),"Adults",AND(Table2[[#This Row],[Guest_Age]]&gt;=36,Table2[[#This Row],[Guest_Age]]&lt;=50),"Middle Aged Adults",Table2[[#This Row],[Guest_Age]]&gt;50,"Senior")</f>
        <v>Young Adults</v>
      </c>
      <c r="AB12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09" t="str" cm="1">
        <f t="array" ref="AC1209">_xlfn.IFS(Table2[[#This Row],[Satification_points]]&gt;=4.5,"GREAT",AND(Table2[[#This Row],[Satification_points]]&gt;=4,Table2[[#This Row],[Satification_points]]&lt;4.5),"GOOD",AND(Table2[[#This Row],[Satification_points]]&gt;=3,Table2[[#This Row],[Satification_points]]&lt;4),"AVERAGE",Table2[[#This Row],[Satification_points]]&lt;3,"POOR")</f>
        <v>AVERAGE</v>
      </c>
    </row>
    <row r="1210" spans="1:29" x14ac:dyDescent="0.3">
      <c r="A1210">
        <v>1209</v>
      </c>
      <c r="B1210">
        <v>68465</v>
      </c>
      <c r="C1210" t="s">
        <v>1255</v>
      </c>
      <c r="D1210" t="s">
        <v>48</v>
      </c>
      <c r="E1210" t="s">
        <v>57</v>
      </c>
      <c r="F1210" s="1">
        <v>45158</v>
      </c>
      <c r="G1210" s="1">
        <v>45175</v>
      </c>
      <c r="H1210">
        <v>7</v>
      </c>
      <c r="I1210" t="s">
        <v>49</v>
      </c>
      <c r="J1210" t="s">
        <v>36</v>
      </c>
      <c r="K1210">
        <v>5</v>
      </c>
      <c r="L1210">
        <v>4</v>
      </c>
      <c r="M1210">
        <v>1</v>
      </c>
      <c r="N1210">
        <v>2</v>
      </c>
      <c r="O1210">
        <v>4</v>
      </c>
      <c r="P1210">
        <v>2</v>
      </c>
      <c r="Q1210">
        <v>2</v>
      </c>
      <c r="R1210">
        <v>2</v>
      </c>
      <c r="S1210">
        <v>3</v>
      </c>
      <c r="T1210">
        <v>5</v>
      </c>
      <c r="U1210" t="s">
        <v>30</v>
      </c>
      <c r="V1210" t="s">
        <v>58</v>
      </c>
      <c r="W1210" t="s">
        <v>55</v>
      </c>
      <c r="X1210" t="s">
        <v>44</v>
      </c>
      <c r="Y1210">
        <v>42</v>
      </c>
      <c r="Z1210" s="1">
        <v>45175</v>
      </c>
      <c r="AA1210" t="str" cm="1">
        <f t="array" ref="AA12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10" t="str" cm="1">
        <f t="array" ref="AC1210">_xlfn.IFS(Table2[[#This Row],[Satification_points]]&gt;=4.5,"GREAT",AND(Table2[[#This Row],[Satification_points]]&gt;=4,Table2[[#This Row],[Satification_points]]&lt;4.5),"GOOD",AND(Table2[[#This Row],[Satification_points]]&gt;=3,Table2[[#This Row],[Satification_points]]&lt;4),"AVERAGE",Table2[[#This Row],[Satification_points]]&lt;3,"POOR")</f>
        <v>AVERAGE</v>
      </c>
    </row>
    <row r="1211" spans="1:29" x14ac:dyDescent="0.3">
      <c r="A1211">
        <v>1210</v>
      </c>
      <c r="B1211">
        <v>17612</v>
      </c>
      <c r="C1211" t="s">
        <v>1256</v>
      </c>
      <c r="D1211" t="s">
        <v>48</v>
      </c>
      <c r="E1211" t="s">
        <v>57</v>
      </c>
      <c r="F1211" s="1">
        <v>45424</v>
      </c>
      <c r="G1211" s="1">
        <v>45568</v>
      </c>
      <c r="H1211">
        <v>12</v>
      </c>
      <c r="I1211" t="s">
        <v>28</v>
      </c>
      <c r="J1211" t="s">
        <v>53</v>
      </c>
      <c r="K1211">
        <v>3</v>
      </c>
      <c r="L1211">
        <v>1</v>
      </c>
      <c r="M1211">
        <v>3</v>
      </c>
      <c r="N1211">
        <v>2</v>
      </c>
      <c r="O1211">
        <v>2</v>
      </c>
      <c r="P1211">
        <v>1</v>
      </c>
      <c r="Q1211">
        <v>4</v>
      </c>
      <c r="R1211">
        <v>5</v>
      </c>
      <c r="S1211">
        <v>2</v>
      </c>
      <c r="T1211">
        <v>1</v>
      </c>
      <c r="U1211" t="s">
        <v>37</v>
      </c>
      <c r="V1211" t="s">
        <v>54</v>
      </c>
      <c r="W1211" t="s">
        <v>32</v>
      </c>
      <c r="X1211" t="s">
        <v>33</v>
      </c>
      <c r="Y1211">
        <v>52</v>
      </c>
      <c r="Z1211" s="1">
        <v>45632</v>
      </c>
      <c r="AA1211" t="str" cm="1">
        <f t="array" ref="AA1211">_xlfn.IFS(AND(Table2[[#This Row],[Guest_Age]]&gt;=18,Table2[[#This Row],[Guest_Age]]&lt;=25),"Young Adults",AND(Table2[[#This Row],[Guest_Age]]&gt;=26,Table2[[#This Row],[Guest_Age]]&lt;=35),"Adults",AND(Table2[[#This Row],[Guest_Age]]&gt;=36,Table2[[#This Row],[Guest_Age]]&lt;=50),"Middle Aged Adults",Table2[[#This Row],[Guest_Age]]&gt;50,"Senior")</f>
        <v>Senior</v>
      </c>
      <c r="AB12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211" t="str" cm="1">
        <f t="array" ref="AC1211">_xlfn.IFS(Table2[[#This Row],[Satification_points]]&gt;=4.5,"GREAT",AND(Table2[[#This Row],[Satification_points]]&gt;=4,Table2[[#This Row],[Satification_points]]&lt;4.5),"GOOD",AND(Table2[[#This Row],[Satification_points]]&gt;=3,Table2[[#This Row],[Satification_points]]&lt;4),"AVERAGE",Table2[[#This Row],[Satification_points]]&lt;3,"POOR")</f>
        <v>POOR</v>
      </c>
    </row>
    <row r="1212" spans="1:29" x14ac:dyDescent="0.3">
      <c r="A1212">
        <v>1211</v>
      </c>
      <c r="B1212">
        <v>19433</v>
      </c>
      <c r="C1212" t="s">
        <v>1257</v>
      </c>
      <c r="D1212" t="s">
        <v>48</v>
      </c>
      <c r="E1212" t="s">
        <v>45</v>
      </c>
      <c r="F1212" s="1">
        <v>45349</v>
      </c>
      <c r="G1212" s="1">
        <v>45350</v>
      </c>
      <c r="H1212">
        <v>6</v>
      </c>
      <c r="I1212" t="s">
        <v>28</v>
      </c>
      <c r="J1212" t="s">
        <v>36</v>
      </c>
      <c r="K1212">
        <v>2</v>
      </c>
      <c r="L1212">
        <v>5</v>
      </c>
      <c r="M1212">
        <v>3</v>
      </c>
      <c r="N1212">
        <v>4</v>
      </c>
      <c r="O1212">
        <v>3</v>
      </c>
      <c r="P1212">
        <v>1</v>
      </c>
      <c r="Q1212">
        <v>5</v>
      </c>
      <c r="R1212">
        <v>3</v>
      </c>
      <c r="S1212">
        <v>3</v>
      </c>
      <c r="T1212">
        <v>3</v>
      </c>
      <c r="U1212" t="s">
        <v>37</v>
      </c>
      <c r="V1212" t="s">
        <v>46</v>
      </c>
      <c r="W1212" t="s">
        <v>56</v>
      </c>
      <c r="X1212" t="s">
        <v>44</v>
      </c>
      <c r="Y1212">
        <v>64</v>
      </c>
      <c r="Z1212" s="1">
        <v>45350</v>
      </c>
      <c r="AA1212" t="str" cm="1">
        <f t="array" ref="AA1212">_xlfn.IFS(AND(Table2[[#This Row],[Guest_Age]]&gt;=18,Table2[[#This Row],[Guest_Age]]&lt;=25),"Young Adults",AND(Table2[[#This Row],[Guest_Age]]&gt;=26,Table2[[#This Row],[Guest_Age]]&lt;=35),"Adults",AND(Table2[[#This Row],[Guest_Age]]&gt;=36,Table2[[#This Row],[Guest_Age]]&lt;=50),"Middle Aged Adults",Table2[[#This Row],[Guest_Age]]&gt;50,"Senior")</f>
        <v>Senior</v>
      </c>
      <c r="AB12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12" t="str" cm="1">
        <f t="array" ref="AC1212">_xlfn.IFS(Table2[[#This Row],[Satification_points]]&gt;=4.5,"GREAT",AND(Table2[[#This Row],[Satification_points]]&gt;=4,Table2[[#This Row],[Satification_points]]&lt;4.5),"GOOD",AND(Table2[[#This Row],[Satification_points]]&gt;=3,Table2[[#This Row],[Satification_points]]&lt;4),"AVERAGE",Table2[[#This Row],[Satification_points]]&lt;3,"POOR")</f>
        <v>AVERAGE</v>
      </c>
    </row>
    <row r="1213" spans="1:29" x14ac:dyDescent="0.3">
      <c r="A1213">
        <v>1212</v>
      </c>
      <c r="B1213">
        <v>10946</v>
      </c>
      <c r="C1213" t="s">
        <v>1258</v>
      </c>
      <c r="D1213" t="s">
        <v>34</v>
      </c>
      <c r="E1213" t="s">
        <v>27</v>
      </c>
      <c r="F1213" s="1">
        <v>45393</v>
      </c>
      <c r="G1213" s="1">
        <v>45394</v>
      </c>
      <c r="H1213">
        <v>13</v>
      </c>
      <c r="I1213" t="s">
        <v>28</v>
      </c>
      <c r="J1213" t="s">
        <v>43</v>
      </c>
      <c r="K1213">
        <v>3</v>
      </c>
      <c r="L1213">
        <v>1</v>
      </c>
      <c r="M1213">
        <v>3</v>
      </c>
      <c r="N1213">
        <v>1</v>
      </c>
      <c r="O1213">
        <v>3</v>
      </c>
      <c r="P1213">
        <v>4</v>
      </c>
      <c r="Q1213">
        <v>3</v>
      </c>
      <c r="R1213">
        <v>5</v>
      </c>
      <c r="S1213">
        <v>2</v>
      </c>
      <c r="T1213">
        <v>4</v>
      </c>
      <c r="U1213" t="s">
        <v>30</v>
      </c>
      <c r="V1213" t="s">
        <v>31</v>
      </c>
      <c r="W1213" t="s">
        <v>47</v>
      </c>
      <c r="X1213" t="s">
        <v>40</v>
      </c>
      <c r="Y1213">
        <v>28</v>
      </c>
      <c r="Z1213" s="1">
        <v>45444</v>
      </c>
      <c r="AA1213" t="str" cm="1">
        <f t="array" ref="AA1213">_xlfn.IFS(AND(Table2[[#This Row],[Guest_Age]]&gt;=18,Table2[[#This Row],[Guest_Age]]&lt;=25),"Young Adults",AND(Table2[[#This Row],[Guest_Age]]&gt;=26,Table2[[#This Row],[Guest_Age]]&lt;=35),"Adults",AND(Table2[[#This Row],[Guest_Age]]&gt;=36,Table2[[#This Row],[Guest_Age]]&lt;=50),"Middle Aged Adults",Table2[[#This Row],[Guest_Age]]&gt;50,"Senior")</f>
        <v>Adults</v>
      </c>
      <c r="AB12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13" t="str" cm="1">
        <f t="array" ref="AC1213">_xlfn.IFS(Table2[[#This Row],[Satification_points]]&gt;=4.5,"GREAT",AND(Table2[[#This Row],[Satification_points]]&gt;=4,Table2[[#This Row],[Satification_points]]&lt;4.5),"GOOD",AND(Table2[[#This Row],[Satification_points]]&gt;=3,Table2[[#This Row],[Satification_points]]&lt;4),"AVERAGE",Table2[[#This Row],[Satification_points]]&lt;3,"POOR")</f>
        <v>POOR</v>
      </c>
    </row>
    <row r="1214" spans="1:29" x14ac:dyDescent="0.3">
      <c r="A1214">
        <v>1213</v>
      </c>
      <c r="B1214">
        <v>54107</v>
      </c>
      <c r="C1214" t="s">
        <v>1259</v>
      </c>
      <c r="D1214" t="s">
        <v>41</v>
      </c>
      <c r="E1214" t="s">
        <v>45</v>
      </c>
      <c r="F1214" s="1">
        <v>45173</v>
      </c>
      <c r="G1214" s="1">
        <v>45174</v>
      </c>
      <c r="H1214">
        <v>4</v>
      </c>
      <c r="I1214" t="s">
        <v>50</v>
      </c>
      <c r="J1214" t="s">
        <v>43</v>
      </c>
      <c r="K1214">
        <v>1</v>
      </c>
      <c r="L1214">
        <v>4</v>
      </c>
      <c r="M1214">
        <v>3</v>
      </c>
      <c r="N1214">
        <v>4</v>
      </c>
      <c r="O1214">
        <v>2</v>
      </c>
      <c r="P1214">
        <v>4</v>
      </c>
      <c r="Q1214">
        <v>5</v>
      </c>
      <c r="R1214">
        <v>5</v>
      </c>
      <c r="S1214">
        <v>1</v>
      </c>
      <c r="T1214">
        <v>5</v>
      </c>
      <c r="U1214" t="s">
        <v>37</v>
      </c>
      <c r="V1214" t="s">
        <v>54</v>
      </c>
      <c r="W1214" t="s">
        <v>47</v>
      </c>
      <c r="X1214" t="s">
        <v>33</v>
      </c>
      <c r="Y1214">
        <v>58</v>
      </c>
      <c r="Z1214" s="1">
        <v>45441</v>
      </c>
      <c r="AA1214" t="str" cm="1">
        <f t="array" ref="AA1214">_xlfn.IFS(AND(Table2[[#This Row],[Guest_Age]]&gt;=18,Table2[[#This Row],[Guest_Age]]&lt;=25),"Young Adults",AND(Table2[[#This Row],[Guest_Age]]&gt;=26,Table2[[#This Row],[Guest_Age]]&lt;=35),"Adults",AND(Table2[[#This Row],[Guest_Age]]&gt;=36,Table2[[#This Row],[Guest_Age]]&lt;=50),"Middle Aged Adults",Table2[[#This Row],[Guest_Age]]&gt;50,"Senior")</f>
        <v>Senior</v>
      </c>
      <c r="AB12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214" t="str" cm="1">
        <f t="array" ref="AC1214">_xlfn.IFS(Table2[[#This Row],[Satification_points]]&gt;=4.5,"GREAT",AND(Table2[[#This Row],[Satification_points]]&gt;=4,Table2[[#This Row],[Satification_points]]&lt;4.5),"GOOD",AND(Table2[[#This Row],[Satification_points]]&gt;=3,Table2[[#This Row],[Satification_points]]&lt;4),"AVERAGE",Table2[[#This Row],[Satification_points]]&lt;3,"POOR")</f>
        <v>AVERAGE</v>
      </c>
    </row>
    <row r="1215" spans="1:29" x14ac:dyDescent="0.3">
      <c r="A1215">
        <v>1214</v>
      </c>
      <c r="B1215">
        <v>11615</v>
      </c>
      <c r="C1215" t="s">
        <v>1260</v>
      </c>
      <c r="D1215" t="s">
        <v>26</v>
      </c>
      <c r="E1215" t="s">
        <v>27</v>
      </c>
      <c r="F1215" s="1">
        <v>45296</v>
      </c>
      <c r="G1215" s="1">
        <v>45354</v>
      </c>
      <c r="H1215">
        <v>6</v>
      </c>
      <c r="I1215" t="s">
        <v>42</v>
      </c>
      <c r="J1215" t="s">
        <v>53</v>
      </c>
      <c r="K1215">
        <v>2</v>
      </c>
      <c r="L1215">
        <v>5</v>
      </c>
      <c r="M1215">
        <v>5</v>
      </c>
      <c r="N1215">
        <v>2</v>
      </c>
      <c r="O1215">
        <v>1</v>
      </c>
      <c r="P1215">
        <v>5</v>
      </c>
      <c r="Q1215">
        <v>1</v>
      </c>
      <c r="R1215">
        <v>5</v>
      </c>
      <c r="S1215">
        <v>5</v>
      </c>
      <c r="T1215">
        <v>1</v>
      </c>
      <c r="U1215" t="s">
        <v>30</v>
      </c>
      <c r="V1215" t="s">
        <v>58</v>
      </c>
      <c r="W1215" t="s">
        <v>56</v>
      </c>
      <c r="X1215" t="s">
        <v>33</v>
      </c>
      <c r="Y1215">
        <v>60</v>
      </c>
      <c r="Z1215" s="1">
        <v>45637</v>
      </c>
      <c r="AA1215" t="str" cm="1">
        <f t="array" ref="AA1215">_xlfn.IFS(AND(Table2[[#This Row],[Guest_Age]]&gt;=18,Table2[[#This Row],[Guest_Age]]&lt;=25),"Young Adults",AND(Table2[[#This Row],[Guest_Age]]&gt;=26,Table2[[#This Row],[Guest_Age]]&lt;=35),"Adults",AND(Table2[[#This Row],[Guest_Age]]&gt;=36,Table2[[#This Row],[Guest_Age]]&lt;=50),"Middle Aged Adults",Table2[[#This Row],[Guest_Age]]&gt;50,"Senior")</f>
        <v>Senior</v>
      </c>
      <c r="AB12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15" t="str" cm="1">
        <f t="array" ref="AC1215">_xlfn.IFS(Table2[[#This Row],[Satification_points]]&gt;=4.5,"GREAT",AND(Table2[[#This Row],[Satification_points]]&gt;=4,Table2[[#This Row],[Satification_points]]&lt;4.5),"GOOD",AND(Table2[[#This Row],[Satification_points]]&gt;=3,Table2[[#This Row],[Satification_points]]&lt;4),"AVERAGE",Table2[[#This Row],[Satification_points]]&lt;3,"POOR")</f>
        <v>AVERAGE</v>
      </c>
    </row>
    <row r="1216" spans="1:29" x14ac:dyDescent="0.3">
      <c r="A1216">
        <v>1215</v>
      </c>
      <c r="B1216">
        <v>88387</v>
      </c>
      <c r="C1216" t="s">
        <v>1261</v>
      </c>
      <c r="D1216" t="s">
        <v>51</v>
      </c>
      <c r="E1216" t="s">
        <v>27</v>
      </c>
      <c r="F1216" s="1">
        <v>45439</v>
      </c>
      <c r="G1216" s="1">
        <v>45440</v>
      </c>
      <c r="H1216">
        <v>13</v>
      </c>
      <c r="I1216" t="s">
        <v>42</v>
      </c>
      <c r="J1216" t="s">
        <v>29</v>
      </c>
      <c r="K1216">
        <v>4</v>
      </c>
      <c r="L1216">
        <v>5</v>
      </c>
      <c r="M1216">
        <v>5</v>
      </c>
      <c r="N1216">
        <v>4</v>
      </c>
      <c r="O1216">
        <v>1</v>
      </c>
      <c r="P1216">
        <v>5</v>
      </c>
      <c r="Q1216">
        <v>2</v>
      </c>
      <c r="R1216">
        <v>5</v>
      </c>
      <c r="S1216">
        <v>5</v>
      </c>
      <c r="T1216">
        <v>5</v>
      </c>
      <c r="U1216" t="s">
        <v>30</v>
      </c>
      <c r="V1216" t="s">
        <v>31</v>
      </c>
      <c r="W1216" t="s">
        <v>55</v>
      </c>
      <c r="X1216" t="s">
        <v>40</v>
      </c>
      <c r="Y1216">
        <v>23</v>
      </c>
      <c r="Z1216" s="1">
        <v>45440</v>
      </c>
      <c r="AA1216" t="str" cm="1">
        <f t="array" ref="AA1216">_xlfn.IFS(AND(Table2[[#This Row],[Guest_Age]]&gt;=18,Table2[[#This Row],[Guest_Age]]&lt;=25),"Young Adults",AND(Table2[[#This Row],[Guest_Age]]&gt;=26,Table2[[#This Row],[Guest_Age]]&lt;=35),"Adults",AND(Table2[[#This Row],[Guest_Age]]&gt;=36,Table2[[#This Row],[Guest_Age]]&lt;=50),"Middle Aged Adults",Table2[[#This Row],[Guest_Age]]&gt;50,"Senior")</f>
        <v>Young Adults</v>
      </c>
      <c r="AB12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216" t="str" cm="1">
        <f t="array" ref="AC1216">_xlfn.IFS(Table2[[#This Row],[Satification_points]]&gt;=4.5,"GREAT",AND(Table2[[#This Row],[Satification_points]]&gt;=4,Table2[[#This Row],[Satification_points]]&lt;4.5),"GOOD",AND(Table2[[#This Row],[Satification_points]]&gt;=3,Table2[[#This Row],[Satification_points]]&lt;4),"AVERAGE",Table2[[#This Row],[Satification_points]]&lt;3,"POOR")</f>
        <v>GOOD</v>
      </c>
    </row>
    <row r="1217" spans="1:29" x14ac:dyDescent="0.3">
      <c r="A1217">
        <v>1216</v>
      </c>
      <c r="B1217">
        <v>83790</v>
      </c>
      <c r="C1217" t="s">
        <v>1262</v>
      </c>
      <c r="D1217" t="s">
        <v>34</v>
      </c>
      <c r="E1217" t="s">
        <v>45</v>
      </c>
      <c r="F1217" s="1">
        <v>45031</v>
      </c>
      <c r="G1217" s="1">
        <v>45482</v>
      </c>
      <c r="H1217">
        <v>11</v>
      </c>
      <c r="I1217" t="s">
        <v>42</v>
      </c>
      <c r="J1217" t="s">
        <v>40</v>
      </c>
      <c r="K1217">
        <v>3</v>
      </c>
      <c r="L1217">
        <v>5</v>
      </c>
      <c r="M1217">
        <v>1</v>
      </c>
      <c r="N1217">
        <v>3</v>
      </c>
      <c r="O1217">
        <v>1</v>
      </c>
      <c r="P1217">
        <v>4</v>
      </c>
      <c r="Q1217">
        <v>5</v>
      </c>
      <c r="R1217">
        <v>3</v>
      </c>
      <c r="S1217">
        <v>3</v>
      </c>
      <c r="T1217">
        <v>4</v>
      </c>
      <c r="U1217" t="s">
        <v>30</v>
      </c>
      <c r="V1217" t="s">
        <v>38</v>
      </c>
      <c r="W1217" t="s">
        <v>56</v>
      </c>
      <c r="X1217" t="s">
        <v>40</v>
      </c>
      <c r="Y1217">
        <v>59</v>
      </c>
      <c r="Z1217" s="1">
        <v>45482</v>
      </c>
      <c r="AA1217" t="str" cm="1">
        <f t="array" ref="AA1217">_xlfn.IFS(AND(Table2[[#This Row],[Guest_Age]]&gt;=18,Table2[[#This Row],[Guest_Age]]&lt;=25),"Young Adults",AND(Table2[[#This Row],[Guest_Age]]&gt;=26,Table2[[#This Row],[Guest_Age]]&lt;=35),"Adults",AND(Table2[[#This Row],[Guest_Age]]&gt;=36,Table2[[#This Row],[Guest_Age]]&lt;=50),"Middle Aged Adults",Table2[[#This Row],[Guest_Age]]&gt;50,"Senior")</f>
        <v>Senior</v>
      </c>
      <c r="AB12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17" t="str" cm="1">
        <f t="array" ref="AC1217">_xlfn.IFS(Table2[[#This Row],[Satification_points]]&gt;=4.5,"GREAT",AND(Table2[[#This Row],[Satification_points]]&gt;=4,Table2[[#This Row],[Satification_points]]&lt;4.5),"GOOD",AND(Table2[[#This Row],[Satification_points]]&gt;=3,Table2[[#This Row],[Satification_points]]&lt;4),"AVERAGE",Table2[[#This Row],[Satification_points]]&lt;3,"POOR")</f>
        <v>AVERAGE</v>
      </c>
    </row>
    <row r="1218" spans="1:29" x14ac:dyDescent="0.3">
      <c r="A1218">
        <v>1217</v>
      </c>
      <c r="B1218">
        <v>97635</v>
      </c>
      <c r="C1218" t="s">
        <v>1263</v>
      </c>
      <c r="D1218" t="s">
        <v>34</v>
      </c>
      <c r="E1218" t="s">
        <v>45</v>
      </c>
      <c r="F1218" s="1">
        <v>45160</v>
      </c>
      <c r="G1218" s="1">
        <v>45161</v>
      </c>
      <c r="H1218">
        <v>6</v>
      </c>
      <c r="I1218" t="s">
        <v>49</v>
      </c>
      <c r="J1218" t="s">
        <v>29</v>
      </c>
      <c r="K1218">
        <v>3</v>
      </c>
      <c r="L1218">
        <v>4</v>
      </c>
      <c r="M1218">
        <v>1</v>
      </c>
      <c r="N1218">
        <v>5</v>
      </c>
      <c r="O1218">
        <v>3</v>
      </c>
      <c r="P1218">
        <v>5</v>
      </c>
      <c r="Q1218">
        <v>3</v>
      </c>
      <c r="R1218">
        <v>1</v>
      </c>
      <c r="S1218">
        <v>2</v>
      </c>
      <c r="T1218">
        <v>1</v>
      </c>
      <c r="U1218" t="s">
        <v>30</v>
      </c>
      <c r="V1218" t="s">
        <v>58</v>
      </c>
      <c r="W1218" t="s">
        <v>39</v>
      </c>
      <c r="X1218" t="s">
        <v>44</v>
      </c>
      <c r="Y1218">
        <v>59</v>
      </c>
      <c r="Z1218" s="1">
        <v>45515</v>
      </c>
      <c r="AA1218" t="str" cm="1">
        <f t="array" ref="AA1218">_xlfn.IFS(AND(Table2[[#This Row],[Guest_Age]]&gt;=18,Table2[[#This Row],[Guest_Age]]&lt;=25),"Young Adults",AND(Table2[[#This Row],[Guest_Age]]&gt;=26,Table2[[#This Row],[Guest_Age]]&lt;=35),"Adults",AND(Table2[[#This Row],[Guest_Age]]&gt;=36,Table2[[#This Row],[Guest_Age]]&lt;=50),"Middle Aged Adults",Table2[[#This Row],[Guest_Age]]&gt;50,"Senior")</f>
        <v>Senior</v>
      </c>
      <c r="AB12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18" t="str" cm="1">
        <f t="array" ref="AC1218">_xlfn.IFS(Table2[[#This Row],[Satification_points]]&gt;=4.5,"GREAT",AND(Table2[[#This Row],[Satification_points]]&gt;=4,Table2[[#This Row],[Satification_points]]&lt;4.5),"GOOD",AND(Table2[[#This Row],[Satification_points]]&gt;=3,Table2[[#This Row],[Satification_points]]&lt;4),"AVERAGE",Table2[[#This Row],[Satification_points]]&lt;3,"POOR")</f>
        <v>POOR</v>
      </c>
    </row>
    <row r="1219" spans="1:29" x14ac:dyDescent="0.3">
      <c r="A1219">
        <v>1218</v>
      </c>
      <c r="B1219">
        <v>65221</v>
      </c>
      <c r="C1219" t="s">
        <v>1264</v>
      </c>
      <c r="D1219" t="s">
        <v>34</v>
      </c>
      <c r="E1219" t="s">
        <v>45</v>
      </c>
      <c r="F1219" s="1">
        <v>45384</v>
      </c>
      <c r="G1219" s="1">
        <v>45385</v>
      </c>
      <c r="H1219">
        <v>5</v>
      </c>
      <c r="I1219" t="s">
        <v>42</v>
      </c>
      <c r="J1219" t="s">
        <v>40</v>
      </c>
      <c r="K1219">
        <v>5</v>
      </c>
      <c r="L1219">
        <v>3</v>
      </c>
      <c r="M1219">
        <v>1</v>
      </c>
      <c r="N1219">
        <v>3</v>
      </c>
      <c r="O1219">
        <v>1</v>
      </c>
      <c r="P1219">
        <v>4</v>
      </c>
      <c r="Q1219">
        <v>5</v>
      </c>
      <c r="R1219">
        <v>1</v>
      </c>
      <c r="S1219">
        <v>5</v>
      </c>
      <c r="T1219">
        <v>5</v>
      </c>
      <c r="U1219" t="s">
        <v>30</v>
      </c>
      <c r="V1219" t="s">
        <v>38</v>
      </c>
      <c r="W1219" t="s">
        <v>39</v>
      </c>
      <c r="X1219" t="s">
        <v>44</v>
      </c>
      <c r="Y1219">
        <v>67</v>
      </c>
      <c r="Z1219" s="1">
        <v>45540</v>
      </c>
      <c r="AA1219" t="str" cm="1">
        <f t="array" ref="AA1219">_xlfn.IFS(AND(Table2[[#This Row],[Guest_Age]]&gt;=18,Table2[[#This Row],[Guest_Age]]&lt;=25),"Young Adults",AND(Table2[[#This Row],[Guest_Age]]&gt;=26,Table2[[#This Row],[Guest_Age]]&lt;=35),"Adults",AND(Table2[[#This Row],[Guest_Age]]&gt;=36,Table2[[#This Row],[Guest_Age]]&lt;=50),"Middle Aged Adults",Table2[[#This Row],[Guest_Age]]&gt;50,"Senior")</f>
        <v>Senior</v>
      </c>
      <c r="AB12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19" t="str" cm="1">
        <f t="array" ref="AC1219">_xlfn.IFS(Table2[[#This Row],[Satification_points]]&gt;=4.5,"GREAT",AND(Table2[[#This Row],[Satification_points]]&gt;=4,Table2[[#This Row],[Satification_points]]&lt;4.5),"GOOD",AND(Table2[[#This Row],[Satification_points]]&gt;=3,Table2[[#This Row],[Satification_points]]&lt;4),"AVERAGE",Table2[[#This Row],[Satification_points]]&lt;3,"POOR")</f>
        <v>AVERAGE</v>
      </c>
    </row>
    <row r="1220" spans="1:29" x14ac:dyDescent="0.3">
      <c r="A1220">
        <v>1219</v>
      </c>
      <c r="B1220">
        <v>43161</v>
      </c>
      <c r="C1220" t="s">
        <v>1265</v>
      </c>
      <c r="D1220" t="s">
        <v>26</v>
      </c>
      <c r="E1220" t="s">
        <v>27</v>
      </c>
      <c r="F1220" s="1">
        <v>45183</v>
      </c>
      <c r="G1220" s="1">
        <v>45403</v>
      </c>
      <c r="H1220">
        <v>1</v>
      </c>
      <c r="I1220" t="s">
        <v>49</v>
      </c>
      <c r="J1220" t="s">
        <v>36</v>
      </c>
      <c r="K1220">
        <v>5</v>
      </c>
      <c r="L1220">
        <v>4</v>
      </c>
      <c r="M1220">
        <v>3</v>
      </c>
      <c r="N1220">
        <v>3</v>
      </c>
      <c r="O1220">
        <v>4</v>
      </c>
      <c r="P1220">
        <v>3</v>
      </c>
      <c r="Q1220">
        <v>1</v>
      </c>
      <c r="R1220">
        <v>4</v>
      </c>
      <c r="S1220">
        <v>5</v>
      </c>
      <c r="T1220">
        <v>1</v>
      </c>
      <c r="U1220" t="s">
        <v>37</v>
      </c>
      <c r="V1220" t="s">
        <v>46</v>
      </c>
      <c r="W1220" t="s">
        <v>32</v>
      </c>
      <c r="X1220" t="s">
        <v>33</v>
      </c>
      <c r="Y1220">
        <v>62</v>
      </c>
      <c r="Z1220" s="1">
        <v>45403</v>
      </c>
      <c r="AA1220" t="str" cm="1">
        <f t="array" ref="AA1220">_xlfn.IFS(AND(Table2[[#This Row],[Guest_Age]]&gt;=18,Table2[[#This Row],[Guest_Age]]&lt;=25),"Young Adults",AND(Table2[[#This Row],[Guest_Age]]&gt;=26,Table2[[#This Row],[Guest_Age]]&lt;=35),"Adults",AND(Table2[[#This Row],[Guest_Age]]&gt;=36,Table2[[#This Row],[Guest_Age]]&lt;=50),"Middle Aged Adults",Table2[[#This Row],[Guest_Age]]&gt;50,"Senior")</f>
        <v>Senior</v>
      </c>
      <c r="AB12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20" t="str" cm="1">
        <f t="array" ref="AC1220">_xlfn.IFS(Table2[[#This Row],[Satification_points]]&gt;=4.5,"GREAT",AND(Table2[[#This Row],[Satification_points]]&gt;=4,Table2[[#This Row],[Satification_points]]&lt;4.5),"GOOD",AND(Table2[[#This Row],[Satification_points]]&gt;=3,Table2[[#This Row],[Satification_points]]&lt;4),"AVERAGE",Table2[[#This Row],[Satification_points]]&lt;3,"POOR")</f>
        <v>AVERAGE</v>
      </c>
    </row>
    <row r="1221" spans="1:29" x14ac:dyDescent="0.3">
      <c r="A1221">
        <v>1220</v>
      </c>
      <c r="B1221">
        <v>42598</v>
      </c>
      <c r="C1221" t="s">
        <v>1266</v>
      </c>
      <c r="D1221" t="s">
        <v>51</v>
      </c>
      <c r="E1221" t="s">
        <v>45</v>
      </c>
      <c r="F1221" s="1">
        <v>45401</v>
      </c>
      <c r="G1221" s="1">
        <v>45402</v>
      </c>
      <c r="H1221">
        <v>3</v>
      </c>
      <c r="I1221" t="s">
        <v>50</v>
      </c>
      <c r="J1221" t="s">
        <v>36</v>
      </c>
      <c r="K1221">
        <v>2</v>
      </c>
      <c r="L1221">
        <v>2</v>
      </c>
      <c r="M1221">
        <v>4</v>
      </c>
      <c r="N1221">
        <v>5</v>
      </c>
      <c r="O1221">
        <v>1</v>
      </c>
      <c r="P1221">
        <v>5</v>
      </c>
      <c r="Q1221">
        <v>1</v>
      </c>
      <c r="R1221">
        <v>4</v>
      </c>
      <c r="S1221">
        <v>3</v>
      </c>
      <c r="T1221">
        <v>1</v>
      </c>
      <c r="U1221" t="s">
        <v>30</v>
      </c>
      <c r="V1221" t="s">
        <v>38</v>
      </c>
      <c r="W1221" t="s">
        <v>32</v>
      </c>
      <c r="X1221" t="s">
        <v>44</v>
      </c>
      <c r="Y1221">
        <v>34</v>
      </c>
      <c r="Z1221" s="1">
        <v>45504</v>
      </c>
      <c r="AA1221" t="str" cm="1">
        <f t="array" ref="AA1221">_xlfn.IFS(AND(Table2[[#This Row],[Guest_Age]]&gt;=18,Table2[[#This Row],[Guest_Age]]&lt;=25),"Young Adults",AND(Table2[[#This Row],[Guest_Age]]&gt;=26,Table2[[#This Row],[Guest_Age]]&lt;=35),"Adults",AND(Table2[[#This Row],[Guest_Age]]&gt;=36,Table2[[#This Row],[Guest_Age]]&lt;=50),"Middle Aged Adults",Table2[[#This Row],[Guest_Age]]&gt;50,"Senior")</f>
        <v>Adults</v>
      </c>
      <c r="AB12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21" t="str" cm="1">
        <f t="array" ref="AC1221">_xlfn.IFS(Table2[[#This Row],[Satification_points]]&gt;=4.5,"GREAT",AND(Table2[[#This Row],[Satification_points]]&gt;=4,Table2[[#This Row],[Satification_points]]&lt;4.5),"GOOD",AND(Table2[[#This Row],[Satification_points]]&gt;=3,Table2[[#This Row],[Satification_points]]&lt;4),"AVERAGE",Table2[[#This Row],[Satification_points]]&lt;3,"POOR")</f>
        <v>POOR</v>
      </c>
    </row>
    <row r="1222" spans="1:29" x14ac:dyDescent="0.3">
      <c r="A1222">
        <v>1221</v>
      </c>
      <c r="B1222">
        <v>99454</v>
      </c>
      <c r="C1222" t="s">
        <v>1267</v>
      </c>
      <c r="D1222" t="s">
        <v>51</v>
      </c>
      <c r="E1222" t="s">
        <v>35</v>
      </c>
      <c r="F1222" s="1">
        <v>45519</v>
      </c>
      <c r="G1222" s="1">
        <v>45520</v>
      </c>
      <c r="H1222">
        <v>7</v>
      </c>
      <c r="I1222" t="s">
        <v>42</v>
      </c>
      <c r="J1222" t="s">
        <v>43</v>
      </c>
      <c r="K1222">
        <v>4</v>
      </c>
      <c r="L1222">
        <v>3</v>
      </c>
      <c r="M1222">
        <v>3</v>
      </c>
      <c r="N1222">
        <v>1</v>
      </c>
      <c r="O1222">
        <v>1</v>
      </c>
      <c r="P1222">
        <v>4</v>
      </c>
      <c r="Q1222">
        <v>5</v>
      </c>
      <c r="R1222">
        <v>2</v>
      </c>
      <c r="S1222">
        <v>3</v>
      </c>
      <c r="T1222">
        <v>4</v>
      </c>
      <c r="U1222" t="s">
        <v>37</v>
      </c>
      <c r="V1222" t="s">
        <v>38</v>
      </c>
      <c r="W1222" t="s">
        <v>39</v>
      </c>
      <c r="X1222" t="s">
        <v>44</v>
      </c>
      <c r="Y1222">
        <v>53</v>
      </c>
      <c r="Z1222" s="1">
        <v>45520</v>
      </c>
      <c r="AA1222" t="str" cm="1">
        <f t="array" ref="AA1222">_xlfn.IFS(AND(Table2[[#This Row],[Guest_Age]]&gt;=18,Table2[[#This Row],[Guest_Age]]&lt;=25),"Young Adults",AND(Table2[[#This Row],[Guest_Age]]&gt;=26,Table2[[#This Row],[Guest_Age]]&lt;=35),"Adults",AND(Table2[[#This Row],[Guest_Age]]&gt;=36,Table2[[#This Row],[Guest_Age]]&lt;=50),"Middle Aged Adults",Table2[[#This Row],[Guest_Age]]&gt;50,"Senior")</f>
        <v>Senior</v>
      </c>
      <c r="AB12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22" t="str" cm="1">
        <f t="array" ref="AC1222">_xlfn.IFS(Table2[[#This Row],[Satification_points]]&gt;=4.5,"GREAT",AND(Table2[[#This Row],[Satification_points]]&gt;=4,Table2[[#This Row],[Satification_points]]&lt;4.5),"GOOD",AND(Table2[[#This Row],[Satification_points]]&gt;=3,Table2[[#This Row],[Satification_points]]&lt;4),"AVERAGE",Table2[[#This Row],[Satification_points]]&lt;3,"POOR")</f>
        <v>AVERAGE</v>
      </c>
    </row>
    <row r="1223" spans="1:29" x14ac:dyDescent="0.3">
      <c r="A1223">
        <v>1222</v>
      </c>
      <c r="B1223">
        <v>85229</v>
      </c>
      <c r="C1223" t="s">
        <v>1268</v>
      </c>
      <c r="D1223" t="s">
        <v>48</v>
      </c>
      <c r="E1223" t="s">
        <v>52</v>
      </c>
      <c r="F1223" s="1">
        <v>45561</v>
      </c>
      <c r="G1223" s="1">
        <v>45562</v>
      </c>
      <c r="H1223">
        <v>2</v>
      </c>
      <c r="I1223" t="s">
        <v>49</v>
      </c>
      <c r="J1223" t="s">
        <v>29</v>
      </c>
      <c r="K1223">
        <v>5</v>
      </c>
      <c r="L1223">
        <v>4</v>
      </c>
      <c r="M1223">
        <v>4</v>
      </c>
      <c r="N1223">
        <v>5</v>
      </c>
      <c r="O1223">
        <v>3</v>
      </c>
      <c r="P1223">
        <v>3</v>
      </c>
      <c r="Q1223">
        <v>3</v>
      </c>
      <c r="R1223">
        <v>1</v>
      </c>
      <c r="S1223">
        <v>3</v>
      </c>
      <c r="T1223">
        <v>1</v>
      </c>
      <c r="U1223" t="s">
        <v>37</v>
      </c>
      <c r="V1223" t="s">
        <v>46</v>
      </c>
      <c r="W1223" t="s">
        <v>56</v>
      </c>
      <c r="X1223" t="s">
        <v>44</v>
      </c>
      <c r="Y1223">
        <v>35</v>
      </c>
      <c r="Z1223" s="1">
        <v>45562</v>
      </c>
      <c r="AA1223" t="str" cm="1">
        <f t="array" ref="AA1223">_xlfn.IFS(AND(Table2[[#This Row],[Guest_Age]]&gt;=18,Table2[[#This Row],[Guest_Age]]&lt;=25),"Young Adults",AND(Table2[[#This Row],[Guest_Age]]&gt;=26,Table2[[#This Row],[Guest_Age]]&lt;=35),"Adults",AND(Table2[[#This Row],[Guest_Age]]&gt;=36,Table2[[#This Row],[Guest_Age]]&lt;=50),"Middle Aged Adults",Table2[[#This Row],[Guest_Age]]&gt;50,"Senior")</f>
        <v>Adults</v>
      </c>
      <c r="AB12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23" t="str" cm="1">
        <f t="array" ref="AC1223">_xlfn.IFS(Table2[[#This Row],[Satification_points]]&gt;=4.5,"GREAT",AND(Table2[[#This Row],[Satification_points]]&gt;=4,Table2[[#This Row],[Satification_points]]&lt;4.5),"GOOD",AND(Table2[[#This Row],[Satification_points]]&gt;=3,Table2[[#This Row],[Satification_points]]&lt;4),"AVERAGE",Table2[[#This Row],[Satification_points]]&lt;3,"POOR")</f>
        <v>AVERAGE</v>
      </c>
    </row>
    <row r="1224" spans="1:29" x14ac:dyDescent="0.3">
      <c r="A1224">
        <v>1223</v>
      </c>
      <c r="B1224">
        <v>90690</v>
      </c>
      <c r="C1224" t="s">
        <v>1269</v>
      </c>
      <c r="D1224" t="s">
        <v>48</v>
      </c>
      <c r="E1224" t="s">
        <v>52</v>
      </c>
      <c r="F1224" s="1">
        <v>45098</v>
      </c>
      <c r="G1224" s="1">
        <v>45458</v>
      </c>
      <c r="H1224">
        <v>10</v>
      </c>
      <c r="I1224" t="s">
        <v>50</v>
      </c>
      <c r="J1224" t="s">
        <v>53</v>
      </c>
      <c r="K1224">
        <v>3</v>
      </c>
      <c r="L1224">
        <v>2</v>
      </c>
      <c r="M1224">
        <v>1</v>
      </c>
      <c r="N1224">
        <v>1</v>
      </c>
      <c r="O1224">
        <v>5</v>
      </c>
      <c r="P1224">
        <v>5</v>
      </c>
      <c r="Q1224">
        <v>5</v>
      </c>
      <c r="R1224">
        <v>5</v>
      </c>
      <c r="S1224">
        <v>4</v>
      </c>
      <c r="T1224">
        <v>3</v>
      </c>
      <c r="U1224" t="s">
        <v>30</v>
      </c>
      <c r="V1224" t="s">
        <v>46</v>
      </c>
      <c r="W1224" t="s">
        <v>32</v>
      </c>
      <c r="X1224" t="s">
        <v>33</v>
      </c>
      <c r="Y1224">
        <v>50</v>
      </c>
      <c r="Z1224" s="1">
        <v>45638</v>
      </c>
      <c r="AA1224" t="str" cm="1">
        <f t="array" ref="AA122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224" t="str" cm="1">
        <f t="array" ref="AC1224">_xlfn.IFS(Table2[[#This Row],[Satification_points]]&gt;=4.5,"GREAT",AND(Table2[[#This Row],[Satification_points]]&gt;=4,Table2[[#This Row],[Satification_points]]&lt;4.5),"GOOD",AND(Table2[[#This Row],[Satification_points]]&gt;=3,Table2[[#This Row],[Satification_points]]&lt;4),"AVERAGE",Table2[[#This Row],[Satification_points]]&lt;3,"POOR")</f>
        <v>AVERAGE</v>
      </c>
    </row>
    <row r="1225" spans="1:29" x14ac:dyDescent="0.3">
      <c r="A1225">
        <v>1224</v>
      </c>
      <c r="B1225">
        <v>10388</v>
      </c>
      <c r="C1225" t="s">
        <v>1270</v>
      </c>
      <c r="D1225" t="s">
        <v>41</v>
      </c>
      <c r="E1225" t="s">
        <v>35</v>
      </c>
      <c r="F1225" s="1">
        <v>45199</v>
      </c>
      <c r="G1225" s="1">
        <v>45407</v>
      </c>
      <c r="H1225">
        <v>10</v>
      </c>
      <c r="I1225" t="s">
        <v>50</v>
      </c>
      <c r="J1225" t="s">
        <v>40</v>
      </c>
      <c r="K1225">
        <v>2</v>
      </c>
      <c r="L1225">
        <v>1</v>
      </c>
      <c r="M1225">
        <v>3</v>
      </c>
      <c r="N1225">
        <v>2</v>
      </c>
      <c r="O1225">
        <v>4</v>
      </c>
      <c r="P1225">
        <v>1</v>
      </c>
      <c r="Q1225">
        <v>2</v>
      </c>
      <c r="R1225">
        <v>4</v>
      </c>
      <c r="S1225">
        <v>1</v>
      </c>
      <c r="T1225">
        <v>5</v>
      </c>
      <c r="U1225" t="s">
        <v>37</v>
      </c>
      <c r="V1225" t="s">
        <v>38</v>
      </c>
      <c r="W1225" t="s">
        <v>56</v>
      </c>
      <c r="X1225" t="s">
        <v>44</v>
      </c>
      <c r="Y1225">
        <v>35</v>
      </c>
      <c r="Z1225" s="1">
        <v>45407</v>
      </c>
      <c r="AA1225" t="str" cm="1">
        <f t="array" ref="AA1225">_xlfn.IFS(AND(Table2[[#This Row],[Guest_Age]]&gt;=18,Table2[[#This Row],[Guest_Age]]&lt;=25),"Young Adults",AND(Table2[[#This Row],[Guest_Age]]&gt;=26,Table2[[#This Row],[Guest_Age]]&lt;=35),"Adults",AND(Table2[[#This Row],[Guest_Age]]&gt;=36,Table2[[#This Row],[Guest_Age]]&lt;=50),"Middle Aged Adults",Table2[[#This Row],[Guest_Age]]&gt;50,"Senior")</f>
        <v>Adults</v>
      </c>
      <c r="AB12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225" t="str" cm="1">
        <f t="array" ref="AC1225">_xlfn.IFS(Table2[[#This Row],[Satification_points]]&gt;=4.5,"GREAT",AND(Table2[[#This Row],[Satification_points]]&gt;=4,Table2[[#This Row],[Satification_points]]&lt;4.5),"GOOD",AND(Table2[[#This Row],[Satification_points]]&gt;=3,Table2[[#This Row],[Satification_points]]&lt;4),"AVERAGE",Table2[[#This Row],[Satification_points]]&lt;3,"POOR")</f>
        <v>POOR</v>
      </c>
    </row>
    <row r="1226" spans="1:29" x14ac:dyDescent="0.3">
      <c r="A1226">
        <v>1225</v>
      </c>
      <c r="B1226">
        <v>59739</v>
      </c>
      <c r="C1226" t="s">
        <v>1271</v>
      </c>
      <c r="D1226" t="s">
        <v>34</v>
      </c>
      <c r="E1226" t="s">
        <v>52</v>
      </c>
      <c r="F1226" s="1">
        <v>45120</v>
      </c>
      <c r="G1226" s="1">
        <v>45121</v>
      </c>
      <c r="H1226">
        <v>1</v>
      </c>
      <c r="I1226" t="s">
        <v>49</v>
      </c>
      <c r="J1226" t="s">
        <v>36</v>
      </c>
      <c r="K1226">
        <v>5</v>
      </c>
      <c r="L1226">
        <v>2</v>
      </c>
      <c r="M1226">
        <v>1</v>
      </c>
      <c r="N1226">
        <v>4</v>
      </c>
      <c r="O1226">
        <v>3</v>
      </c>
      <c r="P1226">
        <v>4</v>
      </c>
      <c r="Q1226">
        <v>3</v>
      </c>
      <c r="R1226">
        <v>5</v>
      </c>
      <c r="S1226">
        <v>1</v>
      </c>
      <c r="T1226">
        <v>2</v>
      </c>
      <c r="U1226" t="s">
        <v>37</v>
      </c>
      <c r="V1226" t="s">
        <v>31</v>
      </c>
      <c r="W1226" t="s">
        <v>32</v>
      </c>
      <c r="X1226" t="s">
        <v>44</v>
      </c>
      <c r="Y1226">
        <v>24</v>
      </c>
      <c r="Z1226" s="1">
        <v>45600</v>
      </c>
      <c r="AA1226" t="str" cm="1">
        <f t="array" ref="AA1226">_xlfn.IFS(AND(Table2[[#This Row],[Guest_Age]]&gt;=18,Table2[[#This Row],[Guest_Age]]&lt;=25),"Young Adults",AND(Table2[[#This Row],[Guest_Age]]&gt;=26,Table2[[#This Row],[Guest_Age]]&lt;=35),"Adults",AND(Table2[[#This Row],[Guest_Age]]&gt;=36,Table2[[#This Row],[Guest_Age]]&lt;=50),"Middle Aged Adults",Table2[[#This Row],[Guest_Age]]&gt;50,"Senior")</f>
        <v>Young Adults</v>
      </c>
      <c r="AB12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26" t="str" cm="1">
        <f t="array" ref="AC1226">_xlfn.IFS(Table2[[#This Row],[Satification_points]]&gt;=4.5,"GREAT",AND(Table2[[#This Row],[Satification_points]]&gt;=4,Table2[[#This Row],[Satification_points]]&lt;4.5),"GOOD",AND(Table2[[#This Row],[Satification_points]]&gt;=3,Table2[[#This Row],[Satification_points]]&lt;4),"AVERAGE",Table2[[#This Row],[Satification_points]]&lt;3,"POOR")</f>
        <v>AVERAGE</v>
      </c>
    </row>
    <row r="1227" spans="1:29" x14ac:dyDescent="0.3">
      <c r="A1227">
        <v>1226</v>
      </c>
      <c r="B1227">
        <v>89437</v>
      </c>
      <c r="C1227" t="s">
        <v>1272</v>
      </c>
      <c r="D1227" t="s">
        <v>41</v>
      </c>
      <c r="E1227" t="s">
        <v>27</v>
      </c>
      <c r="F1227" s="1">
        <v>45038</v>
      </c>
      <c r="G1227" s="1">
        <v>45318</v>
      </c>
      <c r="H1227">
        <v>8</v>
      </c>
      <c r="I1227" t="s">
        <v>50</v>
      </c>
      <c r="J1227" t="s">
        <v>40</v>
      </c>
      <c r="K1227">
        <v>5</v>
      </c>
      <c r="L1227">
        <v>5</v>
      </c>
      <c r="M1227">
        <v>5</v>
      </c>
      <c r="N1227">
        <v>2</v>
      </c>
      <c r="O1227">
        <v>4</v>
      </c>
      <c r="P1227">
        <v>1</v>
      </c>
      <c r="Q1227">
        <v>4</v>
      </c>
      <c r="R1227">
        <v>2</v>
      </c>
      <c r="S1227">
        <v>1</v>
      </c>
      <c r="T1227">
        <v>3</v>
      </c>
      <c r="U1227" t="s">
        <v>37</v>
      </c>
      <c r="V1227" t="s">
        <v>31</v>
      </c>
      <c r="W1227" t="s">
        <v>47</v>
      </c>
      <c r="X1227" t="s">
        <v>40</v>
      </c>
      <c r="Y1227">
        <v>46</v>
      </c>
      <c r="Z1227" s="1">
        <v>45318</v>
      </c>
      <c r="AA1227" t="str" cm="1">
        <f t="array" ref="AA12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27" t="str" cm="1">
        <f t="array" ref="AC1227">_xlfn.IFS(Table2[[#This Row],[Satification_points]]&gt;=4.5,"GREAT",AND(Table2[[#This Row],[Satification_points]]&gt;=4,Table2[[#This Row],[Satification_points]]&lt;4.5),"GOOD",AND(Table2[[#This Row],[Satification_points]]&gt;=3,Table2[[#This Row],[Satification_points]]&lt;4),"AVERAGE",Table2[[#This Row],[Satification_points]]&lt;3,"POOR")</f>
        <v>AVERAGE</v>
      </c>
    </row>
    <row r="1228" spans="1:29" x14ac:dyDescent="0.3">
      <c r="A1228">
        <v>1227</v>
      </c>
      <c r="B1228">
        <v>39307</v>
      </c>
      <c r="C1228" t="s">
        <v>1273</v>
      </c>
      <c r="D1228" t="s">
        <v>34</v>
      </c>
      <c r="E1228" t="s">
        <v>45</v>
      </c>
      <c r="F1228" s="1">
        <v>44949</v>
      </c>
      <c r="G1228" s="1">
        <v>45003</v>
      </c>
      <c r="H1228">
        <v>7</v>
      </c>
      <c r="I1228" t="s">
        <v>50</v>
      </c>
      <c r="J1228" t="s">
        <v>53</v>
      </c>
      <c r="K1228">
        <v>1</v>
      </c>
      <c r="L1228">
        <v>3</v>
      </c>
      <c r="M1228">
        <v>1</v>
      </c>
      <c r="N1228">
        <v>2</v>
      </c>
      <c r="O1228">
        <v>4</v>
      </c>
      <c r="P1228">
        <v>5</v>
      </c>
      <c r="Q1228">
        <v>3</v>
      </c>
      <c r="R1228">
        <v>1</v>
      </c>
      <c r="S1228">
        <v>2</v>
      </c>
      <c r="T1228">
        <v>3</v>
      </c>
      <c r="U1228" t="s">
        <v>30</v>
      </c>
      <c r="V1228" t="s">
        <v>54</v>
      </c>
      <c r="W1228" t="s">
        <v>56</v>
      </c>
      <c r="X1228" t="s">
        <v>33</v>
      </c>
      <c r="Y1228">
        <v>22</v>
      </c>
      <c r="Z1228" s="1">
        <v>45101</v>
      </c>
      <c r="AA1228" t="str" cm="1">
        <f t="array" ref="AA1228">_xlfn.IFS(AND(Table2[[#This Row],[Guest_Age]]&gt;=18,Table2[[#This Row],[Guest_Age]]&lt;=25),"Young Adults",AND(Table2[[#This Row],[Guest_Age]]&gt;=26,Table2[[#This Row],[Guest_Age]]&lt;=35),"Adults",AND(Table2[[#This Row],[Guest_Age]]&gt;=36,Table2[[#This Row],[Guest_Age]]&lt;=50),"Middle Aged Adults",Table2[[#This Row],[Guest_Age]]&gt;50,"Senior")</f>
        <v>Young Adults</v>
      </c>
      <c r="AB12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228" t="str" cm="1">
        <f t="array" ref="AC1228">_xlfn.IFS(Table2[[#This Row],[Satification_points]]&gt;=4.5,"GREAT",AND(Table2[[#This Row],[Satification_points]]&gt;=4,Table2[[#This Row],[Satification_points]]&lt;4.5),"GOOD",AND(Table2[[#This Row],[Satification_points]]&gt;=3,Table2[[#This Row],[Satification_points]]&lt;4),"AVERAGE",Table2[[#This Row],[Satification_points]]&lt;3,"POOR")</f>
        <v>POOR</v>
      </c>
    </row>
    <row r="1229" spans="1:29" x14ac:dyDescent="0.3">
      <c r="A1229">
        <v>1228</v>
      </c>
      <c r="B1229">
        <v>83205</v>
      </c>
      <c r="C1229" t="s">
        <v>1274</v>
      </c>
      <c r="D1229" t="s">
        <v>51</v>
      </c>
      <c r="E1229" t="s">
        <v>45</v>
      </c>
      <c r="F1229" s="1">
        <v>45241</v>
      </c>
      <c r="G1229" s="1">
        <v>45242</v>
      </c>
      <c r="H1229">
        <v>6</v>
      </c>
      <c r="I1229" t="s">
        <v>42</v>
      </c>
      <c r="J1229" t="s">
        <v>40</v>
      </c>
      <c r="K1229">
        <v>2</v>
      </c>
      <c r="L1229">
        <v>4</v>
      </c>
      <c r="M1229">
        <v>3</v>
      </c>
      <c r="N1229">
        <v>2</v>
      </c>
      <c r="O1229">
        <v>1</v>
      </c>
      <c r="P1229">
        <v>3</v>
      </c>
      <c r="Q1229">
        <v>5</v>
      </c>
      <c r="R1229">
        <v>3</v>
      </c>
      <c r="S1229">
        <v>2</v>
      </c>
      <c r="T1229">
        <v>1</v>
      </c>
      <c r="U1229" t="s">
        <v>37</v>
      </c>
      <c r="V1229" t="s">
        <v>54</v>
      </c>
      <c r="W1229" t="s">
        <v>39</v>
      </c>
      <c r="X1229" t="s">
        <v>40</v>
      </c>
      <c r="Y1229">
        <v>33</v>
      </c>
      <c r="Z1229" s="1">
        <v>45242</v>
      </c>
      <c r="AA1229" t="str" cm="1">
        <f t="array" ref="AA1229">_xlfn.IFS(AND(Table2[[#This Row],[Guest_Age]]&gt;=18,Table2[[#This Row],[Guest_Age]]&lt;=25),"Young Adults",AND(Table2[[#This Row],[Guest_Age]]&gt;=26,Table2[[#This Row],[Guest_Age]]&lt;=35),"Adults",AND(Table2[[#This Row],[Guest_Age]]&gt;=36,Table2[[#This Row],[Guest_Age]]&lt;=50),"Middle Aged Adults",Table2[[#This Row],[Guest_Age]]&gt;50,"Senior")</f>
        <v>Adults</v>
      </c>
      <c r="AB12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29" t="str" cm="1">
        <f t="array" ref="AC1229">_xlfn.IFS(Table2[[#This Row],[Satification_points]]&gt;=4.5,"GREAT",AND(Table2[[#This Row],[Satification_points]]&gt;=4,Table2[[#This Row],[Satification_points]]&lt;4.5),"GOOD",AND(Table2[[#This Row],[Satification_points]]&gt;=3,Table2[[#This Row],[Satification_points]]&lt;4),"AVERAGE",Table2[[#This Row],[Satification_points]]&lt;3,"POOR")</f>
        <v>POOR</v>
      </c>
    </row>
    <row r="1230" spans="1:29" x14ac:dyDescent="0.3">
      <c r="A1230">
        <v>1229</v>
      </c>
      <c r="B1230">
        <v>67623</v>
      </c>
      <c r="C1230" t="s">
        <v>1275</v>
      </c>
      <c r="D1230" t="s">
        <v>41</v>
      </c>
      <c r="E1230" t="s">
        <v>45</v>
      </c>
      <c r="F1230" s="1">
        <v>45128</v>
      </c>
      <c r="G1230" s="1">
        <v>45618</v>
      </c>
      <c r="H1230">
        <v>10</v>
      </c>
      <c r="I1230" t="s">
        <v>49</v>
      </c>
      <c r="J1230" t="s">
        <v>43</v>
      </c>
      <c r="K1230">
        <v>2</v>
      </c>
      <c r="L1230">
        <v>4</v>
      </c>
      <c r="M1230">
        <v>5</v>
      </c>
      <c r="N1230">
        <v>4</v>
      </c>
      <c r="O1230">
        <v>4</v>
      </c>
      <c r="P1230">
        <v>4</v>
      </c>
      <c r="Q1230">
        <v>5</v>
      </c>
      <c r="R1230">
        <v>2</v>
      </c>
      <c r="S1230">
        <v>1</v>
      </c>
      <c r="T1230">
        <v>3</v>
      </c>
      <c r="U1230" t="s">
        <v>37</v>
      </c>
      <c r="V1230" t="s">
        <v>46</v>
      </c>
      <c r="W1230" t="s">
        <v>39</v>
      </c>
      <c r="X1230" t="s">
        <v>33</v>
      </c>
      <c r="Y1230">
        <v>48</v>
      </c>
      <c r="Z1230" s="1">
        <v>45618</v>
      </c>
      <c r="AA1230" t="str" cm="1">
        <f t="array" ref="AA123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230" t="str" cm="1">
        <f t="array" ref="AC1230">_xlfn.IFS(Table2[[#This Row],[Satification_points]]&gt;=4.5,"GREAT",AND(Table2[[#This Row],[Satification_points]]&gt;=4,Table2[[#This Row],[Satification_points]]&lt;4.5),"GOOD",AND(Table2[[#This Row],[Satification_points]]&gt;=3,Table2[[#This Row],[Satification_points]]&lt;4),"AVERAGE",Table2[[#This Row],[Satification_points]]&lt;3,"POOR")</f>
        <v>AVERAGE</v>
      </c>
    </row>
    <row r="1231" spans="1:29" x14ac:dyDescent="0.3">
      <c r="A1231">
        <v>1230</v>
      </c>
      <c r="B1231">
        <v>98628</v>
      </c>
      <c r="C1231" t="s">
        <v>1276</v>
      </c>
      <c r="D1231" t="s">
        <v>51</v>
      </c>
      <c r="E1231" t="s">
        <v>35</v>
      </c>
      <c r="F1231" s="1">
        <v>45427</v>
      </c>
      <c r="G1231" s="1">
        <v>45428</v>
      </c>
      <c r="H1231">
        <v>5</v>
      </c>
      <c r="I1231" t="s">
        <v>50</v>
      </c>
      <c r="J1231" t="s">
        <v>53</v>
      </c>
      <c r="K1231">
        <v>4</v>
      </c>
      <c r="L1231">
        <v>5</v>
      </c>
      <c r="M1231">
        <v>5</v>
      </c>
      <c r="N1231">
        <v>1</v>
      </c>
      <c r="O1231">
        <v>1</v>
      </c>
      <c r="P1231">
        <v>3</v>
      </c>
      <c r="Q1231">
        <v>4</v>
      </c>
      <c r="R1231">
        <v>3</v>
      </c>
      <c r="S1231">
        <v>3</v>
      </c>
      <c r="T1231">
        <v>3</v>
      </c>
      <c r="U1231" t="s">
        <v>37</v>
      </c>
      <c r="V1231" t="s">
        <v>58</v>
      </c>
      <c r="W1231" t="s">
        <v>32</v>
      </c>
      <c r="X1231" t="s">
        <v>40</v>
      </c>
      <c r="Y1231">
        <v>22</v>
      </c>
      <c r="Z1231" s="1">
        <v>45428</v>
      </c>
      <c r="AA1231" t="str" cm="1">
        <f t="array" ref="AA1231">_xlfn.IFS(AND(Table2[[#This Row],[Guest_Age]]&gt;=18,Table2[[#This Row],[Guest_Age]]&lt;=25),"Young Adults",AND(Table2[[#This Row],[Guest_Age]]&gt;=26,Table2[[#This Row],[Guest_Age]]&lt;=35),"Adults",AND(Table2[[#This Row],[Guest_Age]]&gt;=36,Table2[[#This Row],[Guest_Age]]&lt;=50),"Middle Aged Adults",Table2[[#This Row],[Guest_Age]]&gt;50,"Senior")</f>
        <v>Young Adults</v>
      </c>
      <c r="AB12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31" t="str" cm="1">
        <f t="array" ref="AC1231">_xlfn.IFS(Table2[[#This Row],[Satification_points]]&gt;=4.5,"GREAT",AND(Table2[[#This Row],[Satification_points]]&gt;=4,Table2[[#This Row],[Satification_points]]&lt;4.5),"GOOD",AND(Table2[[#This Row],[Satification_points]]&gt;=3,Table2[[#This Row],[Satification_points]]&lt;4),"AVERAGE",Table2[[#This Row],[Satification_points]]&lt;3,"POOR")</f>
        <v>AVERAGE</v>
      </c>
    </row>
    <row r="1232" spans="1:29" x14ac:dyDescent="0.3">
      <c r="A1232">
        <v>1231</v>
      </c>
      <c r="B1232">
        <v>70816</v>
      </c>
      <c r="C1232" t="s">
        <v>1277</v>
      </c>
      <c r="D1232" t="s">
        <v>48</v>
      </c>
      <c r="E1232" t="s">
        <v>35</v>
      </c>
      <c r="F1232" s="1">
        <v>45544</v>
      </c>
      <c r="G1232" s="1">
        <v>45545</v>
      </c>
      <c r="H1232">
        <v>6</v>
      </c>
      <c r="I1232" t="s">
        <v>28</v>
      </c>
      <c r="J1232" t="s">
        <v>53</v>
      </c>
      <c r="K1232">
        <v>5</v>
      </c>
      <c r="L1232">
        <v>3</v>
      </c>
      <c r="M1232">
        <v>4</v>
      </c>
      <c r="N1232">
        <v>5</v>
      </c>
      <c r="O1232">
        <v>4</v>
      </c>
      <c r="P1232">
        <v>1</v>
      </c>
      <c r="Q1232">
        <v>1</v>
      </c>
      <c r="R1232">
        <v>1</v>
      </c>
      <c r="S1232">
        <v>4</v>
      </c>
      <c r="T1232">
        <v>3</v>
      </c>
      <c r="U1232" t="s">
        <v>30</v>
      </c>
      <c r="V1232" t="s">
        <v>38</v>
      </c>
      <c r="W1232" t="s">
        <v>56</v>
      </c>
      <c r="X1232" t="s">
        <v>40</v>
      </c>
      <c r="Y1232">
        <v>27</v>
      </c>
      <c r="Z1232" s="1">
        <v>45633</v>
      </c>
      <c r="AA1232" t="str" cm="1">
        <f t="array" ref="AA1232">_xlfn.IFS(AND(Table2[[#This Row],[Guest_Age]]&gt;=18,Table2[[#This Row],[Guest_Age]]&lt;=25),"Young Adults",AND(Table2[[#This Row],[Guest_Age]]&gt;=26,Table2[[#This Row],[Guest_Age]]&lt;=35),"Adults",AND(Table2[[#This Row],[Guest_Age]]&gt;=36,Table2[[#This Row],[Guest_Age]]&lt;=50),"Middle Aged Adults",Table2[[#This Row],[Guest_Age]]&gt;50,"Senior")</f>
        <v>Adults</v>
      </c>
      <c r="AB12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32" t="str" cm="1">
        <f t="array" ref="AC1232">_xlfn.IFS(Table2[[#This Row],[Satification_points]]&gt;=4.5,"GREAT",AND(Table2[[#This Row],[Satification_points]]&gt;=4,Table2[[#This Row],[Satification_points]]&lt;4.5),"GOOD",AND(Table2[[#This Row],[Satification_points]]&gt;=3,Table2[[#This Row],[Satification_points]]&lt;4),"AVERAGE",Table2[[#This Row],[Satification_points]]&lt;3,"POOR")</f>
        <v>AVERAGE</v>
      </c>
    </row>
    <row r="1233" spans="1:29" x14ac:dyDescent="0.3">
      <c r="A1233">
        <v>1232</v>
      </c>
      <c r="B1233">
        <v>74885</v>
      </c>
      <c r="C1233" t="s">
        <v>1278</v>
      </c>
      <c r="D1233" t="s">
        <v>51</v>
      </c>
      <c r="E1233" t="s">
        <v>27</v>
      </c>
      <c r="F1233" s="1">
        <v>45532</v>
      </c>
      <c r="G1233" s="1">
        <v>45533</v>
      </c>
      <c r="H1233">
        <v>1</v>
      </c>
      <c r="I1233" t="s">
        <v>28</v>
      </c>
      <c r="J1233" t="s">
        <v>40</v>
      </c>
      <c r="K1233">
        <v>2</v>
      </c>
      <c r="L1233">
        <v>3</v>
      </c>
      <c r="M1233">
        <v>2</v>
      </c>
      <c r="N1233">
        <v>1</v>
      </c>
      <c r="O1233">
        <v>5</v>
      </c>
      <c r="P1233">
        <v>4</v>
      </c>
      <c r="Q1233">
        <v>5</v>
      </c>
      <c r="R1233">
        <v>3</v>
      </c>
      <c r="S1233">
        <v>1</v>
      </c>
      <c r="T1233">
        <v>1</v>
      </c>
      <c r="U1233" t="s">
        <v>37</v>
      </c>
      <c r="V1233" t="s">
        <v>46</v>
      </c>
      <c r="W1233" t="s">
        <v>55</v>
      </c>
      <c r="X1233" t="s">
        <v>40</v>
      </c>
      <c r="Y1233">
        <v>46</v>
      </c>
      <c r="Z1233" s="1">
        <v>45533</v>
      </c>
      <c r="AA1233" t="str" cm="1">
        <f t="array" ref="AA12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33" t="str" cm="1">
        <f t="array" ref="AC1233">_xlfn.IFS(Table2[[#This Row],[Satification_points]]&gt;=4.5,"GREAT",AND(Table2[[#This Row],[Satification_points]]&gt;=4,Table2[[#This Row],[Satification_points]]&lt;4.5),"GOOD",AND(Table2[[#This Row],[Satification_points]]&gt;=3,Table2[[#This Row],[Satification_points]]&lt;4),"AVERAGE",Table2[[#This Row],[Satification_points]]&lt;3,"POOR")</f>
        <v>POOR</v>
      </c>
    </row>
    <row r="1234" spans="1:29" x14ac:dyDescent="0.3">
      <c r="A1234">
        <v>1233</v>
      </c>
      <c r="B1234">
        <v>55241</v>
      </c>
      <c r="C1234" t="s">
        <v>1279</v>
      </c>
      <c r="D1234" t="s">
        <v>26</v>
      </c>
      <c r="E1234" t="s">
        <v>35</v>
      </c>
      <c r="F1234" s="1">
        <v>44951</v>
      </c>
      <c r="G1234" s="1">
        <v>45576</v>
      </c>
      <c r="H1234">
        <v>12</v>
      </c>
      <c r="I1234" t="s">
        <v>50</v>
      </c>
      <c r="J1234" t="s">
        <v>40</v>
      </c>
      <c r="K1234">
        <v>4</v>
      </c>
      <c r="L1234">
        <v>5</v>
      </c>
      <c r="M1234">
        <v>5</v>
      </c>
      <c r="N1234">
        <v>1</v>
      </c>
      <c r="O1234">
        <v>4</v>
      </c>
      <c r="P1234">
        <v>1</v>
      </c>
      <c r="Q1234">
        <v>1</v>
      </c>
      <c r="R1234">
        <v>1</v>
      </c>
      <c r="S1234">
        <v>3</v>
      </c>
      <c r="T1234">
        <v>3</v>
      </c>
      <c r="U1234" t="s">
        <v>37</v>
      </c>
      <c r="V1234" t="s">
        <v>46</v>
      </c>
      <c r="W1234" t="s">
        <v>39</v>
      </c>
      <c r="X1234" t="s">
        <v>40</v>
      </c>
      <c r="Y1234">
        <v>46</v>
      </c>
      <c r="Z1234" s="1">
        <v>45576</v>
      </c>
      <c r="AA1234" t="str" cm="1">
        <f t="array" ref="AA12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34" t="str" cm="1">
        <f t="array" ref="AC1234">_xlfn.IFS(Table2[[#This Row],[Satification_points]]&gt;=4.5,"GREAT",AND(Table2[[#This Row],[Satification_points]]&gt;=4,Table2[[#This Row],[Satification_points]]&lt;4.5),"GOOD",AND(Table2[[#This Row],[Satification_points]]&gt;=3,Table2[[#This Row],[Satification_points]]&lt;4),"AVERAGE",Table2[[#This Row],[Satification_points]]&lt;3,"POOR")</f>
        <v>POOR</v>
      </c>
    </row>
    <row r="1235" spans="1:29" x14ac:dyDescent="0.3">
      <c r="A1235">
        <v>1234</v>
      </c>
      <c r="B1235">
        <v>62137</v>
      </c>
      <c r="C1235" t="s">
        <v>1280</v>
      </c>
      <c r="D1235" t="s">
        <v>41</v>
      </c>
      <c r="E1235" t="s">
        <v>45</v>
      </c>
      <c r="F1235" s="1">
        <v>45583</v>
      </c>
      <c r="G1235" s="1">
        <v>45584</v>
      </c>
      <c r="H1235">
        <v>9</v>
      </c>
      <c r="I1235" t="s">
        <v>42</v>
      </c>
      <c r="J1235" t="s">
        <v>36</v>
      </c>
      <c r="K1235">
        <v>5</v>
      </c>
      <c r="L1235">
        <v>3</v>
      </c>
      <c r="M1235">
        <v>2</v>
      </c>
      <c r="N1235">
        <v>3</v>
      </c>
      <c r="O1235">
        <v>2</v>
      </c>
      <c r="P1235">
        <v>1</v>
      </c>
      <c r="Q1235">
        <v>1</v>
      </c>
      <c r="R1235">
        <v>5</v>
      </c>
      <c r="S1235">
        <v>5</v>
      </c>
      <c r="T1235">
        <v>2</v>
      </c>
      <c r="U1235" t="s">
        <v>30</v>
      </c>
      <c r="V1235" t="s">
        <v>46</v>
      </c>
      <c r="W1235" t="s">
        <v>39</v>
      </c>
      <c r="X1235" t="s">
        <v>44</v>
      </c>
      <c r="Y1235">
        <v>33</v>
      </c>
      <c r="Z1235" s="1">
        <v>45584</v>
      </c>
      <c r="AA1235" t="str" cm="1">
        <f t="array" ref="AA1235">_xlfn.IFS(AND(Table2[[#This Row],[Guest_Age]]&gt;=18,Table2[[#This Row],[Guest_Age]]&lt;=25),"Young Adults",AND(Table2[[#This Row],[Guest_Age]]&gt;=26,Table2[[#This Row],[Guest_Age]]&lt;=35),"Adults",AND(Table2[[#This Row],[Guest_Age]]&gt;=36,Table2[[#This Row],[Guest_Age]]&lt;=50),"Middle Aged Adults",Table2[[#This Row],[Guest_Age]]&gt;50,"Senior")</f>
        <v>Adults</v>
      </c>
      <c r="AB12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35" t="str" cm="1">
        <f t="array" ref="AC1235">_xlfn.IFS(Table2[[#This Row],[Satification_points]]&gt;=4.5,"GREAT",AND(Table2[[#This Row],[Satification_points]]&gt;=4,Table2[[#This Row],[Satification_points]]&lt;4.5),"GOOD",AND(Table2[[#This Row],[Satification_points]]&gt;=3,Table2[[#This Row],[Satification_points]]&lt;4),"AVERAGE",Table2[[#This Row],[Satification_points]]&lt;3,"POOR")</f>
        <v>POOR</v>
      </c>
    </row>
    <row r="1236" spans="1:29" x14ac:dyDescent="0.3">
      <c r="A1236">
        <v>1235</v>
      </c>
      <c r="B1236">
        <v>31014</v>
      </c>
      <c r="C1236" t="s">
        <v>1281</v>
      </c>
      <c r="D1236" t="s">
        <v>34</v>
      </c>
      <c r="E1236" t="s">
        <v>27</v>
      </c>
      <c r="F1236" s="1">
        <v>45434</v>
      </c>
      <c r="G1236" s="1">
        <v>45435</v>
      </c>
      <c r="H1236">
        <v>1</v>
      </c>
      <c r="I1236" t="s">
        <v>28</v>
      </c>
      <c r="J1236" t="s">
        <v>40</v>
      </c>
      <c r="K1236">
        <v>3</v>
      </c>
      <c r="L1236">
        <v>5</v>
      </c>
      <c r="M1236">
        <v>1</v>
      </c>
      <c r="N1236">
        <v>4</v>
      </c>
      <c r="O1236">
        <v>1</v>
      </c>
      <c r="P1236">
        <v>3</v>
      </c>
      <c r="Q1236">
        <v>2</v>
      </c>
      <c r="R1236">
        <v>2</v>
      </c>
      <c r="S1236">
        <v>4</v>
      </c>
      <c r="T1236">
        <v>3</v>
      </c>
      <c r="U1236" t="s">
        <v>37</v>
      </c>
      <c r="V1236" t="s">
        <v>31</v>
      </c>
      <c r="W1236" t="s">
        <v>56</v>
      </c>
      <c r="X1236" t="s">
        <v>44</v>
      </c>
      <c r="Y1236">
        <v>21</v>
      </c>
      <c r="Z1236" s="1">
        <v>45435</v>
      </c>
      <c r="AA1236" t="str" cm="1">
        <f t="array" ref="AA1236">_xlfn.IFS(AND(Table2[[#This Row],[Guest_Age]]&gt;=18,Table2[[#This Row],[Guest_Age]]&lt;=25),"Young Adults",AND(Table2[[#This Row],[Guest_Age]]&gt;=26,Table2[[#This Row],[Guest_Age]]&lt;=35),"Adults",AND(Table2[[#This Row],[Guest_Age]]&gt;=36,Table2[[#This Row],[Guest_Age]]&lt;=50),"Middle Aged Adults",Table2[[#This Row],[Guest_Age]]&gt;50,"Senior")</f>
        <v>Young Adults</v>
      </c>
      <c r="AB12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36" t="str" cm="1">
        <f t="array" ref="AC1236">_xlfn.IFS(Table2[[#This Row],[Satification_points]]&gt;=4.5,"GREAT",AND(Table2[[#This Row],[Satification_points]]&gt;=4,Table2[[#This Row],[Satification_points]]&lt;4.5),"GOOD",AND(Table2[[#This Row],[Satification_points]]&gt;=3,Table2[[#This Row],[Satification_points]]&lt;4),"AVERAGE",Table2[[#This Row],[Satification_points]]&lt;3,"POOR")</f>
        <v>POOR</v>
      </c>
    </row>
    <row r="1237" spans="1:29" x14ac:dyDescent="0.3">
      <c r="A1237">
        <v>1236</v>
      </c>
      <c r="B1237">
        <v>44198</v>
      </c>
      <c r="C1237" t="s">
        <v>1282</v>
      </c>
      <c r="D1237" t="s">
        <v>51</v>
      </c>
      <c r="E1237" t="s">
        <v>27</v>
      </c>
      <c r="F1237" s="1">
        <v>45292</v>
      </c>
      <c r="G1237" s="1">
        <v>45293</v>
      </c>
      <c r="H1237">
        <v>4</v>
      </c>
      <c r="I1237" t="s">
        <v>42</v>
      </c>
      <c r="J1237" t="s">
        <v>53</v>
      </c>
      <c r="K1237">
        <v>1</v>
      </c>
      <c r="L1237">
        <v>2</v>
      </c>
      <c r="M1237">
        <v>1</v>
      </c>
      <c r="N1237">
        <v>1</v>
      </c>
      <c r="O1237">
        <v>5</v>
      </c>
      <c r="P1237">
        <v>5</v>
      </c>
      <c r="Q1237">
        <v>1</v>
      </c>
      <c r="R1237">
        <v>5</v>
      </c>
      <c r="S1237">
        <v>2</v>
      </c>
      <c r="T1237">
        <v>1</v>
      </c>
      <c r="U1237" t="s">
        <v>37</v>
      </c>
      <c r="V1237" t="s">
        <v>58</v>
      </c>
      <c r="W1237" t="s">
        <v>56</v>
      </c>
      <c r="X1237" t="s">
        <v>44</v>
      </c>
      <c r="Y1237">
        <v>18</v>
      </c>
      <c r="Z1237" s="1">
        <v>45293</v>
      </c>
      <c r="AA1237" t="str" cm="1">
        <f t="array" ref="AA1237">_xlfn.IFS(AND(Table2[[#This Row],[Guest_Age]]&gt;=18,Table2[[#This Row],[Guest_Age]]&lt;=25),"Young Adults",AND(Table2[[#This Row],[Guest_Age]]&gt;=26,Table2[[#This Row],[Guest_Age]]&lt;=35),"Adults",AND(Table2[[#This Row],[Guest_Age]]&gt;=36,Table2[[#This Row],[Guest_Age]]&lt;=50),"Middle Aged Adults",Table2[[#This Row],[Guest_Age]]&gt;50,"Senior")</f>
        <v>Young Adults</v>
      </c>
      <c r="AB12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237" t="str" cm="1">
        <f t="array" ref="AC1237">_xlfn.IFS(Table2[[#This Row],[Satification_points]]&gt;=4.5,"GREAT",AND(Table2[[#This Row],[Satification_points]]&gt;=4,Table2[[#This Row],[Satification_points]]&lt;4.5),"GOOD",AND(Table2[[#This Row],[Satification_points]]&gt;=3,Table2[[#This Row],[Satification_points]]&lt;4),"AVERAGE",Table2[[#This Row],[Satification_points]]&lt;3,"POOR")</f>
        <v>POOR</v>
      </c>
    </row>
    <row r="1238" spans="1:29" x14ac:dyDescent="0.3">
      <c r="A1238">
        <v>1237</v>
      </c>
      <c r="B1238">
        <v>24309</v>
      </c>
      <c r="C1238" t="s">
        <v>1283</v>
      </c>
      <c r="D1238" t="s">
        <v>41</v>
      </c>
      <c r="E1238" t="s">
        <v>45</v>
      </c>
      <c r="F1238" s="1">
        <v>45457</v>
      </c>
      <c r="G1238" s="1">
        <v>45458</v>
      </c>
      <c r="H1238">
        <v>13</v>
      </c>
      <c r="I1238" t="s">
        <v>50</v>
      </c>
      <c r="J1238" t="s">
        <v>40</v>
      </c>
      <c r="K1238">
        <v>4</v>
      </c>
      <c r="L1238">
        <v>5</v>
      </c>
      <c r="M1238">
        <v>5</v>
      </c>
      <c r="N1238">
        <v>1</v>
      </c>
      <c r="O1238">
        <v>1</v>
      </c>
      <c r="P1238">
        <v>1</v>
      </c>
      <c r="Q1238">
        <v>3</v>
      </c>
      <c r="R1238">
        <v>1</v>
      </c>
      <c r="S1238">
        <v>5</v>
      </c>
      <c r="T1238">
        <v>1</v>
      </c>
      <c r="U1238" t="s">
        <v>37</v>
      </c>
      <c r="V1238" t="s">
        <v>31</v>
      </c>
      <c r="W1238" t="s">
        <v>32</v>
      </c>
      <c r="X1238" t="s">
        <v>40</v>
      </c>
      <c r="Y1238">
        <v>25</v>
      </c>
      <c r="Z1238" s="1">
        <v>45458</v>
      </c>
      <c r="AA1238" t="str" cm="1">
        <f t="array" ref="AA1238">_xlfn.IFS(AND(Table2[[#This Row],[Guest_Age]]&gt;=18,Table2[[#This Row],[Guest_Age]]&lt;=25),"Young Adults",AND(Table2[[#This Row],[Guest_Age]]&gt;=26,Table2[[#This Row],[Guest_Age]]&lt;=35),"Adults",AND(Table2[[#This Row],[Guest_Age]]&gt;=36,Table2[[#This Row],[Guest_Age]]&lt;=50),"Middle Aged Adults",Table2[[#This Row],[Guest_Age]]&gt;50,"Senior")</f>
        <v>Young Adults</v>
      </c>
      <c r="AB12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38" t="str" cm="1">
        <f t="array" ref="AC1238">_xlfn.IFS(Table2[[#This Row],[Satification_points]]&gt;=4.5,"GREAT",AND(Table2[[#This Row],[Satification_points]]&gt;=4,Table2[[#This Row],[Satification_points]]&lt;4.5),"GOOD",AND(Table2[[#This Row],[Satification_points]]&gt;=3,Table2[[#This Row],[Satification_points]]&lt;4),"AVERAGE",Table2[[#This Row],[Satification_points]]&lt;3,"POOR")</f>
        <v>POOR</v>
      </c>
    </row>
    <row r="1239" spans="1:29" x14ac:dyDescent="0.3">
      <c r="A1239">
        <v>1238</v>
      </c>
      <c r="B1239">
        <v>39925</v>
      </c>
      <c r="C1239" t="s">
        <v>1284</v>
      </c>
      <c r="D1239" t="s">
        <v>34</v>
      </c>
      <c r="E1239" t="s">
        <v>57</v>
      </c>
      <c r="F1239" s="1">
        <v>45648</v>
      </c>
      <c r="G1239" s="1">
        <v>45649</v>
      </c>
      <c r="H1239">
        <v>3</v>
      </c>
      <c r="I1239" t="s">
        <v>49</v>
      </c>
      <c r="J1239" t="s">
        <v>36</v>
      </c>
      <c r="K1239">
        <v>1</v>
      </c>
      <c r="L1239">
        <v>4</v>
      </c>
      <c r="M1239">
        <v>4</v>
      </c>
      <c r="N1239">
        <v>2</v>
      </c>
      <c r="O1239">
        <v>5</v>
      </c>
      <c r="P1239">
        <v>1</v>
      </c>
      <c r="Q1239">
        <v>1</v>
      </c>
      <c r="R1239">
        <v>1</v>
      </c>
      <c r="S1239">
        <v>5</v>
      </c>
      <c r="T1239">
        <v>4</v>
      </c>
      <c r="U1239" t="s">
        <v>30</v>
      </c>
      <c r="V1239" t="s">
        <v>54</v>
      </c>
      <c r="W1239" t="s">
        <v>55</v>
      </c>
      <c r="X1239" t="s">
        <v>33</v>
      </c>
      <c r="Y1239">
        <v>45</v>
      </c>
      <c r="Z1239" s="1">
        <v>45649</v>
      </c>
      <c r="AA1239" t="str" cm="1">
        <f t="array" ref="AA12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39" t="str" cm="1">
        <f t="array" ref="AC1239">_xlfn.IFS(Table2[[#This Row],[Satification_points]]&gt;=4.5,"GREAT",AND(Table2[[#This Row],[Satification_points]]&gt;=4,Table2[[#This Row],[Satification_points]]&lt;4.5),"GOOD",AND(Table2[[#This Row],[Satification_points]]&gt;=3,Table2[[#This Row],[Satification_points]]&lt;4),"AVERAGE",Table2[[#This Row],[Satification_points]]&lt;3,"POOR")</f>
        <v>POOR</v>
      </c>
    </row>
    <row r="1240" spans="1:29" x14ac:dyDescent="0.3">
      <c r="A1240">
        <v>1239</v>
      </c>
      <c r="B1240">
        <v>26176</v>
      </c>
      <c r="C1240" t="s">
        <v>1285</v>
      </c>
      <c r="D1240" t="s">
        <v>41</v>
      </c>
      <c r="E1240" t="s">
        <v>45</v>
      </c>
      <c r="F1240" s="1">
        <v>45520</v>
      </c>
      <c r="G1240" s="1">
        <v>45521</v>
      </c>
      <c r="H1240">
        <v>4</v>
      </c>
      <c r="I1240" t="s">
        <v>50</v>
      </c>
      <c r="J1240" t="s">
        <v>29</v>
      </c>
      <c r="K1240">
        <v>3</v>
      </c>
      <c r="L1240">
        <v>1</v>
      </c>
      <c r="M1240">
        <v>1</v>
      </c>
      <c r="N1240">
        <v>3</v>
      </c>
      <c r="O1240">
        <v>1</v>
      </c>
      <c r="P1240">
        <v>2</v>
      </c>
      <c r="Q1240">
        <v>2</v>
      </c>
      <c r="R1240">
        <v>5</v>
      </c>
      <c r="S1240">
        <v>5</v>
      </c>
      <c r="T1240">
        <v>4</v>
      </c>
      <c r="U1240" t="s">
        <v>30</v>
      </c>
      <c r="V1240" t="s">
        <v>46</v>
      </c>
      <c r="W1240" t="s">
        <v>39</v>
      </c>
      <c r="X1240" t="s">
        <v>33</v>
      </c>
      <c r="Y1240">
        <v>18</v>
      </c>
      <c r="Z1240" s="1">
        <v>45521</v>
      </c>
      <c r="AA1240" t="str" cm="1">
        <f t="array" ref="AA1240">_xlfn.IFS(AND(Table2[[#This Row],[Guest_Age]]&gt;=18,Table2[[#This Row],[Guest_Age]]&lt;=25),"Young Adults",AND(Table2[[#This Row],[Guest_Age]]&gt;=26,Table2[[#This Row],[Guest_Age]]&lt;=35),"Adults",AND(Table2[[#This Row],[Guest_Age]]&gt;=36,Table2[[#This Row],[Guest_Age]]&lt;=50),"Middle Aged Adults",Table2[[#This Row],[Guest_Age]]&gt;50,"Senior")</f>
        <v>Young Adults</v>
      </c>
      <c r="AB12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40" t="str" cm="1">
        <f t="array" ref="AC1240">_xlfn.IFS(Table2[[#This Row],[Satification_points]]&gt;=4.5,"GREAT",AND(Table2[[#This Row],[Satification_points]]&gt;=4,Table2[[#This Row],[Satification_points]]&lt;4.5),"GOOD",AND(Table2[[#This Row],[Satification_points]]&gt;=3,Table2[[#This Row],[Satification_points]]&lt;4),"AVERAGE",Table2[[#This Row],[Satification_points]]&lt;3,"POOR")</f>
        <v>POOR</v>
      </c>
    </row>
    <row r="1241" spans="1:29" x14ac:dyDescent="0.3">
      <c r="A1241">
        <v>1240</v>
      </c>
      <c r="B1241">
        <v>96911</v>
      </c>
      <c r="C1241" t="s">
        <v>1286</v>
      </c>
      <c r="D1241" t="s">
        <v>41</v>
      </c>
      <c r="E1241" t="s">
        <v>27</v>
      </c>
      <c r="F1241" s="1">
        <v>44972</v>
      </c>
      <c r="G1241" s="1">
        <v>45234</v>
      </c>
      <c r="H1241">
        <v>1</v>
      </c>
      <c r="I1241" t="s">
        <v>50</v>
      </c>
      <c r="J1241" t="s">
        <v>43</v>
      </c>
      <c r="K1241">
        <v>2</v>
      </c>
      <c r="L1241">
        <v>2</v>
      </c>
      <c r="M1241">
        <v>2</v>
      </c>
      <c r="N1241">
        <v>5</v>
      </c>
      <c r="O1241">
        <v>2</v>
      </c>
      <c r="P1241">
        <v>3</v>
      </c>
      <c r="Q1241">
        <v>5</v>
      </c>
      <c r="R1241">
        <v>5</v>
      </c>
      <c r="S1241">
        <v>3</v>
      </c>
      <c r="T1241">
        <v>2</v>
      </c>
      <c r="U1241" t="s">
        <v>37</v>
      </c>
      <c r="V1241" t="s">
        <v>31</v>
      </c>
      <c r="W1241" t="s">
        <v>56</v>
      </c>
      <c r="X1241" t="s">
        <v>40</v>
      </c>
      <c r="Y1241">
        <v>45</v>
      </c>
      <c r="Z1241" s="1">
        <v>45234</v>
      </c>
      <c r="AA1241" t="str" cm="1">
        <f t="array" ref="AA124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41" t="str" cm="1">
        <f t="array" ref="AC1241">_xlfn.IFS(Table2[[#This Row],[Satification_points]]&gt;=4.5,"GREAT",AND(Table2[[#This Row],[Satification_points]]&gt;=4,Table2[[#This Row],[Satification_points]]&lt;4.5),"GOOD",AND(Table2[[#This Row],[Satification_points]]&gt;=3,Table2[[#This Row],[Satification_points]]&lt;4),"AVERAGE",Table2[[#This Row],[Satification_points]]&lt;3,"POOR")</f>
        <v>AVERAGE</v>
      </c>
    </row>
    <row r="1242" spans="1:29" x14ac:dyDescent="0.3">
      <c r="A1242">
        <v>1241</v>
      </c>
      <c r="B1242">
        <v>80603</v>
      </c>
      <c r="C1242" t="s">
        <v>1287</v>
      </c>
      <c r="D1242" t="s">
        <v>26</v>
      </c>
      <c r="E1242" t="s">
        <v>57</v>
      </c>
      <c r="F1242" s="1">
        <v>44961</v>
      </c>
      <c r="G1242" s="1">
        <v>45157</v>
      </c>
      <c r="H1242">
        <v>10</v>
      </c>
      <c r="I1242" t="s">
        <v>28</v>
      </c>
      <c r="J1242" t="s">
        <v>53</v>
      </c>
      <c r="K1242">
        <v>5</v>
      </c>
      <c r="L1242">
        <v>4</v>
      </c>
      <c r="M1242">
        <v>5</v>
      </c>
      <c r="N1242">
        <v>3</v>
      </c>
      <c r="O1242">
        <v>2</v>
      </c>
      <c r="P1242">
        <v>1</v>
      </c>
      <c r="Q1242">
        <v>5</v>
      </c>
      <c r="R1242">
        <v>5</v>
      </c>
      <c r="S1242">
        <v>1</v>
      </c>
      <c r="T1242">
        <v>5</v>
      </c>
      <c r="U1242" t="s">
        <v>37</v>
      </c>
      <c r="V1242" t="s">
        <v>46</v>
      </c>
      <c r="W1242" t="s">
        <v>39</v>
      </c>
      <c r="X1242" t="s">
        <v>40</v>
      </c>
      <c r="Y1242">
        <v>20</v>
      </c>
      <c r="Z1242" s="1">
        <v>45578</v>
      </c>
      <c r="AA1242" t="str" cm="1">
        <f t="array" ref="AA1242">_xlfn.IFS(AND(Table2[[#This Row],[Guest_Age]]&gt;=18,Table2[[#This Row],[Guest_Age]]&lt;=25),"Young Adults",AND(Table2[[#This Row],[Guest_Age]]&gt;=26,Table2[[#This Row],[Guest_Age]]&lt;=35),"Adults",AND(Table2[[#This Row],[Guest_Age]]&gt;=36,Table2[[#This Row],[Guest_Age]]&lt;=50),"Middle Aged Adults",Table2[[#This Row],[Guest_Age]]&gt;50,"Senior")</f>
        <v>Young Adults</v>
      </c>
      <c r="AB12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242" t="str" cm="1">
        <f t="array" ref="AC1242">_xlfn.IFS(Table2[[#This Row],[Satification_points]]&gt;=4.5,"GREAT",AND(Table2[[#This Row],[Satification_points]]&gt;=4,Table2[[#This Row],[Satification_points]]&lt;4.5),"GOOD",AND(Table2[[#This Row],[Satification_points]]&gt;=3,Table2[[#This Row],[Satification_points]]&lt;4),"AVERAGE",Table2[[#This Row],[Satification_points]]&lt;3,"POOR")</f>
        <v>AVERAGE</v>
      </c>
    </row>
    <row r="1243" spans="1:29" x14ac:dyDescent="0.3">
      <c r="A1243">
        <v>1242</v>
      </c>
      <c r="B1243">
        <v>28422</v>
      </c>
      <c r="C1243" t="s">
        <v>1288</v>
      </c>
      <c r="D1243" t="s">
        <v>51</v>
      </c>
      <c r="E1243" t="s">
        <v>45</v>
      </c>
      <c r="F1243" s="1">
        <v>45128</v>
      </c>
      <c r="G1243" s="1">
        <v>45630</v>
      </c>
      <c r="H1243">
        <v>4</v>
      </c>
      <c r="I1243" t="s">
        <v>49</v>
      </c>
      <c r="J1243" t="s">
        <v>36</v>
      </c>
      <c r="K1243">
        <v>2</v>
      </c>
      <c r="L1243">
        <v>2</v>
      </c>
      <c r="M1243">
        <v>5</v>
      </c>
      <c r="N1243">
        <v>2</v>
      </c>
      <c r="O1243">
        <v>5</v>
      </c>
      <c r="P1243">
        <v>2</v>
      </c>
      <c r="Q1243">
        <v>4</v>
      </c>
      <c r="R1243">
        <v>2</v>
      </c>
      <c r="S1243">
        <v>5</v>
      </c>
      <c r="T1243">
        <v>4</v>
      </c>
      <c r="U1243" t="s">
        <v>37</v>
      </c>
      <c r="V1243" t="s">
        <v>58</v>
      </c>
      <c r="W1243" t="s">
        <v>55</v>
      </c>
      <c r="X1243" t="s">
        <v>44</v>
      </c>
      <c r="Y1243">
        <v>67</v>
      </c>
      <c r="Z1243" s="1">
        <v>45630</v>
      </c>
      <c r="AA1243" t="str" cm="1">
        <f t="array" ref="AA1243">_xlfn.IFS(AND(Table2[[#This Row],[Guest_Age]]&gt;=18,Table2[[#This Row],[Guest_Age]]&lt;=25),"Young Adults",AND(Table2[[#This Row],[Guest_Age]]&gt;=26,Table2[[#This Row],[Guest_Age]]&lt;=35),"Adults",AND(Table2[[#This Row],[Guest_Age]]&gt;=36,Table2[[#This Row],[Guest_Age]]&lt;=50),"Middle Aged Adults",Table2[[#This Row],[Guest_Age]]&gt;50,"Senior")</f>
        <v>Senior</v>
      </c>
      <c r="AB12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43" t="str" cm="1">
        <f t="array" ref="AC1243">_xlfn.IFS(Table2[[#This Row],[Satification_points]]&gt;=4.5,"GREAT",AND(Table2[[#This Row],[Satification_points]]&gt;=4,Table2[[#This Row],[Satification_points]]&lt;4.5),"GOOD",AND(Table2[[#This Row],[Satification_points]]&gt;=3,Table2[[#This Row],[Satification_points]]&lt;4),"AVERAGE",Table2[[#This Row],[Satification_points]]&lt;3,"POOR")</f>
        <v>AVERAGE</v>
      </c>
    </row>
    <row r="1244" spans="1:29" x14ac:dyDescent="0.3">
      <c r="A1244">
        <v>1243</v>
      </c>
      <c r="B1244">
        <v>30517</v>
      </c>
      <c r="C1244" t="s">
        <v>1289</v>
      </c>
      <c r="D1244" t="s">
        <v>26</v>
      </c>
      <c r="E1244" t="s">
        <v>45</v>
      </c>
      <c r="F1244" s="1">
        <v>45461</v>
      </c>
      <c r="G1244" s="1">
        <v>45462</v>
      </c>
      <c r="H1244">
        <v>4</v>
      </c>
      <c r="I1244" t="s">
        <v>42</v>
      </c>
      <c r="J1244" t="s">
        <v>43</v>
      </c>
      <c r="K1244">
        <v>1</v>
      </c>
      <c r="L1244">
        <v>4</v>
      </c>
      <c r="M1244">
        <v>4</v>
      </c>
      <c r="N1244">
        <v>2</v>
      </c>
      <c r="O1244">
        <v>3</v>
      </c>
      <c r="P1244">
        <v>3</v>
      </c>
      <c r="Q1244">
        <v>1</v>
      </c>
      <c r="R1244">
        <v>2</v>
      </c>
      <c r="S1244">
        <v>1</v>
      </c>
      <c r="T1244">
        <v>3</v>
      </c>
      <c r="U1244" t="s">
        <v>30</v>
      </c>
      <c r="V1244" t="s">
        <v>38</v>
      </c>
      <c r="W1244" t="s">
        <v>47</v>
      </c>
      <c r="X1244" t="s">
        <v>40</v>
      </c>
      <c r="Y1244">
        <v>19</v>
      </c>
      <c r="Z1244" s="1">
        <v>45462</v>
      </c>
      <c r="AA1244" t="str" cm="1">
        <f t="array" ref="AA1244">_xlfn.IFS(AND(Table2[[#This Row],[Guest_Age]]&gt;=18,Table2[[#This Row],[Guest_Age]]&lt;=25),"Young Adults",AND(Table2[[#This Row],[Guest_Age]]&gt;=26,Table2[[#This Row],[Guest_Age]]&lt;=35),"Adults",AND(Table2[[#This Row],[Guest_Age]]&gt;=36,Table2[[#This Row],[Guest_Age]]&lt;=50),"Middle Aged Adults",Table2[[#This Row],[Guest_Age]]&gt;50,"Senior")</f>
        <v>Young Adults</v>
      </c>
      <c r="AB12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244" t="str" cm="1">
        <f t="array" ref="AC1244">_xlfn.IFS(Table2[[#This Row],[Satification_points]]&gt;=4.5,"GREAT",AND(Table2[[#This Row],[Satification_points]]&gt;=4,Table2[[#This Row],[Satification_points]]&lt;4.5),"GOOD",AND(Table2[[#This Row],[Satification_points]]&gt;=3,Table2[[#This Row],[Satification_points]]&lt;4),"AVERAGE",Table2[[#This Row],[Satification_points]]&lt;3,"POOR")</f>
        <v>POOR</v>
      </c>
    </row>
    <row r="1245" spans="1:29" x14ac:dyDescent="0.3">
      <c r="A1245">
        <v>1244</v>
      </c>
      <c r="B1245">
        <v>64503</v>
      </c>
      <c r="C1245" t="s">
        <v>1290</v>
      </c>
      <c r="D1245" t="s">
        <v>48</v>
      </c>
      <c r="E1245" t="s">
        <v>57</v>
      </c>
      <c r="F1245" s="1">
        <v>45291</v>
      </c>
      <c r="G1245" s="1">
        <v>45292</v>
      </c>
      <c r="H1245">
        <v>3</v>
      </c>
      <c r="I1245" t="s">
        <v>42</v>
      </c>
      <c r="J1245" t="s">
        <v>40</v>
      </c>
      <c r="K1245">
        <v>2</v>
      </c>
      <c r="L1245">
        <v>3</v>
      </c>
      <c r="M1245">
        <v>5</v>
      </c>
      <c r="N1245">
        <v>2</v>
      </c>
      <c r="O1245">
        <v>1</v>
      </c>
      <c r="P1245">
        <v>4</v>
      </c>
      <c r="Q1245">
        <v>3</v>
      </c>
      <c r="R1245">
        <v>1</v>
      </c>
      <c r="S1245">
        <v>5</v>
      </c>
      <c r="T1245">
        <v>1</v>
      </c>
      <c r="U1245" t="s">
        <v>37</v>
      </c>
      <c r="V1245" t="s">
        <v>31</v>
      </c>
      <c r="W1245" t="s">
        <v>47</v>
      </c>
      <c r="X1245" t="s">
        <v>44</v>
      </c>
      <c r="Y1245">
        <v>42</v>
      </c>
      <c r="Z1245" s="1">
        <v>45292</v>
      </c>
      <c r="AA1245" t="str" cm="1">
        <f t="array" ref="AA12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45" t="str" cm="1">
        <f t="array" ref="AC1245">_xlfn.IFS(Table2[[#This Row],[Satification_points]]&gt;=4.5,"GREAT",AND(Table2[[#This Row],[Satification_points]]&gt;=4,Table2[[#This Row],[Satification_points]]&lt;4.5),"GOOD",AND(Table2[[#This Row],[Satification_points]]&gt;=3,Table2[[#This Row],[Satification_points]]&lt;4),"AVERAGE",Table2[[#This Row],[Satification_points]]&lt;3,"POOR")</f>
        <v>POOR</v>
      </c>
    </row>
    <row r="1246" spans="1:29" x14ac:dyDescent="0.3">
      <c r="A1246">
        <v>1245</v>
      </c>
      <c r="B1246">
        <v>38514</v>
      </c>
      <c r="C1246" t="s">
        <v>1291</v>
      </c>
      <c r="D1246" t="s">
        <v>41</v>
      </c>
      <c r="E1246" t="s">
        <v>57</v>
      </c>
      <c r="F1246" s="1">
        <v>45396</v>
      </c>
      <c r="G1246" s="1">
        <v>45397</v>
      </c>
      <c r="H1246">
        <v>8</v>
      </c>
      <c r="I1246" t="s">
        <v>49</v>
      </c>
      <c r="J1246" t="s">
        <v>40</v>
      </c>
      <c r="K1246">
        <v>2</v>
      </c>
      <c r="L1246">
        <v>5</v>
      </c>
      <c r="M1246">
        <v>3</v>
      </c>
      <c r="N1246">
        <v>4</v>
      </c>
      <c r="O1246">
        <v>3</v>
      </c>
      <c r="P1246">
        <v>5</v>
      </c>
      <c r="Q1246">
        <v>4</v>
      </c>
      <c r="R1246">
        <v>4</v>
      </c>
      <c r="S1246">
        <v>3</v>
      </c>
      <c r="T1246">
        <v>4</v>
      </c>
      <c r="U1246" t="s">
        <v>30</v>
      </c>
      <c r="V1246" t="s">
        <v>58</v>
      </c>
      <c r="W1246" t="s">
        <v>55</v>
      </c>
      <c r="X1246" t="s">
        <v>44</v>
      </c>
      <c r="Y1246">
        <v>54</v>
      </c>
      <c r="Z1246" s="1">
        <v>45397</v>
      </c>
      <c r="AA1246" t="str" cm="1">
        <f t="array" ref="AA1246">_xlfn.IFS(AND(Table2[[#This Row],[Guest_Age]]&gt;=18,Table2[[#This Row],[Guest_Age]]&lt;=25),"Young Adults",AND(Table2[[#This Row],[Guest_Age]]&gt;=26,Table2[[#This Row],[Guest_Age]]&lt;=35),"Adults",AND(Table2[[#This Row],[Guest_Age]]&gt;=36,Table2[[#This Row],[Guest_Age]]&lt;=50),"Middle Aged Adults",Table2[[#This Row],[Guest_Age]]&gt;50,"Senior")</f>
        <v>Senior</v>
      </c>
      <c r="AB12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246" t="str" cm="1">
        <f t="array" ref="AC1246">_xlfn.IFS(Table2[[#This Row],[Satification_points]]&gt;=4.5,"GREAT",AND(Table2[[#This Row],[Satification_points]]&gt;=4,Table2[[#This Row],[Satification_points]]&lt;4.5),"GOOD",AND(Table2[[#This Row],[Satification_points]]&gt;=3,Table2[[#This Row],[Satification_points]]&lt;4),"AVERAGE",Table2[[#This Row],[Satification_points]]&lt;3,"POOR")</f>
        <v>AVERAGE</v>
      </c>
    </row>
    <row r="1247" spans="1:29" x14ac:dyDescent="0.3">
      <c r="A1247">
        <v>1246</v>
      </c>
      <c r="B1247">
        <v>12215</v>
      </c>
      <c r="C1247" t="s">
        <v>1292</v>
      </c>
      <c r="D1247" t="s">
        <v>51</v>
      </c>
      <c r="E1247" t="s">
        <v>52</v>
      </c>
      <c r="F1247" s="1">
        <v>45226</v>
      </c>
      <c r="G1247" s="1">
        <v>45499</v>
      </c>
      <c r="H1247">
        <v>7</v>
      </c>
      <c r="I1247" t="s">
        <v>42</v>
      </c>
      <c r="J1247" t="s">
        <v>29</v>
      </c>
      <c r="K1247">
        <v>4</v>
      </c>
      <c r="L1247">
        <v>4</v>
      </c>
      <c r="M1247">
        <v>2</v>
      </c>
      <c r="N1247">
        <v>2</v>
      </c>
      <c r="O1247">
        <v>4</v>
      </c>
      <c r="P1247">
        <v>3</v>
      </c>
      <c r="Q1247">
        <v>4</v>
      </c>
      <c r="R1247">
        <v>5</v>
      </c>
      <c r="S1247">
        <v>1</v>
      </c>
      <c r="T1247">
        <v>1</v>
      </c>
      <c r="U1247" t="s">
        <v>30</v>
      </c>
      <c r="V1247" t="s">
        <v>38</v>
      </c>
      <c r="W1247" t="s">
        <v>56</v>
      </c>
      <c r="X1247" t="s">
        <v>40</v>
      </c>
      <c r="Y1247">
        <v>28</v>
      </c>
      <c r="Z1247" s="1">
        <v>45499</v>
      </c>
      <c r="AA1247" t="str" cm="1">
        <f t="array" ref="AA1247">_xlfn.IFS(AND(Table2[[#This Row],[Guest_Age]]&gt;=18,Table2[[#This Row],[Guest_Age]]&lt;=25),"Young Adults",AND(Table2[[#This Row],[Guest_Age]]&gt;=26,Table2[[#This Row],[Guest_Age]]&lt;=35),"Adults",AND(Table2[[#This Row],[Guest_Age]]&gt;=36,Table2[[#This Row],[Guest_Age]]&lt;=50),"Middle Aged Adults",Table2[[#This Row],[Guest_Age]]&gt;50,"Senior")</f>
        <v>Adults</v>
      </c>
      <c r="AB12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47" t="str" cm="1">
        <f t="array" ref="AC1247">_xlfn.IFS(Table2[[#This Row],[Satification_points]]&gt;=4.5,"GREAT",AND(Table2[[#This Row],[Satification_points]]&gt;=4,Table2[[#This Row],[Satification_points]]&lt;4.5),"GOOD",AND(Table2[[#This Row],[Satification_points]]&gt;=3,Table2[[#This Row],[Satification_points]]&lt;4),"AVERAGE",Table2[[#This Row],[Satification_points]]&lt;3,"POOR")</f>
        <v>AVERAGE</v>
      </c>
    </row>
    <row r="1248" spans="1:29" x14ac:dyDescent="0.3">
      <c r="A1248">
        <v>1247</v>
      </c>
      <c r="B1248">
        <v>95276</v>
      </c>
      <c r="C1248" t="s">
        <v>1293</v>
      </c>
      <c r="D1248" t="s">
        <v>48</v>
      </c>
      <c r="E1248" t="s">
        <v>57</v>
      </c>
      <c r="F1248" s="1">
        <v>45342</v>
      </c>
      <c r="G1248" s="1">
        <v>45450</v>
      </c>
      <c r="H1248">
        <v>9</v>
      </c>
      <c r="I1248" t="s">
        <v>28</v>
      </c>
      <c r="J1248" t="s">
        <v>40</v>
      </c>
      <c r="K1248">
        <v>4</v>
      </c>
      <c r="L1248">
        <v>4</v>
      </c>
      <c r="M1248">
        <v>3</v>
      </c>
      <c r="N1248">
        <v>1</v>
      </c>
      <c r="O1248">
        <v>2</v>
      </c>
      <c r="P1248">
        <v>1</v>
      </c>
      <c r="Q1248">
        <v>2</v>
      </c>
      <c r="R1248">
        <v>3</v>
      </c>
      <c r="S1248">
        <v>2</v>
      </c>
      <c r="T1248">
        <v>3</v>
      </c>
      <c r="U1248" t="s">
        <v>37</v>
      </c>
      <c r="V1248" t="s">
        <v>46</v>
      </c>
      <c r="W1248" t="s">
        <v>47</v>
      </c>
      <c r="X1248" t="s">
        <v>33</v>
      </c>
      <c r="Y1248">
        <v>63</v>
      </c>
      <c r="Z1248" s="1">
        <v>45649</v>
      </c>
      <c r="AA1248" t="str" cm="1">
        <f t="array" ref="AA1248">_xlfn.IFS(AND(Table2[[#This Row],[Guest_Age]]&gt;=18,Table2[[#This Row],[Guest_Age]]&lt;=25),"Young Adults",AND(Table2[[#This Row],[Guest_Age]]&gt;=26,Table2[[#This Row],[Guest_Age]]&lt;=35),"Adults",AND(Table2[[#This Row],[Guest_Age]]&gt;=36,Table2[[#This Row],[Guest_Age]]&lt;=50),"Middle Aged Adults",Table2[[#This Row],[Guest_Age]]&gt;50,"Senior")</f>
        <v>Senior</v>
      </c>
      <c r="AB12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248" t="str" cm="1">
        <f t="array" ref="AC1248">_xlfn.IFS(Table2[[#This Row],[Satification_points]]&gt;=4.5,"GREAT",AND(Table2[[#This Row],[Satification_points]]&gt;=4,Table2[[#This Row],[Satification_points]]&lt;4.5),"GOOD",AND(Table2[[#This Row],[Satification_points]]&gt;=3,Table2[[#This Row],[Satification_points]]&lt;4),"AVERAGE",Table2[[#This Row],[Satification_points]]&lt;3,"POOR")</f>
        <v>POOR</v>
      </c>
    </row>
    <row r="1249" spans="1:29" x14ac:dyDescent="0.3">
      <c r="A1249">
        <v>1248</v>
      </c>
      <c r="B1249">
        <v>26486</v>
      </c>
      <c r="C1249" t="s">
        <v>1294</v>
      </c>
      <c r="D1249" t="s">
        <v>48</v>
      </c>
      <c r="E1249" t="s">
        <v>35</v>
      </c>
      <c r="F1249" s="1">
        <v>45272</v>
      </c>
      <c r="G1249" s="1">
        <v>45273</v>
      </c>
      <c r="H1249">
        <v>2</v>
      </c>
      <c r="I1249" t="s">
        <v>50</v>
      </c>
      <c r="J1249" t="s">
        <v>43</v>
      </c>
      <c r="K1249">
        <v>3</v>
      </c>
      <c r="L1249">
        <v>3</v>
      </c>
      <c r="M1249">
        <v>3</v>
      </c>
      <c r="N1249">
        <v>4</v>
      </c>
      <c r="O1249">
        <v>1</v>
      </c>
      <c r="P1249">
        <v>2</v>
      </c>
      <c r="Q1249">
        <v>5</v>
      </c>
      <c r="R1249">
        <v>3</v>
      </c>
      <c r="S1249">
        <v>4</v>
      </c>
      <c r="T1249">
        <v>1</v>
      </c>
      <c r="U1249" t="s">
        <v>37</v>
      </c>
      <c r="V1249" t="s">
        <v>58</v>
      </c>
      <c r="W1249" t="s">
        <v>56</v>
      </c>
      <c r="X1249" t="s">
        <v>33</v>
      </c>
      <c r="Y1249">
        <v>35</v>
      </c>
      <c r="Z1249" s="1">
        <v>45395</v>
      </c>
      <c r="AA1249" t="str" cm="1">
        <f t="array" ref="AA1249">_xlfn.IFS(AND(Table2[[#This Row],[Guest_Age]]&gt;=18,Table2[[#This Row],[Guest_Age]]&lt;=25),"Young Adults",AND(Table2[[#This Row],[Guest_Age]]&gt;=26,Table2[[#This Row],[Guest_Age]]&lt;=35),"Adults",AND(Table2[[#This Row],[Guest_Age]]&gt;=36,Table2[[#This Row],[Guest_Age]]&lt;=50),"Middle Aged Adults",Table2[[#This Row],[Guest_Age]]&gt;50,"Senior")</f>
        <v>Adults</v>
      </c>
      <c r="AB12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49" t="str" cm="1">
        <f t="array" ref="AC1249">_xlfn.IFS(Table2[[#This Row],[Satification_points]]&gt;=4.5,"GREAT",AND(Table2[[#This Row],[Satification_points]]&gt;=4,Table2[[#This Row],[Satification_points]]&lt;4.5),"GOOD",AND(Table2[[#This Row],[Satification_points]]&gt;=3,Table2[[#This Row],[Satification_points]]&lt;4),"AVERAGE",Table2[[#This Row],[Satification_points]]&lt;3,"POOR")</f>
        <v>POOR</v>
      </c>
    </row>
    <row r="1250" spans="1:29" x14ac:dyDescent="0.3">
      <c r="A1250">
        <v>1249</v>
      </c>
      <c r="B1250">
        <v>84482</v>
      </c>
      <c r="C1250" t="s">
        <v>1295</v>
      </c>
      <c r="D1250" t="s">
        <v>26</v>
      </c>
      <c r="E1250" t="s">
        <v>57</v>
      </c>
      <c r="F1250" s="1">
        <v>45275</v>
      </c>
      <c r="G1250" s="1">
        <v>45582</v>
      </c>
      <c r="H1250">
        <v>10</v>
      </c>
      <c r="I1250" t="s">
        <v>42</v>
      </c>
      <c r="J1250" t="s">
        <v>36</v>
      </c>
      <c r="K1250">
        <v>4</v>
      </c>
      <c r="L1250">
        <v>1</v>
      </c>
      <c r="M1250">
        <v>2</v>
      </c>
      <c r="N1250">
        <v>2</v>
      </c>
      <c r="O1250">
        <v>2</v>
      </c>
      <c r="P1250">
        <v>2</v>
      </c>
      <c r="Q1250">
        <v>1</v>
      </c>
      <c r="R1250">
        <v>3</v>
      </c>
      <c r="S1250">
        <v>5</v>
      </c>
      <c r="T1250">
        <v>1</v>
      </c>
      <c r="U1250" t="s">
        <v>37</v>
      </c>
      <c r="V1250" t="s">
        <v>54</v>
      </c>
      <c r="W1250" t="s">
        <v>32</v>
      </c>
      <c r="X1250" t="s">
        <v>40</v>
      </c>
      <c r="Y1250">
        <v>59</v>
      </c>
      <c r="Z1250" s="1">
        <v>45582</v>
      </c>
      <c r="AA1250" t="str" cm="1">
        <f t="array" ref="AA1250">_xlfn.IFS(AND(Table2[[#This Row],[Guest_Age]]&gt;=18,Table2[[#This Row],[Guest_Age]]&lt;=25),"Young Adults",AND(Table2[[#This Row],[Guest_Age]]&gt;=26,Table2[[#This Row],[Guest_Age]]&lt;=35),"Adults",AND(Table2[[#This Row],[Guest_Age]]&gt;=36,Table2[[#This Row],[Guest_Age]]&lt;=50),"Middle Aged Adults",Table2[[#This Row],[Guest_Age]]&gt;50,"Senior")</f>
        <v>Senior</v>
      </c>
      <c r="AB12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250" t="str" cm="1">
        <f t="array" ref="AC1250">_xlfn.IFS(Table2[[#This Row],[Satification_points]]&gt;=4.5,"GREAT",AND(Table2[[#This Row],[Satification_points]]&gt;=4,Table2[[#This Row],[Satification_points]]&lt;4.5),"GOOD",AND(Table2[[#This Row],[Satification_points]]&gt;=3,Table2[[#This Row],[Satification_points]]&lt;4),"AVERAGE",Table2[[#This Row],[Satification_points]]&lt;3,"POOR")</f>
        <v>POOR</v>
      </c>
    </row>
    <row r="1251" spans="1:29" x14ac:dyDescent="0.3">
      <c r="A1251">
        <v>1250</v>
      </c>
      <c r="B1251">
        <v>22249</v>
      </c>
      <c r="C1251" t="s">
        <v>1296</v>
      </c>
      <c r="D1251" t="s">
        <v>48</v>
      </c>
      <c r="E1251" t="s">
        <v>27</v>
      </c>
      <c r="F1251" s="1">
        <v>45625</v>
      </c>
      <c r="G1251" s="1">
        <v>45626</v>
      </c>
      <c r="H1251">
        <v>3</v>
      </c>
      <c r="I1251" t="s">
        <v>28</v>
      </c>
      <c r="J1251" t="s">
        <v>29</v>
      </c>
      <c r="K1251">
        <v>4</v>
      </c>
      <c r="L1251">
        <v>1</v>
      </c>
      <c r="M1251">
        <v>5</v>
      </c>
      <c r="N1251">
        <v>4</v>
      </c>
      <c r="O1251">
        <v>4</v>
      </c>
      <c r="P1251">
        <v>4</v>
      </c>
      <c r="Q1251">
        <v>1</v>
      </c>
      <c r="R1251">
        <v>5</v>
      </c>
      <c r="S1251">
        <v>5</v>
      </c>
      <c r="T1251">
        <v>4</v>
      </c>
      <c r="U1251" t="s">
        <v>30</v>
      </c>
      <c r="V1251" t="s">
        <v>38</v>
      </c>
      <c r="W1251" t="s">
        <v>39</v>
      </c>
      <c r="X1251" t="s">
        <v>44</v>
      </c>
      <c r="Y1251">
        <v>56</v>
      </c>
      <c r="Z1251" s="1">
        <v>45626</v>
      </c>
      <c r="AA1251" t="str" cm="1">
        <f t="array" ref="AA1251">_xlfn.IFS(AND(Table2[[#This Row],[Guest_Age]]&gt;=18,Table2[[#This Row],[Guest_Age]]&lt;=25),"Young Adults",AND(Table2[[#This Row],[Guest_Age]]&gt;=26,Table2[[#This Row],[Guest_Age]]&lt;=35),"Adults",AND(Table2[[#This Row],[Guest_Age]]&gt;=36,Table2[[#This Row],[Guest_Age]]&lt;=50),"Middle Aged Adults",Table2[[#This Row],[Guest_Age]]&gt;50,"Senior")</f>
        <v>Senior</v>
      </c>
      <c r="AB12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251" t="str" cm="1">
        <f t="array" ref="AC1251">_xlfn.IFS(Table2[[#This Row],[Satification_points]]&gt;=4.5,"GREAT",AND(Table2[[#This Row],[Satification_points]]&gt;=4,Table2[[#This Row],[Satification_points]]&lt;4.5),"GOOD",AND(Table2[[#This Row],[Satification_points]]&gt;=3,Table2[[#This Row],[Satification_points]]&lt;4),"AVERAGE",Table2[[#This Row],[Satification_points]]&lt;3,"POOR")</f>
        <v>AVERAGE</v>
      </c>
    </row>
    <row r="1252" spans="1:29" x14ac:dyDescent="0.3">
      <c r="A1252">
        <v>1251</v>
      </c>
      <c r="B1252">
        <v>33187</v>
      </c>
      <c r="C1252" t="s">
        <v>1297</v>
      </c>
      <c r="D1252" t="s">
        <v>34</v>
      </c>
      <c r="E1252" t="s">
        <v>57</v>
      </c>
      <c r="F1252" s="1">
        <v>45116</v>
      </c>
      <c r="G1252" s="1">
        <v>45191</v>
      </c>
      <c r="H1252">
        <v>6</v>
      </c>
      <c r="I1252" t="s">
        <v>42</v>
      </c>
      <c r="J1252" t="s">
        <v>43</v>
      </c>
      <c r="K1252">
        <v>4</v>
      </c>
      <c r="L1252">
        <v>5</v>
      </c>
      <c r="M1252">
        <v>5</v>
      </c>
      <c r="N1252">
        <v>1</v>
      </c>
      <c r="O1252">
        <v>5</v>
      </c>
      <c r="P1252">
        <v>2</v>
      </c>
      <c r="Q1252">
        <v>5</v>
      </c>
      <c r="R1252">
        <v>4</v>
      </c>
      <c r="S1252">
        <v>3</v>
      </c>
      <c r="T1252">
        <v>1</v>
      </c>
      <c r="U1252" t="s">
        <v>37</v>
      </c>
      <c r="V1252" t="s">
        <v>38</v>
      </c>
      <c r="W1252" t="s">
        <v>32</v>
      </c>
      <c r="X1252" t="s">
        <v>44</v>
      </c>
      <c r="Y1252">
        <v>57</v>
      </c>
      <c r="Z1252" s="1">
        <v>45442</v>
      </c>
      <c r="AA1252" t="str" cm="1">
        <f t="array" ref="AA1252">_xlfn.IFS(AND(Table2[[#This Row],[Guest_Age]]&gt;=18,Table2[[#This Row],[Guest_Age]]&lt;=25),"Young Adults",AND(Table2[[#This Row],[Guest_Age]]&gt;=26,Table2[[#This Row],[Guest_Age]]&lt;=35),"Adults",AND(Table2[[#This Row],[Guest_Age]]&gt;=36,Table2[[#This Row],[Guest_Age]]&lt;=50),"Middle Aged Adults",Table2[[#This Row],[Guest_Age]]&gt;50,"Senior")</f>
        <v>Senior</v>
      </c>
      <c r="AB12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252" t="str" cm="1">
        <f t="array" ref="AC1252">_xlfn.IFS(Table2[[#This Row],[Satification_points]]&gt;=4.5,"GREAT",AND(Table2[[#This Row],[Satification_points]]&gt;=4,Table2[[#This Row],[Satification_points]]&lt;4.5),"GOOD",AND(Table2[[#This Row],[Satification_points]]&gt;=3,Table2[[#This Row],[Satification_points]]&lt;4),"AVERAGE",Table2[[#This Row],[Satification_points]]&lt;3,"POOR")</f>
        <v>AVERAGE</v>
      </c>
    </row>
    <row r="1253" spans="1:29" x14ac:dyDescent="0.3">
      <c r="A1253">
        <v>1252</v>
      </c>
      <c r="B1253">
        <v>63613</v>
      </c>
      <c r="C1253" t="s">
        <v>1298</v>
      </c>
      <c r="D1253" t="s">
        <v>34</v>
      </c>
      <c r="E1253" t="s">
        <v>45</v>
      </c>
      <c r="F1253" s="1">
        <v>45329</v>
      </c>
      <c r="G1253" s="1">
        <v>45418</v>
      </c>
      <c r="H1253">
        <v>2</v>
      </c>
      <c r="I1253" t="s">
        <v>28</v>
      </c>
      <c r="J1253" t="s">
        <v>36</v>
      </c>
      <c r="K1253">
        <v>4</v>
      </c>
      <c r="L1253">
        <v>3</v>
      </c>
      <c r="M1253">
        <v>3</v>
      </c>
      <c r="N1253">
        <v>2</v>
      </c>
      <c r="O1253">
        <v>1</v>
      </c>
      <c r="P1253">
        <v>1</v>
      </c>
      <c r="Q1253">
        <v>2</v>
      </c>
      <c r="R1253">
        <v>4</v>
      </c>
      <c r="S1253">
        <v>4</v>
      </c>
      <c r="T1253">
        <v>3</v>
      </c>
      <c r="U1253" t="s">
        <v>30</v>
      </c>
      <c r="V1253" t="s">
        <v>46</v>
      </c>
      <c r="W1253" t="s">
        <v>47</v>
      </c>
      <c r="X1253" t="s">
        <v>33</v>
      </c>
      <c r="Y1253">
        <v>37</v>
      </c>
      <c r="Z1253" s="1">
        <v>45500</v>
      </c>
      <c r="AA1253" t="str" cm="1">
        <f t="array" ref="AA12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53" t="str" cm="1">
        <f t="array" ref="AC1253">_xlfn.IFS(Table2[[#This Row],[Satification_points]]&gt;=4.5,"GREAT",AND(Table2[[#This Row],[Satification_points]]&gt;=4,Table2[[#This Row],[Satification_points]]&lt;4.5),"GOOD",AND(Table2[[#This Row],[Satification_points]]&gt;=3,Table2[[#This Row],[Satification_points]]&lt;4),"AVERAGE",Table2[[#This Row],[Satification_points]]&lt;3,"POOR")</f>
        <v>POOR</v>
      </c>
    </row>
    <row r="1254" spans="1:29" x14ac:dyDescent="0.3">
      <c r="A1254">
        <v>1253</v>
      </c>
      <c r="B1254">
        <v>49064</v>
      </c>
      <c r="C1254" t="s">
        <v>1299</v>
      </c>
      <c r="D1254" t="s">
        <v>34</v>
      </c>
      <c r="E1254" t="s">
        <v>35</v>
      </c>
      <c r="F1254" s="1">
        <v>45275</v>
      </c>
      <c r="G1254" s="1">
        <v>45276</v>
      </c>
      <c r="H1254">
        <v>13</v>
      </c>
      <c r="I1254" t="s">
        <v>42</v>
      </c>
      <c r="J1254" t="s">
        <v>43</v>
      </c>
      <c r="K1254">
        <v>3</v>
      </c>
      <c r="L1254">
        <v>2</v>
      </c>
      <c r="M1254">
        <v>2</v>
      </c>
      <c r="N1254">
        <v>2</v>
      </c>
      <c r="O1254">
        <v>1</v>
      </c>
      <c r="P1254">
        <v>3</v>
      </c>
      <c r="Q1254">
        <v>2</v>
      </c>
      <c r="R1254">
        <v>2</v>
      </c>
      <c r="S1254">
        <v>1</v>
      </c>
      <c r="T1254">
        <v>2</v>
      </c>
      <c r="U1254" t="s">
        <v>37</v>
      </c>
      <c r="V1254" t="s">
        <v>54</v>
      </c>
      <c r="W1254" t="s">
        <v>47</v>
      </c>
      <c r="X1254" t="s">
        <v>44</v>
      </c>
      <c r="Y1254">
        <v>34</v>
      </c>
      <c r="Z1254" s="1">
        <v>45456</v>
      </c>
      <c r="AA1254" t="str" cm="1">
        <f t="array" ref="AA1254">_xlfn.IFS(AND(Table2[[#This Row],[Guest_Age]]&gt;=18,Table2[[#This Row],[Guest_Age]]&lt;=25),"Young Adults",AND(Table2[[#This Row],[Guest_Age]]&gt;=26,Table2[[#This Row],[Guest_Age]]&lt;=35),"Adults",AND(Table2[[#This Row],[Guest_Age]]&gt;=36,Table2[[#This Row],[Guest_Age]]&lt;=50),"Middle Aged Adults",Table2[[#This Row],[Guest_Age]]&gt;50,"Senior")</f>
        <v>Adults</v>
      </c>
      <c r="AB12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254" t="str" cm="1">
        <f t="array" ref="AC1254">_xlfn.IFS(Table2[[#This Row],[Satification_points]]&gt;=4.5,"GREAT",AND(Table2[[#This Row],[Satification_points]]&gt;=4,Table2[[#This Row],[Satification_points]]&lt;4.5),"GOOD",AND(Table2[[#This Row],[Satification_points]]&gt;=3,Table2[[#This Row],[Satification_points]]&lt;4),"AVERAGE",Table2[[#This Row],[Satification_points]]&lt;3,"POOR")</f>
        <v>POOR</v>
      </c>
    </row>
    <row r="1255" spans="1:29" x14ac:dyDescent="0.3">
      <c r="A1255">
        <v>1254</v>
      </c>
      <c r="B1255">
        <v>81998</v>
      </c>
      <c r="C1255" t="s">
        <v>1300</v>
      </c>
      <c r="D1255" t="s">
        <v>48</v>
      </c>
      <c r="E1255" t="s">
        <v>57</v>
      </c>
      <c r="F1255" s="1">
        <v>45299</v>
      </c>
      <c r="G1255" s="1">
        <v>45450</v>
      </c>
      <c r="H1255">
        <v>12</v>
      </c>
      <c r="I1255" t="s">
        <v>42</v>
      </c>
      <c r="J1255" t="s">
        <v>40</v>
      </c>
      <c r="K1255">
        <v>4</v>
      </c>
      <c r="L1255">
        <v>4</v>
      </c>
      <c r="M1255">
        <v>1</v>
      </c>
      <c r="N1255">
        <v>1</v>
      </c>
      <c r="O1255">
        <v>1</v>
      </c>
      <c r="P1255">
        <v>4</v>
      </c>
      <c r="Q1255">
        <v>2</v>
      </c>
      <c r="R1255">
        <v>4</v>
      </c>
      <c r="S1255">
        <v>5</v>
      </c>
      <c r="T1255">
        <v>1</v>
      </c>
      <c r="U1255" t="s">
        <v>37</v>
      </c>
      <c r="V1255" t="s">
        <v>31</v>
      </c>
      <c r="W1255" t="s">
        <v>56</v>
      </c>
      <c r="X1255" t="s">
        <v>33</v>
      </c>
      <c r="Y1255">
        <v>24</v>
      </c>
      <c r="Z1255" s="1">
        <v>45450</v>
      </c>
      <c r="AA1255" t="str" cm="1">
        <f t="array" ref="AA1255">_xlfn.IFS(AND(Table2[[#This Row],[Guest_Age]]&gt;=18,Table2[[#This Row],[Guest_Age]]&lt;=25),"Young Adults",AND(Table2[[#This Row],[Guest_Age]]&gt;=26,Table2[[#This Row],[Guest_Age]]&lt;=35),"Adults",AND(Table2[[#This Row],[Guest_Age]]&gt;=36,Table2[[#This Row],[Guest_Age]]&lt;=50),"Middle Aged Adults",Table2[[#This Row],[Guest_Age]]&gt;50,"Senior")</f>
        <v>Young Adults</v>
      </c>
      <c r="AB12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55" t="str" cm="1">
        <f t="array" ref="AC1255">_xlfn.IFS(Table2[[#This Row],[Satification_points]]&gt;=4.5,"GREAT",AND(Table2[[#This Row],[Satification_points]]&gt;=4,Table2[[#This Row],[Satification_points]]&lt;4.5),"GOOD",AND(Table2[[#This Row],[Satification_points]]&gt;=3,Table2[[#This Row],[Satification_points]]&lt;4),"AVERAGE",Table2[[#This Row],[Satification_points]]&lt;3,"POOR")</f>
        <v>POOR</v>
      </c>
    </row>
    <row r="1256" spans="1:29" x14ac:dyDescent="0.3">
      <c r="A1256">
        <v>1255</v>
      </c>
      <c r="B1256">
        <v>52790</v>
      </c>
      <c r="C1256" t="s">
        <v>1301</v>
      </c>
      <c r="D1256" t="s">
        <v>41</v>
      </c>
      <c r="E1256" t="s">
        <v>35</v>
      </c>
      <c r="F1256" s="1">
        <v>45565</v>
      </c>
      <c r="G1256" s="1">
        <v>45566</v>
      </c>
      <c r="H1256">
        <v>12</v>
      </c>
      <c r="I1256" t="s">
        <v>49</v>
      </c>
      <c r="J1256" t="s">
        <v>43</v>
      </c>
      <c r="K1256">
        <v>4</v>
      </c>
      <c r="L1256">
        <v>5</v>
      </c>
      <c r="M1256">
        <v>2</v>
      </c>
      <c r="N1256">
        <v>2</v>
      </c>
      <c r="O1256">
        <v>5</v>
      </c>
      <c r="P1256">
        <v>5</v>
      </c>
      <c r="Q1256">
        <v>3</v>
      </c>
      <c r="R1256">
        <v>3</v>
      </c>
      <c r="S1256">
        <v>2</v>
      </c>
      <c r="T1256">
        <v>1</v>
      </c>
      <c r="U1256" t="s">
        <v>37</v>
      </c>
      <c r="V1256" t="s">
        <v>58</v>
      </c>
      <c r="W1256" t="s">
        <v>47</v>
      </c>
      <c r="X1256" t="s">
        <v>40</v>
      </c>
      <c r="Y1256">
        <v>65</v>
      </c>
      <c r="Z1256" s="1">
        <v>45566</v>
      </c>
      <c r="AA1256" t="str" cm="1">
        <f t="array" ref="AA1256">_xlfn.IFS(AND(Table2[[#This Row],[Guest_Age]]&gt;=18,Table2[[#This Row],[Guest_Age]]&lt;=25),"Young Adults",AND(Table2[[#This Row],[Guest_Age]]&gt;=26,Table2[[#This Row],[Guest_Age]]&lt;=35),"Adults",AND(Table2[[#This Row],[Guest_Age]]&gt;=36,Table2[[#This Row],[Guest_Age]]&lt;=50),"Middle Aged Adults",Table2[[#This Row],[Guest_Age]]&gt;50,"Senior")</f>
        <v>Senior</v>
      </c>
      <c r="AB12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56" t="str" cm="1">
        <f t="array" ref="AC1256">_xlfn.IFS(Table2[[#This Row],[Satification_points]]&gt;=4.5,"GREAT",AND(Table2[[#This Row],[Satification_points]]&gt;=4,Table2[[#This Row],[Satification_points]]&lt;4.5),"GOOD",AND(Table2[[#This Row],[Satification_points]]&gt;=3,Table2[[#This Row],[Satification_points]]&lt;4),"AVERAGE",Table2[[#This Row],[Satification_points]]&lt;3,"POOR")</f>
        <v>AVERAGE</v>
      </c>
    </row>
    <row r="1257" spans="1:29" x14ac:dyDescent="0.3">
      <c r="A1257">
        <v>1256</v>
      </c>
      <c r="B1257">
        <v>87437</v>
      </c>
      <c r="C1257" t="s">
        <v>1302</v>
      </c>
      <c r="D1257" t="s">
        <v>51</v>
      </c>
      <c r="E1257" t="s">
        <v>52</v>
      </c>
      <c r="F1257" s="1">
        <v>45431</v>
      </c>
      <c r="G1257" s="1">
        <v>45432</v>
      </c>
      <c r="H1257">
        <v>2</v>
      </c>
      <c r="I1257" t="s">
        <v>49</v>
      </c>
      <c r="J1257" t="s">
        <v>29</v>
      </c>
      <c r="K1257">
        <v>1</v>
      </c>
      <c r="L1257">
        <v>1</v>
      </c>
      <c r="M1257">
        <v>3</v>
      </c>
      <c r="N1257">
        <v>1</v>
      </c>
      <c r="O1257">
        <v>2</v>
      </c>
      <c r="P1257">
        <v>5</v>
      </c>
      <c r="Q1257">
        <v>1</v>
      </c>
      <c r="R1257">
        <v>3</v>
      </c>
      <c r="S1257">
        <v>2</v>
      </c>
      <c r="T1257">
        <v>3</v>
      </c>
      <c r="U1257" t="s">
        <v>37</v>
      </c>
      <c r="V1257" t="s">
        <v>46</v>
      </c>
      <c r="W1257" t="s">
        <v>56</v>
      </c>
      <c r="X1257" t="s">
        <v>40</v>
      </c>
      <c r="Y1257">
        <v>34</v>
      </c>
      <c r="Z1257" s="1">
        <v>45564</v>
      </c>
      <c r="AA1257" t="str" cm="1">
        <f t="array" ref="AA1257">_xlfn.IFS(AND(Table2[[#This Row],[Guest_Age]]&gt;=18,Table2[[#This Row],[Guest_Age]]&lt;=25),"Young Adults",AND(Table2[[#This Row],[Guest_Age]]&gt;=26,Table2[[#This Row],[Guest_Age]]&lt;=35),"Adults",AND(Table2[[#This Row],[Guest_Age]]&gt;=36,Table2[[#This Row],[Guest_Age]]&lt;=50),"Middle Aged Adults",Table2[[#This Row],[Guest_Age]]&gt;50,"Senior")</f>
        <v>Adults</v>
      </c>
      <c r="AB12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257" t="str" cm="1">
        <f t="array" ref="AC1257">_xlfn.IFS(Table2[[#This Row],[Satification_points]]&gt;=4.5,"GREAT",AND(Table2[[#This Row],[Satification_points]]&gt;=4,Table2[[#This Row],[Satification_points]]&lt;4.5),"GOOD",AND(Table2[[#This Row],[Satification_points]]&gt;=3,Table2[[#This Row],[Satification_points]]&lt;4),"AVERAGE",Table2[[#This Row],[Satification_points]]&lt;3,"POOR")</f>
        <v>POOR</v>
      </c>
    </row>
    <row r="1258" spans="1:29" x14ac:dyDescent="0.3">
      <c r="A1258">
        <v>1257</v>
      </c>
      <c r="B1258">
        <v>56783</v>
      </c>
      <c r="C1258" t="s">
        <v>1303</v>
      </c>
      <c r="D1258" t="s">
        <v>34</v>
      </c>
      <c r="E1258" t="s">
        <v>35</v>
      </c>
      <c r="F1258" s="1">
        <v>45217</v>
      </c>
      <c r="G1258" s="1">
        <v>45218</v>
      </c>
      <c r="H1258">
        <v>10</v>
      </c>
      <c r="I1258" t="s">
        <v>28</v>
      </c>
      <c r="J1258" t="s">
        <v>43</v>
      </c>
      <c r="K1258">
        <v>4</v>
      </c>
      <c r="L1258">
        <v>2</v>
      </c>
      <c r="M1258">
        <v>2</v>
      </c>
      <c r="N1258">
        <v>2</v>
      </c>
      <c r="O1258">
        <v>5</v>
      </c>
      <c r="P1258">
        <v>1</v>
      </c>
      <c r="Q1258">
        <v>2</v>
      </c>
      <c r="R1258">
        <v>5</v>
      </c>
      <c r="S1258">
        <v>3</v>
      </c>
      <c r="T1258">
        <v>5</v>
      </c>
      <c r="U1258" t="s">
        <v>37</v>
      </c>
      <c r="V1258" t="s">
        <v>54</v>
      </c>
      <c r="W1258" t="s">
        <v>55</v>
      </c>
      <c r="X1258" t="s">
        <v>44</v>
      </c>
      <c r="Y1258">
        <v>21</v>
      </c>
      <c r="Z1258" s="1">
        <v>45246</v>
      </c>
      <c r="AA1258" t="str" cm="1">
        <f t="array" ref="AA1258">_xlfn.IFS(AND(Table2[[#This Row],[Guest_Age]]&gt;=18,Table2[[#This Row],[Guest_Age]]&lt;=25),"Young Adults",AND(Table2[[#This Row],[Guest_Age]]&gt;=26,Table2[[#This Row],[Guest_Age]]&lt;=35),"Adults",AND(Table2[[#This Row],[Guest_Age]]&gt;=36,Table2[[#This Row],[Guest_Age]]&lt;=50),"Middle Aged Adults",Table2[[#This Row],[Guest_Age]]&gt;50,"Senior")</f>
        <v>Young Adults</v>
      </c>
      <c r="AB12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58" t="str" cm="1">
        <f t="array" ref="AC1258">_xlfn.IFS(Table2[[#This Row],[Satification_points]]&gt;=4.5,"GREAT",AND(Table2[[#This Row],[Satification_points]]&gt;=4,Table2[[#This Row],[Satification_points]]&lt;4.5),"GOOD",AND(Table2[[#This Row],[Satification_points]]&gt;=3,Table2[[#This Row],[Satification_points]]&lt;4),"AVERAGE",Table2[[#This Row],[Satification_points]]&lt;3,"POOR")</f>
        <v>AVERAGE</v>
      </c>
    </row>
    <row r="1259" spans="1:29" x14ac:dyDescent="0.3">
      <c r="A1259">
        <v>1258</v>
      </c>
      <c r="B1259">
        <v>75618</v>
      </c>
      <c r="C1259" t="s">
        <v>1304</v>
      </c>
      <c r="D1259" t="s">
        <v>34</v>
      </c>
      <c r="E1259" t="s">
        <v>45</v>
      </c>
      <c r="F1259" s="1">
        <v>45037</v>
      </c>
      <c r="G1259" s="1">
        <v>45166</v>
      </c>
      <c r="H1259">
        <v>2</v>
      </c>
      <c r="I1259" t="s">
        <v>49</v>
      </c>
      <c r="J1259" t="s">
        <v>53</v>
      </c>
      <c r="K1259">
        <v>3</v>
      </c>
      <c r="L1259">
        <v>3</v>
      </c>
      <c r="M1259">
        <v>2</v>
      </c>
      <c r="N1259">
        <v>2</v>
      </c>
      <c r="O1259">
        <v>2</v>
      </c>
      <c r="P1259">
        <v>4</v>
      </c>
      <c r="Q1259">
        <v>2</v>
      </c>
      <c r="R1259">
        <v>2</v>
      </c>
      <c r="S1259">
        <v>5</v>
      </c>
      <c r="T1259">
        <v>3</v>
      </c>
      <c r="U1259" t="s">
        <v>30</v>
      </c>
      <c r="V1259" t="s">
        <v>38</v>
      </c>
      <c r="W1259" t="s">
        <v>47</v>
      </c>
      <c r="X1259" t="s">
        <v>40</v>
      </c>
      <c r="Y1259">
        <v>53</v>
      </c>
      <c r="Z1259" s="1">
        <v>45539</v>
      </c>
      <c r="AA1259" t="str" cm="1">
        <f t="array" ref="AA1259">_xlfn.IFS(AND(Table2[[#This Row],[Guest_Age]]&gt;=18,Table2[[#This Row],[Guest_Age]]&lt;=25),"Young Adults",AND(Table2[[#This Row],[Guest_Age]]&gt;=26,Table2[[#This Row],[Guest_Age]]&lt;=35),"Adults",AND(Table2[[#This Row],[Guest_Age]]&gt;=36,Table2[[#This Row],[Guest_Age]]&lt;=50),"Middle Aged Adults",Table2[[#This Row],[Guest_Age]]&gt;50,"Senior")</f>
        <v>Senior</v>
      </c>
      <c r="AB12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59" t="str" cm="1">
        <f t="array" ref="AC1259">_xlfn.IFS(Table2[[#This Row],[Satification_points]]&gt;=4.5,"GREAT",AND(Table2[[#This Row],[Satification_points]]&gt;=4,Table2[[#This Row],[Satification_points]]&lt;4.5),"GOOD",AND(Table2[[#This Row],[Satification_points]]&gt;=3,Table2[[#This Row],[Satification_points]]&lt;4),"AVERAGE",Table2[[#This Row],[Satification_points]]&lt;3,"POOR")</f>
        <v>POOR</v>
      </c>
    </row>
    <row r="1260" spans="1:29" x14ac:dyDescent="0.3">
      <c r="A1260">
        <v>1259</v>
      </c>
      <c r="B1260">
        <v>52271</v>
      </c>
      <c r="C1260" t="s">
        <v>1305</v>
      </c>
      <c r="D1260" t="s">
        <v>34</v>
      </c>
      <c r="E1260" t="s">
        <v>52</v>
      </c>
      <c r="F1260" s="1">
        <v>45481</v>
      </c>
      <c r="G1260" s="1">
        <v>45548</v>
      </c>
      <c r="H1260">
        <v>12</v>
      </c>
      <c r="I1260" t="s">
        <v>50</v>
      </c>
      <c r="J1260" t="s">
        <v>40</v>
      </c>
      <c r="K1260">
        <v>3</v>
      </c>
      <c r="L1260">
        <v>4</v>
      </c>
      <c r="M1260">
        <v>1</v>
      </c>
      <c r="N1260">
        <v>3</v>
      </c>
      <c r="O1260">
        <v>1</v>
      </c>
      <c r="P1260">
        <v>4</v>
      </c>
      <c r="Q1260">
        <v>5</v>
      </c>
      <c r="R1260">
        <v>1</v>
      </c>
      <c r="S1260">
        <v>3</v>
      </c>
      <c r="T1260">
        <v>4</v>
      </c>
      <c r="U1260" t="s">
        <v>37</v>
      </c>
      <c r="V1260" t="s">
        <v>38</v>
      </c>
      <c r="W1260" t="s">
        <v>55</v>
      </c>
      <c r="X1260" t="s">
        <v>40</v>
      </c>
      <c r="Y1260">
        <v>47</v>
      </c>
      <c r="Z1260" s="1">
        <v>45548</v>
      </c>
      <c r="AA1260" t="str" cm="1">
        <f t="array" ref="AA126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60" t="str" cm="1">
        <f t="array" ref="AC1260">_xlfn.IFS(Table2[[#This Row],[Satification_points]]&gt;=4.5,"GREAT",AND(Table2[[#This Row],[Satification_points]]&gt;=4,Table2[[#This Row],[Satification_points]]&lt;4.5),"GOOD",AND(Table2[[#This Row],[Satification_points]]&gt;=3,Table2[[#This Row],[Satification_points]]&lt;4),"AVERAGE",Table2[[#This Row],[Satification_points]]&lt;3,"POOR")</f>
        <v>POOR</v>
      </c>
    </row>
    <row r="1261" spans="1:29" x14ac:dyDescent="0.3">
      <c r="A1261">
        <v>1260</v>
      </c>
      <c r="B1261">
        <v>34347</v>
      </c>
      <c r="C1261" t="s">
        <v>1306</v>
      </c>
      <c r="D1261" t="s">
        <v>26</v>
      </c>
      <c r="E1261" t="s">
        <v>57</v>
      </c>
      <c r="F1261" s="1">
        <v>45429</v>
      </c>
      <c r="G1261" s="1">
        <v>45430</v>
      </c>
      <c r="H1261">
        <v>2</v>
      </c>
      <c r="I1261" t="s">
        <v>49</v>
      </c>
      <c r="J1261" t="s">
        <v>43</v>
      </c>
      <c r="K1261">
        <v>2</v>
      </c>
      <c r="L1261">
        <v>4</v>
      </c>
      <c r="M1261">
        <v>4</v>
      </c>
      <c r="N1261">
        <v>4</v>
      </c>
      <c r="O1261">
        <v>5</v>
      </c>
      <c r="P1261">
        <v>1</v>
      </c>
      <c r="Q1261">
        <v>4</v>
      </c>
      <c r="R1261">
        <v>2</v>
      </c>
      <c r="S1261">
        <v>4</v>
      </c>
      <c r="T1261">
        <v>4</v>
      </c>
      <c r="U1261" t="s">
        <v>30</v>
      </c>
      <c r="V1261" t="s">
        <v>38</v>
      </c>
      <c r="W1261" t="s">
        <v>55</v>
      </c>
      <c r="X1261" t="s">
        <v>44</v>
      </c>
      <c r="Y1261">
        <v>18</v>
      </c>
      <c r="Z1261" s="1">
        <v>45618</v>
      </c>
      <c r="AA1261" t="str" cm="1">
        <f t="array" ref="AA1261">_xlfn.IFS(AND(Table2[[#This Row],[Guest_Age]]&gt;=18,Table2[[#This Row],[Guest_Age]]&lt;=25),"Young Adults",AND(Table2[[#This Row],[Guest_Age]]&gt;=26,Table2[[#This Row],[Guest_Age]]&lt;=35),"Adults",AND(Table2[[#This Row],[Guest_Age]]&gt;=36,Table2[[#This Row],[Guest_Age]]&lt;=50),"Middle Aged Adults",Table2[[#This Row],[Guest_Age]]&gt;50,"Senior")</f>
        <v>Young Adults</v>
      </c>
      <c r="AB12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261" t="str" cm="1">
        <f t="array" ref="AC1261">_xlfn.IFS(Table2[[#This Row],[Satification_points]]&gt;=4.5,"GREAT",AND(Table2[[#This Row],[Satification_points]]&gt;=4,Table2[[#This Row],[Satification_points]]&lt;4.5),"GOOD",AND(Table2[[#This Row],[Satification_points]]&gt;=3,Table2[[#This Row],[Satification_points]]&lt;4),"AVERAGE",Table2[[#This Row],[Satification_points]]&lt;3,"POOR")</f>
        <v>AVERAGE</v>
      </c>
    </row>
    <row r="1262" spans="1:29" x14ac:dyDescent="0.3">
      <c r="A1262">
        <v>1261</v>
      </c>
      <c r="B1262">
        <v>65142</v>
      </c>
      <c r="C1262" t="s">
        <v>1307</v>
      </c>
      <c r="D1262" t="s">
        <v>26</v>
      </c>
      <c r="E1262" t="s">
        <v>35</v>
      </c>
      <c r="F1262" s="1">
        <v>45227</v>
      </c>
      <c r="G1262" s="1">
        <v>45252</v>
      </c>
      <c r="H1262">
        <v>13</v>
      </c>
      <c r="I1262" t="s">
        <v>28</v>
      </c>
      <c r="J1262" t="s">
        <v>36</v>
      </c>
      <c r="K1262">
        <v>4</v>
      </c>
      <c r="L1262">
        <v>1</v>
      </c>
      <c r="M1262">
        <v>4</v>
      </c>
      <c r="N1262">
        <v>5</v>
      </c>
      <c r="O1262">
        <v>4</v>
      </c>
      <c r="P1262">
        <v>4</v>
      </c>
      <c r="Q1262">
        <v>4</v>
      </c>
      <c r="R1262">
        <v>1</v>
      </c>
      <c r="S1262">
        <v>2</v>
      </c>
      <c r="T1262">
        <v>2</v>
      </c>
      <c r="U1262" t="s">
        <v>37</v>
      </c>
      <c r="V1262" t="s">
        <v>54</v>
      </c>
      <c r="W1262" t="s">
        <v>39</v>
      </c>
      <c r="X1262" t="s">
        <v>44</v>
      </c>
      <c r="Y1262">
        <v>52</v>
      </c>
      <c r="Z1262" s="1">
        <v>45252</v>
      </c>
      <c r="AA1262" t="str" cm="1">
        <f t="array" ref="AA1262">_xlfn.IFS(AND(Table2[[#This Row],[Guest_Age]]&gt;=18,Table2[[#This Row],[Guest_Age]]&lt;=25),"Young Adults",AND(Table2[[#This Row],[Guest_Age]]&gt;=26,Table2[[#This Row],[Guest_Age]]&lt;=35),"Adults",AND(Table2[[#This Row],[Guest_Age]]&gt;=36,Table2[[#This Row],[Guest_Age]]&lt;=50),"Middle Aged Adults",Table2[[#This Row],[Guest_Age]]&gt;50,"Senior")</f>
        <v>Senior</v>
      </c>
      <c r="AB12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62" t="str" cm="1">
        <f t="array" ref="AC1262">_xlfn.IFS(Table2[[#This Row],[Satification_points]]&gt;=4.5,"GREAT",AND(Table2[[#This Row],[Satification_points]]&gt;=4,Table2[[#This Row],[Satification_points]]&lt;4.5),"GOOD",AND(Table2[[#This Row],[Satification_points]]&gt;=3,Table2[[#This Row],[Satification_points]]&lt;4),"AVERAGE",Table2[[#This Row],[Satification_points]]&lt;3,"POOR")</f>
        <v>AVERAGE</v>
      </c>
    </row>
    <row r="1263" spans="1:29" x14ac:dyDescent="0.3">
      <c r="A1263">
        <v>1262</v>
      </c>
      <c r="B1263">
        <v>70683</v>
      </c>
      <c r="C1263" t="s">
        <v>1308</v>
      </c>
      <c r="D1263" t="s">
        <v>34</v>
      </c>
      <c r="E1263" t="s">
        <v>52</v>
      </c>
      <c r="F1263" s="1">
        <v>45572</v>
      </c>
      <c r="G1263" s="1">
        <v>45599</v>
      </c>
      <c r="H1263">
        <v>5</v>
      </c>
      <c r="I1263" t="s">
        <v>49</v>
      </c>
      <c r="J1263" t="s">
        <v>40</v>
      </c>
      <c r="K1263">
        <v>5</v>
      </c>
      <c r="L1263">
        <v>1</v>
      </c>
      <c r="M1263">
        <v>1</v>
      </c>
      <c r="N1263">
        <v>3</v>
      </c>
      <c r="O1263">
        <v>5</v>
      </c>
      <c r="P1263">
        <v>2</v>
      </c>
      <c r="Q1263">
        <v>4</v>
      </c>
      <c r="R1263">
        <v>2</v>
      </c>
      <c r="S1263">
        <v>2</v>
      </c>
      <c r="T1263">
        <v>1</v>
      </c>
      <c r="U1263" t="s">
        <v>37</v>
      </c>
      <c r="V1263" t="s">
        <v>54</v>
      </c>
      <c r="W1263" t="s">
        <v>56</v>
      </c>
      <c r="X1263" t="s">
        <v>33</v>
      </c>
      <c r="Y1263">
        <v>29</v>
      </c>
      <c r="Z1263" s="1">
        <v>45628</v>
      </c>
      <c r="AA1263" t="str" cm="1">
        <f t="array" ref="AA1263">_xlfn.IFS(AND(Table2[[#This Row],[Guest_Age]]&gt;=18,Table2[[#This Row],[Guest_Age]]&lt;=25),"Young Adults",AND(Table2[[#This Row],[Guest_Age]]&gt;=26,Table2[[#This Row],[Guest_Age]]&lt;=35),"Adults",AND(Table2[[#This Row],[Guest_Age]]&gt;=36,Table2[[#This Row],[Guest_Age]]&lt;=50),"Middle Aged Adults",Table2[[#This Row],[Guest_Age]]&gt;50,"Senior")</f>
        <v>Adults</v>
      </c>
      <c r="AB12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63" t="str" cm="1">
        <f t="array" ref="AC1263">_xlfn.IFS(Table2[[#This Row],[Satification_points]]&gt;=4.5,"GREAT",AND(Table2[[#This Row],[Satification_points]]&gt;=4,Table2[[#This Row],[Satification_points]]&lt;4.5),"GOOD",AND(Table2[[#This Row],[Satification_points]]&gt;=3,Table2[[#This Row],[Satification_points]]&lt;4),"AVERAGE",Table2[[#This Row],[Satification_points]]&lt;3,"POOR")</f>
        <v>POOR</v>
      </c>
    </row>
    <row r="1264" spans="1:29" x14ac:dyDescent="0.3">
      <c r="A1264">
        <v>1263</v>
      </c>
      <c r="B1264">
        <v>81288</v>
      </c>
      <c r="C1264" t="s">
        <v>1309</v>
      </c>
      <c r="D1264" t="s">
        <v>34</v>
      </c>
      <c r="E1264" t="s">
        <v>57</v>
      </c>
      <c r="F1264" s="1">
        <v>44939</v>
      </c>
      <c r="G1264" s="1">
        <v>45659</v>
      </c>
      <c r="H1264">
        <v>12</v>
      </c>
      <c r="I1264" t="s">
        <v>28</v>
      </c>
      <c r="J1264" t="s">
        <v>36</v>
      </c>
      <c r="K1264">
        <v>2</v>
      </c>
      <c r="L1264">
        <v>5</v>
      </c>
      <c r="M1264">
        <v>2</v>
      </c>
      <c r="N1264">
        <v>3</v>
      </c>
      <c r="O1264">
        <v>2</v>
      </c>
      <c r="P1264">
        <v>2</v>
      </c>
      <c r="Q1264">
        <v>1</v>
      </c>
      <c r="R1264">
        <v>4</v>
      </c>
      <c r="S1264">
        <v>3</v>
      </c>
      <c r="T1264">
        <v>2</v>
      </c>
      <c r="U1264" t="s">
        <v>37</v>
      </c>
      <c r="V1264" t="s">
        <v>31</v>
      </c>
      <c r="W1264" t="s">
        <v>55</v>
      </c>
      <c r="X1264" t="s">
        <v>40</v>
      </c>
      <c r="Y1264">
        <v>34</v>
      </c>
      <c r="Z1264" s="1">
        <v>45659</v>
      </c>
      <c r="AA1264" t="str" cm="1">
        <f t="array" ref="AA1264">_xlfn.IFS(AND(Table2[[#This Row],[Guest_Age]]&gt;=18,Table2[[#This Row],[Guest_Age]]&lt;=25),"Young Adults",AND(Table2[[#This Row],[Guest_Age]]&gt;=26,Table2[[#This Row],[Guest_Age]]&lt;=35),"Adults",AND(Table2[[#This Row],[Guest_Age]]&gt;=36,Table2[[#This Row],[Guest_Age]]&lt;=50),"Middle Aged Adults",Table2[[#This Row],[Guest_Age]]&gt;50,"Senior")</f>
        <v>Adults</v>
      </c>
      <c r="AB12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64" t="str" cm="1">
        <f t="array" ref="AC1264">_xlfn.IFS(Table2[[#This Row],[Satification_points]]&gt;=4.5,"GREAT",AND(Table2[[#This Row],[Satification_points]]&gt;=4,Table2[[#This Row],[Satification_points]]&lt;4.5),"GOOD",AND(Table2[[#This Row],[Satification_points]]&gt;=3,Table2[[#This Row],[Satification_points]]&lt;4),"AVERAGE",Table2[[#This Row],[Satification_points]]&lt;3,"POOR")</f>
        <v>POOR</v>
      </c>
    </row>
    <row r="1265" spans="1:29" x14ac:dyDescent="0.3">
      <c r="A1265">
        <v>1264</v>
      </c>
      <c r="B1265">
        <v>70791</v>
      </c>
      <c r="C1265" t="s">
        <v>1310</v>
      </c>
      <c r="D1265" t="s">
        <v>26</v>
      </c>
      <c r="E1265" t="s">
        <v>57</v>
      </c>
      <c r="F1265" s="1">
        <v>45449</v>
      </c>
      <c r="G1265" s="1">
        <v>45611</v>
      </c>
      <c r="H1265">
        <v>14</v>
      </c>
      <c r="I1265" t="s">
        <v>50</v>
      </c>
      <c r="J1265" t="s">
        <v>29</v>
      </c>
      <c r="K1265">
        <v>3</v>
      </c>
      <c r="L1265">
        <v>4</v>
      </c>
      <c r="M1265">
        <v>3</v>
      </c>
      <c r="N1265">
        <v>4</v>
      </c>
      <c r="O1265">
        <v>1</v>
      </c>
      <c r="P1265">
        <v>1</v>
      </c>
      <c r="Q1265">
        <v>3</v>
      </c>
      <c r="R1265">
        <v>2</v>
      </c>
      <c r="S1265">
        <v>4</v>
      </c>
      <c r="T1265">
        <v>2</v>
      </c>
      <c r="U1265" t="s">
        <v>37</v>
      </c>
      <c r="V1265" t="s">
        <v>58</v>
      </c>
      <c r="W1265" t="s">
        <v>39</v>
      </c>
      <c r="X1265" t="s">
        <v>40</v>
      </c>
      <c r="Y1265">
        <v>33</v>
      </c>
      <c r="Z1265" s="1">
        <v>45611</v>
      </c>
      <c r="AA1265" t="str" cm="1">
        <f t="array" ref="AA1265">_xlfn.IFS(AND(Table2[[#This Row],[Guest_Age]]&gt;=18,Table2[[#This Row],[Guest_Age]]&lt;=25),"Young Adults",AND(Table2[[#This Row],[Guest_Age]]&gt;=26,Table2[[#This Row],[Guest_Age]]&lt;=35),"Adults",AND(Table2[[#This Row],[Guest_Age]]&gt;=36,Table2[[#This Row],[Guest_Age]]&lt;=50),"Middle Aged Adults",Table2[[#This Row],[Guest_Age]]&gt;50,"Senior")</f>
        <v>Adults</v>
      </c>
      <c r="AB12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65" t="str" cm="1">
        <f t="array" ref="AC1265">_xlfn.IFS(Table2[[#This Row],[Satification_points]]&gt;=4.5,"GREAT",AND(Table2[[#This Row],[Satification_points]]&gt;=4,Table2[[#This Row],[Satification_points]]&lt;4.5),"GOOD",AND(Table2[[#This Row],[Satification_points]]&gt;=3,Table2[[#This Row],[Satification_points]]&lt;4),"AVERAGE",Table2[[#This Row],[Satification_points]]&lt;3,"POOR")</f>
        <v>POOR</v>
      </c>
    </row>
    <row r="1266" spans="1:29" x14ac:dyDescent="0.3">
      <c r="A1266">
        <v>1265</v>
      </c>
      <c r="B1266">
        <v>13668</v>
      </c>
      <c r="C1266" t="s">
        <v>1311</v>
      </c>
      <c r="D1266" t="s">
        <v>51</v>
      </c>
      <c r="E1266" t="s">
        <v>35</v>
      </c>
      <c r="F1266" s="1">
        <v>45028</v>
      </c>
      <c r="G1266" s="1">
        <v>45314</v>
      </c>
      <c r="H1266">
        <v>1</v>
      </c>
      <c r="I1266" t="s">
        <v>28</v>
      </c>
      <c r="J1266" t="s">
        <v>53</v>
      </c>
      <c r="K1266">
        <v>2</v>
      </c>
      <c r="L1266">
        <v>4</v>
      </c>
      <c r="M1266">
        <v>1</v>
      </c>
      <c r="N1266">
        <v>3</v>
      </c>
      <c r="O1266">
        <v>2</v>
      </c>
      <c r="P1266">
        <v>1</v>
      </c>
      <c r="Q1266">
        <v>1</v>
      </c>
      <c r="R1266">
        <v>5</v>
      </c>
      <c r="S1266">
        <v>1</v>
      </c>
      <c r="T1266">
        <v>1</v>
      </c>
      <c r="U1266" t="s">
        <v>37</v>
      </c>
      <c r="V1266" t="s">
        <v>38</v>
      </c>
      <c r="W1266" t="s">
        <v>47</v>
      </c>
      <c r="X1266" t="s">
        <v>44</v>
      </c>
      <c r="Y1266">
        <v>45</v>
      </c>
      <c r="Z1266" s="1">
        <v>45495</v>
      </c>
      <c r="AA1266" t="str" cm="1">
        <f t="array" ref="AA12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266" t="str" cm="1">
        <f t="array" ref="AC1266">_xlfn.IFS(Table2[[#This Row],[Satification_points]]&gt;=4.5,"GREAT",AND(Table2[[#This Row],[Satification_points]]&gt;=4,Table2[[#This Row],[Satification_points]]&lt;4.5),"GOOD",AND(Table2[[#This Row],[Satification_points]]&gt;=3,Table2[[#This Row],[Satification_points]]&lt;4),"AVERAGE",Table2[[#This Row],[Satification_points]]&lt;3,"POOR")</f>
        <v>POOR</v>
      </c>
    </row>
    <row r="1267" spans="1:29" x14ac:dyDescent="0.3">
      <c r="A1267">
        <v>1266</v>
      </c>
      <c r="B1267">
        <v>60767</v>
      </c>
      <c r="C1267" t="s">
        <v>1312</v>
      </c>
      <c r="D1267" t="s">
        <v>41</v>
      </c>
      <c r="E1267" t="s">
        <v>35</v>
      </c>
      <c r="F1267" s="1">
        <v>45123</v>
      </c>
      <c r="G1267" s="1">
        <v>45533</v>
      </c>
      <c r="H1267">
        <v>7</v>
      </c>
      <c r="I1267" t="s">
        <v>28</v>
      </c>
      <c r="J1267" t="s">
        <v>43</v>
      </c>
      <c r="K1267">
        <v>5</v>
      </c>
      <c r="L1267">
        <v>4</v>
      </c>
      <c r="M1267">
        <v>4</v>
      </c>
      <c r="N1267">
        <v>1</v>
      </c>
      <c r="O1267">
        <v>3</v>
      </c>
      <c r="P1267">
        <v>2</v>
      </c>
      <c r="Q1267">
        <v>5</v>
      </c>
      <c r="R1267">
        <v>1</v>
      </c>
      <c r="S1267">
        <v>4</v>
      </c>
      <c r="T1267">
        <v>1</v>
      </c>
      <c r="U1267" t="s">
        <v>30</v>
      </c>
      <c r="V1267" t="s">
        <v>31</v>
      </c>
      <c r="W1267" t="s">
        <v>47</v>
      </c>
      <c r="X1267" t="s">
        <v>40</v>
      </c>
      <c r="Y1267">
        <v>49</v>
      </c>
      <c r="Z1267" s="1">
        <v>45533</v>
      </c>
      <c r="AA1267" t="str" cm="1">
        <f t="array" ref="AA12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67" t="str" cm="1">
        <f t="array" ref="AC1267">_xlfn.IFS(Table2[[#This Row],[Satification_points]]&gt;=4.5,"GREAT",AND(Table2[[#This Row],[Satification_points]]&gt;=4,Table2[[#This Row],[Satification_points]]&lt;4.5),"GOOD",AND(Table2[[#This Row],[Satification_points]]&gt;=3,Table2[[#This Row],[Satification_points]]&lt;4),"AVERAGE",Table2[[#This Row],[Satification_points]]&lt;3,"POOR")</f>
        <v>AVERAGE</v>
      </c>
    </row>
    <row r="1268" spans="1:29" x14ac:dyDescent="0.3">
      <c r="A1268">
        <v>1267</v>
      </c>
      <c r="B1268">
        <v>96166</v>
      </c>
      <c r="C1268" t="s">
        <v>1313</v>
      </c>
      <c r="D1268" t="s">
        <v>51</v>
      </c>
      <c r="E1268" t="s">
        <v>52</v>
      </c>
      <c r="F1268" s="1">
        <v>45317</v>
      </c>
      <c r="G1268" s="1">
        <v>45318</v>
      </c>
      <c r="H1268">
        <v>1</v>
      </c>
      <c r="I1268" t="s">
        <v>50</v>
      </c>
      <c r="J1268" t="s">
        <v>40</v>
      </c>
      <c r="K1268">
        <v>1</v>
      </c>
      <c r="L1268">
        <v>4</v>
      </c>
      <c r="M1268">
        <v>4</v>
      </c>
      <c r="N1268">
        <v>3</v>
      </c>
      <c r="O1268">
        <v>1</v>
      </c>
      <c r="P1268">
        <v>3</v>
      </c>
      <c r="Q1268">
        <v>2</v>
      </c>
      <c r="R1268">
        <v>4</v>
      </c>
      <c r="S1268">
        <v>3</v>
      </c>
      <c r="T1268">
        <v>3</v>
      </c>
      <c r="U1268" t="s">
        <v>37</v>
      </c>
      <c r="V1268" t="s">
        <v>54</v>
      </c>
      <c r="W1268" t="s">
        <v>55</v>
      </c>
      <c r="X1268" t="s">
        <v>33</v>
      </c>
      <c r="Y1268">
        <v>63</v>
      </c>
      <c r="Z1268" s="1">
        <v>45318</v>
      </c>
      <c r="AA1268" t="str" cm="1">
        <f t="array" ref="AA1268">_xlfn.IFS(AND(Table2[[#This Row],[Guest_Age]]&gt;=18,Table2[[#This Row],[Guest_Age]]&lt;=25),"Young Adults",AND(Table2[[#This Row],[Guest_Age]]&gt;=26,Table2[[#This Row],[Guest_Age]]&lt;=35),"Adults",AND(Table2[[#This Row],[Guest_Age]]&gt;=36,Table2[[#This Row],[Guest_Age]]&lt;=50),"Middle Aged Adults",Table2[[#This Row],[Guest_Age]]&gt;50,"Senior")</f>
        <v>Senior</v>
      </c>
      <c r="AB12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68" t="str" cm="1">
        <f t="array" ref="AC1268">_xlfn.IFS(Table2[[#This Row],[Satification_points]]&gt;=4.5,"GREAT",AND(Table2[[#This Row],[Satification_points]]&gt;=4,Table2[[#This Row],[Satification_points]]&lt;4.5),"GOOD",AND(Table2[[#This Row],[Satification_points]]&gt;=3,Table2[[#This Row],[Satification_points]]&lt;4),"AVERAGE",Table2[[#This Row],[Satification_points]]&lt;3,"POOR")</f>
        <v>POOR</v>
      </c>
    </row>
    <row r="1269" spans="1:29" x14ac:dyDescent="0.3">
      <c r="A1269">
        <v>1268</v>
      </c>
      <c r="B1269">
        <v>86531</v>
      </c>
      <c r="C1269" t="s">
        <v>1314</v>
      </c>
      <c r="D1269" t="s">
        <v>41</v>
      </c>
      <c r="E1269" t="s">
        <v>35</v>
      </c>
      <c r="F1269" s="1">
        <v>44981</v>
      </c>
      <c r="G1269" s="1">
        <v>45227</v>
      </c>
      <c r="H1269">
        <v>1</v>
      </c>
      <c r="I1269" t="s">
        <v>50</v>
      </c>
      <c r="J1269" t="s">
        <v>43</v>
      </c>
      <c r="K1269">
        <v>5</v>
      </c>
      <c r="L1269">
        <v>2</v>
      </c>
      <c r="M1269">
        <v>1</v>
      </c>
      <c r="N1269">
        <v>5</v>
      </c>
      <c r="O1269">
        <v>4</v>
      </c>
      <c r="P1269">
        <v>1</v>
      </c>
      <c r="Q1269">
        <v>1</v>
      </c>
      <c r="R1269">
        <v>4</v>
      </c>
      <c r="S1269">
        <v>3</v>
      </c>
      <c r="T1269">
        <v>2</v>
      </c>
      <c r="U1269" t="s">
        <v>37</v>
      </c>
      <c r="V1269" t="s">
        <v>31</v>
      </c>
      <c r="W1269" t="s">
        <v>47</v>
      </c>
      <c r="X1269" t="s">
        <v>33</v>
      </c>
      <c r="Y1269">
        <v>52</v>
      </c>
      <c r="Z1269" s="1">
        <v>45351</v>
      </c>
      <c r="AA1269" t="str" cm="1">
        <f t="array" ref="AA1269">_xlfn.IFS(AND(Table2[[#This Row],[Guest_Age]]&gt;=18,Table2[[#This Row],[Guest_Age]]&lt;=25),"Young Adults",AND(Table2[[#This Row],[Guest_Age]]&gt;=26,Table2[[#This Row],[Guest_Age]]&lt;=35),"Adults",AND(Table2[[#This Row],[Guest_Age]]&gt;=36,Table2[[#This Row],[Guest_Age]]&lt;=50),"Middle Aged Adults",Table2[[#This Row],[Guest_Age]]&gt;50,"Senior")</f>
        <v>Senior</v>
      </c>
      <c r="AB12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69" t="str" cm="1">
        <f t="array" ref="AC1269">_xlfn.IFS(Table2[[#This Row],[Satification_points]]&gt;=4.5,"GREAT",AND(Table2[[#This Row],[Satification_points]]&gt;=4,Table2[[#This Row],[Satification_points]]&lt;4.5),"GOOD",AND(Table2[[#This Row],[Satification_points]]&gt;=3,Table2[[#This Row],[Satification_points]]&lt;4),"AVERAGE",Table2[[#This Row],[Satification_points]]&lt;3,"POOR")</f>
        <v>POOR</v>
      </c>
    </row>
    <row r="1270" spans="1:29" x14ac:dyDescent="0.3">
      <c r="A1270">
        <v>1269</v>
      </c>
      <c r="B1270">
        <v>44830</v>
      </c>
      <c r="C1270" t="s">
        <v>1315</v>
      </c>
      <c r="D1270" t="s">
        <v>48</v>
      </c>
      <c r="E1270" t="s">
        <v>57</v>
      </c>
      <c r="F1270" s="1">
        <v>45109</v>
      </c>
      <c r="G1270" s="1">
        <v>45636</v>
      </c>
      <c r="H1270">
        <v>5</v>
      </c>
      <c r="I1270" t="s">
        <v>28</v>
      </c>
      <c r="J1270" t="s">
        <v>43</v>
      </c>
      <c r="K1270">
        <v>2</v>
      </c>
      <c r="L1270">
        <v>3</v>
      </c>
      <c r="M1270">
        <v>2</v>
      </c>
      <c r="N1270">
        <v>1</v>
      </c>
      <c r="O1270">
        <v>4</v>
      </c>
      <c r="P1270">
        <v>2</v>
      </c>
      <c r="Q1270">
        <v>4</v>
      </c>
      <c r="R1270">
        <v>2</v>
      </c>
      <c r="S1270">
        <v>4</v>
      </c>
      <c r="T1270">
        <v>2</v>
      </c>
      <c r="U1270" t="s">
        <v>30</v>
      </c>
      <c r="V1270" t="s">
        <v>38</v>
      </c>
      <c r="W1270" t="s">
        <v>56</v>
      </c>
      <c r="X1270" t="s">
        <v>44</v>
      </c>
      <c r="Y1270">
        <v>36</v>
      </c>
      <c r="Z1270" s="1">
        <v>45636</v>
      </c>
      <c r="AA1270" t="str" cm="1">
        <f t="array" ref="AA12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70" t="str" cm="1">
        <f t="array" ref="AC1270">_xlfn.IFS(Table2[[#This Row],[Satification_points]]&gt;=4.5,"GREAT",AND(Table2[[#This Row],[Satification_points]]&gt;=4,Table2[[#This Row],[Satification_points]]&lt;4.5),"GOOD",AND(Table2[[#This Row],[Satification_points]]&gt;=3,Table2[[#This Row],[Satification_points]]&lt;4),"AVERAGE",Table2[[#This Row],[Satification_points]]&lt;3,"POOR")</f>
        <v>POOR</v>
      </c>
    </row>
    <row r="1271" spans="1:29" x14ac:dyDescent="0.3">
      <c r="A1271">
        <v>1270</v>
      </c>
      <c r="B1271">
        <v>51739</v>
      </c>
      <c r="C1271" t="s">
        <v>1316</v>
      </c>
      <c r="D1271" t="s">
        <v>48</v>
      </c>
      <c r="E1271" t="s">
        <v>45</v>
      </c>
      <c r="F1271" s="1">
        <v>44945</v>
      </c>
      <c r="G1271" s="1">
        <v>45490</v>
      </c>
      <c r="H1271">
        <v>7</v>
      </c>
      <c r="I1271" t="s">
        <v>42</v>
      </c>
      <c r="J1271" t="s">
        <v>40</v>
      </c>
      <c r="K1271">
        <v>4</v>
      </c>
      <c r="L1271">
        <v>2</v>
      </c>
      <c r="M1271">
        <v>5</v>
      </c>
      <c r="N1271">
        <v>4</v>
      </c>
      <c r="O1271">
        <v>3</v>
      </c>
      <c r="P1271">
        <v>3</v>
      </c>
      <c r="Q1271">
        <v>3</v>
      </c>
      <c r="R1271">
        <v>4</v>
      </c>
      <c r="S1271">
        <v>3</v>
      </c>
      <c r="T1271">
        <v>4</v>
      </c>
      <c r="U1271" t="s">
        <v>30</v>
      </c>
      <c r="V1271" t="s">
        <v>58</v>
      </c>
      <c r="W1271" t="s">
        <v>47</v>
      </c>
      <c r="X1271" t="s">
        <v>40</v>
      </c>
      <c r="Y1271">
        <v>46</v>
      </c>
      <c r="Z1271" s="1">
        <v>45490</v>
      </c>
      <c r="AA1271" t="str" cm="1">
        <f t="array" ref="AA12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271" t="str" cm="1">
        <f t="array" ref="AC1271">_xlfn.IFS(Table2[[#This Row],[Satification_points]]&gt;=4.5,"GREAT",AND(Table2[[#This Row],[Satification_points]]&gt;=4,Table2[[#This Row],[Satification_points]]&lt;4.5),"GOOD",AND(Table2[[#This Row],[Satification_points]]&gt;=3,Table2[[#This Row],[Satification_points]]&lt;4),"AVERAGE",Table2[[#This Row],[Satification_points]]&lt;3,"POOR")</f>
        <v>AVERAGE</v>
      </c>
    </row>
    <row r="1272" spans="1:29" x14ac:dyDescent="0.3">
      <c r="A1272">
        <v>1271</v>
      </c>
      <c r="B1272">
        <v>60210</v>
      </c>
      <c r="C1272" t="s">
        <v>1317</v>
      </c>
      <c r="D1272" t="s">
        <v>51</v>
      </c>
      <c r="E1272" t="s">
        <v>52</v>
      </c>
      <c r="F1272" s="1">
        <v>45289</v>
      </c>
      <c r="G1272" s="1">
        <v>45290</v>
      </c>
      <c r="H1272">
        <v>3</v>
      </c>
      <c r="I1272" t="s">
        <v>42</v>
      </c>
      <c r="J1272" t="s">
        <v>53</v>
      </c>
      <c r="K1272">
        <v>1</v>
      </c>
      <c r="L1272">
        <v>3</v>
      </c>
      <c r="M1272">
        <v>3</v>
      </c>
      <c r="N1272">
        <v>4</v>
      </c>
      <c r="O1272">
        <v>2</v>
      </c>
      <c r="P1272">
        <v>3</v>
      </c>
      <c r="Q1272">
        <v>5</v>
      </c>
      <c r="R1272">
        <v>3</v>
      </c>
      <c r="S1272">
        <v>2</v>
      </c>
      <c r="T1272">
        <v>2</v>
      </c>
      <c r="U1272" t="s">
        <v>37</v>
      </c>
      <c r="V1272" t="s">
        <v>31</v>
      </c>
      <c r="W1272" t="s">
        <v>32</v>
      </c>
      <c r="X1272" t="s">
        <v>33</v>
      </c>
      <c r="Y1272">
        <v>46</v>
      </c>
      <c r="Z1272" s="1">
        <v>45339</v>
      </c>
      <c r="AA1272" t="str" cm="1">
        <f t="array" ref="AA12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72" t="str" cm="1">
        <f t="array" ref="AC1272">_xlfn.IFS(Table2[[#This Row],[Satification_points]]&gt;=4.5,"GREAT",AND(Table2[[#This Row],[Satification_points]]&gt;=4,Table2[[#This Row],[Satification_points]]&lt;4.5),"GOOD",AND(Table2[[#This Row],[Satification_points]]&gt;=3,Table2[[#This Row],[Satification_points]]&lt;4),"AVERAGE",Table2[[#This Row],[Satification_points]]&lt;3,"POOR")</f>
        <v>POOR</v>
      </c>
    </row>
    <row r="1273" spans="1:29" x14ac:dyDescent="0.3">
      <c r="A1273">
        <v>1272</v>
      </c>
      <c r="B1273">
        <v>45166</v>
      </c>
      <c r="C1273" t="s">
        <v>1318</v>
      </c>
      <c r="D1273" t="s">
        <v>26</v>
      </c>
      <c r="E1273" t="s">
        <v>45</v>
      </c>
      <c r="F1273" s="1">
        <v>45399</v>
      </c>
      <c r="G1273" s="1">
        <v>45400</v>
      </c>
      <c r="H1273">
        <v>7</v>
      </c>
      <c r="I1273" t="s">
        <v>28</v>
      </c>
      <c r="J1273" t="s">
        <v>53</v>
      </c>
      <c r="K1273">
        <v>5</v>
      </c>
      <c r="L1273">
        <v>2</v>
      </c>
      <c r="M1273">
        <v>5</v>
      </c>
      <c r="N1273">
        <v>4</v>
      </c>
      <c r="O1273">
        <v>4</v>
      </c>
      <c r="P1273">
        <v>2</v>
      </c>
      <c r="Q1273">
        <v>2</v>
      </c>
      <c r="R1273">
        <v>3</v>
      </c>
      <c r="S1273">
        <v>3</v>
      </c>
      <c r="T1273">
        <v>3</v>
      </c>
      <c r="U1273" t="s">
        <v>30</v>
      </c>
      <c r="V1273" t="s">
        <v>54</v>
      </c>
      <c r="W1273" t="s">
        <v>47</v>
      </c>
      <c r="X1273" t="s">
        <v>40</v>
      </c>
      <c r="Y1273">
        <v>68</v>
      </c>
      <c r="Z1273" s="1">
        <v>45477</v>
      </c>
      <c r="AA1273" t="str" cm="1">
        <f t="array" ref="AA1273">_xlfn.IFS(AND(Table2[[#This Row],[Guest_Age]]&gt;=18,Table2[[#This Row],[Guest_Age]]&lt;=25),"Young Adults",AND(Table2[[#This Row],[Guest_Age]]&gt;=26,Table2[[#This Row],[Guest_Age]]&lt;=35),"Adults",AND(Table2[[#This Row],[Guest_Age]]&gt;=36,Table2[[#This Row],[Guest_Age]]&lt;=50),"Middle Aged Adults",Table2[[#This Row],[Guest_Age]]&gt;50,"Senior")</f>
        <v>Senior</v>
      </c>
      <c r="AB12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73" t="str" cm="1">
        <f t="array" ref="AC1273">_xlfn.IFS(Table2[[#This Row],[Satification_points]]&gt;=4.5,"GREAT",AND(Table2[[#This Row],[Satification_points]]&gt;=4,Table2[[#This Row],[Satification_points]]&lt;4.5),"GOOD",AND(Table2[[#This Row],[Satification_points]]&gt;=3,Table2[[#This Row],[Satification_points]]&lt;4),"AVERAGE",Table2[[#This Row],[Satification_points]]&lt;3,"POOR")</f>
        <v>AVERAGE</v>
      </c>
    </row>
    <row r="1274" spans="1:29" x14ac:dyDescent="0.3">
      <c r="A1274">
        <v>1273</v>
      </c>
      <c r="B1274">
        <v>21196</v>
      </c>
      <c r="C1274" t="s">
        <v>1319</v>
      </c>
      <c r="D1274" t="s">
        <v>34</v>
      </c>
      <c r="E1274" t="s">
        <v>45</v>
      </c>
      <c r="F1274" s="1">
        <v>44935</v>
      </c>
      <c r="G1274" s="1">
        <v>45469</v>
      </c>
      <c r="H1274">
        <v>9</v>
      </c>
      <c r="I1274" t="s">
        <v>49</v>
      </c>
      <c r="J1274" t="s">
        <v>29</v>
      </c>
      <c r="K1274">
        <v>4</v>
      </c>
      <c r="L1274">
        <v>5</v>
      </c>
      <c r="M1274">
        <v>3</v>
      </c>
      <c r="N1274">
        <v>1</v>
      </c>
      <c r="O1274">
        <v>2</v>
      </c>
      <c r="P1274">
        <v>2</v>
      </c>
      <c r="Q1274">
        <v>3</v>
      </c>
      <c r="R1274">
        <v>3</v>
      </c>
      <c r="S1274">
        <v>1</v>
      </c>
      <c r="T1274">
        <v>5</v>
      </c>
      <c r="U1274" t="s">
        <v>37</v>
      </c>
      <c r="V1274" t="s">
        <v>46</v>
      </c>
      <c r="W1274" t="s">
        <v>55</v>
      </c>
      <c r="X1274" t="s">
        <v>44</v>
      </c>
      <c r="Y1274">
        <v>33</v>
      </c>
      <c r="Z1274" s="1">
        <v>45520</v>
      </c>
      <c r="AA1274" t="str" cm="1">
        <f t="array" ref="AA1274">_xlfn.IFS(AND(Table2[[#This Row],[Guest_Age]]&gt;=18,Table2[[#This Row],[Guest_Age]]&lt;=25),"Young Adults",AND(Table2[[#This Row],[Guest_Age]]&gt;=26,Table2[[#This Row],[Guest_Age]]&lt;=35),"Adults",AND(Table2[[#This Row],[Guest_Age]]&gt;=36,Table2[[#This Row],[Guest_Age]]&lt;=50),"Middle Aged Adults",Table2[[#This Row],[Guest_Age]]&gt;50,"Senior")</f>
        <v>Adults</v>
      </c>
      <c r="AB12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74" t="str" cm="1">
        <f t="array" ref="AC1274">_xlfn.IFS(Table2[[#This Row],[Satification_points]]&gt;=4.5,"GREAT",AND(Table2[[#This Row],[Satification_points]]&gt;=4,Table2[[#This Row],[Satification_points]]&lt;4.5),"GOOD",AND(Table2[[#This Row],[Satification_points]]&gt;=3,Table2[[#This Row],[Satification_points]]&lt;4),"AVERAGE",Table2[[#This Row],[Satification_points]]&lt;3,"POOR")</f>
        <v>POOR</v>
      </c>
    </row>
    <row r="1275" spans="1:29" x14ac:dyDescent="0.3">
      <c r="A1275">
        <v>1274</v>
      </c>
      <c r="B1275">
        <v>28714</v>
      </c>
      <c r="C1275" t="s">
        <v>1320</v>
      </c>
      <c r="D1275" t="s">
        <v>48</v>
      </c>
      <c r="E1275" t="s">
        <v>57</v>
      </c>
      <c r="F1275" s="1">
        <v>45586</v>
      </c>
      <c r="G1275" s="1">
        <v>45587</v>
      </c>
      <c r="H1275">
        <v>11</v>
      </c>
      <c r="I1275" t="s">
        <v>28</v>
      </c>
      <c r="J1275" t="s">
        <v>40</v>
      </c>
      <c r="K1275">
        <v>5</v>
      </c>
      <c r="L1275">
        <v>3</v>
      </c>
      <c r="M1275">
        <v>5</v>
      </c>
      <c r="N1275">
        <v>4</v>
      </c>
      <c r="O1275">
        <v>1</v>
      </c>
      <c r="P1275">
        <v>4</v>
      </c>
      <c r="Q1275">
        <v>1</v>
      </c>
      <c r="R1275">
        <v>2</v>
      </c>
      <c r="S1275">
        <v>2</v>
      </c>
      <c r="T1275">
        <v>2</v>
      </c>
      <c r="U1275" t="s">
        <v>30</v>
      </c>
      <c r="V1275" t="s">
        <v>46</v>
      </c>
      <c r="W1275" t="s">
        <v>39</v>
      </c>
      <c r="X1275" t="s">
        <v>44</v>
      </c>
      <c r="Y1275">
        <v>21</v>
      </c>
      <c r="Z1275" s="1">
        <v>45587</v>
      </c>
      <c r="AA1275" t="str" cm="1">
        <f t="array" ref="AA1275">_xlfn.IFS(AND(Table2[[#This Row],[Guest_Age]]&gt;=18,Table2[[#This Row],[Guest_Age]]&lt;=25),"Young Adults",AND(Table2[[#This Row],[Guest_Age]]&gt;=26,Table2[[#This Row],[Guest_Age]]&lt;=35),"Adults",AND(Table2[[#This Row],[Guest_Age]]&gt;=36,Table2[[#This Row],[Guest_Age]]&lt;=50),"Middle Aged Adults",Table2[[#This Row],[Guest_Age]]&gt;50,"Senior")</f>
        <v>Young Adults</v>
      </c>
      <c r="AB12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75" t="str" cm="1">
        <f t="array" ref="AC1275">_xlfn.IFS(Table2[[#This Row],[Satification_points]]&gt;=4.5,"GREAT",AND(Table2[[#This Row],[Satification_points]]&gt;=4,Table2[[#This Row],[Satification_points]]&lt;4.5),"GOOD",AND(Table2[[#This Row],[Satification_points]]&gt;=3,Table2[[#This Row],[Satification_points]]&lt;4),"AVERAGE",Table2[[#This Row],[Satification_points]]&lt;3,"POOR")</f>
        <v>POOR</v>
      </c>
    </row>
    <row r="1276" spans="1:29" x14ac:dyDescent="0.3">
      <c r="A1276">
        <v>1275</v>
      </c>
      <c r="B1276">
        <v>55692</v>
      </c>
      <c r="C1276" t="s">
        <v>1321</v>
      </c>
      <c r="D1276" t="s">
        <v>26</v>
      </c>
      <c r="E1276" t="s">
        <v>45</v>
      </c>
      <c r="F1276" s="1">
        <v>44951</v>
      </c>
      <c r="G1276" s="1">
        <v>45397</v>
      </c>
      <c r="H1276">
        <v>4</v>
      </c>
      <c r="I1276" t="s">
        <v>28</v>
      </c>
      <c r="J1276" t="s">
        <v>40</v>
      </c>
      <c r="K1276">
        <v>3</v>
      </c>
      <c r="L1276">
        <v>4</v>
      </c>
      <c r="M1276">
        <v>5</v>
      </c>
      <c r="N1276">
        <v>4</v>
      </c>
      <c r="O1276">
        <v>5</v>
      </c>
      <c r="P1276">
        <v>3</v>
      </c>
      <c r="Q1276">
        <v>1</v>
      </c>
      <c r="R1276">
        <v>1</v>
      </c>
      <c r="S1276">
        <v>5</v>
      </c>
      <c r="T1276">
        <v>3</v>
      </c>
      <c r="U1276" t="s">
        <v>37</v>
      </c>
      <c r="V1276" t="s">
        <v>31</v>
      </c>
      <c r="W1276" t="s">
        <v>56</v>
      </c>
      <c r="X1276" t="s">
        <v>40</v>
      </c>
      <c r="Y1276">
        <v>38</v>
      </c>
      <c r="Z1276" s="1">
        <v>45397</v>
      </c>
      <c r="AA1276" t="str" cm="1">
        <f t="array" ref="AA12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276" t="str" cm="1">
        <f t="array" ref="AC1276">_xlfn.IFS(Table2[[#This Row],[Satification_points]]&gt;=4.5,"GREAT",AND(Table2[[#This Row],[Satification_points]]&gt;=4,Table2[[#This Row],[Satification_points]]&lt;4.5),"GOOD",AND(Table2[[#This Row],[Satification_points]]&gt;=3,Table2[[#This Row],[Satification_points]]&lt;4),"AVERAGE",Table2[[#This Row],[Satification_points]]&lt;3,"POOR")</f>
        <v>AVERAGE</v>
      </c>
    </row>
    <row r="1277" spans="1:29" x14ac:dyDescent="0.3">
      <c r="A1277">
        <v>1276</v>
      </c>
      <c r="B1277">
        <v>60911</v>
      </c>
      <c r="C1277" t="s">
        <v>1322</v>
      </c>
      <c r="D1277" t="s">
        <v>26</v>
      </c>
      <c r="E1277" t="s">
        <v>27</v>
      </c>
      <c r="F1277" s="1">
        <v>45232</v>
      </c>
      <c r="G1277" s="1">
        <v>45233</v>
      </c>
      <c r="H1277">
        <v>5</v>
      </c>
      <c r="I1277" t="s">
        <v>49</v>
      </c>
      <c r="J1277" t="s">
        <v>36</v>
      </c>
      <c r="K1277">
        <v>4</v>
      </c>
      <c r="L1277">
        <v>3</v>
      </c>
      <c r="M1277">
        <v>3</v>
      </c>
      <c r="N1277">
        <v>5</v>
      </c>
      <c r="O1277">
        <v>1</v>
      </c>
      <c r="P1277">
        <v>5</v>
      </c>
      <c r="Q1277">
        <v>3</v>
      </c>
      <c r="R1277">
        <v>2</v>
      </c>
      <c r="S1277">
        <v>2</v>
      </c>
      <c r="T1277">
        <v>3</v>
      </c>
      <c r="U1277" t="s">
        <v>37</v>
      </c>
      <c r="V1277" t="s">
        <v>54</v>
      </c>
      <c r="W1277" t="s">
        <v>56</v>
      </c>
      <c r="X1277" t="s">
        <v>33</v>
      </c>
      <c r="Y1277">
        <v>66</v>
      </c>
      <c r="Z1277" s="1">
        <v>45233</v>
      </c>
      <c r="AA1277" t="str" cm="1">
        <f t="array" ref="AA1277">_xlfn.IFS(AND(Table2[[#This Row],[Guest_Age]]&gt;=18,Table2[[#This Row],[Guest_Age]]&lt;=25),"Young Adults",AND(Table2[[#This Row],[Guest_Age]]&gt;=26,Table2[[#This Row],[Guest_Age]]&lt;=35),"Adults",AND(Table2[[#This Row],[Guest_Age]]&gt;=36,Table2[[#This Row],[Guest_Age]]&lt;=50),"Middle Aged Adults",Table2[[#This Row],[Guest_Age]]&gt;50,"Senior")</f>
        <v>Senior</v>
      </c>
      <c r="AB12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77" t="str" cm="1">
        <f t="array" ref="AC1277">_xlfn.IFS(Table2[[#This Row],[Satification_points]]&gt;=4.5,"GREAT",AND(Table2[[#This Row],[Satification_points]]&gt;=4,Table2[[#This Row],[Satification_points]]&lt;4.5),"GOOD",AND(Table2[[#This Row],[Satification_points]]&gt;=3,Table2[[#This Row],[Satification_points]]&lt;4),"AVERAGE",Table2[[#This Row],[Satification_points]]&lt;3,"POOR")</f>
        <v>AVERAGE</v>
      </c>
    </row>
    <row r="1278" spans="1:29" x14ac:dyDescent="0.3">
      <c r="A1278">
        <v>1277</v>
      </c>
      <c r="B1278">
        <v>55580</v>
      </c>
      <c r="C1278" t="s">
        <v>1323</v>
      </c>
      <c r="D1278" t="s">
        <v>41</v>
      </c>
      <c r="E1278" t="s">
        <v>52</v>
      </c>
      <c r="F1278" s="1">
        <v>45510</v>
      </c>
      <c r="G1278" s="1">
        <v>45596</v>
      </c>
      <c r="H1278">
        <v>14</v>
      </c>
      <c r="I1278" t="s">
        <v>50</v>
      </c>
      <c r="J1278" t="s">
        <v>36</v>
      </c>
      <c r="K1278">
        <v>3</v>
      </c>
      <c r="L1278">
        <v>4</v>
      </c>
      <c r="M1278">
        <v>3</v>
      </c>
      <c r="N1278">
        <v>2</v>
      </c>
      <c r="O1278">
        <v>2</v>
      </c>
      <c r="P1278">
        <v>4</v>
      </c>
      <c r="Q1278">
        <v>3</v>
      </c>
      <c r="R1278">
        <v>5</v>
      </c>
      <c r="S1278">
        <v>2</v>
      </c>
      <c r="T1278">
        <v>5</v>
      </c>
      <c r="U1278" t="s">
        <v>37</v>
      </c>
      <c r="V1278" t="s">
        <v>31</v>
      </c>
      <c r="W1278" t="s">
        <v>39</v>
      </c>
      <c r="X1278" t="s">
        <v>44</v>
      </c>
      <c r="Y1278">
        <v>68</v>
      </c>
      <c r="Z1278" s="1">
        <v>45596</v>
      </c>
      <c r="AA1278" t="str" cm="1">
        <f t="array" ref="AA1278">_xlfn.IFS(AND(Table2[[#This Row],[Guest_Age]]&gt;=18,Table2[[#This Row],[Guest_Age]]&lt;=25),"Young Adults",AND(Table2[[#This Row],[Guest_Age]]&gt;=26,Table2[[#This Row],[Guest_Age]]&lt;=35),"Adults",AND(Table2[[#This Row],[Guest_Age]]&gt;=36,Table2[[#This Row],[Guest_Age]]&lt;=50),"Middle Aged Adults",Table2[[#This Row],[Guest_Age]]&gt;50,"Senior")</f>
        <v>Senior</v>
      </c>
      <c r="AB12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78" t="str" cm="1">
        <f t="array" ref="AC1278">_xlfn.IFS(Table2[[#This Row],[Satification_points]]&gt;=4.5,"GREAT",AND(Table2[[#This Row],[Satification_points]]&gt;=4,Table2[[#This Row],[Satification_points]]&lt;4.5),"GOOD",AND(Table2[[#This Row],[Satification_points]]&gt;=3,Table2[[#This Row],[Satification_points]]&lt;4),"AVERAGE",Table2[[#This Row],[Satification_points]]&lt;3,"POOR")</f>
        <v>AVERAGE</v>
      </c>
    </row>
    <row r="1279" spans="1:29" x14ac:dyDescent="0.3">
      <c r="A1279">
        <v>1278</v>
      </c>
      <c r="B1279">
        <v>92347</v>
      </c>
      <c r="C1279" t="s">
        <v>1324</v>
      </c>
      <c r="D1279" t="s">
        <v>48</v>
      </c>
      <c r="E1279" t="s">
        <v>57</v>
      </c>
      <c r="F1279" s="1">
        <v>45360</v>
      </c>
      <c r="G1279" s="1">
        <v>45361</v>
      </c>
      <c r="H1279">
        <v>8</v>
      </c>
      <c r="I1279" t="s">
        <v>28</v>
      </c>
      <c r="J1279" t="s">
        <v>36</v>
      </c>
      <c r="K1279">
        <v>1</v>
      </c>
      <c r="L1279">
        <v>5</v>
      </c>
      <c r="M1279">
        <v>4</v>
      </c>
      <c r="N1279">
        <v>2</v>
      </c>
      <c r="O1279">
        <v>3</v>
      </c>
      <c r="P1279">
        <v>4</v>
      </c>
      <c r="Q1279">
        <v>2</v>
      </c>
      <c r="R1279">
        <v>4</v>
      </c>
      <c r="S1279">
        <v>2</v>
      </c>
      <c r="T1279">
        <v>3</v>
      </c>
      <c r="U1279" t="s">
        <v>37</v>
      </c>
      <c r="V1279" t="s">
        <v>31</v>
      </c>
      <c r="W1279" t="s">
        <v>56</v>
      </c>
      <c r="X1279" t="s">
        <v>40</v>
      </c>
      <c r="Y1279">
        <v>61</v>
      </c>
      <c r="Z1279" s="1">
        <v>45616</v>
      </c>
      <c r="AA1279" t="str" cm="1">
        <f t="array" ref="AA1279">_xlfn.IFS(AND(Table2[[#This Row],[Guest_Age]]&gt;=18,Table2[[#This Row],[Guest_Age]]&lt;=25),"Young Adults",AND(Table2[[#This Row],[Guest_Age]]&gt;=26,Table2[[#This Row],[Guest_Age]]&lt;=35),"Adults",AND(Table2[[#This Row],[Guest_Age]]&gt;=36,Table2[[#This Row],[Guest_Age]]&lt;=50),"Middle Aged Adults",Table2[[#This Row],[Guest_Age]]&gt;50,"Senior")</f>
        <v>Senior</v>
      </c>
      <c r="AB12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79" t="str" cm="1">
        <f t="array" ref="AC1279">_xlfn.IFS(Table2[[#This Row],[Satification_points]]&gt;=4.5,"GREAT",AND(Table2[[#This Row],[Satification_points]]&gt;=4,Table2[[#This Row],[Satification_points]]&lt;4.5),"GOOD",AND(Table2[[#This Row],[Satification_points]]&gt;=3,Table2[[#This Row],[Satification_points]]&lt;4),"AVERAGE",Table2[[#This Row],[Satification_points]]&lt;3,"POOR")</f>
        <v>AVERAGE</v>
      </c>
    </row>
    <row r="1280" spans="1:29" x14ac:dyDescent="0.3">
      <c r="A1280">
        <v>1279</v>
      </c>
      <c r="B1280">
        <v>97297</v>
      </c>
      <c r="C1280" t="s">
        <v>1325</v>
      </c>
      <c r="D1280" t="s">
        <v>51</v>
      </c>
      <c r="E1280" t="s">
        <v>35</v>
      </c>
      <c r="F1280" s="1">
        <v>45348</v>
      </c>
      <c r="G1280" s="1">
        <v>45620</v>
      </c>
      <c r="H1280">
        <v>9</v>
      </c>
      <c r="I1280" t="s">
        <v>42</v>
      </c>
      <c r="J1280" t="s">
        <v>53</v>
      </c>
      <c r="K1280">
        <v>1</v>
      </c>
      <c r="L1280">
        <v>3</v>
      </c>
      <c r="M1280">
        <v>2</v>
      </c>
      <c r="N1280">
        <v>2</v>
      </c>
      <c r="O1280">
        <v>1</v>
      </c>
      <c r="P1280">
        <v>3</v>
      </c>
      <c r="Q1280">
        <v>4</v>
      </c>
      <c r="R1280">
        <v>3</v>
      </c>
      <c r="S1280">
        <v>4</v>
      </c>
      <c r="T1280">
        <v>4</v>
      </c>
      <c r="U1280" t="s">
        <v>37</v>
      </c>
      <c r="V1280" t="s">
        <v>46</v>
      </c>
      <c r="W1280" t="s">
        <v>55</v>
      </c>
      <c r="X1280" t="s">
        <v>40</v>
      </c>
      <c r="Y1280">
        <v>18</v>
      </c>
      <c r="Z1280" s="1">
        <v>45620</v>
      </c>
      <c r="AA1280" t="str" cm="1">
        <f t="array" ref="AA1280">_xlfn.IFS(AND(Table2[[#This Row],[Guest_Age]]&gt;=18,Table2[[#This Row],[Guest_Age]]&lt;=25),"Young Adults",AND(Table2[[#This Row],[Guest_Age]]&gt;=26,Table2[[#This Row],[Guest_Age]]&lt;=35),"Adults",AND(Table2[[#This Row],[Guest_Age]]&gt;=36,Table2[[#This Row],[Guest_Age]]&lt;=50),"Middle Aged Adults",Table2[[#This Row],[Guest_Age]]&gt;50,"Senior")</f>
        <v>Young Adults</v>
      </c>
      <c r="AB12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280" t="str" cm="1">
        <f t="array" ref="AC1280">_xlfn.IFS(Table2[[#This Row],[Satification_points]]&gt;=4.5,"GREAT",AND(Table2[[#This Row],[Satification_points]]&gt;=4,Table2[[#This Row],[Satification_points]]&lt;4.5),"GOOD",AND(Table2[[#This Row],[Satification_points]]&gt;=3,Table2[[#This Row],[Satification_points]]&lt;4),"AVERAGE",Table2[[#This Row],[Satification_points]]&lt;3,"POOR")</f>
        <v>POOR</v>
      </c>
    </row>
    <row r="1281" spans="1:29" x14ac:dyDescent="0.3">
      <c r="A1281">
        <v>1280</v>
      </c>
      <c r="B1281">
        <v>64181</v>
      </c>
      <c r="C1281" t="s">
        <v>1326</v>
      </c>
      <c r="D1281" t="s">
        <v>26</v>
      </c>
      <c r="E1281" t="s">
        <v>57</v>
      </c>
      <c r="F1281" s="1">
        <v>44983</v>
      </c>
      <c r="G1281" s="1">
        <v>45039</v>
      </c>
      <c r="H1281">
        <v>5</v>
      </c>
      <c r="I1281" t="s">
        <v>50</v>
      </c>
      <c r="J1281" t="s">
        <v>29</v>
      </c>
      <c r="K1281">
        <v>1</v>
      </c>
      <c r="L1281">
        <v>1</v>
      </c>
      <c r="M1281">
        <v>2</v>
      </c>
      <c r="N1281">
        <v>4</v>
      </c>
      <c r="O1281">
        <v>4</v>
      </c>
      <c r="P1281">
        <v>3</v>
      </c>
      <c r="Q1281">
        <v>3</v>
      </c>
      <c r="R1281">
        <v>2</v>
      </c>
      <c r="S1281">
        <v>5</v>
      </c>
      <c r="T1281">
        <v>5</v>
      </c>
      <c r="U1281" t="s">
        <v>37</v>
      </c>
      <c r="V1281" t="s">
        <v>31</v>
      </c>
      <c r="W1281" t="s">
        <v>55</v>
      </c>
      <c r="X1281" t="s">
        <v>33</v>
      </c>
      <c r="Y1281">
        <v>36</v>
      </c>
      <c r="Z1281" s="1">
        <v>45312</v>
      </c>
      <c r="AA1281" t="str" cm="1">
        <f t="array" ref="AA12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281" t="str" cm="1">
        <f t="array" ref="AC1281">_xlfn.IFS(Table2[[#This Row],[Satification_points]]&gt;=4.5,"GREAT",AND(Table2[[#This Row],[Satification_points]]&gt;=4,Table2[[#This Row],[Satification_points]]&lt;4.5),"GOOD",AND(Table2[[#This Row],[Satification_points]]&gt;=3,Table2[[#This Row],[Satification_points]]&lt;4),"AVERAGE",Table2[[#This Row],[Satification_points]]&lt;3,"POOR")</f>
        <v>AVERAGE</v>
      </c>
    </row>
    <row r="1282" spans="1:29" x14ac:dyDescent="0.3">
      <c r="A1282">
        <v>1281</v>
      </c>
      <c r="B1282">
        <v>63028</v>
      </c>
      <c r="C1282" t="s">
        <v>1327</v>
      </c>
      <c r="D1282" t="s">
        <v>51</v>
      </c>
      <c r="E1282" t="s">
        <v>35</v>
      </c>
      <c r="F1282" s="1">
        <v>45460</v>
      </c>
      <c r="G1282" s="1">
        <v>45461</v>
      </c>
      <c r="H1282">
        <v>12</v>
      </c>
      <c r="I1282" t="s">
        <v>50</v>
      </c>
      <c r="J1282" t="s">
        <v>29</v>
      </c>
      <c r="K1282">
        <v>1</v>
      </c>
      <c r="L1282">
        <v>4</v>
      </c>
      <c r="M1282">
        <v>4</v>
      </c>
      <c r="N1282">
        <v>1</v>
      </c>
      <c r="O1282">
        <v>1</v>
      </c>
      <c r="P1282">
        <v>3</v>
      </c>
      <c r="Q1282">
        <v>2</v>
      </c>
      <c r="R1282">
        <v>2</v>
      </c>
      <c r="S1282">
        <v>1</v>
      </c>
      <c r="T1282">
        <v>4</v>
      </c>
      <c r="U1282" t="s">
        <v>30</v>
      </c>
      <c r="V1282" t="s">
        <v>46</v>
      </c>
      <c r="W1282" t="s">
        <v>39</v>
      </c>
      <c r="X1282" t="s">
        <v>44</v>
      </c>
      <c r="Y1282">
        <v>68</v>
      </c>
      <c r="Z1282" s="1">
        <v>45461</v>
      </c>
      <c r="AA1282" t="str" cm="1">
        <f t="array" ref="AA1282">_xlfn.IFS(AND(Table2[[#This Row],[Guest_Age]]&gt;=18,Table2[[#This Row],[Guest_Age]]&lt;=25),"Young Adults",AND(Table2[[#This Row],[Guest_Age]]&gt;=26,Table2[[#This Row],[Guest_Age]]&lt;=35),"Adults",AND(Table2[[#This Row],[Guest_Age]]&gt;=36,Table2[[#This Row],[Guest_Age]]&lt;=50),"Middle Aged Adults",Table2[[#This Row],[Guest_Age]]&gt;50,"Senior")</f>
        <v>Senior</v>
      </c>
      <c r="AB12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282" t="str" cm="1">
        <f t="array" ref="AC1282">_xlfn.IFS(Table2[[#This Row],[Satification_points]]&gt;=4.5,"GREAT",AND(Table2[[#This Row],[Satification_points]]&gt;=4,Table2[[#This Row],[Satification_points]]&lt;4.5),"GOOD",AND(Table2[[#This Row],[Satification_points]]&gt;=3,Table2[[#This Row],[Satification_points]]&lt;4),"AVERAGE",Table2[[#This Row],[Satification_points]]&lt;3,"POOR")</f>
        <v>POOR</v>
      </c>
    </row>
    <row r="1283" spans="1:29" x14ac:dyDescent="0.3">
      <c r="A1283">
        <v>1282</v>
      </c>
      <c r="B1283">
        <v>37066</v>
      </c>
      <c r="C1283" t="s">
        <v>1328</v>
      </c>
      <c r="D1283" t="s">
        <v>51</v>
      </c>
      <c r="E1283" t="s">
        <v>57</v>
      </c>
      <c r="F1283" s="1">
        <v>45474</v>
      </c>
      <c r="G1283" s="1">
        <v>45475</v>
      </c>
      <c r="H1283">
        <v>5</v>
      </c>
      <c r="I1283" t="s">
        <v>28</v>
      </c>
      <c r="J1283" t="s">
        <v>43</v>
      </c>
      <c r="K1283">
        <v>3</v>
      </c>
      <c r="L1283">
        <v>3</v>
      </c>
      <c r="M1283">
        <v>5</v>
      </c>
      <c r="N1283">
        <v>4</v>
      </c>
      <c r="O1283">
        <v>1</v>
      </c>
      <c r="P1283">
        <v>1</v>
      </c>
      <c r="Q1283">
        <v>3</v>
      </c>
      <c r="R1283">
        <v>4</v>
      </c>
      <c r="S1283">
        <v>2</v>
      </c>
      <c r="T1283">
        <v>2</v>
      </c>
      <c r="U1283" t="s">
        <v>37</v>
      </c>
      <c r="V1283" t="s">
        <v>54</v>
      </c>
      <c r="W1283" t="s">
        <v>55</v>
      </c>
      <c r="X1283" t="s">
        <v>40</v>
      </c>
      <c r="Y1283">
        <v>69</v>
      </c>
      <c r="Z1283" s="1">
        <v>45511</v>
      </c>
      <c r="AA1283" t="str" cm="1">
        <f t="array" ref="AA1283">_xlfn.IFS(AND(Table2[[#This Row],[Guest_Age]]&gt;=18,Table2[[#This Row],[Guest_Age]]&lt;=25),"Young Adults",AND(Table2[[#This Row],[Guest_Age]]&gt;=26,Table2[[#This Row],[Guest_Age]]&lt;=35),"Adults",AND(Table2[[#This Row],[Guest_Age]]&gt;=36,Table2[[#This Row],[Guest_Age]]&lt;=50),"Middle Aged Adults",Table2[[#This Row],[Guest_Age]]&gt;50,"Senior")</f>
        <v>Senior</v>
      </c>
      <c r="AB12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283" t="str" cm="1">
        <f t="array" ref="AC1283">_xlfn.IFS(Table2[[#This Row],[Satification_points]]&gt;=4.5,"GREAT",AND(Table2[[#This Row],[Satification_points]]&gt;=4,Table2[[#This Row],[Satification_points]]&lt;4.5),"GOOD",AND(Table2[[#This Row],[Satification_points]]&gt;=3,Table2[[#This Row],[Satification_points]]&lt;4),"AVERAGE",Table2[[#This Row],[Satification_points]]&lt;3,"POOR")</f>
        <v>POOR</v>
      </c>
    </row>
    <row r="1284" spans="1:29" x14ac:dyDescent="0.3">
      <c r="A1284">
        <v>1283</v>
      </c>
      <c r="B1284">
        <v>74631</v>
      </c>
      <c r="C1284" t="s">
        <v>1329</v>
      </c>
      <c r="D1284" t="s">
        <v>48</v>
      </c>
      <c r="E1284" t="s">
        <v>27</v>
      </c>
      <c r="F1284" s="1">
        <v>45105</v>
      </c>
      <c r="G1284" s="1">
        <v>45218</v>
      </c>
      <c r="H1284">
        <v>2</v>
      </c>
      <c r="I1284" t="s">
        <v>42</v>
      </c>
      <c r="J1284" t="s">
        <v>29</v>
      </c>
      <c r="K1284">
        <v>3</v>
      </c>
      <c r="L1284">
        <v>2</v>
      </c>
      <c r="M1284">
        <v>3</v>
      </c>
      <c r="N1284">
        <v>2</v>
      </c>
      <c r="O1284">
        <v>1</v>
      </c>
      <c r="P1284">
        <v>2</v>
      </c>
      <c r="Q1284">
        <v>3</v>
      </c>
      <c r="R1284">
        <v>2</v>
      </c>
      <c r="S1284">
        <v>4</v>
      </c>
      <c r="T1284">
        <v>2</v>
      </c>
      <c r="U1284" t="s">
        <v>30</v>
      </c>
      <c r="V1284" t="s">
        <v>54</v>
      </c>
      <c r="W1284" t="s">
        <v>32</v>
      </c>
      <c r="X1284" t="s">
        <v>44</v>
      </c>
      <c r="Y1284">
        <v>61</v>
      </c>
      <c r="Z1284" s="1">
        <v>45218</v>
      </c>
      <c r="AA1284" t="str" cm="1">
        <f t="array" ref="AA1284">_xlfn.IFS(AND(Table2[[#This Row],[Guest_Age]]&gt;=18,Table2[[#This Row],[Guest_Age]]&lt;=25),"Young Adults",AND(Table2[[#This Row],[Guest_Age]]&gt;=26,Table2[[#This Row],[Guest_Age]]&lt;=35),"Adults",AND(Table2[[#This Row],[Guest_Age]]&gt;=36,Table2[[#This Row],[Guest_Age]]&lt;=50),"Middle Aged Adults",Table2[[#This Row],[Guest_Age]]&gt;50,"Senior")</f>
        <v>Senior</v>
      </c>
      <c r="AB12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284" t="str" cm="1">
        <f t="array" ref="AC1284">_xlfn.IFS(Table2[[#This Row],[Satification_points]]&gt;=4.5,"GREAT",AND(Table2[[#This Row],[Satification_points]]&gt;=4,Table2[[#This Row],[Satification_points]]&lt;4.5),"GOOD",AND(Table2[[#This Row],[Satification_points]]&gt;=3,Table2[[#This Row],[Satification_points]]&lt;4),"AVERAGE",Table2[[#This Row],[Satification_points]]&lt;3,"POOR")</f>
        <v>POOR</v>
      </c>
    </row>
    <row r="1285" spans="1:29" x14ac:dyDescent="0.3">
      <c r="A1285">
        <v>1284</v>
      </c>
      <c r="B1285">
        <v>53281</v>
      </c>
      <c r="C1285" t="s">
        <v>1330</v>
      </c>
      <c r="D1285" t="s">
        <v>51</v>
      </c>
      <c r="E1285" t="s">
        <v>52</v>
      </c>
      <c r="F1285" s="1">
        <v>44994</v>
      </c>
      <c r="G1285" s="1">
        <v>45306</v>
      </c>
      <c r="H1285">
        <v>9</v>
      </c>
      <c r="I1285" t="s">
        <v>49</v>
      </c>
      <c r="J1285" t="s">
        <v>36</v>
      </c>
      <c r="K1285">
        <v>2</v>
      </c>
      <c r="L1285">
        <v>3</v>
      </c>
      <c r="M1285">
        <v>1</v>
      </c>
      <c r="N1285">
        <v>5</v>
      </c>
      <c r="O1285">
        <v>3</v>
      </c>
      <c r="P1285">
        <v>2</v>
      </c>
      <c r="Q1285">
        <v>4</v>
      </c>
      <c r="R1285">
        <v>3</v>
      </c>
      <c r="S1285">
        <v>3</v>
      </c>
      <c r="T1285">
        <v>3</v>
      </c>
      <c r="U1285" t="s">
        <v>37</v>
      </c>
      <c r="V1285" t="s">
        <v>54</v>
      </c>
      <c r="W1285" t="s">
        <v>55</v>
      </c>
      <c r="X1285" t="s">
        <v>44</v>
      </c>
      <c r="Y1285">
        <v>43</v>
      </c>
      <c r="Z1285" s="1">
        <v>45306</v>
      </c>
      <c r="AA1285" t="str" cm="1">
        <f t="array" ref="AA128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85" t="str" cm="1">
        <f t="array" ref="AC1285">_xlfn.IFS(Table2[[#This Row],[Satification_points]]&gt;=4.5,"GREAT",AND(Table2[[#This Row],[Satification_points]]&gt;=4,Table2[[#This Row],[Satification_points]]&lt;4.5),"GOOD",AND(Table2[[#This Row],[Satification_points]]&gt;=3,Table2[[#This Row],[Satification_points]]&lt;4),"AVERAGE",Table2[[#This Row],[Satification_points]]&lt;3,"POOR")</f>
        <v>POOR</v>
      </c>
    </row>
    <row r="1286" spans="1:29" x14ac:dyDescent="0.3">
      <c r="A1286">
        <v>1285</v>
      </c>
      <c r="B1286">
        <v>59711</v>
      </c>
      <c r="C1286" t="s">
        <v>1331</v>
      </c>
      <c r="D1286" t="s">
        <v>51</v>
      </c>
      <c r="E1286" t="s">
        <v>45</v>
      </c>
      <c r="F1286" s="1">
        <v>45422</v>
      </c>
      <c r="G1286" s="1">
        <v>45423</v>
      </c>
      <c r="H1286">
        <v>13</v>
      </c>
      <c r="I1286" t="s">
        <v>49</v>
      </c>
      <c r="J1286" t="s">
        <v>40</v>
      </c>
      <c r="K1286">
        <v>2</v>
      </c>
      <c r="L1286">
        <v>4</v>
      </c>
      <c r="M1286">
        <v>5</v>
      </c>
      <c r="N1286">
        <v>4</v>
      </c>
      <c r="O1286">
        <v>2</v>
      </c>
      <c r="P1286">
        <v>2</v>
      </c>
      <c r="Q1286">
        <v>2</v>
      </c>
      <c r="R1286">
        <v>4</v>
      </c>
      <c r="S1286">
        <v>5</v>
      </c>
      <c r="T1286">
        <v>3</v>
      </c>
      <c r="U1286" t="s">
        <v>37</v>
      </c>
      <c r="V1286" t="s">
        <v>46</v>
      </c>
      <c r="W1286" t="s">
        <v>56</v>
      </c>
      <c r="X1286" t="s">
        <v>44</v>
      </c>
      <c r="Y1286">
        <v>29</v>
      </c>
      <c r="Z1286" s="1">
        <v>45633</v>
      </c>
      <c r="AA1286" t="str" cm="1">
        <f t="array" ref="AA1286">_xlfn.IFS(AND(Table2[[#This Row],[Guest_Age]]&gt;=18,Table2[[#This Row],[Guest_Age]]&lt;=25),"Young Adults",AND(Table2[[#This Row],[Guest_Age]]&gt;=26,Table2[[#This Row],[Guest_Age]]&lt;=35),"Adults",AND(Table2[[#This Row],[Guest_Age]]&gt;=36,Table2[[#This Row],[Guest_Age]]&lt;=50),"Middle Aged Adults",Table2[[#This Row],[Guest_Age]]&gt;50,"Senior")</f>
        <v>Adults</v>
      </c>
      <c r="AB12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86" t="str" cm="1">
        <f t="array" ref="AC1286">_xlfn.IFS(Table2[[#This Row],[Satification_points]]&gt;=4.5,"GREAT",AND(Table2[[#This Row],[Satification_points]]&gt;=4,Table2[[#This Row],[Satification_points]]&lt;4.5),"GOOD",AND(Table2[[#This Row],[Satification_points]]&gt;=3,Table2[[#This Row],[Satification_points]]&lt;4),"AVERAGE",Table2[[#This Row],[Satification_points]]&lt;3,"POOR")</f>
        <v>AVERAGE</v>
      </c>
    </row>
    <row r="1287" spans="1:29" x14ac:dyDescent="0.3">
      <c r="A1287">
        <v>1286</v>
      </c>
      <c r="B1287">
        <v>80977</v>
      </c>
      <c r="C1287" t="s">
        <v>1332</v>
      </c>
      <c r="D1287" t="s">
        <v>34</v>
      </c>
      <c r="E1287" t="s">
        <v>57</v>
      </c>
      <c r="F1287" s="1">
        <v>44927</v>
      </c>
      <c r="G1287" s="1">
        <v>45571</v>
      </c>
      <c r="H1287">
        <v>6</v>
      </c>
      <c r="I1287" t="s">
        <v>49</v>
      </c>
      <c r="J1287" t="s">
        <v>43</v>
      </c>
      <c r="K1287">
        <v>3</v>
      </c>
      <c r="L1287">
        <v>1</v>
      </c>
      <c r="M1287">
        <v>2</v>
      </c>
      <c r="N1287">
        <v>4</v>
      </c>
      <c r="O1287">
        <v>3</v>
      </c>
      <c r="P1287">
        <v>3</v>
      </c>
      <c r="Q1287">
        <v>1</v>
      </c>
      <c r="R1287">
        <v>1</v>
      </c>
      <c r="S1287">
        <v>1</v>
      </c>
      <c r="T1287">
        <v>5</v>
      </c>
      <c r="U1287" t="s">
        <v>30</v>
      </c>
      <c r="V1287" t="s">
        <v>38</v>
      </c>
      <c r="W1287" t="s">
        <v>39</v>
      </c>
      <c r="X1287" t="s">
        <v>40</v>
      </c>
      <c r="Y1287">
        <v>34</v>
      </c>
      <c r="Z1287" s="1">
        <v>45636</v>
      </c>
      <c r="AA1287" t="str" cm="1">
        <f t="array" ref="AA1287">_xlfn.IFS(AND(Table2[[#This Row],[Guest_Age]]&gt;=18,Table2[[#This Row],[Guest_Age]]&lt;=25),"Young Adults",AND(Table2[[#This Row],[Guest_Age]]&gt;=26,Table2[[#This Row],[Guest_Age]]&lt;=35),"Adults",AND(Table2[[#This Row],[Guest_Age]]&gt;=36,Table2[[#This Row],[Guest_Age]]&lt;=50),"Middle Aged Adults",Table2[[#This Row],[Guest_Age]]&gt;50,"Senior")</f>
        <v>Adults</v>
      </c>
      <c r="AB12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287" t="str" cm="1">
        <f t="array" ref="AC1287">_xlfn.IFS(Table2[[#This Row],[Satification_points]]&gt;=4.5,"GREAT",AND(Table2[[#This Row],[Satification_points]]&gt;=4,Table2[[#This Row],[Satification_points]]&lt;4.5),"GOOD",AND(Table2[[#This Row],[Satification_points]]&gt;=3,Table2[[#This Row],[Satification_points]]&lt;4),"AVERAGE",Table2[[#This Row],[Satification_points]]&lt;3,"POOR")</f>
        <v>POOR</v>
      </c>
    </row>
    <row r="1288" spans="1:29" x14ac:dyDescent="0.3">
      <c r="A1288">
        <v>1287</v>
      </c>
      <c r="B1288">
        <v>57024</v>
      </c>
      <c r="C1288" t="s">
        <v>1333</v>
      </c>
      <c r="D1288" t="s">
        <v>51</v>
      </c>
      <c r="E1288" t="s">
        <v>52</v>
      </c>
      <c r="F1288" s="1">
        <v>44974</v>
      </c>
      <c r="G1288" s="1">
        <v>45257</v>
      </c>
      <c r="H1288">
        <v>5</v>
      </c>
      <c r="I1288" t="s">
        <v>42</v>
      </c>
      <c r="J1288" t="s">
        <v>53</v>
      </c>
      <c r="K1288">
        <v>1</v>
      </c>
      <c r="L1288">
        <v>1</v>
      </c>
      <c r="M1288">
        <v>3</v>
      </c>
      <c r="N1288">
        <v>4</v>
      </c>
      <c r="O1288">
        <v>4</v>
      </c>
      <c r="P1288">
        <v>4</v>
      </c>
      <c r="Q1288">
        <v>2</v>
      </c>
      <c r="R1288">
        <v>3</v>
      </c>
      <c r="S1288">
        <v>5</v>
      </c>
      <c r="T1288">
        <v>2</v>
      </c>
      <c r="U1288" t="s">
        <v>30</v>
      </c>
      <c r="V1288" t="s">
        <v>38</v>
      </c>
      <c r="W1288" t="s">
        <v>32</v>
      </c>
      <c r="X1288" t="s">
        <v>40</v>
      </c>
      <c r="Y1288">
        <v>54</v>
      </c>
      <c r="Z1288" s="1">
        <v>45389</v>
      </c>
      <c r="AA1288" t="str" cm="1">
        <f t="array" ref="AA1288">_xlfn.IFS(AND(Table2[[#This Row],[Guest_Age]]&gt;=18,Table2[[#This Row],[Guest_Age]]&lt;=25),"Young Adults",AND(Table2[[#This Row],[Guest_Age]]&gt;=26,Table2[[#This Row],[Guest_Age]]&lt;=35),"Adults",AND(Table2[[#This Row],[Guest_Age]]&gt;=36,Table2[[#This Row],[Guest_Age]]&lt;=50),"Middle Aged Adults",Table2[[#This Row],[Guest_Age]]&gt;50,"Senior")</f>
        <v>Senior</v>
      </c>
      <c r="AB12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288" t="str" cm="1">
        <f t="array" ref="AC1288">_xlfn.IFS(Table2[[#This Row],[Satification_points]]&gt;=4.5,"GREAT",AND(Table2[[#This Row],[Satification_points]]&gt;=4,Table2[[#This Row],[Satification_points]]&lt;4.5),"GOOD",AND(Table2[[#This Row],[Satification_points]]&gt;=3,Table2[[#This Row],[Satification_points]]&lt;4),"AVERAGE",Table2[[#This Row],[Satification_points]]&lt;3,"POOR")</f>
        <v>POOR</v>
      </c>
    </row>
    <row r="1289" spans="1:29" x14ac:dyDescent="0.3">
      <c r="A1289">
        <v>1288</v>
      </c>
      <c r="B1289">
        <v>61769</v>
      </c>
      <c r="C1289" t="s">
        <v>1334</v>
      </c>
      <c r="D1289" t="s">
        <v>34</v>
      </c>
      <c r="E1289" t="s">
        <v>52</v>
      </c>
      <c r="F1289" s="1">
        <v>45343</v>
      </c>
      <c r="G1289" s="1">
        <v>45344</v>
      </c>
      <c r="H1289">
        <v>5</v>
      </c>
      <c r="I1289" t="s">
        <v>50</v>
      </c>
      <c r="J1289" t="s">
        <v>29</v>
      </c>
      <c r="K1289">
        <v>2</v>
      </c>
      <c r="L1289">
        <v>2</v>
      </c>
      <c r="M1289">
        <v>4</v>
      </c>
      <c r="N1289">
        <v>1</v>
      </c>
      <c r="O1289">
        <v>2</v>
      </c>
      <c r="P1289">
        <v>3</v>
      </c>
      <c r="Q1289">
        <v>2</v>
      </c>
      <c r="R1289">
        <v>5</v>
      </c>
      <c r="S1289">
        <v>1</v>
      </c>
      <c r="T1289">
        <v>1</v>
      </c>
      <c r="U1289" t="s">
        <v>30</v>
      </c>
      <c r="V1289" t="s">
        <v>38</v>
      </c>
      <c r="W1289" t="s">
        <v>55</v>
      </c>
      <c r="X1289" t="s">
        <v>33</v>
      </c>
      <c r="Y1289">
        <v>45</v>
      </c>
      <c r="Z1289" s="1">
        <v>45344</v>
      </c>
      <c r="AA1289" t="str" cm="1">
        <f t="array" ref="AA12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289" t="str" cm="1">
        <f t="array" ref="AC1289">_xlfn.IFS(Table2[[#This Row],[Satification_points]]&gt;=4.5,"GREAT",AND(Table2[[#This Row],[Satification_points]]&gt;=4,Table2[[#This Row],[Satification_points]]&lt;4.5),"GOOD",AND(Table2[[#This Row],[Satification_points]]&gt;=3,Table2[[#This Row],[Satification_points]]&lt;4),"AVERAGE",Table2[[#This Row],[Satification_points]]&lt;3,"POOR")</f>
        <v>POOR</v>
      </c>
    </row>
    <row r="1290" spans="1:29" x14ac:dyDescent="0.3">
      <c r="A1290">
        <v>1289</v>
      </c>
      <c r="B1290">
        <v>20146</v>
      </c>
      <c r="C1290" t="s">
        <v>1335</v>
      </c>
      <c r="D1290" t="s">
        <v>48</v>
      </c>
      <c r="E1290" t="s">
        <v>52</v>
      </c>
      <c r="F1290" s="1">
        <v>45590</v>
      </c>
      <c r="G1290" s="1">
        <v>45647</v>
      </c>
      <c r="H1290">
        <v>4</v>
      </c>
      <c r="I1290" t="s">
        <v>50</v>
      </c>
      <c r="J1290" t="s">
        <v>40</v>
      </c>
      <c r="K1290">
        <v>4</v>
      </c>
      <c r="L1290">
        <v>5</v>
      </c>
      <c r="M1290">
        <v>5</v>
      </c>
      <c r="N1290">
        <v>5</v>
      </c>
      <c r="O1290">
        <v>4</v>
      </c>
      <c r="P1290">
        <v>3</v>
      </c>
      <c r="Q1290">
        <v>2</v>
      </c>
      <c r="R1290">
        <v>5</v>
      </c>
      <c r="S1290">
        <v>1</v>
      </c>
      <c r="T1290">
        <v>3</v>
      </c>
      <c r="U1290" t="s">
        <v>37</v>
      </c>
      <c r="V1290" t="s">
        <v>38</v>
      </c>
      <c r="W1290" t="s">
        <v>32</v>
      </c>
      <c r="X1290" t="s">
        <v>33</v>
      </c>
      <c r="Y1290">
        <v>53</v>
      </c>
      <c r="Z1290" s="1">
        <v>45647</v>
      </c>
      <c r="AA1290" t="str" cm="1">
        <f t="array" ref="AA1290">_xlfn.IFS(AND(Table2[[#This Row],[Guest_Age]]&gt;=18,Table2[[#This Row],[Guest_Age]]&lt;=25),"Young Adults",AND(Table2[[#This Row],[Guest_Age]]&gt;=26,Table2[[#This Row],[Guest_Age]]&lt;=35),"Adults",AND(Table2[[#This Row],[Guest_Age]]&gt;=36,Table2[[#This Row],[Guest_Age]]&lt;=50),"Middle Aged Adults",Table2[[#This Row],[Guest_Age]]&gt;50,"Senior")</f>
        <v>Senior</v>
      </c>
      <c r="AB12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290" t="str" cm="1">
        <f t="array" ref="AC1290">_xlfn.IFS(Table2[[#This Row],[Satification_points]]&gt;=4.5,"GREAT",AND(Table2[[#This Row],[Satification_points]]&gt;=4,Table2[[#This Row],[Satification_points]]&lt;4.5),"GOOD",AND(Table2[[#This Row],[Satification_points]]&gt;=3,Table2[[#This Row],[Satification_points]]&lt;4),"AVERAGE",Table2[[#This Row],[Satification_points]]&lt;3,"POOR")</f>
        <v>AVERAGE</v>
      </c>
    </row>
    <row r="1291" spans="1:29" x14ac:dyDescent="0.3">
      <c r="A1291">
        <v>1290</v>
      </c>
      <c r="B1291">
        <v>43357</v>
      </c>
      <c r="C1291" t="s">
        <v>1336</v>
      </c>
      <c r="D1291" t="s">
        <v>51</v>
      </c>
      <c r="E1291" t="s">
        <v>52</v>
      </c>
      <c r="F1291" s="1">
        <v>45123</v>
      </c>
      <c r="G1291" s="1">
        <v>45352</v>
      </c>
      <c r="H1291">
        <v>1</v>
      </c>
      <c r="I1291" t="s">
        <v>28</v>
      </c>
      <c r="J1291" t="s">
        <v>36</v>
      </c>
      <c r="K1291">
        <v>3</v>
      </c>
      <c r="L1291">
        <v>1</v>
      </c>
      <c r="M1291">
        <v>1</v>
      </c>
      <c r="N1291">
        <v>5</v>
      </c>
      <c r="O1291">
        <v>2</v>
      </c>
      <c r="P1291">
        <v>4</v>
      </c>
      <c r="Q1291">
        <v>4</v>
      </c>
      <c r="R1291">
        <v>4</v>
      </c>
      <c r="S1291">
        <v>3</v>
      </c>
      <c r="T1291">
        <v>5</v>
      </c>
      <c r="U1291" t="s">
        <v>37</v>
      </c>
      <c r="V1291" t="s">
        <v>54</v>
      </c>
      <c r="W1291" t="s">
        <v>47</v>
      </c>
      <c r="X1291" t="s">
        <v>44</v>
      </c>
      <c r="Y1291">
        <v>46</v>
      </c>
      <c r="Z1291" s="1">
        <v>45352</v>
      </c>
      <c r="AA1291" t="str" cm="1">
        <f t="array" ref="AA12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91" t="str" cm="1">
        <f t="array" ref="AC1291">_xlfn.IFS(Table2[[#This Row],[Satification_points]]&gt;=4.5,"GREAT",AND(Table2[[#This Row],[Satification_points]]&gt;=4,Table2[[#This Row],[Satification_points]]&lt;4.5),"GOOD",AND(Table2[[#This Row],[Satification_points]]&gt;=3,Table2[[#This Row],[Satification_points]]&lt;4),"AVERAGE",Table2[[#This Row],[Satification_points]]&lt;3,"POOR")</f>
        <v>AVERAGE</v>
      </c>
    </row>
    <row r="1292" spans="1:29" x14ac:dyDescent="0.3">
      <c r="A1292">
        <v>1291</v>
      </c>
      <c r="B1292">
        <v>65499</v>
      </c>
      <c r="C1292" t="s">
        <v>348</v>
      </c>
      <c r="D1292" t="s">
        <v>26</v>
      </c>
      <c r="E1292" t="s">
        <v>52</v>
      </c>
      <c r="F1292" s="1">
        <v>45496</v>
      </c>
      <c r="G1292" s="1">
        <v>45497</v>
      </c>
      <c r="H1292">
        <v>6</v>
      </c>
      <c r="I1292" t="s">
        <v>50</v>
      </c>
      <c r="J1292" t="s">
        <v>53</v>
      </c>
      <c r="K1292">
        <v>4</v>
      </c>
      <c r="L1292">
        <v>5</v>
      </c>
      <c r="M1292">
        <v>5</v>
      </c>
      <c r="N1292">
        <v>5</v>
      </c>
      <c r="O1292">
        <v>2</v>
      </c>
      <c r="P1292">
        <v>5</v>
      </c>
      <c r="Q1292">
        <v>4</v>
      </c>
      <c r="R1292">
        <v>3</v>
      </c>
      <c r="S1292">
        <v>1</v>
      </c>
      <c r="T1292">
        <v>3</v>
      </c>
      <c r="U1292" t="s">
        <v>30</v>
      </c>
      <c r="V1292" t="s">
        <v>38</v>
      </c>
      <c r="W1292" t="s">
        <v>47</v>
      </c>
      <c r="X1292" t="s">
        <v>40</v>
      </c>
      <c r="Y1292">
        <v>22</v>
      </c>
      <c r="Z1292" s="1">
        <v>45497</v>
      </c>
      <c r="AA1292" t="str" cm="1">
        <f t="array" ref="AA1292">_xlfn.IFS(AND(Table2[[#This Row],[Guest_Age]]&gt;=18,Table2[[#This Row],[Guest_Age]]&lt;=25),"Young Adults",AND(Table2[[#This Row],[Guest_Age]]&gt;=26,Table2[[#This Row],[Guest_Age]]&lt;=35),"Adults",AND(Table2[[#This Row],[Guest_Age]]&gt;=36,Table2[[#This Row],[Guest_Age]]&lt;=50),"Middle Aged Adults",Table2[[#This Row],[Guest_Age]]&gt;50,"Senior")</f>
        <v>Young Adults</v>
      </c>
      <c r="AB12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292" t="str" cm="1">
        <f t="array" ref="AC1292">_xlfn.IFS(Table2[[#This Row],[Satification_points]]&gt;=4.5,"GREAT",AND(Table2[[#This Row],[Satification_points]]&gt;=4,Table2[[#This Row],[Satification_points]]&lt;4.5),"GOOD",AND(Table2[[#This Row],[Satification_points]]&gt;=3,Table2[[#This Row],[Satification_points]]&lt;4),"AVERAGE",Table2[[#This Row],[Satification_points]]&lt;3,"POOR")</f>
        <v>AVERAGE</v>
      </c>
    </row>
    <row r="1293" spans="1:29" x14ac:dyDescent="0.3">
      <c r="A1293">
        <v>1292</v>
      </c>
      <c r="B1293">
        <v>26313</v>
      </c>
      <c r="C1293" t="s">
        <v>1337</v>
      </c>
      <c r="D1293" t="s">
        <v>51</v>
      </c>
      <c r="E1293" t="s">
        <v>45</v>
      </c>
      <c r="F1293" s="1">
        <v>44974</v>
      </c>
      <c r="G1293" s="1">
        <v>45409</v>
      </c>
      <c r="H1293">
        <v>1</v>
      </c>
      <c r="I1293" t="s">
        <v>50</v>
      </c>
      <c r="J1293" t="s">
        <v>53</v>
      </c>
      <c r="K1293">
        <v>1</v>
      </c>
      <c r="L1293">
        <v>4</v>
      </c>
      <c r="M1293">
        <v>4</v>
      </c>
      <c r="N1293">
        <v>5</v>
      </c>
      <c r="O1293">
        <v>1</v>
      </c>
      <c r="P1293">
        <v>1</v>
      </c>
      <c r="Q1293">
        <v>5</v>
      </c>
      <c r="R1293">
        <v>3</v>
      </c>
      <c r="S1293">
        <v>3</v>
      </c>
      <c r="T1293">
        <v>5</v>
      </c>
      <c r="U1293" t="s">
        <v>30</v>
      </c>
      <c r="V1293" t="s">
        <v>31</v>
      </c>
      <c r="W1293" t="s">
        <v>32</v>
      </c>
      <c r="X1293" t="s">
        <v>44</v>
      </c>
      <c r="Y1293">
        <v>55</v>
      </c>
      <c r="Z1293" s="1">
        <v>45409</v>
      </c>
      <c r="AA1293" t="str" cm="1">
        <f t="array" ref="AA1293">_xlfn.IFS(AND(Table2[[#This Row],[Guest_Age]]&gt;=18,Table2[[#This Row],[Guest_Age]]&lt;=25),"Young Adults",AND(Table2[[#This Row],[Guest_Age]]&gt;=26,Table2[[#This Row],[Guest_Age]]&lt;=35),"Adults",AND(Table2[[#This Row],[Guest_Age]]&gt;=36,Table2[[#This Row],[Guest_Age]]&lt;=50),"Middle Aged Adults",Table2[[#This Row],[Guest_Age]]&gt;50,"Senior")</f>
        <v>Senior</v>
      </c>
      <c r="AB12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293" t="str" cm="1">
        <f t="array" ref="AC1293">_xlfn.IFS(Table2[[#This Row],[Satification_points]]&gt;=4.5,"GREAT",AND(Table2[[#This Row],[Satification_points]]&gt;=4,Table2[[#This Row],[Satification_points]]&lt;4.5),"GOOD",AND(Table2[[#This Row],[Satification_points]]&gt;=3,Table2[[#This Row],[Satification_points]]&lt;4),"AVERAGE",Table2[[#This Row],[Satification_points]]&lt;3,"POOR")</f>
        <v>AVERAGE</v>
      </c>
    </row>
    <row r="1294" spans="1:29" x14ac:dyDescent="0.3">
      <c r="A1294">
        <v>1293</v>
      </c>
      <c r="B1294">
        <v>37398</v>
      </c>
      <c r="C1294" t="s">
        <v>1338</v>
      </c>
      <c r="D1294" t="s">
        <v>34</v>
      </c>
      <c r="E1294" t="s">
        <v>45</v>
      </c>
      <c r="F1294" s="1">
        <v>45281</v>
      </c>
      <c r="G1294" s="1">
        <v>45528</v>
      </c>
      <c r="H1294">
        <v>10</v>
      </c>
      <c r="I1294" t="s">
        <v>49</v>
      </c>
      <c r="J1294" t="s">
        <v>29</v>
      </c>
      <c r="K1294">
        <v>3</v>
      </c>
      <c r="L1294">
        <v>3</v>
      </c>
      <c r="M1294">
        <v>1</v>
      </c>
      <c r="N1294">
        <v>2</v>
      </c>
      <c r="O1294">
        <v>1</v>
      </c>
      <c r="P1294">
        <v>5</v>
      </c>
      <c r="Q1294">
        <v>1</v>
      </c>
      <c r="R1294">
        <v>3</v>
      </c>
      <c r="S1294">
        <v>2</v>
      </c>
      <c r="T1294">
        <v>2</v>
      </c>
      <c r="U1294" t="s">
        <v>37</v>
      </c>
      <c r="V1294" t="s">
        <v>46</v>
      </c>
      <c r="W1294" t="s">
        <v>47</v>
      </c>
      <c r="X1294" t="s">
        <v>40</v>
      </c>
      <c r="Y1294">
        <v>20</v>
      </c>
      <c r="Z1294" s="1">
        <v>45528</v>
      </c>
      <c r="AA1294" t="str" cm="1">
        <f t="array" ref="AA1294">_xlfn.IFS(AND(Table2[[#This Row],[Guest_Age]]&gt;=18,Table2[[#This Row],[Guest_Age]]&lt;=25),"Young Adults",AND(Table2[[#This Row],[Guest_Age]]&gt;=26,Table2[[#This Row],[Guest_Age]]&lt;=35),"Adults",AND(Table2[[#This Row],[Guest_Age]]&gt;=36,Table2[[#This Row],[Guest_Age]]&lt;=50),"Middle Aged Adults",Table2[[#This Row],[Guest_Age]]&gt;50,"Senior")</f>
        <v>Young Adults</v>
      </c>
      <c r="AB12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294" t="str" cm="1">
        <f t="array" ref="AC1294">_xlfn.IFS(Table2[[#This Row],[Satification_points]]&gt;=4.5,"GREAT",AND(Table2[[#This Row],[Satification_points]]&gt;=4,Table2[[#This Row],[Satification_points]]&lt;4.5),"GOOD",AND(Table2[[#This Row],[Satification_points]]&gt;=3,Table2[[#This Row],[Satification_points]]&lt;4),"AVERAGE",Table2[[#This Row],[Satification_points]]&lt;3,"POOR")</f>
        <v>POOR</v>
      </c>
    </row>
    <row r="1295" spans="1:29" x14ac:dyDescent="0.3">
      <c r="A1295">
        <v>1294</v>
      </c>
      <c r="B1295">
        <v>19324</v>
      </c>
      <c r="C1295" t="s">
        <v>1339</v>
      </c>
      <c r="D1295" t="s">
        <v>26</v>
      </c>
      <c r="E1295" t="s">
        <v>57</v>
      </c>
      <c r="F1295" s="1">
        <v>45160</v>
      </c>
      <c r="G1295" s="1">
        <v>45285</v>
      </c>
      <c r="H1295">
        <v>2</v>
      </c>
      <c r="I1295" t="s">
        <v>49</v>
      </c>
      <c r="J1295" t="s">
        <v>40</v>
      </c>
      <c r="K1295">
        <v>2</v>
      </c>
      <c r="L1295">
        <v>5</v>
      </c>
      <c r="M1295">
        <v>5</v>
      </c>
      <c r="N1295">
        <v>4</v>
      </c>
      <c r="O1295">
        <v>3</v>
      </c>
      <c r="P1295">
        <v>3</v>
      </c>
      <c r="Q1295">
        <v>4</v>
      </c>
      <c r="R1295">
        <v>5</v>
      </c>
      <c r="S1295">
        <v>5</v>
      </c>
      <c r="T1295">
        <v>3</v>
      </c>
      <c r="U1295" t="s">
        <v>37</v>
      </c>
      <c r="V1295" t="s">
        <v>38</v>
      </c>
      <c r="W1295" t="s">
        <v>47</v>
      </c>
      <c r="X1295" t="s">
        <v>40</v>
      </c>
      <c r="Y1295">
        <v>32</v>
      </c>
      <c r="Z1295" s="1">
        <v>45401</v>
      </c>
      <c r="AA1295" t="str" cm="1">
        <f t="array" ref="AA1295">_xlfn.IFS(AND(Table2[[#This Row],[Guest_Age]]&gt;=18,Table2[[#This Row],[Guest_Age]]&lt;=25),"Young Adults",AND(Table2[[#This Row],[Guest_Age]]&gt;=26,Table2[[#This Row],[Guest_Age]]&lt;=35),"Adults",AND(Table2[[#This Row],[Guest_Age]]&gt;=36,Table2[[#This Row],[Guest_Age]]&lt;=50),"Middle Aged Adults",Table2[[#This Row],[Guest_Age]]&gt;50,"Senior")</f>
        <v>Adults</v>
      </c>
      <c r="AB12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295" t="str" cm="1">
        <f t="array" ref="AC1295">_xlfn.IFS(Table2[[#This Row],[Satification_points]]&gt;=4.5,"GREAT",AND(Table2[[#This Row],[Satification_points]]&gt;=4,Table2[[#This Row],[Satification_points]]&lt;4.5),"GOOD",AND(Table2[[#This Row],[Satification_points]]&gt;=3,Table2[[#This Row],[Satification_points]]&lt;4),"AVERAGE",Table2[[#This Row],[Satification_points]]&lt;3,"POOR")</f>
        <v>AVERAGE</v>
      </c>
    </row>
    <row r="1296" spans="1:29" x14ac:dyDescent="0.3">
      <c r="A1296">
        <v>1295</v>
      </c>
      <c r="B1296">
        <v>17432</v>
      </c>
      <c r="C1296" t="s">
        <v>1340</v>
      </c>
      <c r="D1296" t="s">
        <v>48</v>
      </c>
      <c r="E1296" t="s">
        <v>35</v>
      </c>
      <c r="F1296" s="1">
        <v>45363</v>
      </c>
      <c r="G1296" s="1">
        <v>45364</v>
      </c>
      <c r="H1296">
        <v>7</v>
      </c>
      <c r="I1296" t="s">
        <v>49</v>
      </c>
      <c r="J1296" t="s">
        <v>36</v>
      </c>
      <c r="K1296">
        <v>2</v>
      </c>
      <c r="L1296">
        <v>4</v>
      </c>
      <c r="M1296">
        <v>4</v>
      </c>
      <c r="N1296">
        <v>5</v>
      </c>
      <c r="O1296">
        <v>2</v>
      </c>
      <c r="P1296">
        <v>2</v>
      </c>
      <c r="Q1296">
        <v>4</v>
      </c>
      <c r="R1296">
        <v>4</v>
      </c>
      <c r="S1296">
        <v>1</v>
      </c>
      <c r="T1296">
        <v>3</v>
      </c>
      <c r="U1296" t="s">
        <v>37</v>
      </c>
      <c r="V1296" t="s">
        <v>54</v>
      </c>
      <c r="W1296" t="s">
        <v>47</v>
      </c>
      <c r="X1296" t="s">
        <v>44</v>
      </c>
      <c r="Y1296">
        <v>20</v>
      </c>
      <c r="Z1296" s="1">
        <v>45364</v>
      </c>
      <c r="AA1296" t="str" cm="1">
        <f t="array" ref="AA1296">_xlfn.IFS(AND(Table2[[#This Row],[Guest_Age]]&gt;=18,Table2[[#This Row],[Guest_Age]]&lt;=25),"Young Adults",AND(Table2[[#This Row],[Guest_Age]]&gt;=26,Table2[[#This Row],[Guest_Age]]&lt;=35),"Adults",AND(Table2[[#This Row],[Guest_Age]]&gt;=36,Table2[[#This Row],[Guest_Age]]&lt;=50),"Middle Aged Adults",Table2[[#This Row],[Guest_Age]]&gt;50,"Senior")</f>
        <v>Young Adults</v>
      </c>
      <c r="AB12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96" t="str" cm="1">
        <f t="array" ref="AC1296">_xlfn.IFS(Table2[[#This Row],[Satification_points]]&gt;=4.5,"GREAT",AND(Table2[[#This Row],[Satification_points]]&gt;=4,Table2[[#This Row],[Satification_points]]&lt;4.5),"GOOD",AND(Table2[[#This Row],[Satification_points]]&gt;=3,Table2[[#This Row],[Satification_points]]&lt;4),"AVERAGE",Table2[[#This Row],[Satification_points]]&lt;3,"POOR")</f>
        <v>AVERAGE</v>
      </c>
    </row>
    <row r="1297" spans="1:29" x14ac:dyDescent="0.3">
      <c r="A1297">
        <v>1296</v>
      </c>
      <c r="B1297">
        <v>30867</v>
      </c>
      <c r="C1297" t="s">
        <v>1341</v>
      </c>
      <c r="D1297" t="s">
        <v>41</v>
      </c>
      <c r="E1297" t="s">
        <v>57</v>
      </c>
      <c r="F1297" s="1">
        <v>45626</v>
      </c>
      <c r="G1297" s="1">
        <v>45627</v>
      </c>
      <c r="H1297">
        <v>13</v>
      </c>
      <c r="I1297" t="s">
        <v>50</v>
      </c>
      <c r="J1297" t="s">
        <v>36</v>
      </c>
      <c r="K1297">
        <v>4</v>
      </c>
      <c r="L1297">
        <v>4</v>
      </c>
      <c r="M1297">
        <v>5</v>
      </c>
      <c r="N1297">
        <v>3</v>
      </c>
      <c r="O1297">
        <v>4</v>
      </c>
      <c r="P1297">
        <v>2</v>
      </c>
      <c r="Q1297">
        <v>2</v>
      </c>
      <c r="R1297">
        <v>5</v>
      </c>
      <c r="S1297">
        <v>3</v>
      </c>
      <c r="T1297">
        <v>1</v>
      </c>
      <c r="U1297" t="s">
        <v>30</v>
      </c>
      <c r="V1297" t="s">
        <v>38</v>
      </c>
      <c r="W1297" t="s">
        <v>39</v>
      </c>
      <c r="X1297" t="s">
        <v>33</v>
      </c>
      <c r="Y1297">
        <v>30</v>
      </c>
      <c r="Z1297" s="1">
        <v>45627</v>
      </c>
      <c r="AA1297" t="str" cm="1">
        <f t="array" ref="AA1297">_xlfn.IFS(AND(Table2[[#This Row],[Guest_Age]]&gt;=18,Table2[[#This Row],[Guest_Age]]&lt;=25),"Young Adults",AND(Table2[[#This Row],[Guest_Age]]&gt;=26,Table2[[#This Row],[Guest_Age]]&lt;=35),"Adults",AND(Table2[[#This Row],[Guest_Age]]&gt;=36,Table2[[#This Row],[Guest_Age]]&lt;=50),"Middle Aged Adults",Table2[[#This Row],[Guest_Age]]&gt;50,"Senior")</f>
        <v>Adults</v>
      </c>
      <c r="AB12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297" t="str" cm="1">
        <f t="array" ref="AC1297">_xlfn.IFS(Table2[[#This Row],[Satification_points]]&gt;=4.5,"GREAT",AND(Table2[[#This Row],[Satification_points]]&gt;=4,Table2[[#This Row],[Satification_points]]&lt;4.5),"GOOD",AND(Table2[[#This Row],[Satification_points]]&gt;=3,Table2[[#This Row],[Satification_points]]&lt;4),"AVERAGE",Table2[[#This Row],[Satification_points]]&lt;3,"POOR")</f>
        <v>AVERAGE</v>
      </c>
    </row>
    <row r="1298" spans="1:29" x14ac:dyDescent="0.3">
      <c r="A1298">
        <v>1297</v>
      </c>
      <c r="B1298">
        <v>44359</v>
      </c>
      <c r="C1298" t="s">
        <v>1342</v>
      </c>
      <c r="D1298" t="s">
        <v>41</v>
      </c>
      <c r="E1298" t="s">
        <v>52</v>
      </c>
      <c r="F1298" s="1">
        <v>45552</v>
      </c>
      <c r="G1298" s="1">
        <v>45553</v>
      </c>
      <c r="H1298">
        <v>1</v>
      </c>
      <c r="I1298" t="s">
        <v>28</v>
      </c>
      <c r="J1298" t="s">
        <v>36</v>
      </c>
      <c r="K1298">
        <v>3</v>
      </c>
      <c r="L1298">
        <v>4</v>
      </c>
      <c r="M1298">
        <v>3</v>
      </c>
      <c r="N1298">
        <v>3</v>
      </c>
      <c r="O1298">
        <v>1</v>
      </c>
      <c r="P1298">
        <v>4</v>
      </c>
      <c r="Q1298">
        <v>2</v>
      </c>
      <c r="R1298">
        <v>2</v>
      </c>
      <c r="S1298">
        <v>2</v>
      </c>
      <c r="T1298">
        <v>2</v>
      </c>
      <c r="U1298" t="s">
        <v>37</v>
      </c>
      <c r="V1298" t="s">
        <v>46</v>
      </c>
      <c r="W1298" t="s">
        <v>39</v>
      </c>
      <c r="X1298" t="s">
        <v>40</v>
      </c>
      <c r="Y1298">
        <v>22</v>
      </c>
      <c r="Z1298" s="1">
        <v>45553</v>
      </c>
      <c r="AA1298" t="str" cm="1">
        <f t="array" ref="AA1298">_xlfn.IFS(AND(Table2[[#This Row],[Guest_Age]]&gt;=18,Table2[[#This Row],[Guest_Age]]&lt;=25),"Young Adults",AND(Table2[[#This Row],[Guest_Age]]&gt;=26,Table2[[#This Row],[Guest_Age]]&lt;=35),"Adults",AND(Table2[[#This Row],[Guest_Age]]&gt;=36,Table2[[#This Row],[Guest_Age]]&lt;=50),"Middle Aged Adults",Table2[[#This Row],[Guest_Age]]&gt;50,"Senior")</f>
        <v>Young Adults</v>
      </c>
      <c r="AB12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298" t="str" cm="1">
        <f t="array" ref="AC1298">_xlfn.IFS(Table2[[#This Row],[Satification_points]]&gt;=4.5,"GREAT",AND(Table2[[#This Row],[Satification_points]]&gt;=4,Table2[[#This Row],[Satification_points]]&lt;4.5),"GOOD",AND(Table2[[#This Row],[Satification_points]]&gt;=3,Table2[[#This Row],[Satification_points]]&lt;4),"AVERAGE",Table2[[#This Row],[Satification_points]]&lt;3,"POOR")</f>
        <v>POOR</v>
      </c>
    </row>
    <row r="1299" spans="1:29" x14ac:dyDescent="0.3">
      <c r="A1299">
        <v>1298</v>
      </c>
      <c r="B1299">
        <v>79943</v>
      </c>
      <c r="C1299" t="s">
        <v>1343</v>
      </c>
      <c r="D1299" t="s">
        <v>34</v>
      </c>
      <c r="E1299" t="s">
        <v>35</v>
      </c>
      <c r="F1299" s="1">
        <v>45016</v>
      </c>
      <c r="G1299" s="1">
        <v>45257</v>
      </c>
      <c r="H1299">
        <v>8</v>
      </c>
      <c r="I1299" t="s">
        <v>50</v>
      </c>
      <c r="J1299" t="s">
        <v>36</v>
      </c>
      <c r="K1299">
        <v>1</v>
      </c>
      <c r="L1299">
        <v>2</v>
      </c>
      <c r="M1299">
        <v>5</v>
      </c>
      <c r="N1299">
        <v>2</v>
      </c>
      <c r="O1299">
        <v>4</v>
      </c>
      <c r="P1299">
        <v>3</v>
      </c>
      <c r="Q1299">
        <v>3</v>
      </c>
      <c r="R1299">
        <v>1</v>
      </c>
      <c r="S1299">
        <v>5</v>
      </c>
      <c r="T1299">
        <v>5</v>
      </c>
      <c r="U1299" t="s">
        <v>37</v>
      </c>
      <c r="V1299" t="s">
        <v>58</v>
      </c>
      <c r="W1299" t="s">
        <v>47</v>
      </c>
      <c r="X1299" t="s">
        <v>44</v>
      </c>
      <c r="Y1299">
        <v>38</v>
      </c>
      <c r="Z1299" s="1">
        <v>45257</v>
      </c>
      <c r="AA1299" t="str" cm="1">
        <f t="array" ref="AA12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2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299" t="str" cm="1">
        <f t="array" ref="AC1299">_xlfn.IFS(Table2[[#This Row],[Satification_points]]&gt;=4.5,"GREAT",AND(Table2[[#This Row],[Satification_points]]&gt;=4,Table2[[#This Row],[Satification_points]]&lt;4.5),"GOOD",AND(Table2[[#This Row],[Satification_points]]&gt;=3,Table2[[#This Row],[Satification_points]]&lt;4),"AVERAGE",Table2[[#This Row],[Satification_points]]&lt;3,"POOR")</f>
        <v>AVERAGE</v>
      </c>
    </row>
    <row r="1300" spans="1:29" x14ac:dyDescent="0.3">
      <c r="A1300">
        <v>1299</v>
      </c>
      <c r="B1300">
        <v>40971</v>
      </c>
      <c r="C1300" t="s">
        <v>1344</v>
      </c>
      <c r="D1300" t="s">
        <v>48</v>
      </c>
      <c r="E1300" t="s">
        <v>57</v>
      </c>
      <c r="F1300" s="1">
        <v>45295</v>
      </c>
      <c r="G1300" s="1">
        <v>45296</v>
      </c>
      <c r="H1300">
        <v>8</v>
      </c>
      <c r="I1300" t="s">
        <v>28</v>
      </c>
      <c r="J1300" t="s">
        <v>29</v>
      </c>
      <c r="K1300">
        <v>5</v>
      </c>
      <c r="L1300">
        <v>2</v>
      </c>
      <c r="M1300">
        <v>4</v>
      </c>
      <c r="N1300">
        <v>3</v>
      </c>
      <c r="O1300">
        <v>1</v>
      </c>
      <c r="P1300">
        <v>4</v>
      </c>
      <c r="Q1300">
        <v>3</v>
      </c>
      <c r="R1300">
        <v>5</v>
      </c>
      <c r="S1300">
        <v>2</v>
      </c>
      <c r="T1300">
        <v>1</v>
      </c>
      <c r="U1300" t="s">
        <v>37</v>
      </c>
      <c r="V1300" t="s">
        <v>58</v>
      </c>
      <c r="W1300" t="s">
        <v>56</v>
      </c>
      <c r="X1300" t="s">
        <v>33</v>
      </c>
      <c r="Y1300">
        <v>58</v>
      </c>
      <c r="Z1300" s="1">
        <v>45546</v>
      </c>
      <c r="AA1300" t="str" cm="1">
        <f t="array" ref="AA1300">_xlfn.IFS(AND(Table2[[#This Row],[Guest_Age]]&gt;=18,Table2[[#This Row],[Guest_Age]]&lt;=25),"Young Adults",AND(Table2[[#This Row],[Guest_Age]]&gt;=26,Table2[[#This Row],[Guest_Age]]&lt;=35),"Adults",AND(Table2[[#This Row],[Guest_Age]]&gt;=36,Table2[[#This Row],[Guest_Age]]&lt;=50),"Middle Aged Adults",Table2[[#This Row],[Guest_Age]]&gt;50,"Senior")</f>
        <v>Senior</v>
      </c>
      <c r="AB13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00" t="str" cm="1">
        <f t="array" ref="AC1300">_xlfn.IFS(Table2[[#This Row],[Satification_points]]&gt;=4.5,"GREAT",AND(Table2[[#This Row],[Satification_points]]&gt;=4,Table2[[#This Row],[Satification_points]]&lt;4.5),"GOOD",AND(Table2[[#This Row],[Satification_points]]&gt;=3,Table2[[#This Row],[Satification_points]]&lt;4),"AVERAGE",Table2[[#This Row],[Satification_points]]&lt;3,"POOR")</f>
        <v>AVERAGE</v>
      </c>
    </row>
    <row r="1301" spans="1:29" x14ac:dyDescent="0.3">
      <c r="A1301">
        <v>1300</v>
      </c>
      <c r="B1301">
        <v>60759</v>
      </c>
      <c r="C1301" t="s">
        <v>1345</v>
      </c>
      <c r="D1301" t="s">
        <v>48</v>
      </c>
      <c r="E1301" t="s">
        <v>35</v>
      </c>
      <c r="F1301" s="1">
        <v>45095</v>
      </c>
      <c r="G1301" s="1">
        <v>45096</v>
      </c>
      <c r="H1301">
        <v>7</v>
      </c>
      <c r="I1301" t="s">
        <v>50</v>
      </c>
      <c r="J1301" t="s">
        <v>29</v>
      </c>
      <c r="K1301">
        <v>5</v>
      </c>
      <c r="L1301">
        <v>5</v>
      </c>
      <c r="M1301">
        <v>2</v>
      </c>
      <c r="N1301">
        <v>3</v>
      </c>
      <c r="O1301">
        <v>2</v>
      </c>
      <c r="P1301">
        <v>4</v>
      </c>
      <c r="Q1301">
        <v>3</v>
      </c>
      <c r="R1301">
        <v>4</v>
      </c>
      <c r="S1301">
        <v>4</v>
      </c>
      <c r="T1301">
        <v>5</v>
      </c>
      <c r="U1301" t="s">
        <v>30</v>
      </c>
      <c r="V1301" t="s">
        <v>54</v>
      </c>
      <c r="W1301" t="s">
        <v>47</v>
      </c>
      <c r="X1301" t="s">
        <v>33</v>
      </c>
      <c r="Y1301">
        <v>40</v>
      </c>
      <c r="Z1301" s="1">
        <v>45113</v>
      </c>
      <c r="AA1301" t="str" cm="1">
        <f t="array" ref="AA130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301" t="str" cm="1">
        <f t="array" ref="AC1301">_xlfn.IFS(Table2[[#This Row],[Satification_points]]&gt;=4.5,"GREAT",AND(Table2[[#This Row],[Satification_points]]&gt;=4,Table2[[#This Row],[Satification_points]]&lt;4.5),"GOOD",AND(Table2[[#This Row],[Satification_points]]&gt;=3,Table2[[#This Row],[Satification_points]]&lt;4),"AVERAGE",Table2[[#This Row],[Satification_points]]&lt;3,"POOR")</f>
        <v>AVERAGE</v>
      </c>
    </row>
    <row r="1302" spans="1:29" x14ac:dyDescent="0.3">
      <c r="A1302">
        <v>1301</v>
      </c>
      <c r="B1302">
        <v>46492</v>
      </c>
      <c r="C1302" t="s">
        <v>1346</v>
      </c>
      <c r="D1302" t="s">
        <v>51</v>
      </c>
      <c r="E1302" t="s">
        <v>45</v>
      </c>
      <c r="F1302" s="1">
        <v>45289</v>
      </c>
      <c r="G1302" s="1">
        <v>45446</v>
      </c>
      <c r="H1302">
        <v>7</v>
      </c>
      <c r="I1302" t="s">
        <v>42</v>
      </c>
      <c r="J1302" t="s">
        <v>40</v>
      </c>
      <c r="K1302">
        <v>1</v>
      </c>
      <c r="L1302">
        <v>4</v>
      </c>
      <c r="M1302">
        <v>4</v>
      </c>
      <c r="N1302">
        <v>3</v>
      </c>
      <c r="O1302">
        <v>4</v>
      </c>
      <c r="P1302">
        <v>1</v>
      </c>
      <c r="Q1302">
        <v>4</v>
      </c>
      <c r="R1302">
        <v>5</v>
      </c>
      <c r="S1302">
        <v>5</v>
      </c>
      <c r="T1302">
        <v>3</v>
      </c>
      <c r="U1302" t="s">
        <v>37</v>
      </c>
      <c r="V1302" t="s">
        <v>54</v>
      </c>
      <c r="W1302" t="s">
        <v>47</v>
      </c>
      <c r="X1302" t="s">
        <v>40</v>
      </c>
      <c r="Y1302">
        <v>64</v>
      </c>
      <c r="Z1302" s="1">
        <v>45446</v>
      </c>
      <c r="AA1302" t="str" cm="1">
        <f t="array" ref="AA1302">_xlfn.IFS(AND(Table2[[#This Row],[Guest_Age]]&gt;=18,Table2[[#This Row],[Guest_Age]]&lt;=25),"Young Adults",AND(Table2[[#This Row],[Guest_Age]]&gt;=26,Table2[[#This Row],[Guest_Age]]&lt;=35),"Adults",AND(Table2[[#This Row],[Guest_Age]]&gt;=36,Table2[[#This Row],[Guest_Age]]&lt;=50),"Middle Aged Adults",Table2[[#This Row],[Guest_Age]]&gt;50,"Senior")</f>
        <v>Senior</v>
      </c>
      <c r="AB13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02" t="str" cm="1">
        <f t="array" ref="AC1302">_xlfn.IFS(Table2[[#This Row],[Satification_points]]&gt;=4.5,"GREAT",AND(Table2[[#This Row],[Satification_points]]&gt;=4,Table2[[#This Row],[Satification_points]]&lt;4.5),"GOOD",AND(Table2[[#This Row],[Satification_points]]&gt;=3,Table2[[#This Row],[Satification_points]]&lt;4),"AVERAGE",Table2[[#This Row],[Satification_points]]&lt;3,"POOR")</f>
        <v>AVERAGE</v>
      </c>
    </row>
    <row r="1303" spans="1:29" x14ac:dyDescent="0.3">
      <c r="A1303">
        <v>1302</v>
      </c>
      <c r="B1303">
        <v>63006</v>
      </c>
      <c r="C1303" t="s">
        <v>1347</v>
      </c>
      <c r="D1303" t="s">
        <v>41</v>
      </c>
      <c r="E1303" t="s">
        <v>52</v>
      </c>
      <c r="F1303" s="1">
        <v>45103</v>
      </c>
      <c r="G1303" s="1">
        <v>45595</v>
      </c>
      <c r="H1303">
        <v>1</v>
      </c>
      <c r="I1303" t="s">
        <v>50</v>
      </c>
      <c r="J1303" t="s">
        <v>43</v>
      </c>
      <c r="K1303">
        <v>2</v>
      </c>
      <c r="L1303">
        <v>5</v>
      </c>
      <c r="M1303">
        <v>5</v>
      </c>
      <c r="N1303">
        <v>2</v>
      </c>
      <c r="O1303">
        <v>3</v>
      </c>
      <c r="P1303">
        <v>4</v>
      </c>
      <c r="Q1303">
        <v>3</v>
      </c>
      <c r="R1303">
        <v>2</v>
      </c>
      <c r="S1303">
        <v>3</v>
      </c>
      <c r="T1303">
        <v>4</v>
      </c>
      <c r="U1303" t="s">
        <v>30</v>
      </c>
      <c r="V1303" t="s">
        <v>54</v>
      </c>
      <c r="W1303" t="s">
        <v>47</v>
      </c>
      <c r="X1303" t="s">
        <v>44</v>
      </c>
      <c r="Y1303">
        <v>39</v>
      </c>
      <c r="Z1303" s="1">
        <v>45595</v>
      </c>
      <c r="AA1303" t="str" cm="1">
        <f t="array" ref="AA13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303" t="str" cm="1">
        <f t="array" ref="AC1303">_xlfn.IFS(Table2[[#This Row],[Satification_points]]&gt;=4.5,"GREAT",AND(Table2[[#This Row],[Satification_points]]&gt;=4,Table2[[#This Row],[Satification_points]]&lt;4.5),"GOOD",AND(Table2[[#This Row],[Satification_points]]&gt;=3,Table2[[#This Row],[Satification_points]]&lt;4),"AVERAGE",Table2[[#This Row],[Satification_points]]&lt;3,"POOR")</f>
        <v>AVERAGE</v>
      </c>
    </row>
    <row r="1304" spans="1:29" x14ac:dyDescent="0.3">
      <c r="A1304">
        <v>1303</v>
      </c>
      <c r="B1304">
        <v>51069</v>
      </c>
      <c r="C1304" t="s">
        <v>1348</v>
      </c>
      <c r="D1304" t="s">
        <v>51</v>
      </c>
      <c r="E1304" t="s">
        <v>35</v>
      </c>
      <c r="F1304" s="1">
        <v>45426</v>
      </c>
      <c r="G1304" s="1">
        <v>45427</v>
      </c>
      <c r="H1304">
        <v>13</v>
      </c>
      <c r="I1304" t="s">
        <v>42</v>
      </c>
      <c r="J1304" t="s">
        <v>29</v>
      </c>
      <c r="K1304">
        <v>5</v>
      </c>
      <c r="L1304">
        <v>1</v>
      </c>
      <c r="M1304">
        <v>3</v>
      </c>
      <c r="N1304">
        <v>4</v>
      </c>
      <c r="O1304">
        <v>3</v>
      </c>
      <c r="P1304">
        <v>3</v>
      </c>
      <c r="Q1304">
        <v>1</v>
      </c>
      <c r="R1304">
        <v>2</v>
      </c>
      <c r="S1304">
        <v>1</v>
      </c>
      <c r="T1304">
        <v>3</v>
      </c>
      <c r="U1304" t="s">
        <v>30</v>
      </c>
      <c r="V1304" t="s">
        <v>38</v>
      </c>
      <c r="W1304" t="s">
        <v>56</v>
      </c>
      <c r="X1304" t="s">
        <v>33</v>
      </c>
      <c r="Y1304">
        <v>51</v>
      </c>
      <c r="Z1304" s="1">
        <v>45588</v>
      </c>
      <c r="AA1304" t="str" cm="1">
        <f t="array" ref="AA1304">_xlfn.IFS(AND(Table2[[#This Row],[Guest_Age]]&gt;=18,Table2[[#This Row],[Guest_Age]]&lt;=25),"Young Adults",AND(Table2[[#This Row],[Guest_Age]]&gt;=26,Table2[[#This Row],[Guest_Age]]&lt;=35),"Adults",AND(Table2[[#This Row],[Guest_Age]]&gt;=36,Table2[[#This Row],[Guest_Age]]&lt;=50),"Middle Aged Adults",Table2[[#This Row],[Guest_Age]]&gt;50,"Senior")</f>
        <v>Senior</v>
      </c>
      <c r="AB13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04" t="str" cm="1">
        <f t="array" ref="AC1304">_xlfn.IFS(Table2[[#This Row],[Satification_points]]&gt;=4.5,"GREAT",AND(Table2[[#This Row],[Satification_points]]&gt;=4,Table2[[#This Row],[Satification_points]]&lt;4.5),"GOOD",AND(Table2[[#This Row],[Satification_points]]&gt;=3,Table2[[#This Row],[Satification_points]]&lt;4),"AVERAGE",Table2[[#This Row],[Satification_points]]&lt;3,"POOR")</f>
        <v>POOR</v>
      </c>
    </row>
    <row r="1305" spans="1:29" x14ac:dyDescent="0.3">
      <c r="A1305">
        <v>1304</v>
      </c>
      <c r="B1305">
        <v>87905</v>
      </c>
      <c r="C1305" t="s">
        <v>1349</v>
      </c>
      <c r="D1305" t="s">
        <v>48</v>
      </c>
      <c r="E1305" t="s">
        <v>27</v>
      </c>
      <c r="F1305" s="1">
        <v>45630</v>
      </c>
      <c r="G1305" s="1">
        <v>45631</v>
      </c>
      <c r="H1305">
        <v>3</v>
      </c>
      <c r="I1305" t="s">
        <v>28</v>
      </c>
      <c r="J1305" t="s">
        <v>36</v>
      </c>
      <c r="K1305">
        <v>1</v>
      </c>
      <c r="L1305">
        <v>5</v>
      </c>
      <c r="M1305">
        <v>2</v>
      </c>
      <c r="N1305">
        <v>2</v>
      </c>
      <c r="O1305">
        <v>3</v>
      </c>
      <c r="P1305">
        <v>1</v>
      </c>
      <c r="Q1305">
        <v>3</v>
      </c>
      <c r="R1305">
        <v>2</v>
      </c>
      <c r="S1305">
        <v>3</v>
      </c>
      <c r="T1305">
        <v>2</v>
      </c>
      <c r="U1305" t="s">
        <v>37</v>
      </c>
      <c r="V1305" t="s">
        <v>46</v>
      </c>
      <c r="W1305" t="s">
        <v>56</v>
      </c>
      <c r="X1305" t="s">
        <v>40</v>
      </c>
      <c r="Y1305">
        <v>58</v>
      </c>
      <c r="Z1305" s="1">
        <v>45631</v>
      </c>
      <c r="AA1305" t="str" cm="1">
        <f t="array" ref="AA1305">_xlfn.IFS(AND(Table2[[#This Row],[Guest_Age]]&gt;=18,Table2[[#This Row],[Guest_Age]]&lt;=25),"Young Adults",AND(Table2[[#This Row],[Guest_Age]]&gt;=26,Table2[[#This Row],[Guest_Age]]&lt;=35),"Adults",AND(Table2[[#This Row],[Guest_Age]]&gt;=36,Table2[[#This Row],[Guest_Age]]&lt;=50),"Middle Aged Adults",Table2[[#This Row],[Guest_Age]]&gt;50,"Senior")</f>
        <v>Senior</v>
      </c>
      <c r="AB13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305" t="str" cm="1">
        <f t="array" ref="AC1305">_xlfn.IFS(Table2[[#This Row],[Satification_points]]&gt;=4.5,"GREAT",AND(Table2[[#This Row],[Satification_points]]&gt;=4,Table2[[#This Row],[Satification_points]]&lt;4.5),"GOOD",AND(Table2[[#This Row],[Satification_points]]&gt;=3,Table2[[#This Row],[Satification_points]]&lt;4),"AVERAGE",Table2[[#This Row],[Satification_points]]&lt;3,"POOR")</f>
        <v>POOR</v>
      </c>
    </row>
    <row r="1306" spans="1:29" x14ac:dyDescent="0.3">
      <c r="A1306">
        <v>1305</v>
      </c>
      <c r="B1306">
        <v>40291</v>
      </c>
      <c r="C1306" t="s">
        <v>1350</v>
      </c>
      <c r="D1306" t="s">
        <v>34</v>
      </c>
      <c r="E1306" t="s">
        <v>52</v>
      </c>
      <c r="F1306" s="1">
        <v>45059</v>
      </c>
      <c r="G1306" s="1">
        <v>45213</v>
      </c>
      <c r="H1306">
        <v>9</v>
      </c>
      <c r="I1306" t="s">
        <v>50</v>
      </c>
      <c r="J1306" t="s">
        <v>40</v>
      </c>
      <c r="K1306">
        <v>4</v>
      </c>
      <c r="L1306">
        <v>3</v>
      </c>
      <c r="M1306">
        <v>4</v>
      </c>
      <c r="N1306">
        <v>1</v>
      </c>
      <c r="O1306">
        <v>1</v>
      </c>
      <c r="P1306">
        <v>2</v>
      </c>
      <c r="Q1306">
        <v>5</v>
      </c>
      <c r="R1306">
        <v>2</v>
      </c>
      <c r="S1306">
        <v>3</v>
      </c>
      <c r="T1306">
        <v>5</v>
      </c>
      <c r="U1306" t="s">
        <v>37</v>
      </c>
      <c r="V1306" t="s">
        <v>46</v>
      </c>
      <c r="W1306" t="s">
        <v>47</v>
      </c>
      <c r="X1306" t="s">
        <v>44</v>
      </c>
      <c r="Y1306">
        <v>43</v>
      </c>
      <c r="Z1306" s="1">
        <v>45418</v>
      </c>
      <c r="AA1306" t="str" cm="1">
        <f t="array" ref="AA130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06" t="str" cm="1">
        <f t="array" ref="AC1306">_xlfn.IFS(Table2[[#This Row],[Satification_points]]&gt;=4.5,"GREAT",AND(Table2[[#This Row],[Satification_points]]&gt;=4,Table2[[#This Row],[Satification_points]]&lt;4.5),"GOOD",AND(Table2[[#This Row],[Satification_points]]&gt;=3,Table2[[#This Row],[Satification_points]]&lt;4),"AVERAGE",Table2[[#This Row],[Satification_points]]&lt;3,"POOR")</f>
        <v>AVERAGE</v>
      </c>
    </row>
    <row r="1307" spans="1:29" x14ac:dyDescent="0.3">
      <c r="A1307">
        <v>1306</v>
      </c>
      <c r="B1307">
        <v>27152</v>
      </c>
      <c r="C1307" t="s">
        <v>1351</v>
      </c>
      <c r="D1307" t="s">
        <v>34</v>
      </c>
      <c r="E1307" t="s">
        <v>45</v>
      </c>
      <c r="F1307" s="1">
        <v>45098</v>
      </c>
      <c r="G1307" s="1">
        <v>45287</v>
      </c>
      <c r="H1307">
        <v>5</v>
      </c>
      <c r="I1307" t="s">
        <v>50</v>
      </c>
      <c r="J1307" t="s">
        <v>36</v>
      </c>
      <c r="K1307">
        <v>2</v>
      </c>
      <c r="L1307">
        <v>4</v>
      </c>
      <c r="M1307">
        <v>2</v>
      </c>
      <c r="N1307">
        <v>1</v>
      </c>
      <c r="O1307">
        <v>1</v>
      </c>
      <c r="P1307">
        <v>1</v>
      </c>
      <c r="Q1307">
        <v>5</v>
      </c>
      <c r="R1307">
        <v>1</v>
      </c>
      <c r="S1307">
        <v>3</v>
      </c>
      <c r="T1307">
        <v>1</v>
      </c>
      <c r="U1307" t="s">
        <v>37</v>
      </c>
      <c r="V1307" t="s">
        <v>46</v>
      </c>
      <c r="W1307" t="s">
        <v>55</v>
      </c>
      <c r="X1307" t="s">
        <v>40</v>
      </c>
      <c r="Y1307">
        <v>64</v>
      </c>
      <c r="Z1307" s="1">
        <v>45287</v>
      </c>
      <c r="AA1307" t="str" cm="1">
        <f t="array" ref="AA1307">_xlfn.IFS(AND(Table2[[#This Row],[Guest_Age]]&gt;=18,Table2[[#This Row],[Guest_Age]]&lt;=25),"Young Adults",AND(Table2[[#This Row],[Guest_Age]]&gt;=26,Table2[[#This Row],[Guest_Age]]&lt;=35),"Adults",AND(Table2[[#This Row],[Guest_Age]]&gt;=36,Table2[[#This Row],[Guest_Age]]&lt;=50),"Middle Aged Adults",Table2[[#This Row],[Guest_Age]]&gt;50,"Senior")</f>
        <v>Senior</v>
      </c>
      <c r="AB13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307" t="str" cm="1">
        <f t="array" ref="AC1307">_xlfn.IFS(Table2[[#This Row],[Satification_points]]&gt;=4.5,"GREAT",AND(Table2[[#This Row],[Satification_points]]&gt;=4,Table2[[#This Row],[Satification_points]]&lt;4.5),"GOOD",AND(Table2[[#This Row],[Satification_points]]&gt;=3,Table2[[#This Row],[Satification_points]]&lt;4),"AVERAGE",Table2[[#This Row],[Satification_points]]&lt;3,"POOR")</f>
        <v>POOR</v>
      </c>
    </row>
    <row r="1308" spans="1:29" x14ac:dyDescent="0.3">
      <c r="A1308">
        <v>1307</v>
      </c>
      <c r="B1308">
        <v>75674</v>
      </c>
      <c r="C1308" t="s">
        <v>1352</v>
      </c>
      <c r="D1308" t="s">
        <v>26</v>
      </c>
      <c r="E1308" t="s">
        <v>45</v>
      </c>
      <c r="F1308" s="1">
        <v>45456</v>
      </c>
      <c r="G1308" s="1">
        <v>45513</v>
      </c>
      <c r="H1308">
        <v>5</v>
      </c>
      <c r="I1308" t="s">
        <v>28</v>
      </c>
      <c r="J1308" t="s">
        <v>29</v>
      </c>
      <c r="K1308">
        <v>1</v>
      </c>
      <c r="L1308">
        <v>5</v>
      </c>
      <c r="M1308">
        <v>3</v>
      </c>
      <c r="N1308">
        <v>3</v>
      </c>
      <c r="O1308">
        <v>3</v>
      </c>
      <c r="P1308">
        <v>3</v>
      </c>
      <c r="Q1308">
        <v>2</v>
      </c>
      <c r="R1308">
        <v>3</v>
      </c>
      <c r="S1308">
        <v>5</v>
      </c>
      <c r="T1308">
        <v>3</v>
      </c>
      <c r="U1308" t="s">
        <v>30</v>
      </c>
      <c r="V1308" t="s">
        <v>58</v>
      </c>
      <c r="W1308" t="s">
        <v>32</v>
      </c>
      <c r="X1308" t="s">
        <v>44</v>
      </c>
      <c r="Y1308">
        <v>48</v>
      </c>
      <c r="Z1308" s="1">
        <v>45594</v>
      </c>
      <c r="AA1308" t="str" cm="1">
        <f t="array" ref="AA13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08" t="str" cm="1">
        <f t="array" ref="AC1308">_xlfn.IFS(Table2[[#This Row],[Satification_points]]&gt;=4.5,"GREAT",AND(Table2[[#This Row],[Satification_points]]&gt;=4,Table2[[#This Row],[Satification_points]]&lt;4.5),"GOOD",AND(Table2[[#This Row],[Satification_points]]&gt;=3,Table2[[#This Row],[Satification_points]]&lt;4),"AVERAGE",Table2[[#This Row],[Satification_points]]&lt;3,"POOR")</f>
        <v>AVERAGE</v>
      </c>
    </row>
    <row r="1309" spans="1:29" x14ac:dyDescent="0.3">
      <c r="A1309">
        <v>1308</v>
      </c>
      <c r="B1309">
        <v>59372</v>
      </c>
      <c r="C1309" t="s">
        <v>1353</v>
      </c>
      <c r="D1309" t="s">
        <v>34</v>
      </c>
      <c r="E1309" t="s">
        <v>57</v>
      </c>
      <c r="F1309" s="1">
        <v>45367</v>
      </c>
      <c r="G1309" s="1">
        <v>45451</v>
      </c>
      <c r="H1309">
        <v>7</v>
      </c>
      <c r="I1309" t="s">
        <v>49</v>
      </c>
      <c r="J1309" t="s">
        <v>40</v>
      </c>
      <c r="K1309">
        <v>4</v>
      </c>
      <c r="L1309">
        <v>2</v>
      </c>
      <c r="M1309">
        <v>1</v>
      </c>
      <c r="N1309">
        <v>3</v>
      </c>
      <c r="O1309">
        <v>4</v>
      </c>
      <c r="P1309">
        <v>5</v>
      </c>
      <c r="Q1309">
        <v>4</v>
      </c>
      <c r="R1309">
        <v>2</v>
      </c>
      <c r="S1309">
        <v>5</v>
      </c>
      <c r="T1309">
        <v>5</v>
      </c>
      <c r="U1309" t="s">
        <v>37</v>
      </c>
      <c r="V1309" t="s">
        <v>46</v>
      </c>
      <c r="W1309" t="s">
        <v>39</v>
      </c>
      <c r="X1309" t="s">
        <v>40</v>
      </c>
      <c r="Y1309">
        <v>52</v>
      </c>
      <c r="Z1309" s="1">
        <v>45451</v>
      </c>
      <c r="AA1309" t="str" cm="1">
        <f t="array" ref="AA1309">_xlfn.IFS(AND(Table2[[#This Row],[Guest_Age]]&gt;=18,Table2[[#This Row],[Guest_Age]]&lt;=25),"Young Adults",AND(Table2[[#This Row],[Guest_Age]]&gt;=26,Table2[[#This Row],[Guest_Age]]&lt;=35),"Adults",AND(Table2[[#This Row],[Guest_Age]]&gt;=36,Table2[[#This Row],[Guest_Age]]&lt;=50),"Middle Aged Adults",Table2[[#This Row],[Guest_Age]]&gt;50,"Senior")</f>
        <v>Senior</v>
      </c>
      <c r="AB13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309" t="str" cm="1">
        <f t="array" ref="AC1309">_xlfn.IFS(Table2[[#This Row],[Satification_points]]&gt;=4.5,"GREAT",AND(Table2[[#This Row],[Satification_points]]&gt;=4,Table2[[#This Row],[Satification_points]]&lt;4.5),"GOOD",AND(Table2[[#This Row],[Satification_points]]&gt;=3,Table2[[#This Row],[Satification_points]]&lt;4),"AVERAGE",Table2[[#This Row],[Satification_points]]&lt;3,"POOR")</f>
        <v>AVERAGE</v>
      </c>
    </row>
    <row r="1310" spans="1:29" x14ac:dyDescent="0.3">
      <c r="A1310">
        <v>1309</v>
      </c>
      <c r="B1310">
        <v>63079</v>
      </c>
      <c r="C1310" t="s">
        <v>1354</v>
      </c>
      <c r="D1310" t="s">
        <v>41</v>
      </c>
      <c r="E1310" t="s">
        <v>27</v>
      </c>
      <c r="F1310" s="1">
        <v>45038</v>
      </c>
      <c r="G1310" s="1">
        <v>45264</v>
      </c>
      <c r="H1310">
        <v>11</v>
      </c>
      <c r="I1310" t="s">
        <v>49</v>
      </c>
      <c r="J1310" t="s">
        <v>36</v>
      </c>
      <c r="K1310">
        <v>3</v>
      </c>
      <c r="L1310">
        <v>3</v>
      </c>
      <c r="M1310">
        <v>2</v>
      </c>
      <c r="N1310">
        <v>4</v>
      </c>
      <c r="O1310">
        <v>1</v>
      </c>
      <c r="P1310">
        <v>1</v>
      </c>
      <c r="Q1310">
        <v>5</v>
      </c>
      <c r="R1310">
        <v>1</v>
      </c>
      <c r="S1310">
        <v>4</v>
      </c>
      <c r="T1310">
        <v>1</v>
      </c>
      <c r="U1310" t="s">
        <v>30</v>
      </c>
      <c r="V1310" t="s">
        <v>54</v>
      </c>
      <c r="W1310" t="s">
        <v>32</v>
      </c>
      <c r="X1310" t="s">
        <v>40</v>
      </c>
      <c r="Y1310">
        <v>24</v>
      </c>
      <c r="Z1310" s="1">
        <v>45580</v>
      </c>
      <c r="AA1310" t="str" cm="1">
        <f t="array" ref="AA1310">_xlfn.IFS(AND(Table2[[#This Row],[Guest_Age]]&gt;=18,Table2[[#This Row],[Guest_Age]]&lt;=25),"Young Adults",AND(Table2[[#This Row],[Guest_Age]]&gt;=26,Table2[[#This Row],[Guest_Age]]&lt;=35),"Adults",AND(Table2[[#This Row],[Guest_Age]]&gt;=36,Table2[[#This Row],[Guest_Age]]&lt;=50),"Middle Aged Adults",Table2[[#This Row],[Guest_Age]]&gt;50,"Senior")</f>
        <v>Young Adults</v>
      </c>
      <c r="AB13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310" t="str" cm="1">
        <f t="array" ref="AC1310">_xlfn.IFS(Table2[[#This Row],[Satification_points]]&gt;=4.5,"GREAT",AND(Table2[[#This Row],[Satification_points]]&gt;=4,Table2[[#This Row],[Satification_points]]&lt;4.5),"GOOD",AND(Table2[[#This Row],[Satification_points]]&gt;=3,Table2[[#This Row],[Satification_points]]&lt;4),"AVERAGE",Table2[[#This Row],[Satification_points]]&lt;3,"POOR")</f>
        <v>POOR</v>
      </c>
    </row>
    <row r="1311" spans="1:29" x14ac:dyDescent="0.3">
      <c r="A1311">
        <v>1310</v>
      </c>
      <c r="B1311">
        <v>61539</v>
      </c>
      <c r="C1311" t="s">
        <v>1355</v>
      </c>
      <c r="D1311" t="s">
        <v>26</v>
      </c>
      <c r="E1311" t="s">
        <v>35</v>
      </c>
      <c r="F1311" s="1">
        <v>44966</v>
      </c>
      <c r="G1311" s="1">
        <v>45551</v>
      </c>
      <c r="H1311">
        <v>10</v>
      </c>
      <c r="I1311" t="s">
        <v>42</v>
      </c>
      <c r="J1311" t="s">
        <v>43</v>
      </c>
      <c r="K1311">
        <v>5</v>
      </c>
      <c r="L1311">
        <v>5</v>
      </c>
      <c r="M1311">
        <v>4</v>
      </c>
      <c r="N1311">
        <v>3</v>
      </c>
      <c r="O1311">
        <v>3</v>
      </c>
      <c r="P1311">
        <v>5</v>
      </c>
      <c r="Q1311">
        <v>1</v>
      </c>
      <c r="R1311">
        <v>5</v>
      </c>
      <c r="S1311">
        <v>2</v>
      </c>
      <c r="T1311">
        <v>3</v>
      </c>
      <c r="U1311" t="s">
        <v>30</v>
      </c>
      <c r="V1311" t="s">
        <v>38</v>
      </c>
      <c r="W1311" t="s">
        <v>39</v>
      </c>
      <c r="X1311" t="s">
        <v>44</v>
      </c>
      <c r="Y1311">
        <v>57</v>
      </c>
      <c r="Z1311" s="1">
        <v>45551</v>
      </c>
      <c r="AA1311" t="str" cm="1">
        <f t="array" ref="AA1311">_xlfn.IFS(AND(Table2[[#This Row],[Guest_Age]]&gt;=18,Table2[[#This Row],[Guest_Age]]&lt;=25),"Young Adults",AND(Table2[[#This Row],[Guest_Age]]&gt;=26,Table2[[#This Row],[Guest_Age]]&lt;=35),"Adults",AND(Table2[[#This Row],[Guest_Age]]&gt;=36,Table2[[#This Row],[Guest_Age]]&lt;=50),"Middle Aged Adults",Table2[[#This Row],[Guest_Age]]&gt;50,"Senior")</f>
        <v>Senior</v>
      </c>
      <c r="AB13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11" t="str" cm="1">
        <f t="array" ref="AC1311">_xlfn.IFS(Table2[[#This Row],[Satification_points]]&gt;=4.5,"GREAT",AND(Table2[[#This Row],[Satification_points]]&gt;=4,Table2[[#This Row],[Satification_points]]&lt;4.5),"GOOD",AND(Table2[[#This Row],[Satification_points]]&gt;=3,Table2[[#This Row],[Satification_points]]&lt;4),"AVERAGE",Table2[[#This Row],[Satification_points]]&lt;3,"POOR")</f>
        <v>AVERAGE</v>
      </c>
    </row>
    <row r="1312" spans="1:29" x14ac:dyDescent="0.3">
      <c r="A1312">
        <v>1311</v>
      </c>
      <c r="B1312">
        <v>12525</v>
      </c>
      <c r="C1312" t="s">
        <v>1356</v>
      </c>
      <c r="D1312" t="s">
        <v>41</v>
      </c>
      <c r="E1312" t="s">
        <v>57</v>
      </c>
      <c r="F1312" s="1">
        <v>45028</v>
      </c>
      <c r="G1312" s="1">
        <v>45469</v>
      </c>
      <c r="H1312">
        <v>8</v>
      </c>
      <c r="I1312" t="s">
        <v>50</v>
      </c>
      <c r="J1312" t="s">
        <v>53</v>
      </c>
      <c r="K1312">
        <v>5</v>
      </c>
      <c r="L1312">
        <v>5</v>
      </c>
      <c r="M1312">
        <v>3</v>
      </c>
      <c r="N1312">
        <v>1</v>
      </c>
      <c r="O1312">
        <v>1</v>
      </c>
      <c r="P1312">
        <v>1</v>
      </c>
      <c r="Q1312">
        <v>2</v>
      </c>
      <c r="R1312">
        <v>2</v>
      </c>
      <c r="S1312">
        <v>3</v>
      </c>
      <c r="T1312">
        <v>4</v>
      </c>
      <c r="U1312" t="s">
        <v>37</v>
      </c>
      <c r="V1312" t="s">
        <v>58</v>
      </c>
      <c r="W1312" t="s">
        <v>32</v>
      </c>
      <c r="X1312" t="s">
        <v>40</v>
      </c>
      <c r="Y1312">
        <v>62</v>
      </c>
      <c r="Z1312" s="1">
        <v>45469</v>
      </c>
      <c r="AA1312" t="str" cm="1">
        <f t="array" ref="AA1312">_xlfn.IFS(AND(Table2[[#This Row],[Guest_Age]]&gt;=18,Table2[[#This Row],[Guest_Age]]&lt;=25),"Young Adults",AND(Table2[[#This Row],[Guest_Age]]&gt;=26,Table2[[#This Row],[Guest_Age]]&lt;=35),"Adults",AND(Table2[[#This Row],[Guest_Age]]&gt;=36,Table2[[#This Row],[Guest_Age]]&lt;=50),"Middle Aged Adults",Table2[[#This Row],[Guest_Age]]&gt;50,"Senior")</f>
        <v>Senior</v>
      </c>
      <c r="AB13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12" t="str" cm="1">
        <f t="array" ref="AC1312">_xlfn.IFS(Table2[[#This Row],[Satification_points]]&gt;=4.5,"GREAT",AND(Table2[[#This Row],[Satification_points]]&gt;=4,Table2[[#This Row],[Satification_points]]&lt;4.5),"GOOD",AND(Table2[[#This Row],[Satification_points]]&gt;=3,Table2[[#This Row],[Satification_points]]&lt;4),"AVERAGE",Table2[[#This Row],[Satification_points]]&lt;3,"POOR")</f>
        <v>POOR</v>
      </c>
    </row>
    <row r="1313" spans="1:29" x14ac:dyDescent="0.3">
      <c r="A1313">
        <v>1312</v>
      </c>
      <c r="B1313">
        <v>19637</v>
      </c>
      <c r="C1313" t="s">
        <v>1357</v>
      </c>
      <c r="D1313" t="s">
        <v>51</v>
      </c>
      <c r="E1313" t="s">
        <v>45</v>
      </c>
      <c r="F1313" s="1">
        <v>45295</v>
      </c>
      <c r="G1313" s="1">
        <v>45296</v>
      </c>
      <c r="H1313">
        <v>6</v>
      </c>
      <c r="I1313" t="s">
        <v>49</v>
      </c>
      <c r="J1313" t="s">
        <v>53</v>
      </c>
      <c r="K1313">
        <v>5</v>
      </c>
      <c r="L1313">
        <v>5</v>
      </c>
      <c r="M1313">
        <v>4</v>
      </c>
      <c r="N1313">
        <v>3</v>
      </c>
      <c r="O1313">
        <v>5</v>
      </c>
      <c r="P1313">
        <v>1</v>
      </c>
      <c r="Q1313">
        <v>5</v>
      </c>
      <c r="R1313">
        <v>5</v>
      </c>
      <c r="S1313">
        <v>4</v>
      </c>
      <c r="T1313">
        <v>4</v>
      </c>
      <c r="U1313" t="s">
        <v>37</v>
      </c>
      <c r="V1313" t="s">
        <v>38</v>
      </c>
      <c r="W1313" t="s">
        <v>56</v>
      </c>
      <c r="X1313" t="s">
        <v>44</v>
      </c>
      <c r="Y1313">
        <v>49</v>
      </c>
      <c r="Z1313" s="1">
        <v>45488</v>
      </c>
      <c r="AA1313" t="str" cm="1">
        <f t="array" ref="AA13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313" t="str" cm="1">
        <f t="array" ref="AC1313">_xlfn.IFS(Table2[[#This Row],[Satification_points]]&gt;=4.5,"GREAT",AND(Table2[[#This Row],[Satification_points]]&gt;=4,Table2[[#This Row],[Satification_points]]&lt;4.5),"GOOD",AND(Table2[[#This Row],[Satification_points]]&gt;=3,Table2[[#This Row],[Satification_points]]&lt;4),"AVERAGE",Table2[[#This Row],[Satification_points]]&lt;3,"POOR")</f>
        <v>GOOD</v>
      </c>
    </row>
    <row r="1314" spans="1:29" x14ac:dyDescent="0.3">
      <c r="A1314">
        <v>1313</v>
      </c>
      <c r="B1314">
        <v>58324</v>
      </c>
      <c r="C1314" t="s">
        <v>1358</v>
      </c>
      <c r="D1314" t="s">
        <v>51</v>
      </c>
      <c r="E1314" t="s">
        <v>35</v>
      </c>
      <c r="F1314" s="1">
        <v>45100</v>
      </c>
      <c r="G1314" s="1">
        <v>45415</v>
      </c>
      <c r="H1314">
        <v>5</v>
      </c>
      <c r="I1314" t="s">
        <v>28</v>
      </c>
      <c r="J1314" t="s">
        <v>36</v>
      </c>
      <c r="K1314">
        <v>1</v>
      </c>
      <c r="L1314">
        <v>2</v>
      </c>
      <c r="M1314">
        <v>3</v>
      </c>
      <c r="N1314">
        <v>4</v>
      </c>
      <c r="O1314">
        <v>4</v>
      </c>
      <c r="P1314">
        <v>4</v>
      </c>
      <c r="Q1314">
        <v>3</v>
      </c>
      <c r="R1314">
        <v>5</v>
      </c>
      <c r="S1314">
        <v>4</v>
      </c>
      <c r="T1314">
        <v>3</v>
      </c>
      <c r="U1314" t="s">
        <v>30</v>
      </c>
      <c r="V1314" t="s">
        <v>31</v>
      </c>
      <c r="W1314" t="s">
        <v>47</v>
      </c>
      <c r="X1314" t="s">
        <v>33</v>
      </c>
      <c r="Y1314">
        <v>39</v>
      </c>
      <c r="Z1314" s="1">
        <v>45640</v>
      </c>
      <c r="AA1314" t="str" cm="1">
        <f t="array" ref="AA131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314" t="str" cm="1">
        <f t="array" ref="AC1314">_xlfn.IFS(Table2[[#This Row],[Satification_points]]&gt;=4.5,"GREAT",AND(Table2[[#This Row],[Satification_points]]&gt;=4,Table2[[#This Row],[Satification_points]]&lt;4.5),"GOOD",AND(Table2[[#This Row],[Satification_points]]&gt;=3,Table2[[#This Row],[Satification_points]]&lt;4),"AVERAGE",Table2[[#This Row],[Satification_points]]&lt;3,"POOR")</f>
        <v>AVERAGE</v>
      </c>
    </row>
    <row r="1315" spans="1:29" x14ac:dyDescent="0.3">
      <c r="A1315">
        <v>1314</v>
      </c>
      <c r="B1315">
        <v>66108</v>
      </c>
      <c r="C1315" t="s">
        <v>1359</v>
      </c>
      <c r="D1315" t="s">
        <v>34</v>
      </c>
      <c r="E1315" t="s">
        <v>45</v>
      </c>
      <c r="F1315" s="1">
        <v>45267</v>
      </c>
      <c r="G1315" s="1">
        <v>45306</v>
      </c>
      <c r="H1315">
        <v>1</v>
      </c>
      <c r="I1315" t="s">
        <v>28</v>
      </c>
      <c r="J1315" t="s">
        <v>53</v>
      </c>
      <c r="K1315">
        <v>3</v>
      </c>
      <c r="L1315">
        <v>5</v>
      </c>
      <c r="M1315">
        <v>4</v>
      </c>
      <c r="N1315">
        <v>1</v>
      </c>
      <c r="O1315">
        <v>2</v>
      </c>
      <c r="P1315">
        <v>5</v>
      </c>
      <c r="Q1315">
        <v>5</v>
      </c>
      <c r="R1315">
        <v>4</v>
      </c>
      <c r="S1315">
        <v>5</v>
      </c>
      <c r="T1315">
        <v>2</v>
      </c>
      <c r="U1315" t="s">
        <v>37</v>
      </c>
      <c r="V1315" t="s">
        <v>54</v>
      </c>
      <c r="W1315" t="s">
        <v>39</v>
      </c>
      <c r="X1315" t="s">
        <v>33</v>
      </c>
      <c r="Y1315">
        <v>64</v>
      </c>
      <c r="Z1315" s="1">
        <v>45306</v>
      </c>
      <c r="AA1315" t="str" cm="1">
        <f t="array" ref="AA1315">_xlfn.IFS(AND(Table2[[#This Row],[Guest_Age]]&gt;=18,Table2[[#This Row],[Guest_Age]]&lt;=25),"Young Adults",AND(Table2[[#This Row],[Guest_Age]]&gt;=26,Table2[[#This Row],[Guest_Age]]&lt;=35),"Adults",AND(Table2[[#This Row],[Guest_Age]]&gt;=36,Table2[[#This Row],[Guest_Age]]&lt;=50),"Middle Aged Adults",Table2[[#This Row],[Guest_Age]]&gt;50,"Senior")</f>
        <v>Senior</v>
      </c>
      <c r="AB13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15" t="str" cm="1">
        <f t="array" ref="AC1315">_xlfn.IFS(Table2[[#This Row],[Satification_points]]&gt;=4.5,"GREAT",AND(Table2[[#This Row],[Satification_points]]&gt;=4,Table2[[#This Row],[Satification_points]]&lt;4.5),"GOOD",AND(Table2[[#This Row],[Satification_points]]&gt;=3,Table2[[#This Row],[Satification_points]]&lt;4),"AVERAGE",Table2[[#This Row],[Satification_points]]&lt;3,"POOR")</f>
        <v>AVERAGE</v>
      </c>
    </row>
    <row r="1316" spans="1:29" x14ac:dyDescent="0.3">
      <c r="A1316">
        <v>1315</v>
      </c>
      <c r="B1316">
        <v>44377</v>
      </c>
      <c r="C1316" t="s">
        <v>1360</v>
      </c>
      <c r="D1316" t="s">
        <v>26</v>
      </c>
      <c r="E1316" t="s">
        <v>45</v>
      </c>
      <c r="F1316" s="1">
        <v>45122</v>
      </c>
      <c r="G1316" s="1">
        <v>45271</v>
      </c>
      <c r="H1316">
        <v>10</v>
      </c>
      <c r="I1316" t="s">
        <v>50</v>
      </c>
      <c r="J1316" t="s">
        <v>43</v>
      </c>
      <c r="K1316">
        <v>1</v>
      </c>
      <c r="L1316">
        <v>1</v>
      </c>
      <c r="M1316">
        <v>3</v>
      </c>
      <c r="N1316">
        <v>3</v>
      </c>
      <c r="O1316">
        <v>4</v>
      </c>
      <c r="P1316">
        <v>5</v>
      </c>
      <c r="Q1316">
        <v>5</v>
      </c>
      <c r="R1316">
        <v>1</v>
      </c>
      <c r="S1316">
        <v>2</v>
      </c>
      <c r="T1316">
        <v>4</v>
      </c>
      <c r="U1316" t="s">
        <v>30</v>
      </c>
      <c r="V1316" t="s">
        <v>58</v>
      </c>
      <c r="W1316" t="s">
        <v>47</v>
      </c>
      <c r="X1316" t="s">
        <v>40</v>
      </c>
      <c r="Y1316">
        <v>23</v>
      </c>
      <c r="Z1316" s="1">
        <v>45581</v>
      </c>
      <c r="AA1316" t="str" cm="1">
        <f t="array" ref="AA1316">_xlfn.IFS(AND(Table2[[#This Row],[Guest_Age]]&gt;=18,Table2[[#This Row],[Guest_Age]]&lt;=25),"Young Adults",AND(Table2[[#This Row],[Guest_Age]]&gt;=26,Table2[[#This Row],[Guest_Age]]&lt;=35),"Adults",AND(Table2[[#This Row],[Guest_Age]]&gt;=36,Table2[[#This Row],[Guest_Age]]&lt;=50),"Middle Aged Adults",Table2[[#This Row],[Guest_Age]]&gt;50,"Senior")</f>
        <v>Young Adults</v>
      </c>
      <c r="AB13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16" t="str" cm="1">
        <f t="array" ref="AC1316">_xlfn.IFS(Table2[[#This Row],[Satification_points]]&gt;=4.5,"GREAT",AND(Table2[[#This Row],[Satification_points]]&gt;=4,Table2[[#This Row],[Satification_points]]&lt;4.5),"GOOD",AND(Table2[[#This Row],[Satification_points]]&gt;=3,Table2[[#This Row],[Satification_points]]&lt;4),"AVERAGE",Table2[[#This Row],[Satification_points]]&lt;3,"POOR")</f>
        <v>POOR</v>
      </c>
    </row>
    <row r="1317" spans="1:29" x14ac:dyDescent="0.3">
      <c r="A1317">
        <v>1316</v>
      </c>
      <c r="B1317">
        <v>90069</v>
      </c>
      <c r="C1317" t="s">
        <v>1361</v>
      </c>
      <c r="D1317" t="s">
        <v>41</v>
      </c>
      <c r="E1317" t="s">
        <v>27</v>
      </c>
      <c r="F1317" s="1">
        <v>45510</v>
      </c>
      <c r="G1317" s="1">
        <v>45511</v>
      </c>
      <c r="H1317">
        <v>10</v>
      </c>
      <c r="I1317" t="s">
        <v>42</v>
      </c>
      <c r="J1317" t="s">
        <v>43</v>
      </c>
      <c r="K1317">
        <v>1</v>
      </c>
      <c r="L1317">
        <v>1</v>
      </c>
      <c r="M1317">
        <v>5</v>
      </c>
      <c r="N1317">
        <v>4</v>
      </c>
      <c r="O1317">
        <v>2</v>
      </c>
      <c r="P1317">
        <v>1</v>
      </c>
      <c r="Q1317">
        <v>2</v>
      </c>
      <c r="R1317">
        <v>1</v>
      </c>
      <c r="S1317">
        <v>4</v>
      </c>
      <c r="T1317">
        <v>5</v>
      </c>
      <c r="U1317" t="s">
        <v>37</v>
      </c>
      <c r="V1317" t="s">
        <v>54</v>
      </c>
      <c r="W1317" t="s">
        <v>47</v>
      </c>
      <c r="X1317" t="s">
        <v>44</v>
      </c>
      <c r="Y1317">
        <v>38</v>
      </c>
      <c r="Z1317" s="1">
        <v>45511</v>
      </c>
      <c r="AA1317" t="str" cm="1">
        <f t="array" ref="AA13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17" t="str" cm="1">
        <f t="array" ref="AC1317">_xlfn.IFS(Table2[[#This Row],[Satification_points]]&gt;=4.5,"GREAT",AND(Table2[[#This Row],[Satification_points]]&gt;=4,Table2[[#This Row],[Satification_points]]&lt;4.5),"GOOD",AND(Table2[[#This Row],[Satification_points]]&gt;=3,Table2[[#This Row],[Satification_points]]&lt;4),"AVERAGE",Table2[[#This Row],[Satification_points]]&lt;3,"POOR")</f>
        <v>POOR</v>
      </c>
    </row>
    <row r="1318" spans="1:29" x14ac:dyDescent="0.3">
      <c r="A1318">
        <v>1317</v>
      </c>
      <c r="B1318">
        <v>97363</v>
      </c>
      <c r="C1318" t="s">
        <v>1362</v>
      </c>
      <c r="D1318" t="s">
        <v>41</v>
      </c>
      <c r="E1318" t="s">
        <v>52</v>
      </c>
      <c r="F1318" s="1">
        <v>45108</v>
      </c>
      <c r="G1318" s="1">
        <v>45545</v>
      </c>
      <c r="H1318">
        <v>10</v>
      </c>
      <c r="I1318" t="s">
        <v>28</v>
      </c>
      <c r="J1318" t="s">
        <v>36</v>
      </c>
      <c r="K1318">
        <v>3</v>
      </c>
      <c r="L1318">
        <v>1</v>
      </c>
      <c r="M1318">
        <v>4</v>
      </c>
      <c r="N1318">
        <v>4</v>
      </c>
      <c r="O1318">
        <v>3</v>
      </c>
      <c r="P1318">
        <v>3</v>
      </c>
      <c r="Q1318">
        <v>4</v>
      </c>
      <c r="R1318">
        <v>2</v>
      </c>
      <c r="S1318">
        <v>1</v>
      </c>
      <c r="T1318">
        <v>2</v>
      </c>
      <c r="U1318" t="s">
        <v>37</v>
      </c>
      <c r="V1318" t="s">
        <v>38</v>
      </c>
      <c r="W1318" t="s">
        <v>56</v>
      </c>
      <c r="X1318" t="s">
        <v>33</v>
      </c>
      <c r="Y1318">
        <v>62</v>
      </c>
      <c r="Z1318" s="1">
        <v>45545</v>
      </c>
      <c r="AA1318" t="str" cm="1">
        <f t="array" ref="AA1318">_xlfn.IFS(AND(Table2[[#This Row],[Guest_Age]]&gt;=18,Table2[[#This Row],[Guest_Age]]&lt;=25),"Young Adults",AND(Table2[[#This Row],[Guest_Age]]&gt;=26,Table2[[#This Row],[Guest_Age]]&lt;=35),"Adults",AND(Table2[[#This Row],[Guest_Age]]&gt;=36,Table2[[#This Row],[Guest_Age]]&lt;=50),"Middle Aged Adults",Table2[[#This Row],[Guest_Age]]&gt;50,"Senior")</f>
        <v>Senior</v>
      </c>
      <c r="AB13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18" t="str" cm="1">
        <f t="array" ref="AC1318">_xlfn.IFS(Table2[[#This Row],[Satification_points]]&gt;=4.5,"GREAT",AND(Table2[[#This Row],[Satification_points]]&gt;=4,Table2[[#This Row],[Satification_points]]&lt;4.5),"GOOD",AND(Table2[[#This Row],[Satification_points]]&gt;=3,Table2[[#This Row],[Satification_points]]&lt;4),"AVERAGE",Table2[[#This Row],[Satification_points]]&lt;3,"POOR")</f>
        <v>POOR</v>
      </c>
    </row>
    <row r="1319" spans="1:29" x14ac:dyDescent="0.3">
      <c r="A1319">
        <v>1318</v>
      </c>
      <c r="B1319">
        <v>70207</v>
      </c>
      <c r="C1319" t="s">
        <v>1363</v>
      </c>
      <c r="D1319" t="s">
        <v>48</v>
      </c>
      <c r="E1319" t="s">
        <v>35</v>
      </c>
      <c r="F1319" s="1">
        <v>45249</v>
      </c>
      <c r="G1319" s="1">
        <v>45502</v>
      </c>
      <c r="H1319">
        <v>13</v>
      </c>
      <c r="I1319" t="s">
        <v>50</v>
      </c>
      <c r="J1319" t="s">
        <v>43</v>
      </c>
      <c r="K1319">
        <v>4</v>
      </c>
      <c r="L1319">
        <v>5</v>
      </c>
      <c r="M1319">
        <v>3</v>
      </c>
      <c r="N1319">
        <v>1</v>
      </c>
      <c r="O1319">
        <v>1</v>
      </c>
      <c r="P1319">
        <v>3</v>
      </c>
      <c r="Q1319">
        <v>3</v>
      </c>
      <c r="R1319">
        <v>2</v>
      </c>
      <c r="S1319">
        <v>4</v>
      </c>
      <c r="T1319">
        <v>2</v>
      </c>
      <c r="U1319" t="s">
        <v>37</v>
      </c>
      <c r="V1319" t="s">
        <v>46</v>
      </c>
      <c r="W1319" t="s">
        <v>39</v>
      </c>
      <c r="X1319" t="s">
        <v>44</v>
      </c>
      <c r="Y1319">
        <v>56</v>
      </c>
      <c r="Z1319" s="1">
        <v>45502</v>
      </c>
      <c r="AA1319" t="str" cm="1">
        <f t="array" ref="AA1319">_xlfn.IFS(AND(Table2[[#This Row],[Guest_Age]]&gt;=18,Table2[[#This Row],[Guest_Age]]&lt;=25),"Young Adults",AND(Table2[[#This Row],[Guest_Age]]&gt;=26,Table2[[#This Row],[Guest_Age]]&lt;=35),"Adults",AND(Table2[[#This Row],[Guest_Age]]&gt;=36,Table2[[#This Row],[Guest_Age]]&lt;=50),"Middle Aged Adults",Table2[[#This Row],[Guest_Age]]&gt;50,"Senior")</f>
        <v>Senior</v>
      </c>
      <c r="AB13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19" t="str" cm="1">
        <f t="array" ref="AC1319">_xlfn.IFS(Table2[[#This Row],[Satification_points]]&gt;=4.5,"GREAT",AND(Table2[[#This Row],[Satification_points]]&gt;=4,Table2[[#This Row],[Satification_points]]&lt;4.5),"GOOD",AND(Table2[[#This Row],[Satification_points]]&gt;=3,Table2[[#This Row],[Satification_points]]&lt;4),"AVERAGE",Table2[[#This Row],[Satification_points]]&lt;3,"POOR")</f>
        <v>POOR</v>
      </c>
    </row>
    <row r="1320" spans="1:29" x14ac:dyDescent="0.3">
      <c r="A1320">
        <v>1319</v>
      </c>
      <c r="B1320">
        <v>32368</v>
      </c>
      <c r="C1320" t="s">
        <v>1364</v>
      </c>
      <c r="D1320" t="s">
        <v>34</v>
      </c>
      <c r="E1320" t="s">
        <v>27</v>
      </c>
      <c r="F1320" s="1">
        <v>45039</v>
      </c>
      <c r="G1320" s="1">
        <v>45324</v>
      </c>
      <c r="H1320">
        <v>9</v>
      </c>
      <c r="I1320" t="s">
        <v>42</v>
      </c>
      <c r="J1320" t="s">
        <v>53</v>
      </c>
      <c r="K1320">
        <v>2</v>
      </c>
      <c r="L1320">
        <v>3</v>
      </c>
      <c r="M1320">
        <v>1</v>
      </c>
      <c r="N1320">
        <v>1</v>
      </c>
      <c r="O1320">
        <v>3</v>
      </c>
      <c r="P1320">
        <v>5</v>
      </c>
      <c r="Q1320">
        <v>3</v>
      </c>
      <c r="R1320">
        <v>2</v>
      </c>
      <c r="S1320">
        <v>5</v>
      </c>
      <c r="T1320">
        <v>3</v>
      </c>
      <c r="U1320" t="s">
        <v>37</v>
      </c>
      <c r="V1320" t="s">
        <v>31</v>
      </c>
      <c r="W1320" t="s">
        <v>55</v>
      </c>
      <c r="X1320" t="s">
        <v>33</v>
      </c>
      <c r="Y1320">
        <v>66</v>
      </c>
      <c r="Z1320" s="1">
        <v>45324</v>
      </c>
      <c r="AA1320" t="str" cm="1">
        <f t="array" ref="AA1320">_xlfn.IFS(AND(Table2[[#This Row],[Guest_Age]]&gt;=18,Table2[[#This Row],[Guest_Age]]&lt;=25),"Young Adults",AND(Table2[[#This Row],[Guest_Age]]&gt;=26,Table2[[#This Row],[Guest_Age]]&lt;=35),"Adults",AND(Table2[[#This Row],[Guest_Age]]&gt;=36,Table2[[#This Row],[Guest_Age]]&lt;=50),"Middle Aged Adults",Table2[[#This Row],[Guest_Age]]&gt;50,"Senior")</f>
        <v>Senior</v>
      </c>
      <c r="AB13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20" t="str" cm="1">
        <f t="array" ref="AC1320">_xlfn.IFS(Table2[[#This Row],[Satification_points]]&gt;=4.5,"GREAT",AND(Table2[[#This Row],[Satification_points]]&gt;=4,Table2[[#This Row],[Satification_points]]&lt;4.5),"GOOD",AND(Table2[[#This Row],[Satification_points]]&gt;=3,Table2[[#This Row],[Satification_points]]&lt;4),"AVERAGE",Table2[[#This Row],[Satification_points]]&lt;3,"POOR")</f>
        <v>POOR</v>
      </c>
    </row>
    <row r="1321" spans="1:29" x14ac:dyDescent="0.3">
      <c r="A1321">
        <v>1320</v>
      </c>
      <c r="B1321">
        <v>35736</v>
      </c>
      <c r="C1321" t="s">
        <v>1365</v>
      </c>
      <c r="D1321" t="s">
        <v>51</v>
      </c>
      <c r="E1321" t="s">
        <v>45</v>
      </c>
      <c r="F1321" s="1">
        <v>45601</v>
      </c>
      <c r="G1321" s="1">
        <v>45602</v>
      </c>
      <c r="H1321">
        <v>6</v>
      </c>
      <c r="I1321" t="s">
        <v>49</v>
      </c>
      <c r="J1321" t="s">
        <v>36</v>
      </c>
      <c r="K1321">
        <v>5</v>
      </c>
      <c r="L1321">
        <v>2</v>
      </c>
      <c r="M1321">
        <v>3</v>
      </c>
      <c r="N1321">
        <v>1</v>
      </c>
      <c r="O1321">
        <v>2</v>
      </c>
      <c r="P1321">
        <v>4</v>
      </c>
      <c r="Q1321">
        <v>3</v>
      </c>
      <c r="R1321">
        <v>1</v>
      </c>
      <c r="S1321">
        <v>3</v>
      </c>
      <c r="T1321">
        <v>5</v>
      </c>
      <c r="U1321" t="s">
        <v>37</v>
      </c>
      <c r="V1321" t="s">
        <v>54</v>
      </c>
      <c r="W1321" t="s">
        <v>56</v>
      </c>
      <c r="X1321" t="s">
        <v>44</v>
      </c>
      <c r="Y1321">
        <v>64</v>
      </c>
      <c r="Z1321" s="1">
        <v>45602</v>
      </c>
      <c r="AA1321" t="str" cm="1">
        <f t="array" ref="AA1321">_xlfn.IFS(AND(Table2[[#This Row],[Guest_Age]]&gt;=18,Table2[[#This Row],[Guest_Age]]&lt;=25),"Young Adults",AND(Table2[[#This Row],[Guest_Age]]&gt;=26,Table2[[#This Row],[Guest_Age]]&lt;=35),"Adults",AND(Table2[[#This Row],[Guest_Age]]&gt;=36,Table2[[#This Row],[Guest_Age]]&lt;=50),"Middle Aged Adults",Table2[[#This Row],[Guest_Age]]&gt;50,"Senior")</f>
        <v>Senior</v>
      </c>
      <c r="AB13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21" t="str" cm="1">
        <f t="array" ref="AC1321">_xlfn.IFS(Table2[[#This Row],[Satification_points]]&gt;=4.5,"GREAT",AND(Table2[[#This Row],[Satification_points]]&gt;=4,Table2[[#This Row],[Satification_points]]&lt;4.5),"GOOD",AND(Table2[[#This Row],[Satification_points]]&gt;=3,Table2[[#This Row],[Satification_points]]&lt;4),"AVERAGE",Table2[[#This Row],[Satification_points]]&lt;3,"POOR")</f>
        <v>POOR</v>
      </c>
    </row>
    <row r="1322" spans="1:29" x14ac:dyDescent="0.3">
      <c r="A1322">
        <v>1321</v>
      </c>
      <c r="B1322">
        <v>27753</v>
      </c>
      <c r="C1322" t="s">
        <v>1366</v>
      </c>
      <c r="D1322" t="s">
        <v>48</v>
      </c>
      <c r="E1322" t="s">
        <v>45</v>
      </c>
      <c r="F1322" s="1">
        <v>45477</v>
      </c>
      <c r="G1322" s="1">
        <v>45483</v>
      </c>
      <c r="H1322">
        <v>3</v>
      </c>
      <c r="I1322" t="s">
        <v>50</v>
      </c>
      <c r="J1322" t="s">
        <v>53</v>
      </c>
      <c r="K1322">
        <v>3</v>
      </c>
      <c r="L1322">
        <v>1</v>
      </c>
      <c r="M1322">
        <v>1</v>
      </c>
      <c r="N1322">
        <v>4</v>
      </c>
      <c r="O1322">
        <v>5</v>
      </c>
      <c r="P1322">
        <v>4</v>
      </c>
      <c r="Q1322">
        <v>3</v>
      </c>
      <c r="R1322">
        <v>5</v>
      </c>
      <c r="S1322">
        <v>5</v>
      </c>
      <c r="T1322">
        <v>5</v>
      </c>
      <c r="U1322" t="s">
        <v>37</v>
      </c>
      <c r="V1322" t="s">
        <v>31</v>
      </c>
      <c r="W1322" t="s">
        <v>47</v>
      </c>
      <c r="X1322" t="s">
        <v>44</v>
      </c>
      <c r="Y1322">
        <v>54</v>
      </c>
      <c r="Z1322" s="1">
        <v>45483</v>
      </c>
      <c r="AA1322" t="str" cm="1">
        <f t="array" ref="AA1322">_xlfn.IFS(AND(Table2[[#This Row],[Guest_Age]]&gt;=18,Table2[[#This Row],[Guest_Age]]&lt;=25),"Young Adults",AND(Table2[[#This Row],[Guest_Age]]&gt;=26,Table2[[#This Row],[Guest_Age]]&lt;=35),"Adults",AND(Table2[[#This Row],[Guest_Age]]&gt;=36,Table2[[#This Row],[Guest_Age]]&lt;=50),"Middle Aged Adults",Table2[[#This Row],[Guest_Age]]&gt;50,"Senior")</f>
        <v>Senior</v>
      </c>
      <c r="AB13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22" t="str" cm="1">
        <f t="array" ref="AC1322">_xlfn.IFS(Table2[[#This Row],[Satification_points]]&gt;=4.5,"GREAT",AND(Table2[[#This Row],[Satification_points]]&gt;=4,Table2[[#This Row],[Satification_points]]&lt;4.5),"GOOD",AND(Table2[[#This Row],[Satification_points]]&gt;=3,Table2[[#This Row],[Satification_points]]&lt;4),"AVERAGE",Table2[[#This Row],[Satification_points]]&lt;3,"POOR")</f>
        <v>AVERAGE</v>
      </c>
    </row>
    <row r="1323" spans="1:29" x14ac:dyDescent="0.3">
      <c r="A1323">
        <v>1322</v>
      </c>
      <c r="B1323">
        <v>13571</v>
      </c>
      <c r="C1323" t="s">
        <v>1367</v>
      </c>
      <c r="D1323" t="s">
        <v>51</v>
      </c>
      <c r="E1323" t="s">
        <v>27</v>
      </c>
      <c r="F1323" s="1">
        <v>45161</v>
      </c>
      <c r="G1323" s="1">
        <v>45588</v>
      </c>
      <c r="H1323">
        <v>12</v>
      </c>
      <c r="I1323" t="s">
        <v>42</v>
      </c>
      <c r="J1323" t="s">
        <v>43</v>
      </c>
      <c r="K1323">
        <v>4</v>
      </c>
      <c r="L1323">
        <v>1</v>
      </c>
      <c r="M1323">
        <v>2</v>
      </c>
      <c r="N1323">
        <v>1</v>
      </c>
      <c r="O1323">
        <v>2</v>
      </c>
      <c r="P1323">
        <v>3</v>
      </c>
      <c r="Q1323">
        <v>4</v>
      </c>
      <c r="R1323">
        <v>5</v>
      </c>
      <c r="S1323">
        <v>5</v>
      </c>
      <c r="T1323">
        <v>1</v>
      </c>
      <c r="U1323" t="s">
        <v>37</v>
      </c>
      <c r="V1323" t="s">
        <v>38</v>
      </c>
      <c r="W1323" t="s">
        <v>39</v>
      </c>
      <c r="X1323" t="s">
        <v>33</v>
      </c>
      <c r="Y1323">
        <v>44</v>
      </c>
      <c r="Z1323" s="1">
        <v>45588</v>
      </c>
      <c r="AA1323" t="str" cm="1">
        <f t="array" ref="AA132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23" t="str" cm="1">
        <f t="array" ref="AC1323">_xlfn.IFS(Table2[[#This Row],[Satification_points]]&gt;=4.5,"GREAT",AND(Table2[[#This Row],[Satification_points]]&gt;=4,Table2[[#This Row],[Satification_points]]&lt;4.5),"GOOD",AND(Table2[[#This Row],[Satification_points]]&gt;=3,Table2[[#This Row],[Satification_points]]&lt;4),"AVERAGE",Table2[[#This Row],[Satification_points]]&lt;3,"POOR")</f>
        <v>POOR</v>
      </c>
    </row>
    <row r="1324" spans="1:29" x14ac:dyDescent="0.3">
      <c r="A1324">
        <v>1323</v>
      </c>
      <c r="B1324">
        <v>36798</v>
      </c>
      <c r="C1324" t="s">
        <v>1368</v>
      </c>
      <c r="D1324" t="s">
        <v>51</v>
      </c>
      <c r="E1324" t="s">
        <v>35</v>
      </c>
      <c r="F1324" s="1">
        <v>45431</v>
      </c>
      <c r="G1324" s="1">
        <v>45432</v>
      </c>
      <c r="H1324">
        <v>12</v>
      </c>
      <c r="I1324" t="s">
        <v>28</v>
      </c>
      <c r="J1324" t="s">
        <v>43</v>
      </c>
      <c r="K1324">
        <v>3</v>
      </c>
      <c r="L1324">
        <v>3</v>
      </c>
      <c r="M1324">
        <v>3</v>
      </c>
      <c r="N1324">
        <v>1</v>
      </c>
      <c r="O1324">
        <v>1</v>
      </c>
      <c r="P1324">
        <v>4</v>
      </c>
      <c r="Q1324">
        <v>3</v>
      </c>
      <c r="R1324">
        <v>2</v>
      </c>
      <c r="S1324">
        <v>2</v>
      </c>
      <c r="T1324">
        <v>4</v>
      </c>
      <c r="U1324" t="s">
        <v>37</v>
      </c>
      <c r="V1324" t="s">
        <v>54</v>
      </c>
      <c r="W1324" t="s">
        <v>56</v>
      </c>
      <c r="X1324" t="s">
        <v>33</v>
      </c>
      <c r="Y1324">
        <v>27</v>
      </c>
      <c r="Z1324" s="1">
        <v>45531</v>
      </c>
      <c r="AA1324" t="str" cm="1">
        <f t="array" ref="AA1324">_xlfn.IFS(AND(Table2[[#This Row],[Guest_Age]]&gt;=18,Table2[[#This Row],[Guest_Age]]&lt;=25),"Young Adults",AND(Table2[[#This Row],[Guest_Age]]&gt;=26,Table2[[#This Row],[Guest_Age]]&lt;=35),"Adults",AND(Table2[[#This Row],[Guest_Age]]&gt;=36,Table2[[#This Row],[Guest_Age]]&lt;=50),"Middle Aged Adults",Table2[[#This Row],[Guest_Age]]&gt;50,"Senior")</f>
        <v>Adults</v>
      </c>
      <c r="AB13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24" t="str" cm="1">
        <f t="array" ref="AC1324">_xlfn.IFS(Table2[[#This Row],[Satification_points]]&gt;=4.5,"GREAT",AND(Table2[[#This Row],[Satification_points]]&gt;=4,Table2[[#This Row],[Satification_points]]&lt;4.5),"GOOD",AND(Table2[[#This Row],[Satification_points]]&gt;=3,Table2[[#This Row],[Satification_points]]&lt;4),"AVERAGE",Table2[[#This Row],[Satification_points]]&lt;3,"POOR")</f>
        <v>POOR</v>
      </c>
    </row>
    <row r="1325" spans="1:29" x14ac:dyDescent="0.3">
      <c r="A1325">
        <v>1324</v>
      </c>
      <c r="B1325">
        <v>43256</v>
      </c>
      <c r="C1325" t="s">
        <v>1369</v>
      </c>
      <c r="D1325" t="s">
        <v>41</v>
      </c>
      <c r="E1325" t="s">
        <v>45</v>
      </c>
      <c r="F1325" s="1">
        <v>44997</v>
      </c>
      <c r="G1325" s="1">
        <v>45415</v>
      </c>
      <c r="H1325">
        <v>10</v>
      </c>
      <c r="I1325" t="s">
        <v>49</v>
      </c>
      <c r="J1325" t="s">
        <v>40</v>
      </c>
      <c r="K1325">
        <v>2</v>
      </c>
      <c r="L1325">
        <v>1</v>
      </c>
      <c r="M1325">
        <v>2</v>
      </c>
      <c r="N1325">
        <v>4</v>
      </c>
      <c r="O1325">
        <v>5</v>
      </c>
      <c r="P1325">
        <v>1</v>
      </c>
      <c r="Q1325">
        <v>4</v>
      </c>
      <c r="R1325">
        <v>5</v>
      </c>
      <c r="S1325">
        <v>1</v>
      </c>
      <c r="T1325">
        <v>4</v>
      </c>
      <c r="U1325" t="s">
        <v>30</v>
      </c>
      <c r="V1325" t="s">
        <v>46</v>
      </c>
      <c r="W1325" t="s">
        <v>56</v>
      </c>
      <c r="X1325" t="s">
        <v>40</v>
      </c>
      <c r="Y1325">
        <v>39</v>
      </c>
      <c r="Z1325" s="1">
        <v>45415</v>
      </c>
      <c r="AA1325" t="str" cm="1">
        <f t="array" ref="AA13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25" t="str" cm="1">
        <f t="array" ref="AC1325">_xlfn.IFS(Table2[[#This Row],[Satification_points]]&gt;=4.5,"GREAT",AND(Table2[[#This Row],[Satification_points]]&gt;=4,Table2[[#This Row],[Satification_points]]&lt;4.5),"GOOD",AND(Table2[[#This Row],[Satification_points]]&gt;=3,Table2[[#This Row],[Satification_points]]&lt;4),"AVERAGE",Table2[[#This Row],[Satification_points]]&lt;3,"POOR")</f>
        <v>POOR</v>
      </c>
    </row>
    <row r="1326" spans="1:29" x14ac:dyDescent="0.3">
      <c r="A1326">
        <v>1325</v>
      </c>
      <c r="B1326">
        <v>57419</v>
      </c>
      <c r="C1326" t="s">
        <v>1370</v>
      </c>
      <c r="D1326" t="s">
        <v>51</v>
      </c>
      <c r="E1326" t="s">
        <v>35</v>
      </c>
      <c r="F1326" s="1">
        <v>45145</v>
      </c>
      <c r="G1326" s="1">
        <v>45146</v>
      </c>
      <c r="H1326">
        <v>12</v>
      </c>
      <c r="I1326" t="s">
        <v>28</v>
      </c>
      <c r="J1326" t="s">
        <v>29</v>
      </c>
      <c r="K1326">
        <v>3</v>
      </c>
      <c r="L1326">
        <v>2</v>
      </c>
      <c r="M1326">
        <v>2</v>
      </c>
      <c r="N1326">
        <v>4</v>
      </c>
      <c r="O1326">
        <v>1</v>
      </c>
      <c r="P1326">
        <v>1</v>
      </c>
      <c r="Q1326">
        <v>2</v>
      </c>
      <c r="R1326">
        <v>2</v>
      </c>
      <c r="S1326">
        <v>1</v>
      </c>
      <c r="T1326">
        <v>2</v>
      </c>
      <c r="U1326" t="s">
        <v>37</v>
      </c>
      <c r="V1326" t="s">
        <v>31</v>
      </c>
      <c r="W1326" t="s">
        <v>55</v>
      </c>
      <c r="X1326" t="s">
        <v>44</v>
      </c>
      <c r="Y1326">
        <v>61</v>
      </c>
      <c r="Z1326" s="1">
        <v>45637</v>
      </c>
      <c r="AA1326" t="str" cm="1">
        <f t="array" ref="AA1326">_xlfn.IFS(AND(Table2[[#This Row],[Guest_Age]]&gt;=18,Table2[[#This Row],[Guest_Age]]&lt;=25),"Young Adults",AND(Table2[[#This Row],[Guest_Age]]&gt;=26,Table2[[#This Row],[Guest_Age]]&lt;=35),"Adults",AND(Table2[[#This Row],[Guest_Age]]&gt;=36,Table2[[#This Row],[Guest_Age]]&lt;=50),"Middle Aged Adults",Table2[[#This Row],[Guest_Age]]&gt;50,"Senior")</f>
        <v>Senior</v>
      </c>
      <c r="AB13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326" t="str" cm="1">
        <f t="array" ref="AC1326">_xlfn.IFS(Table2[[#This Row],[Satification_points]]&gt;=4.5,"GREAT",AND(Table2[[#This Row],[Satification_points]]&gt;=4,Table2[[#This Row],[Satification_points]]&lt;4.5),"GOOD",AND(Table2[[#This Row],[Satification_points]]&gt;=3,Table2[[#This Row],[Satification_points]]&lt;4),"AVERAGE",Table2[[#This Row],[Satification_points]]&lt;3,"POOR")</f>
        <v>POOR</v>
      </c>
    </row>
    <row r="1327" spans="1:29" x14ac:dyDescent="0.3">
      <c r="A1327">
        <v>1326</v>
      </c>
      <c r="B1327">
        <v>86595</v>
      </c>
      <c r="C1327" t="s">
        <v>1371</v>
      </c>
      <c r="D1327" t="s">
        <v>26</v>
      </c>
      <c r="E1327" t="s">
        <v>27</v>
      </c>
      <c r="F1327" s="1">
        <v>45443</v>
      </c>
      <c r="G1327" s="1">
        <v>45614</v>
      </c>
      <c r="H1327">
        <v>7</v>
      </c>
      <c r="I1327" t="s">
        <v>28</v>
      </c>
      <c r="J1327" t="s">
        <v>29</v>
      </c>
      <c r="K1327">
        <v>3</v>
      </c>
      <c r="L1327">
        <v>3</v>
      </c>
      <c r="M1327">
        <v>5</v>
      </c>
      <c r="N1327">
        <v>1</v>
      </c>
      <c r="O1327">
        <v>5</v>
      </c>
      <c r="P1327">
        <v>5</v>
      </c>
      <c r="Q1327">
        <v>1</v>
      </c>
      <c r="R1327">
        <v>3</v>
      </c>
      <c r="S1327">
        <v>2</v>
      </c>
      <c r="T1327">
        <v>2</v>
      </c>
      <c r="U1327" t="s">
        <v>30</v>
      </c>
      <c r="V1327" t="s">
        <v>58</v>
      </c>
      <c r="W1327" t="s">
        <v>32</v>
      </c>
      <c r="X1327" t="s">
        <v>40</v>
      </c>
      <c r="Y1327">
        <v>68</v>
      </c>
      <c r="Z1327" s="1">
        <v>45614</v>
      </c>
      <c r="AA1327" t="str" cm="1">
        <f t="array" ref="AA1327">_xlfn.IFS(AND(Table2[[#This Row],[Guest_Age]]&gt;=18,Table2[[#This Row],[Guest_Age]]&lt;=25),"Young Adults",AND(Table2[[#This Row],[Guest_Age]]&gt;=26,Table2[[#This Row],[Guest_Age]]&lt;=35),"Adults",AND(Table2[[#This Row],[Guest_Age]]&gt;=36,Table2[[#This Row],[Guest_Age]]&lt;=50),"Middle Aged Adults",Table2[[#This Row],[Guest_Age]]&gt;50,"Senior")</f>
        <v>Senior</v>
      </c>
      <c r="AB13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27" t="str" cm="1">
        <f t="array" ref="AC1327">_xlfn.IFS(Table2[[#This Row],[Satification_points]]&gt;=4.5,"GREAT",AND(Table2[[#This Row],[Satification_points]]&gt;=4,Table2[[#This Row],[Satification_points]]&lt;4.5),"GOOD",AND(Table2[[#This Row],[Satification_points]]&gt;=3,Table2[[#This Row],[Satification_points]]&lt;4),"AVERAGE",Table2[[#This Row],[Satification_points]]&lt;3,"POOR")</f>
        <v>AVERAGE</v>
      </c>
    </row>
    <row r="1328" spans="1:29" x14ac:dyDescent="0.3">
      <c r="A1328">
        <v>1327</v>
      </c>
      <c r="B1328">
        <v>40624</v>
      </c>
      <c r="C1328" t="s">
        <v>1372</v>
      </c>
      <c r="D1328" t="s">
        <v>51</v>
      </c>
      <c r="E1328" t="s">
        <v>45</v>
      </c>
      <c r="F1328" s="1">
        <v>45091</v>
      </c>
      <c r="G1328" s="1">
        <v>45092</v>
      </c>
      <c r="H1328">
        <v>4</v>
      </c>
      <c r="I1328" t="s">
        <v>49</v>
      </c>
      <c r="J1328" t="s">
        <v>36</v>
      </c>
      <c r="K1328">
        <v>4</v>
      </c>
      <c r="L1328">
        <v>4</v>
      </c>
      <c r="M1328">
        <v>3</v>
      </c>
      <c r="N1328">
        <v>1</v>
      </c>
      <c r="O1328">
        <v>1</v>
      </c>
      <c r="P1328">
        <v>2</v>
      </c>
      <c r="Q1328">
        <v>4</v>
      </c>
      <c r="R1328">
        <v>5</v>
      </c>
      <c r="S1328">
        <v>2</v>
      </c>
      <c r="T1328">
        <v>3</v>
      </c>
      <c r="U1328" t="s">
        <v>30</v>
      </c>
      <c r="V1328" t="s">
        <v>38</v>
      </c>
      <c r="W1328" t="s">
        <v>39</v>
      </c>
      <c r="X1328" t="s">
        <v>33</v>
      </c>
      <c r="Y1328">
        <v>35</v>
      </c>
      <c r="Z1328" s="1">
        <v>45144</v>
      </c>
      <c r="AA1328" t="str" cm="1">
        <f t="array" ref="AA1328">_xlfn.IFS(AND(Table2[[#This Row],[Guest_Age]]&gt;=18,Table2[[#This Row],[Guest_Age]]&lt;=25),"Young Adults",AND(Table2[[#This Row],[Guest_Age]]&gt;=26,Table2[[#This Row],[Guest_Age]]&lt;=35),"Adults",AND(Table2[[#This Row],[Guest_Age]]&gt;=36,Table2[[#This Row],[Guest_Age]]&lt;=50),"Middle Aged Adults",Table2[[#This Row],[Guest_Age]]&gt;50,"Senior")</f>
        <v>Adults</v>
      </c>
      <c r="AB13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28" t="str" cm="1">
        <f t="array" ref="AC1328">_xlfn.IFS(Table2[[#This Row],[Satification_points]]&gt;=4.5,"GREAT",AND(Table2[[#This Row],[Satification_points]]&gt;=4,Table2[[#This Row],[Satification_points]]&lt;4.5),"GOOD",AND(Table2[[#This Row],[Satification_points]]&gt;=3,Table2[[#This Row],[Satification_points]]&lt;4),"AVERAGE",Table2[[#This Row],[Satification_points]]&lt;3,"POOR")</f>
        <v>POOR</v>
      </c>
    </row>
    <row r="1329" spans="1:29" x14ac:dyDescent="0.3">
      <c r="A1329">
        <v>1328</v>
      </c>
      <c r="B1329">
        <v>19056</v>
      </c>
      <c r="C1329" t="s">
        <v>1373</v>
      </c>
      <c r="D1329" t="s">
        <v>26</v>
      </c>
      <c r="E1329" t="s">
        <v>57</v>
      </c>
      <c r="F1329" s="1">
        <v>45439</v>
      </c>
      <c r="G1329" s="1">
        <v>45440</v>
      </c>
      <c r="H1329">
        <v>13</v>
      </c>
      <c r="I1329" t="s">
        <v>50</v>
      </c>
      <c r="J1329" t="s">
        <v>53</v>
      </c>
      <c r="K1329">
        <v>5</v>
      </c>
      <c r="L1329">
        <v>2</v>
      </c>
      <c r="M1329">
        <v>5</v>
      </c>
      <c r="N1329">
        <v>1</v>
      </c>
      <c r="O1329">
        <v>2</v>
      </c>
      <c r="P1329">
        <v>3</v>
      </c>
      <c r="Q1329">
        <v>3</v>
      </c>
      <c r="R1329">
        <v>1</v>
      </c>
      <c r="S1329">
        <v>4</v>
      </c>
      <c r="T1329">
        <v>5</v>
      </c>
      <c r="U1329" t="s">
        <v>30</v>
      </c>
      <c r="V1329" t="s">
        <v>54</v>
      </c>
      <c r="W1329" t="s">
        <v>39</v>
      </c>
      <c r="X1329" t="s">
        <v>33</v>
      </c>
      <c r="Y1329">
        <v>21</v>
      </c>
      <c r="Z1329" s="1">
        <v>45440</v>
      </c>
      <c r="AA1329" t="str" cm="1">
        <f t="array" ref="AA1329">_xlfn.IFS(AND(Table2[[#This Row],[Guest_Age]]&gt;=18,Table2[[#This Row],[Guest_Age]]&lt;=25),"Young Adults",AND(Table2[[#This Row],[Guest_Age]]&gt;=26,Table2[[#This Row],[Guest_Age]]&lt;=35),"Adults",AND(Table2[[#This Row],[Guest_Age]]&gt;=36,Table2[[#This Row],[Guest_Age]]&lt;=50),"Middle Aged Adults",Table2[[#This Row],[Guest_Age]]&gt;50,"Senior")</f>
        <v>Young Adults</v>
      </c>
      <c r="AB13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29" t="str" cm="1">
        <f t="array" ref="AC1329">_xlfn.IFS(Table2[[#This Row],[Satification_points]]&gt;=4.5,"GREAT",AND(Table2[[#This Row],[Satification_points]]&gt;=4,Table2[[#This Row],[Satification_points]]&lt;4.5),"GOOD",AND(Table2[[#This Row],[Satification_points]]&gt;=3,Table2[[#This Row],[Satification_points]]&lt;4),"AVERAGE",Table2[[#This Row],[Satification_points]]&lt;3,"POOR")</f>
        <v>AVERAGE</v>
      </c>
    </row>
    <row r="1330" spans="1:29" x14ac:dyDescent="0.3">
      <c r="A1330">
        <v>1329</v>
      </c>
      <c r="B1330">
        <v>73279</v>
      </c>
      <c r="C1330" t="s">
        <v>1374</v>
      </c>
      <c r="D1330" t="s">
        <v>51</v>
      </c>
      <c r="E1330" t="s">
        <v>57</v>
      </c>
      <c r="F1330" s="1">
        <v>45307</v>
      </c>
      <c r="G1330" s="1">
        <v>45572</v>
      </c>
      <c r="H1330">
        <v>3</v>
      </c>
      <c r="I1330" t="s">
        <v>50</v>
      </c>
      <c r="J1330" t="s">
        <v>29</v>
      </c>
      <c r="K1330">
        <v>5</v>
      </c>
      <c r="L1330">
        <v>2</v>
      </c>
      <c r="M1330">
        <v>5</v>
      </c>
      <c r="N1330">
        <v>4</v>
      </c>
      <c r="O1330">
        <v>2</v>
      </c>
      <c r="P1330">
        <v>3</v>
      </c>
      <c r="Q1330">
        <v>2</v>
      </c>
      <c r="R1330">
        <v>4</v>
      </c>
      <c r="S1330">
        <v>1</v>
      </c>
      <c r="T1330">
        <v>4</v>
      </c>
      <c r="U1330" t="s">
        <v>37</v>
      </c>
      <c r="V1330" t="s">
        <v>58</v>
      </c>
      <c r="W1330" t="s">
        <v>39</v>
      </c>
      <c r="X1330" t="s">
        <v>44</v>
      </c>
      <c r="Y1330">
        <v>62</v>
      </c>
      <c r="Z1330" s="1">
        <v>45572</v>
      </c>
      <c r="AA1330" t="str" cm="1">
        <f t="array" ref="AA1330">_xlfn.IFS(AND(Table2[[#This Row],[Guest_Age]]&gt;=18,Table2[[#This Row],[Guest_Age]]&lt;=25),"Young Adults",AND(Table2[[#This Row],[Guest_Age]]&gt;=26,Table2[[#This Row],[Guest_Age]]&lt;=35),"Adults",AND(Table2[[#This Row],[Guest_Age]]&gt;=36,Table2[[#This Row],[Guest_Age]]&lt;=50),"Middle Aged Adults",Table2[[#This Row],[Guest_Age]]&gt;50,"Senior")</f>
        <v>Senior</v>
      </c>
      <c r="AB13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330" t="str" cm="1">
        <f t="array" ref="AC1330">_xlfn.IFS(Table2[[#This Row],[Satification_points]]&gt;=4.5,"GREAT",AND(Table2[[#This Row],[Satification_points]]&gt;=4,Table2[[#This Row],[Satification_points]]&lt;4.5),"GOOD",AND(Table2[[#This Row],[Satification_points]]&gt;=3,Table2[[#This Row],[Satification_points]]&lt;4),"AVERAGE",Table2[[#This Row],[Satification_points]]&lt;3,"POOR")</f>
        <v>AVERAGE</v>
      </c>
    </row>
    <row r="1331" spans="1:29" x14ac:dyDescent="0.3">
      <c r="A1331">
        <v>1330</v>
      </c>
      <c r="B1331">
        <v>28564</v>
      </c>
      <c r="C1331" t="s">
        <v>1375</v>
      </c>
      <c r="D1331" t="s">
        <v>48</v>
      </c>
      <c r="E1331" t="s">
        <v>45</v>
      </c>
      <c r="F1331" s="1">
        <v>45110</v>
      </c>
      <c r="G1331" s="1">
        <v>45214</v>
      </c>
      <c r="H1331">
        <v>12</v>
      </c>
      <c r="I1331" t="s">
        <v>50</v>
      </c>
      <c r="J1331" t="s">
        <v>36</v>
      </c>
      <c r="K1331">
        <v>4</v>
      </c>
      <c r="L1331">
        <v>5</v>
      </c>
      <c r="M1331">
        <v>2</v>
      </c>
      <c r="N1331">
        <v>5</v>
      </c>
      <c r="O1331">
        <v>2</v>
      </c>
      <c r="P1331">
        <v>2</v>
      </c>
      <c r="Q1331">
        <v>2</v>
      </c>
      <c r="R1331">
        <v>1</v>
      </c>
      <c r="S1331">
        <v>5</v>
      </c>
      <c r="T1331">
        <v>1</v>
      </c>
      <c r="U1331" t="s">
        <v>37</v>
      </c>
      <c r="V1331" t="s">
        <v>46</v>
      </c>
      <c r="W1331" t="s">
        <v>39</v>
      </c>
      <c r="X1331" t="s">
        <v>44</v>
      </c>
      <c r="Y1331">
        <v>52</v>
      </c>
      <c r="Z1331" s="1">
        <v>45214</v>
      </c>
      <c r="AA1331" t="str" cm="1">
        <f t="array" ref="AA1331">_xlfn.IFS(AND(Table2[[#This Row],[Guest_Age]]&gt;=18,Table2[[#This Row],[Guest_Age]]&lt;=25),"Young Adults",AND(Table2[[#This Row],[Guest_Age]]&gt;=26,Table2[[#This Row],[Guest_Age]]&lt;=35),"Adults",AND(Table2[[#This Row],[Guest_Age]]&gt;=36,Table2[[#This Row],[Guest_Age]]&lt;=50),"Middle Aged Adults",Table2[[#This Row],[Guest_Age]]&gt;50,"Senior")</f>
        <v>Senior</v>
      </c>
      <c r="AB13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31" t="str" cm="1">
        <f t="array" ref="AC1331">_xlfn.IFS(Table2[[#This Row],[Satification_points]]&gt;=4.5,"GREAT",AND(Table2[[#This Row],[Satification_points]]&gt;=4,Table2[[#This Row],[Satification_points]]&lt;4.5),"GOOD",AND(Table2[[#This Row],[Satification_points]]&gt;=3,Table2[[#This Row],[Satification_points]]&lt;4),"AVERAGE",Table2[[#This Row],[Satification_points]]&lt;3,"POOR")</f>
        <v>POOR</v>
      </c>
    </row>
    <row r="1332" spans="1:29" x14ac:dyDescent="0.3">
      <c r="A1332">
        <v>1331</v>
      </c>
      <c r="B1332">
        <v>21220</v>
      </c>
      <c r="C1332" t="s">
        <v>1376</v>
      </c>
      <c r="D1332" t="s">
        <v>41</v>
      </c>
      <c r="E1332" t="s">
        <v>52</v>
      </c>
      <c r="F1332" s="1">
        <v>45295</v>
      </c>
      <c r="G1332" s="1">
        <v>45595</v>
      </c>
      <c r="H1332">
        <v>7</v>
      </c>
      <c r="I1332" t="s">
        <v>28</v>
      </c>
      <c r="J1332" t="s">
        <v>43</v>
      </c>
      <c r="K1332">
        <v>4</v>
      </c>
      <c r="L1332">
        <v>4</v>
      </c>
      <c r="M1332">
        <v>4</v>
      </c>
      <c r="N1332">
        <v>2</v>
      </c>
      <c r="O1332">
        <v>2</v>
      </c>
      <c r="P1332">
        <v>4</v>
      </c>
      <c r="Q1332">
        <v>5</v>
      </c>
      <c r="R1332">
        <v>1</v>
      </c>
      <c r="S1332">
        <v>4</v>
      </c>
      <c r="T1332">
        <v>4</v>
      </c>
      <c r="U1332" t="s">
        <v>30</v>
      </c>
      <c r="V1332" t="s">
        <v>46</v>
      </c>
      <c r="W1332" t="s">
        <v>32</v>
      </c>
      <c r="X1332" t="s">
        <v>33</v>
      </c>
      <c r="Y1332">
        <v>55</v>
      </c>
      <c r="Z1332" s="1">
        <v>45595</v>
      </c>
      <c r="AA1332" t="str" cm="1">
        <f t="array" ref="AA1332">_xlfn.IFS(AND(Table2[[#This Row],[Guest_Age]]&gt;=18,Table2[[#This Row],[Guest_Age]]&lt;=25),"Young Adults",AND(Table2[[#This Row],[Guest_Age]]&gt;=26,Table2[[#This Row],[Guest_Age]]&lt;=35),"Adults",AND(Table2[[#This Row],[Guest_Age]]&gt;=36,Table2[[#This Row],[Guest_Age]]&lt;=50),"Middle Aged Adults",Table2[[#This Row],[Guest_Age]]&gt;50,"Senior")</f>
        <v>Senior</v>
      </c>
      <c r="AB13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32" t="str" cm="1">
        <f t="array" ref="AC1332">_xlfn.IFS(Table2[[#This Row],[Satification_points]]&gt;=4.5,"GREAT",AND(Table2[[#This Row],[Satification_points]]&gt;=4,Table2[[#This Row],[Satification_points]]&lt;4.5),"GOOD",AND(Table2[[#This Row],[Satification_points]]&gt;=3,Table2[[#This Row],[Satification_points]]&lt;4),"AVERAGE",Table2[[#This Row],[Satification_points]]&lt;3,"POOR")</f>
        <v>AVERAGE</v>
      </c>
    </row>
    <row r="1333" spans="1:29" x14ac:dyDescent="0.3">
      <c r="A1333">
        <v>1332</v>
      </c>
      <c r="B1333">
        <v>21290</v>
      </c>
      <c r="C1333" t="s">
        <v>1377</v>
      </c>
      <c r="D1333" t="s">
        <v>48</v>
      </c>
      <c r="E1333" t="s">
        <v>45</v>
      </c>
      <c r="F1333" s="1">
        <v>45374</v>
      </c>
      <c r="G1333" s="1">
        <v>45375</v>
      </c>
      <c r="H1333">
        <v>6</v>
      </c>
      <c r="I1333" t="s">
        <v>28</v>
      </c>
      <c r="J1333" t="s">
        <v>29</v>
      </c>
      <c r="K1333">
        <v>1</v>
      </c>
      <c r="L1333">
        <v>4</v>
      </c>
      <c r="M1333">
        <v>2</v>
      </c>
      <c r="N1333">
        <v>3</v>
      </c>
      <c r="O1333">
        <v>5</v>
      </c>
      <c r="P1333">
        <v>1</v>
      </c>
      <c r="Q1333">
        <v>5</v>
      </c>
      <c r="R1333">
        <v>4</v>
      </c>
      <c r="S1333">
        <v>1</v>
      </c>
      <c r="T1333">
        <v>4</v>
      </c>
      <c r="U1333" t="s">
        <v>37</v>
      </c>
      <c r="V1333" t="s">
        <v>31</v>
      </c>
      <c r="W1333" t="s">
        <v>56</v>
      </c>
      <c r="X1333" t="s">
        <v>40</v>
      </c>
      <c r="Y1333">
        <v>55</v>
      </c>
      <c r="Z1333" s="1">
        <v>45375</v>
      </c>
      <c r="AA1333" t="str" cm="1">
        <f t="array" ref="AA1333">_xlfn.IFS(AND(Table2[[#This Row],[Guest_Age]]&gt;=18,Table2[[#This Row],[Guest_Age]]&lt;=25),"Young Adults",AND(Table2[[#This Row],[Guest_Age]]&gt;=26,Table2[[#This Row],[Guest_Age]]&lt;=35),"Adults",AND(Table2[[#This Row],[Guest_Age]]&gt;=36,Table2[[#This Row],[Guest_Age]]&lt;=50),"Middle Aged Adults",Table2[[#This Row],[Guest_Age]]&gt;50,"Senior")</f>
        <v>Senior</v>
      </c>
      <c r="AB13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33" t="str" cm="1">
        <f t="array" ref="AC1333">_xlfn.IFS(Table2[[#This Row],[Satification_points]]&gt;=4.5,"GREAT",AND(Table2[[#This Row],[Satification_points]]&gt;=4,Table2[[#This Row],[Satification_points]]&lt;4.5),"GOOD",AND(Table2[[#This Row],[Satification_points]]&gt;=3,Table2[[#This Row],[Satification_points]]&lt;4),"AVERAGE",Table2[[#This Row],[Satification_points]]&lt;3,"POOR")</f>
        <v>AVERAGE</v>
      </c>
    </row>
    <row r="1334" spans="1:29" x14ac:dyDescent="0.3">
      <c r="A1334">
        <v>1333</v>
      </c>
      <c r="B1334">
        <v>62480</v>
      </c>
      <c r="C1334" t="s">
        <v>1378</v>
      </c>
      <c r="D1334" t="s">
        <v>41</v>
      </c>
      <c r="E1334" t="s">
        <v>45</v>
      </c>
      <c r="F1334" s="1">
        <v>44934</v>
      </c>
      <c r="G1334" s="1">
        <v>45566</v>
      </c>
      <c r="H1334">
        <v>14</v>
      </c>
      <c r="I1334" t="s">
        <v>50</v>
      </c>
      <c r="J1334" t="s">
        <v>53</v>
      </c>
      <c r="K1334">
        <v>1</v>
      </c>
      <c r="L1334">
        <v>3</v>
      </c>
      <c r="M1334">
        <v>2</v>
      </c>
      <c r="N1334">
        <v>2</v>
      </c>
      <c r="O1334">
        <v>4</v>
      </c>
      <c r="P1334">
        <v>1</v>
      </c>
      <c r="Q1334">
        <v>1</v>
      </c>
      <c r="R1334">
        <v>2</v>
      </c>
      <c r="S1334">
        <v>3</v>
      </c>
      <c r="T1334">
        <v>4</v>
      </c>
      <c r="U1334" t="s">
        <v>30</v>
      </c>
      <c r="V1334" t="s">
        <v>38</v>
      </c>
      <c r="W1334" t="s">
        <v>56</v>
      </c>
      <c r="X1334" t="s">
        <v>44</v>
      </c>
      <c r="Y1334">
        <v>53</v>
      </c>
      <c r="Z1334" s="1">
        <v>45566</v>
      </c>
      <c r="AA1334" t="str" cm="1">
        <f t="array" ref="AA1334">_xlfn.IFS(AND(Table2[[#This Row],[Guest_Age]]&gt;=18,Table2[[#This Row],[Guest_Age]]&lt;=25),"Young Adults",AND(Table2[[#This Row],[Guest_Age]]&gt;=26,Table2[[#This Row],[Guest_Age]]&lt;=35),"Adults",AND(Table2[[#This Row],[Guest_Age]]&gt;=36,Table2[[#This Row],[Guest_Age]]&lt;=50),"Middle Aged Adults",Table2[[#This Row],[Guest_Age]]&gt;50,"Senior")</f>
        <v>Senior</v>
      </c>
      <c r="AB13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334" t="str" cm="1">
        <f t="array" ref="AC1334">_xlfn.IFS(Table2[[#This Row],[Satification_points]]&gt;=4.5,"GREAT",AND(Table2[[#This Row],[Satification_points]]&gt;=4,Table2[[#This Row],[Satification_points]]&lt;4.5),"GOOD",AND(Table2[[#This Row],[Satification_points]]&gt;=3,Table2[[#This Row],[Satification_points]]&lt;4),"AVERAGE",Table2[[#This Row],[Satification_points]]&lt;3,"POOR")</f>
        <v>POOR</v>
      </c>
    </row>
    <row r="1335" spans="1:29" x14ac:dyDescent="0.3">
      <c r="A1335">
        <v>1334</v>
      </c>
      <c r="B1335">
        <v>30018</v>
      </c>
      <c r="C1335" t="s">
        <v>1379</v>
      </c>
      <c r="D1335" t="s">
        <v>48</v>
      </c>
      <c r="E1335" t="s">
        <v>45</v>
      </c>
      <c r="F1335" s="1">
        <v>45546</v>
      </c>
      <c r="G1335" s="1">
        <v>45632</v>
      </c>
      <c r="H1335">
        <v>11</v>
      </c>
      <c r="I1335" t="s">
        <v>50</v>
      </c>
      <c r="J1335" t="s">
        <v>40</v>
      </c>
      <c r="K1335">
        <v>2</v>
      </c>
      <c r="L1335">
        <v>1</v>
      </c>
      <c r="M1335">
        <v>1</v>
      </c>
      <c r="N1335">
        <v>4</v>
      </c>
      <c r="O1335">
        <v>4</v>
      </c>
      <c r="P1335">
        <v>3</v>
      </c>
      <c r="Q1335">
        <v>1</v>
      </c>
      <c r="R1335">
        <v>5</v>
      </c>
      <c r="S1335">
        <v>5</v>
      </c>
      <c r="T1335">
        <v>2</v>
      </c>
      <c r="U1335" t="s">
        <v>37</v>
      </c>
      <c r="V1335" t="s">
        <v>54</v>
      </c>
      <c r="W1335" t="s">
        <v>32</v>
      </c>
      <c r="X1335" t="s">
        <v>44</v>
      </c>
      <c r="Y1335">
        <v>21</v>
      </c>
      <c r="Z1335" s="1">
        <v>45632</v>
      </c>
      <c r="AA1335" t="str" cm="1">
        <f t="array" ref="AA1335">_xlfn.IFS(AND(Table2[[#This Row],[Guest_Age]]&gt;=18,Table2[[#This Row],[Guest_Age]]&lt;=25),"Young Adults",AND(Table2[[#This Row],[Guest_Age]]&gt;=26,Table2[[#This Row],[Guest_Age]]&lt;=35),"Adults",AND(Table2[[#This Row],[Guest_Age]]&gt;=36,Table2[[#This Row],[Guest_Age]]&lt;=50),"Middle Aged Adults",Table2[[#This Row],[Guest_Age]]&gt;50,"Senior")</f>
        <v>Young Adults</v>
      </c>
      <c r="AB13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35" t="str" cm="1">
        <f t="array" ref="AC1335">_xlfn.IFS(Table2[[#This Row],[Satification_points]]&gt;=4.5,"GREAT",AND(Table2[[#This Row],[Satification_points]]&gt;=4,Table2[[#This Row],[Satification_points]]&lt;4.5),"GOOD",AND(Table2[[#This Row],[Satification_points]]&gt;=3,Table2[[#This Row],[Satification_points]]&lt;4),"AVERAGE",Table2[[#This Row],[Satification_points]]&lt;3,"POOR")</f>
        <v>POOR</v>
      </c>
    </row>
    <row r="1336" spans="1:29" x14ac:dyDescent="0.3">
      <c r="A1336">
        <v>1335</v>
      </c>
      <c r="B1336">
        <v>65138</v>
      </c>
      <c r="C1336" t="s">
        <v>1380</v>
      </c>
      <c r="D1336" t="s">
        <v>34</v>
      </c>
      <c r="E1336" t="s">
        <v>27</v>
      </c>
      <c r="F1336" s="1">
        <v>45308</v>
      </c>
      <c r="G1336" s="1">
        <v>45399</v>
      </c>
      <c r="H1336">
        <v>4</v>
      </c>
      <c r="I1336" t="s">
        <v>49</v>
      </c>
      <c r="J1336" t="s">
        <v>40</v>
      </c>
      <c r="K1336">
        <v>1</v>
      </c>
      <c r="L1336">
        <v>4</v>
      </c>
      <c r="M1336">
        <v>4</v>
      </c>
      <c r="N1336">
        <v>5</v>
      </c>
      <c r="O1336">
        <v>3</v>
      </c>
      <c r="P1336">
        <v>3</v>
      </c>
      <c r="Q1336">
        <v>5</v>
      </c>
      <c r="R1336">
        <v>1</v>
      </c>
      <c r="S1336">
        <v>5</v>
      </c>
      <c r="T1336">
        <v>5</v>
      </c>
      <c r="U1336" t="s">
        <v>30</v>
      </c>
      <c r="V1336" t="s">
        <v>58</v>
      </c>
      <c r="W1336" t="s">
        <v>56</v>
      </c>
      <c r="X1336" t="s">
        <v>40</v>
      </c>
      <c r="Y1336">
        <v>62</v>
      </c>
      <c r="Z1336" s="1">
        <v>45399</v>
      </c>
      <c r="AA1336" t="str" cm="1">
        <f t="array" ref="AA1336">_xlfn.IFS(AND(Table2[[#This Row],[Guest_Age]]&gt;=18,Table2[[#This Row],[Guest_Age]]&lt;=25),"Young Adults",AND(Table2[[#This Row],[Guest_Age]]&gt;=26,Table2[[#This Row],[Guest_Age]]&lt;=35),"Adults",AND(Table2[[#This Row],[Guest_Age]]&gt;=36,Table2[[#This Row],[Guest_Age]]&lt;=50),"Middle Aged Adults",Table2[[#This Row],[Guest_Age]]&gt;50,"Senior")</f>
        <v>Senior</v>
      </c>
      <c r="AB13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36" t="str" cm="1">
        <f t="array" ref="AC1336">_xlfn.IFS(Table2[[#This Row],[Satification_points]]&gt;=4.5,"GREAT",AND(Table2[[#This Row],[Satification_points]]&gt;=4,Table2[[#This Row],[Satification_points]]&lt;4.5),"GOOD",AND(Table2[[#This Row],[Satification_points]]&gt;=3,Table2[[#This Row],[Satification_points]]&lt;4),"AVERAGE",Table2[[#This Row],[Satification_points]]&lt;3,"POOR")</f>
        <v>AVERAGE</v>
      </c>
    </row>
    <row r="1337" spans="1:29" x14ac:dyDescent="0.3">
      <c r="A1337">
        <v>1336</v>
      </c>
      <c r="B1337">
        <v>92155</v>
      </c>
      <c r="C1337" t="s">
        <v>1381</v>
      </c>
      <c r="D1337" t="s">
        <v>51</v>
      </c>
      <c r="E1337" t="s">
        <v>45</v>
      </c>
      <c r="F1337" s="1">
        <v>45308</v>
      </c>
      <c r="G1337" s="1">
        <v>45309</v>
      </c>
      <c r="H1337">
        <v>14</v>
      </c>
      <c r="I1337" t="s">
        <v>28</v>
      </c>
      <c r="J1337" t="s">
        <v>29</v>
      </c>
      <c r="K1337">
        <v>1</v>
      </c>
      <c r="L1337">
        <v>3</v>
      </c>
      <c r="M1337">
        <v>2</v>
      </c>
      <c r="N1337">
        <v>4</v>
      </c>
      <c r="O1337">
        <v>4</v>
      </c>
      <c r="P1337">
        <v>4</v>
      </c>
      <c r="Q1337">
        <v>5</v>
      </c>
      <c r="R1337">
        <v>5</v>
      </c>
      <c r="S1337">
        <v>4</v>
      </c>
      <c r="T1337">
        <v>5</v>
      </c>
      <c r="U1337" t="s">
        <v>37</v>
      </c>
      <c r="V1337" t="s">
        <v>54</v>
      </c>
      <c r="W1337" t="s">
        <v>32</v>
      </c>
      <c r="X1337" t="s">
        <v>33</v>
      </c>
      <c r="Y1337">
        <v>27</v>
      </c>
      <c r="Z1337" s="1">
        <v>45309</v>
      </c>
      <c r="AA1337" t="str" cm="1">
        <f t="array" ref="AA1337">_xlfn.IFS(AND(Table2[[#This Row],[Guest_Age]]&gt;=18,Table2[[#This Row],[Guest_Age]]&lt;=25),"Young Adults",AND(Table2[[#This Row],[Guest_Age]]&gt;=26,Table2[[#This Row],[Guest_Age]]&lt;=35),"Adults",AND(Table2[[#This Row],[Guest_Age]]&gt;=36,Table2[[#This Row],[Guest_Age]]&lt;=50),"Middle Aged Adults",Table2[[#This Row],[Guest_Age]]&gt;50,"Senior")</f>
        <v>Adults</v>
      </c>
      <c r="AB13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337" t="str" cm="1">
        <f t="array" ref="AC1337">_xlfn.IFS(Table2[[#This Row],[Satification_points]]&gt;=4.5,"GREAT",AND(Table2[[#This Row],[Satification_points]]&gt;=4,Table2[[#This Row],[Satification_points]]&lt;4.5),"GOOD",AND(Table2[[#This Row],[Satification_points]]&gt;=3,Table2[[#This Row],[Satification_points]]&lt;4),"AVERAGE",Table2[[#This Row],[Satification_points]]&lt;3,"POOR")</f>
        <v>AVERAGE</v>
      </c>
    </row>
    <row r="1338" spans="1:29" x14ac:dyDescent="0.3">
      <c r="A1338">
        <v>1337</v>
      </c>
      <c r="B1338">
        <v>91567</v>
      </c>
      <c r="C1338" t="s">
        <v>1382</v>
      </c>
      <c r="D1338" t="s">
        <v>51</v>
      </c>
      <c r="E1338" t="s">
        <v>45</v>
      </c>
      <c r="F1338" s="1">
        <v>45374</v>
      </c>
      <c r="G1338" s="1">
        <v>45561</v>
      </c>
      <c r="H1338">
        <v>10</v>
      </c>
      <c r="I1338" t="s">
        <v>42</v>
      </c>
      <c r="J1338" t="s">
        <v>40</v>
      </c>
      <c r="K1338">
        <v>3</v>
      </c>
      <c r="L1338">
        <v>4</v>
      </c>
      <c r="M1338">
        <v>4</v>
      </c>
      <c r="N1338">
        <v>1</v>
      </c>
      <c r="O1338">
        <v>3</v>
      </c>
      <c r="P1338">
        <v>4</v>
      </c>
      <c r="Q1338">
        <v>2</v>
      </c>
      <c r="R1338">
        <v>4</v>
      </c>
      <c r="S1338">
        <v>1</v>
      </c>
      <c r="T1338">
        <v>4</v>
      </c>
      <c r="U1338" t="s">
        <v>30</v>
      </c>
      <c r="V1338" t="s">
        <v>58</v>
      </c>
      <c r="W1338" t="s">
        <v>32</v>
      </c>
      <c r="X1338" t="s">
        <v>33</v>
      </c>
      <c r="Y1338">
        <v>49</v>
      </c>
      <c r="Z1338" s="1">
        <v>45561</v>
      </c>
      <c r="AA1338" t="str" cm="1">
        <f t="array" ref="AA13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38" t="str" cm="1">
        <f t="array" ref="AC1338">_xlfn.IFS(Table2[[#This Row],[Satification_points]]&gt;=4.5,"GREAT",AND(Table2[[#This Row],[Satification_points]]&gt;=4,Table2[[#This Row],[Satification_points]]&lt;4.5),"GOOD",AND(Table2[[#This Row],[Satification_points]]&gt;=3,Table2[[#This Row],[Satification_points]]&lt;4),"AVERAGE",Table2[[#This Row],[Satification_points]]&lt;3,"POOR")</f>
        <v>AVERAGE</v>
      </c>
    </row>
    <row r="1339" spans="1:29" x14ac:dyDescent="0.3">
      <c r="A1339">
        <v>1338</v>
      </c>
      <c r="B1339">
        <v>93302</v>
      </c>
      <c r="C1339" t="s">
        <v>1383</v>
      </c>
      <c r="D1339" t="s">
        <v>34</v>
      </c>
      <c r="E1339" t="s">
        <v>27</v>
      </c>
      <c r="F1339" s="1">
        <v>45623</v>
      </c>
      <c r="G1339" s="1">
        <v>45624</v>
      </c>
      <c r="H1339">
        <v>8</v>
      </c>
      <c r="I1339" t="s">
        <v>50</v>
      </c>
      <c r="J1339" t="s">
        <v>36</v>
      </c>
      <c r="K1339">
        <v>3</v>
      </c>
      <c r="L1339">
        <v>2</v>
      </c>
      <c r="M1339">
        <v>1</v>
      </c>
      <c r="N1339">
        <v>3</v>
      </c>
      <c r="O1339">
        <v>2</v>
      </c>
      <c r="P1339">
        <v>3</v>
      </c>
      <c r="Q1339">
        <v>4</v>
      </c>
      <c r="R1339">
        <v>4</v>
      </c>
      <c r="S1339">
        <v>2</v>
      </c>
      <c r="T1339">
        <v>5</v>
      </c>
      <c r="U1339" t="s">
        <v>30</v>
      </c>
      <c r="V1339" t="s">
        <v>38</v>
      </c>
      <c r="W1339" t="s">
        <v>56</v>
      </c>
      <c r="X1339" t="s">
        <v>33</v>
      </c>
      <c r="Y1339">
        <v>27</v>
      </c>
      <c r="Z1339" s="1">
        <v>45624</v>
      </c>
      <c r="AA1339" t="str" cm="1">
        <f t="array" ref="AA1339">_xlfn.IFS(AND(Table2[[#This Row],[Guest_Age]]&gt;=18,Table2[[#This Row],[Guest_Age]]&lt;=25),"Young Adults",AND(Table2[[#This Row],[Guest_Age]]&gt;=26,Table2[[#This Row],[Guest_Age]]&lt;=35),"Adults",AND(Table2[[#This Row],[Guest_Age]]&gt;=36,Table2[[#This Row],[Guest_Age]]&lt;=50),"Middle Aged Adults",Table2[[#This Row],[Guest_Age]]&gt;50,"Senior")</f>
        <v>Adults</v>
      </c>
      <c r="AB13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39" t="str" cm="1">
        <f t="array" ref="AC1339">_xlfn.IFS(Table2[[#This Row],[Satification_points]]&gt;=4.5,"GREAT",AND(Table2[[#This Row],[Satification_points]]&gt;=4,Table2[[#This Row],[Satification_points]]&lt;4.5),"GOOD",AND(Table2[[#This Row],[Satification_points]]&gt;=3,Table2[[#This Row],[Satification_points]]&lt;4),"AVERAGE",Table2[[#This Row],[Satification_points]]&lt;3,"POOR")</f>
        <v>POOR</v>
      </c>
    </row>
    <row r="1340" spans="1:29" x14ac:dyDescent="0.3">
      <c r="A1340">
        <v>1339</v>
      </c>
      <c r="B1340">
        <v>19006</v>
      </c>
      <c r="C1340" t="s">
        <v>1384</v>
      </c>
      <c r="D1340" t="s">
        <v>34</v>
      </c>
      <c r="E1340" t="s">
        <v>45</v>
      </c>
      <c r="F1340" s="1">
        <v>45080</v>
      </c>
      <c r="G1340" s="1">
        <v>45591</v>
      </c>
      <c r="H1340">
        <v>2</v>
      </c>
      <c r="I1340" t="s">
        <v>50</v>
      </c>
      <c r="J1340" t="s">
        <v>53</v>
      </c>
      <c r="K1340">
        <v>4</v>
      </c>
      <c r="L1340">
        <v>4</v>
      </c>
      <c r="M1340">
        <v>4</v>
      </c>
      <c r="N1340">
        <v>2</v>
      </c>
      <c r="O1340">
        <v>1</v>
      </c>
      <c r="P1340">
        <v>4</v>
      </c>
      <c r="Q1340">
        <v>5</v>
      </c>
      <c r="R1340">
        <v>5</v>
      </c>
      <c r="S1340">
        <v>3</v>
      </c>
      <c r="T1340">
        <v>3</v>
      </c>
      <c r="U1340" t="s">
        <v>30</v>
      </c>
      <c r="V1340" t="s">
        <v>46</v>
      </c>
      <c r="W1340" t="s">
        <v>56</v>
      </c>
      <c r="X1340" t="s">
        <v>33</v>
      </c>
      <c r="Y1340">
        <v>60</v>
      </c>
      <c r="Z1340" s="1">
        <v>45591</v>
      </c>
      <c r="AA1340" t="str" cm="1">
        <f t="array" ref="AA1340">_xlfn.IFS(AND(Table2[[#This Row],[Guest_Age]]&gt;=18,Table2[[#This Row],[Guest_Age]]&lt;=25),"Young Adults",AND(Table2[[#This Row],[Guest_Age]]&gt;=26,Table2[[#This Row],[Guest_Age]]&lt;=35),"Adults",AND(Table2[[#This Row],[Guest_Age]]&gt;=36,Table2[[#This Row],[Guest_Age]]&lt;=50),"Middle Aged Adults",Table2[[#This Row],[Guest_Age]]&gt;50,"Senior")</f>
        <v>Senior</v>
      </c>
      <c r="AB13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340" t="str" cm="1">
        <f t="array" ref="AC1340">_xlfn.IFS(Table2[[#This Row],[Satification_points]]&gt;=4.5,"GREAT",AND(Table2[[#This Row],[Satification_points]]&gt;=4,Table2[[#This Row],[Satification_points]]&lt;4.5),"GOOD",AND(Table2[[#This Row],[Satification_points]]&gt;=3,Table2[[#This Row],[Satification_points]]&lt;4),"AVERAGE",Table2[[#This Row],[Satification_points]]&lt;3,"POOR")</f>
        <v>AVERAGE</v>
      </c>
    </row>
    <row r="1341" spans="1:29" x14ac:dyDescent="0.3">
      <c r="A1341">
        <v>1340</v>
      </c>
      <c r="B1341">
        <v>53926</v>
      </c>
      <c r="C1341" t="s">
        <v>1385</v>
      </c>
      <c r="D1341" t="s">
        <v>26</v>
      </c>
      <c r="E1341" t="s">
        <v>57</v>
      </c>
      <c r="F1341" s="1">
        <v>44960</v>
      </c>
      <c r="G1341" s="1">
        <v>45084</v>
      </c>
      <c r="H1341">
        <v>6</v>
      </c>
      <c r="I1341" t="s">
        <v>28</v>
      </c>
      <c r="J1341" t="s">
        <v>43</v>
      </c>
      <c r="K1341">
        <v>5</v>
      </c>
      <c r="L1341">
        <v>1</v>
      </c>
      <c r="M1341">
        <v>3</v>
      </c>
      <c r="N1341">
        <v>4</v>
      </c>
      <c r="O1341">
        <v>4</v>
      </c>
      <c r="P1341">
        <v>2</v>
      </c>
      <c r="Q1341">
        <v>3</v>
      </c>
      <c r="R1341">
        <v>5</v>
      </c>
      <c r="S1341">
        <v>5</v>
      </c>
      <c r="T1341">
        <v>2</v>
      </c>
      <c r="U1341" t="s">
        <v>37</v>
      </c>
      <c r="V1341" t="s">
        <v>46</v>
      </c>
      <c r="W1341" t="s">
        <v>32</v>
      </c>
      <c r="X1341" t="s">
        <v>40</v>
      </c>
      <c r="Y1341">
        <v>62</v>
      </c>
      <c r="Z1341" s="1">
        <v>45084</v>
      </c>
      <c r="AA1341" t="str" cm="1">
        <f t="array" ref="AA1341">_xlfn.IFS(AND(Table2[[#This Row],[Guest_Age]]&gt;=18,Table2[[#This Row],[Guest_Age]]&lt;=25),"Young Adults",AND(Table2[[#This Row],[Guest_Age]]&gt;=26,Table2[[#This Row],[Guest_Age]]&lt;=35),"Adults",AND(Table2[[#This Row],[Guest_Age]]&gt;=36,Table2[[#This Row],[Guest_Age]]&lt;=50),"Middle Aged Adults",Table2[[#This Row],[Guest_Age]]&gt;50,"Senior")</f>
        <v>Senior</v>
      </c>
      <c r="AB13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41" t="str" cm="1">
        <f t="array" ref="AC1341">_xlfn.IFS(Table2[[#This Row],[Satification_points]]&gt;=4.5,"GREAT",AND(Table2[[#This Row],[Satification_points]]&gt;=4,Table2[[#This Row],[Satification_points]]&lt;4.5),"GOOD",AND(Table2[[#This Row],[Satification_points]]&gt;=3,Table2[[#This Row],[Satification_points]]&lt;4),"AVERAGE",Table2[[#This Row],[Satification_points]]&lt;3,"POOR")</f>
        <v>AVERAGE</v>
      </c>
    </row>
    <row r="1342" spans="1:29" x14ac:dyDescent="0.3">
      <c r="A1342">
        <v>1341</v>
      </c>
      <c r="B1342">
        <v>89118</v>
      </c>
      <c r="C1342" t="s">
        <v>1386</v>
      </c>
      <c r="D1342" t="s">
        <v>48</v>
      </c>
      <c r="E1342" t="s">
        <v>57</v>
      </c>
      <c r="F1342" s="1">
        <v>45423</v>
      </c>
      <c r="G1342" s="1">
        <v>45595</v>
      </c>
      <c r="H1342">
        <v>3</v>
      </c>
      <c r="I1342" t="s">
        <v>50</v>
      </c>
      <c r="J1342" t="s">
        <v>53</v>
      </c>
      <c r="K1342">
        <v>2</v>
      </c>
      <c r="L1342">
        <v>3</v>
      </c>
      <c r="M1342">
        <v>1</v>
      </c>
      <c r="N1342">
        <v>5</v>
      </c>
      <c r="O1342">
        <v>4</v>
      </c>
      <c r="P1342">
        <v>1</v>
      </c>
      <c r="Q1342">
        <v>4</v>
      </c>
      <c r="R1342">
        <v>4</v>
      </c>
      <c r="S1342">
        <v>2</v>
      </c>
      <c r="T1342">
        <v>2</v>
      </c>
      <c r="U1342" t="s">
        <v>30</v>
      </c>
      <c r="V1342" t="s">
        <v>54</v>
      </c>
      <c r="W1342" t="s">
        <v>55</v>
      </c>
      <c r="X1342" t="s">
        <v>33</v>
      </c>
      <c r="Y1342">
        <v>27</v>
      </c>
      <c r="Z1342" s="1">
        <v>45595</v>
      </c>
      <c r="AA1342" t="str" cm="1">
        <f t="array" ref="AA1342">_xlfn.IFS(AND(Table2[[#This Row],[Guest_Age]]&gt;=18,Table2[[#This Row],[Guest_Age]]&lt;=25),"Young Adults",AND(Table2[[#This Row],[Guest_Age]]&gt;=26,Table2[[#This Row],[Guest_Age]]&lt;=35),"Adults",AND(Table2[[#This Row],[Guest_Age]]&gt;=36,Table2[[#This Row],[Guest_Age]]&lt;=50),"Middle Aged Adults",Table2[[#This Row],[Guest_Age]]&gt;50,"Senior")</f>
        <v>Adults</v>
      </c>
      <c r="AB13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42" t="str" cm="1">
        <f t="array" ref="AC1342">_xlfn.IFS(Table2[[#This Row],[Satification_points]]&gt;=4.5,"GREAT",AND(Table2[[#This Row],[Satification_points]]&gt;=4,Table2[[#This Row],[Satification_points]]&lt;4.5),"GOOD",AND(Table2[[#This Row],[Satification_points]]&gt;=3,Table2[[#This Row],[Satification_points]]&lt;4),"AVERAGE",Table2[[#This Row],[Satification_points]]&lt;3,"POOR")</f>
        <v>POOR</v>
      </c>
    </row>
    <row r="1343" spans="1:29" x14ac:dyDescent="0.3">
      <c r="A1343">
        <v>1342</v>
      </c>
      <c r="B1343">
        <v>36265</v>
      </c>
      <c r="C1343" t="s">
        <v>1387</v>
      </c>
      <c r="D1343" t="s">
        <v>51</v>
      </c>
      <c r="E1343" t="s">
        <v>45</v>
      </c>
      <c r="F1343" s="1">
        <v>44948</v>
      </c>
      <c r="G1343" s="1">
        <v>45541</v>
      </c>
      <c r="H1343">
        <v>8</v>
      </c>
      <c r="I1343" t="s">
        <v>50</v>
      </c>
      <c r="J1343" t="s">
        <v>43</v>
      </c>
      <c r="K1343">
        <v>1</v>
      </c>
      <c r="L1343">
        <v>1</v>
      </c>
      <c r="M1343">
        <v>4</v>
      </c>
      <c r="N1343">
        <v>1</v>
      </c>
      <c r="O1343">
        <v>2</v>
      </c>
      <c r="P1343">
        <v>3</v>
      </c>
      <c r="Q1343">
        <v>4</v>
      </c>
      <c r="R1343">
        <v>2</v>
      </c>
      <c r="S1343">
        <v>2</v>
      </c>
      <c r="T1343">
        <v>5</v>
      </c>
      <c r="U1343" t="s">
        <v>30</v>
      </c>
      <c r="V1343" t="s">
        <v>54</v>
      </c>
      <c r="W1343" t="s">
        <v>47</v>
      </c>
      <c r="X1343" t="s">
        <v>44</v>
      </c>
      <c r="Y1343">
        <v>28</v>
      </c>
      <c r="Z1343" s="1">
        <v>45541</v>
      </c>
      <c r="AA1343" t="str" cm="1">
        <f t="array" ref="AA1343">_xlfn.IFS(AND(Table2[[#This Row],[Guest_Age]]&gt;=18,Table2[[#This Row],[Guest_Age]]&lt;=25),"Young Adults",AND(Table2[[#This Row],[Guest_Age]]&gt;=26,Table2[[#This Row],[Guest_Age]]&lt;=35),"Adults",AND(Table2[[#This Row],[Guest_Age]]&gt;=36,Table2[[#This Row],[Guest_Age]]&lt;=50),"Middle Aged Adults",Table2[[#This Row],[Guest_Age]]&gt;50,"Senior")</f>
        <v>Adults</v>
      </c>
      <c r="AB13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343" t="str" cm="1">
        <f t="array" ref="AC1343">_xlfn.IFS(Table2[[#This Row],[Satification_points]]&gt;=4.5,"GREAT",AND(Table2[[#This Row],[Satification_points]]&gt;=4,Table2[[#This Row],[Satification_points]]&lt;4.5),"GOOD",AND(Table2[[#This Row],[Satification_points]]&gt;=3,Table2[[#This Row],[Satification_points]]&lt;4),"AVERAGE",Table2[[#This Row],[Satification_points]]&lt;3,"POOR")</f>
        <v>POOR</v>
      </c>
    </row>
    <row r="1344" spans="1:29" x14ac:dyDescent="0.3">
      <c r="A1344">
        <v>1343</v>
      </c>
      <c r="B1344">
        <v>25908</v>
      </c>
      <c r="C1344" t="s">
        <v>1388</v>
      </c>
      <c r="D1344" t="s">
        <v>26</v>
      </c>
      <c r="E1344" t="s">
        <v>27</v>
      </c>
      <c r="F1344" s="1">
        <v>45306</v>
      </c>
      <c r="G1344" s="1">
        <v>45356</v>
      </c>
      <c r="H1344">
        <v>11</v>
      </c>
      <c r="I1344" t="s">
        <v>28</v>
      </c>
      <c r="J1344" t="s">
        <v>40</v>
      </c>
      <c r="K1344">
        <v>3</v>
      </c>
      <c r="L1344">
        <v>5</v>
      </c>
      <c r="M1344">
        <v>5</v>
      </c>
      <c r="N1344">
        <v>5</v>
      </c>
      <c r="O1344">
        <v>2</v>
      </c>
      <c r="P1344">
        <v>2</v>
      </c>
      <c r="Q1344">
        <v>3</v>
      </c>
      <c r="R1344">
        <v>5</v>
      </c>
      <c r="S1344">
        <v>2</v>
      </c>
      <c r="T1344">
        <v>4</v>
      </c>
      <c r="U1344" t="s">
        <v>37</v>
      </c>
      <c r="V1344" t="s">
        <v>31</v>
      </c>
      <c r="W1344" t="s">
        <v>39</v>
      </c>
      <c r="X1344" t="s">
        <v>44</v>
      </c>
      <c r="Y1344">
        <v>67</v>
      </c>
      <c r="Z1344" s="1">
        <v>45356</v>
      </c>
      <c r="AA1344" t="str" cm="1">
        <f t="array" ref="AA1344">_xlfn.IFS(AND(Table2[[#This Row],[Guest_Age]]&gt;=18,Table2[[#This Row],[Guest_Age]]&lt;=25),"Young Adults",AND(Table2[[#This Row],[Guest_Age]]&gt;=26,Table2[[#This Row],[Guest_Age]]&lt;=35),"Adults",AND(Table2[[#This Row],[Guest_Age]]&gt;=36,Table2[[#This Row],[Guest_Age]]&lt;=50),"Middle Aged Adults",Table2[[#This Row],[Guest_Age]]&gt;50,"Senior")</f>
        <v>Senior</v>
      </c>
      <c r="AB13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44" t="str" cm="1">
        <f t="array" ref="AC1344">_xlfn.IFS(Table2[[#This Row],[Satification_points]]&gt;=4.5,"GREAT",AND(Table2[[#This Row],[Satification_points]]&gt;=4,Table2[[#This Row],[Satification_points]]&lt;4.5),"GOOD",AND(Table2[[#This Row],[Satification_points]]&gt;=3,Table2[[#This Row],[Satification_points]]&lt;4),"AVERAGE",Table2[[#This Row],[Satification_points]]&lt;3,"POOR")</f>
        <v>AVERAGE</v>
      </c>
    </row>
    <row r="1345" spans="1:29" x14ac:dyDescent="0.3">
      <c r="A1345">
        <v>1344</v>
      </c>
      <c r="B1345">
        <v>81165</v>
      </c>
      <c r="C1345" t="s">
        <v>1389</v>
      </c>
      <c r="D1345" t="s">
        <v>51</v>
      </c>
      <c r="E1345" t="s">
        <v>45</v>
      </c>
      <c r="F1345" s="1">
        <v>45074</v>
      </c>
      <c r="G1345" s="1">
        <v>45179</v>
      </c>
      <c r="H1345">
        <v>8</v>
      </c>
      <c r="I1345" t="s">
        <v>50</v>
      </c>
      <c r="J1345" t="s">
        <v>36</v>
      </c>
      <c r="K1345">
        <v>5</v>
      </c>
      <c r="L1345">
        <v>1</v>
      </c>
      <c r="M1345">
        <v>4</v>
      </c>
      <c r="N1345">
        <v>3</v>
      </c>
      <c r="O1345">
        <v>4</v>
      </c>
      <c r="P1345">
        <v>2</v>
      </c>
      <c r="Q1345">
        <v>3</v>
      </c>
      <c r="R1345">
        <v>3</v>
      </c>
      <c r="S1345">
        <v>2</v>
      </c>
      <c r="T1345">
        <v>4</v>
      </c>
      <c r="U1345" t="s">
        <v>37</v>
      </c>
      <c r="V1345" t="s">
        <v>58</v>
      </c>
      <c r="W1345" t="s">
        <v>32</v>
      </c>
      <c r="X1345" t="s">
        <v>44</v>
      </c>
      <c r="Y1345">
        <v>56</v>
      </c>
      <c r="Z1345" s="1">
        <v>45271</v>
      </c>
      <c r="AA1345" t="str" cm="1">
        <f t="array" ref="AA1345">_xlfn.IFS(AND(Table2[[#This Row],[Guest_Age]]&gt;=18,Table2[[#This Row],[Guest_Age]]&lt;=25),"Young Adults",AND(Table2[[#This Row],[Guest_Age]]&gt;=26,Table2[[#This Row],[Guest_Age]]&lt;=35),"Adults",AND(Table2[[#This Row],[Guest_Age]]&gt;=36,Table2[[#This Row],[Guest_Age]]&lt;=50),"Middle Aged Adults",Table2[[#This Row],[Guest_Age]]&gt;50,"Senior")</f>
        <v>Senior</v>
      </c>
      <c r="AB13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45" t="str" cm="1">
        <f t="array" ref="AC1345">_xlfn.IFS(Table2[[#This Row],[Satification_points]]&gt;=4.5,"GREAT",AND(Table2[[#This Row],[Satification_points]]&gt;=4,Table2[[#This Row],[Satification_points]]&lt;4.5),"GOOD",AND(Table2[[#This Row],[Satification_points]]&gt;=3,Table2[[#This Row],[Satification_points]]&lt;4),"AVERAGE",Table2[[#This Row],[Satification_points]]&lt;3,"POOR")</f>
        <v>AVERAGE</v>
      </c>
    </row>
    <row r="1346" spans="1:29" x14ac:dyDescent="0.3">
      <c r="A1346">
        <v>1345</v>
      </c>
      <c r="B1346">
        <v>94406</v>
      </c>
      <c r="C1346" t="s">
        <v>1390</v>
      </c>
      <c r="D1346" t="s">
        <v>34</v>
      </c>
      <c r="E1346" t="s">
        <v>45</v>
      </c>
      <c r="F1346" s="1">
        <v>45589</v>
      </c>
      <c r="G1346" s="1">
        <v>45590</v>
      </c>
      <c r="H1346">
        <v>11</v>
      </c>
      <c r="I1346" t="s">
        <v>49</v>
      </c>
      <c r="J1346" t="s">
        <v>43</v>
      </c>
      <c r="K1346">
        <v>1</v>
      </c>
      <c r="L1346">
        <v>1</v>
      </c>
      <c r="M1346">
        <v>1</v>
      </c>
      <c r="N1346">
        <v>5</v>
      </c>
      <c r="O1346">
        <v>2</v>
      </c>
      <c r="P1346">
        <v>5</v>
      </c>
      <c r="Q1346">
        <v>3</v>
      </c>
      <c r="R1346">
        <v>3</v>
      </c>
      <c r="S1346">
        <v>4</v>
      </c>
      <c r="T1346">
        <v>4</v>
      </c>
      <c r="U1346" t="s">
        <v>37</v>
      </c>
      <c r="V1346" t="s">
        <v>31</v>
      </c>
      <c r="W1346" t="s">
        <v>56</v>
      </c>
      <c r="X1346" t="s">
        <v>40</v>
      </c>
      <c r="Y1346">
        <v>26</v>
      </c>
      <c r="Z1346" s="1">
        <v>45590</v>
      </c>
      <c r="AA1346" t="str" cm="1">
        <f t="array" ref="AA1346">_xlfn.IFS(AND(Table2[[#This Row],[Guest_Age]]&gt;=18,Table2[[#This Row],[Guest_Age]]&lt;=25),"Young Adults",AND(Table2[[#This Row],[Guest_Age]]&gt;=26,Table2[[#This Row],[Guest_Age]]&lt;=35),"Adults",AND(Table2[[#This Row],[Guest_Age]]&gt;=36,Table2[[#This Row],[Guest_Age]]&lt;=50),"Middle Aged Adults",Table2[[#This Row],[Guest_Age]]&gt;50,"Senior")</f>
        <v>Adults</v>
      </c>
      <c r="AB13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46" t="str" cm="1">
        <f t="array" ref="AC1346">_xlfn.IFS(Table2[[#This Row],[Satification_points]]&gt;=4.5,"GREAT",AND(Table2[[#This Row],[Satification_points]]&gt;=4,Table2[[#This Row],[Satification_points]]&lt;4.5),"GOOD",AND(Table2[[#This Row],[Satification_points]]&gt;=3,Table2[[#This Row],[Satification_points]]&lt;4),"AVERAGE",Table2[[#This Row],[Satification_points]]&lt;3,"POOR")</f>
        <v>POOR</v>
      </c>
    </row>
    <row r="1347" spans="1:29" x14ac:dyDescent="0.3">
      <c r="A1347">
        <v>1346</v>
      </c>
      <c r="B1347">
        <v>28049</v>
      </c>
      <c r="C1347" t="s">
        <v>1391</v>
      </c>
      <c r="D1347" t="s">
        <v>26</v>
      </c>
      <c r="E1347" t="s">
        <v>35</v>
      </c>
      <c r="F1347" s="1">
        <v>45505</v>
      </c>
      <c r="G1347" s="1">
        <v>45506</v>
      </c>
      <c r="H1347">
        <v>11</v>
      </c>
      <c r="I1347" t="s">
        <v>42</v>
      </c>
      <c r="J1347" t="s">
        <v>40</v>
      </c>
      <c r="K1347">
        <v>5</v>
      </c>
      <c r="L1347">
        <v>3</v>
      </c>
      <c r="M1347">
        <v>5</v>
      </c>
      <c r="N1347">
        <v>5</v>
      </c>
      <c r="O1347">
        <v>4</v>
      </c>
      <c r="P1347">
        <v>3</v>
      </c>
      <c r="Q1347">
        <v>2</v>
      </c>
      <c r="R1347">
        <v>5</v>
      </c>
      <c r="S1347">
        <v>5</v>
      </c>
      <c r="T1347">
        <v>5</v>
      </c>
      <c r="U1347" t="s">
        <v>30</v>
      </c>
      <c r="V1347" t="s">
        <v>58</v>
      </c>
      <c r="W1347" t="s">
        <v>32</v>
      </c>
      <c r="X1347" t="s">
        <v>40</v>
      </c>
      <c r="Y1347">
        <v>30</v>
      </c>
      <c r="Z1347" s="1">
        <v>45506</v>
      </c>
      <c r="AA1347" t="str" cm="1">
        <f t="array" ref="AA1347">_xlfn.IFS(AND(Table2[[#This Row],[Guest_Age]]&gt;=18,Table2[[#This Row],[Guest_Age]]&lt;=25),"Young Adults",AND(Table2[[#This Row],[Guest_Age]]&gt;=26,Table2[[#This Row],[Guest_Age]]&lt;=35),"Adults",AND(Table2[[#This Row],[Guest_Age]]&gt;=36,Table2[[#This Row],[Guest_Age]]&lt;=50),"Middle Aged Adults",Table2[[#This Row],[Guest_Age]]&gt;50,"Senior")</f>
        <v>Adults</v>
      </c>
      <c r="AB13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1347" t="str" cm="1">
        <f t="array" ref="AC1347">_xlfn.IFS(Table2[[#This Row],[Satification_points]]&gt;=4.5,"GREAT",AND(Table2[[#This Row],[Satification_points]]&gt;=4,Table2[[#This Row],[Satification_points]]&lt;4.5),"GOOD",AND(Table2[[#This Row],[Satification_points]]&gt;=3,Table2[[#This Row],[Satification_points]]&lt;4),"AVERAGE",Table2[[#This Row],[Satification_points]]&lt;3,"POOR")</f>
        <v>GOOD</v>
      </c>
    </row>
    <row r="1348" spans="1:29" x14ac:dyDescent="0.3">
      <c r="A1348">
        <v>1347</v>
      </c>
      <c r="B1348">
        <v>20827</v>
      </c>
      <c r="C1348" t="s">
        <v>1392</v>
      </c>
      <c r="D1348" t="s">
        <v>26</v>
      </c>
      <c r="E1348" t="s">
        <v>52</v>
      </c>
      <c r="F1348" s="1">
        <v>45516</v>
      </c>
      <c r="G1348" s="1">
        <v>45544</v>
      </c>
      <c r="H1348">
        <v>1</v>
      </c>
      <c r="I1348" t="s">
        <v>28</v>
      </c>
      <c r="J1348" t="s">
        <v>43</v>
      </c>
      <c r="K1348">
        <v>3</v>
      </c>
      <c r="L1348">
        <v>2</v>
      </c>
      <c r="M1348">
        <v>4</v>
      </c>
      <c r="N1348">
        <v>1</v>
      </c>
      <c r="O1348">
        <v>1</v>
      </c>
      <c r="P1348">
        <v>5</v>
      </c>
      <c r="Q1348">
        <v>5</v>
      </c>
      <c r="R1348">
        <v>1</v>
      </c>
      <c r="S1348">
        <v>2</v>
      </c>
      <c r="T1348">
        <v>4</v>
      </c>
      <c r="U1348" t="s">
        <v>30</v>
      </c>
      <c r="V1348" t="s">
        <v>38</v>
      </c>
      <c r="W1348" t="s">
        <v>56</v>
      </c>
      <c r="X1348" t="s">
        <v>44</v>
      </c>
      <c r="Y1348">
        <v>59</v>
      </c>
      <c r="Z1348" s="1">
        <v>45544</v>
      </c>
      <c r="AA1348" t="str" cm="1">
        <f t="array" ref="AA1348">_xlfn.IFS(AND(Table2[[#This Row],[Guest_Age]]&gt;=18,Table2[[#This Row],[Guest_Age]]&lt;=25),"Young Adults",AND(Table2[[#This Row],[Guest_Age]]&gt;=26,Table2[[#This Row],[Guest_Age]]&lt;=35),"Adults",AND(Table2[[#This Row],[Guest_Age]]&gt;=36,Table2[[#This Row],[Guest_Age]]&lt;=50),"Middle Aged Adults",Table2[[#This Row],[Guest_Age]]&gt;50,"Senior")</f>
        <v>Senior</v>
      </c>
      <c r="AB13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48" t="str" cm="1">
        <f t="array" ref="AC1348">_xlfn.IFS(Table2[[#This Row],[Satification_points]]&gt;=4.5,"GREAT",AND(Table2[[#This Row],[Satification_points]]&gt;=4,Table2[[#This Row],[Satification_points]]&lt;4.5),"GOOD",AND(Table2[[#This Row],[Satification_points]]&gt;=3,Table2[[#This Row],[Satification_points]]&lt;4),"AVERAGE",Table2[[#This Row],[Satification_points]]&lt;3,"POOR")</f>
        <v>POOR</v>
      </c>
    </row>
    <row r="1349" spans="1:29" x14ac:dyDescent="0.3">
      <c r="A1349">
        <v>1348</v>
      </c>
      <c r="B1349">
        <v>79522</v>
      </c>
      <c r="C1349" t="s">
        <v>1393</v>
      </c>
      <c r="D1349" t="s">
        <v>26</v>
      </c>
      <c r="E1349" t="s">
        <v>27</v>
      </c>
      <c r="F1349" s="1">
        <v>45477</v>
      </c>
      <c r="G1349" s="1">
        <v>45486</v>
      </c>
      <c r="H1349">
        <v>2</v>
      </c>
      <c r="I1349" t="s">
        <v>49</v>
      </c>
      <c r="J1349" t="s">
        <v>29</v>
      </c>
      <c r="K1349">
        <v>4</v>
      </c>
      <c r="L1349">
        <v>4</v>
      </c>
      <c r="M1349">
        <v>4</v>
      </c>
      <c r="N1349">
        <v>5</v>
      </c>
      <c r="O1349">
        <v>1</v>
      </c>
      <c r="P1349">
        <v>2</v>
      </c>
      <c r="Q1349">
        <v>5</v>
      </c>
      <c r="R1349">
        <v>4</v>
      </c>
      <c r="S1349">
        <v>2</v>
      </c>
      <c r="T1349">
        <v>5</v>
      </c>
      <c r="U1349" t="s">
        <v>37</v>
      </c>
      <c r="V1349" t="s">
        <v>54</v>
      </c>
      <c r="W1349" t="s">
        <v>32</v>
      </c>
      <c r="X1349" t="s">
        <v>33</v>
      </c>
      <c r="Y1349">
        <v>35</v>
      </c>
      <c r="Z1349" s="1">
        <v>45486</v>
      </c>
      <c r="AA1349" t="str" cm="1">
        <f t="array" ref="AA1349">_xlfn.IFS(AND(Table2[[#This Row],[Guest_Age]]&gt;=18,Table2[[#This Row],[Guest_Age]]&lt;=25),"Young Adults",AND(Table2[[#This Row],[Guest_Age]]&gt;=26,Table2[[#This Row],[Guest_Age]]&lt;=35),"Adults",AND(Table2[[#This Row],[Guest_Age]]&gt;=36,Table2[[#This Row],[Guest_Age]]&lt;=50),"Middle Aged Adults",Table2[[#This Row],[Guest_Age]]&gt;50,"Senior")</f>
        <v>Adults</v>
      </c>
      <c r="AB13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49" t="str" cm="1">
        <f t="array" ref="AC1349">_xlfn.IFS(Table2[[#This Row],[Satification_points]]&gt;=4.5,"GREAT",AND(Table2[[#This Row],[Satification_points]]&gt;=4,Table2[[#This Row],[Satification_points]]&lt;4.5),"GOOD",AND(Table2[[#This Row],[Satification_points]]&gt;=3,Table2[[#This Row],[Satification_points]]&lt;4),"AVERAGE",Table2[[#This Row],[Satification_points]]&lt;3,"POOR")</f>
        <v>AVERAGE</v>
      </c>
    </row>
    <row r="1350" spans="1:29" x14ac:dyDescent="0.3">
      <c r="A1350">
        <v>1349</v>
      </c>
      <c r="B1350">
        <v>50954</v>
      </c>
      <c r="C1350" t="s">
        <v>1394</v>
      </c>
      <c r="D1350" t="s">
        <v>48</v>
      </c>
      <c r="E1350" t="s">
        <v>52</v>
      </c>
      <c r="F1350" s="1">
        <v>45603</v>
      </c>
      <c r="G1350" s="1">
        <v>45604</v>
      </c>
      <c r="H1350">
        <v>4</v>
      </c>
      <c r="I1350" t="s">
        <v>28</v>
      </c>
      <c r="J1350" t="s">
        <v>53</v>
      </c>
      <c r="K1350">
        <v>1</v>
      </c>
      <c r="L1350">
        <v>4</v>
      </c>
      <c r="M1350">
        <v>1</v>
      </c>
      <c r="N1350">
        <v>1</v>
      </c>
      <c r="O1350">
        <v>3</v>
      </c>
      <c r="P1350">
        <v>3</v>
      </c>
      <c r="Q1350">
        <v>2</v>
      </c>
      <c r="R1350">
        <v>2</v>
      </c>
      <c r="S1350">
        <v>1</v>
      </c>
      <c r="T1350">
        <v>1</v>
      </c>
      <c r="U1350" t="s">
        <v>37</v>
      </c>
      <c r="V1350" t="s">
        <v>58</v>
      </c>
      <c r="W1350" t="s">
        <v>56</v>
      </c>
      <c r="X1350" t="s">
        <v>33</v>
      </c>
      <c r="Y1350">
        <v>64</v>
      </c>
      <c r="Z1350" s="1">
        <v>45604</v>
      </c>
      <c r="AA1350" t="str" cm="1">
        <f t="array" ref="AA1350">_xlfn.IFS(AND(Table2[[#This Row],[Guest_Age]]&gt;=18,Table2[[#This Row],[Guest_Age]]&lt;=25),"Young Adults",AND(Table2[[#This Row],[Guest_Age]]&gt;=26,Table2[[#This Row],[Guest_Age]]&lt;=35),"Adults",AND(Table2[[#This Row],[Guest_Age]]&gt;=36,Table2[[#This Row],[Guest_Age]]&lt;=50),"Middle Aged Adults",Table2[[#This Row],[Guest_Age]]&gt;50,"Senior")</f>
        <v>Senior</v>
      </c>
      <c r="AB13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1.9</v>
      </c>
      <c r="AC1350" t="str" cm="1">
        <f t="array" ref="AC1350">_xlfn.IFS(Table2[[#This Row],[Satification_points]]&gt;=4.5,"GREAT",AND(Table2[[#This Row],[Satification_points]]&gt;=4,Table2[[#This Row],[Satification_points]]&lt;4.5),"GOOD",AND(Table2[[#This Row],[Satification_points]]&gt;=3,Table2[[#This Row],[Satification_points]]&lt;4),"AVERAGE",Table2[[#This Row],[Satification_points]]&lt;3,"POOR")</f>
        <v>POOR</v>
      </c>
    </row>
    <row r="1351" spans="1:29" x14ac:dyDescent="0.3">
      <c r="A1351">
        <v>1350</v>
      </c>
      <c r="B1351">
        <v>77359</v>
      </c>
      <c r="C1351" t="s">
        <v>271</v>
      </c>
      <c r="D1351" t="s">
        <v>26</v>
      </c>
      <c r="E1351" t="s">
        <v>35</v>
      </c>
      <c r="F1351" s="1">
        <v>45025</v>
      </c>
      <c r="G1351" s="1">
        <v>45098</v>
      </c>
      <c r="H1351">
        <v>1</v>
      </c>
      <c r="I1351" t="s">
        <v>28</v>
      </c>
      <c r="J1351" t="s">
        <v>36</v>
      </c>
      <c r="K1351">
        <v>1</v>
      </c>
      <c r="L1351">
        <v>3</v>
      </c>
      <c r="M1351">
        <v>5</v>
      </c>
      <c r="N1351">
        <v>3</v>
      </c>
      <c r="O1351">
        <v>4</v>
      </c>
      <c r="P1351">
        <v>5</v>
      </c>
      <c r="Q1351">
        <v>4</v>
      </c>
      <c r="R1351">
        <v>3</v>
      </c>
      <c r="S1351">
        <v>5</v>
      </c>
      <c r="T1351">
        <v>5</v>
      </c>
      <c r="U1351" t="s">
        <v>37</v>
      </c>
      <c r="V1351" t="s">
        <v>46</v>
      </c>
      <c r="W1351" t="s">
        <v>55</v>
      </c>
      <c r="X1351" t="s">
        <v>33</v>
      </c>
      <c r="Y1351">
        <v>54</v>
      </c>
      <c r="Z1351" s="1">
        <v>45480</v>
      </c>
      <c r="AA1351" t="str" cm="1">
        <f t="array" ref="AA1351">_xlfn.IFS(AND(Table2[[#This Row],[Guest_Age]]&gt;=18,Table2[[#This Row],[Guest_Age]]&lt;=25),"Young Adults",AND(Table2[[#This Row],[Guest_Age]]&gt;=26,Table2[[#This Row],[Guest_Age]]&lt;=35),"Adults",AND(Table2[[#This Row],[Guest_Age]]&gt;=36,Table2[[#This Row],[Guest_Age]]&lt;=50),"Middle Aged Adults",Table2[[#This Row],[Guest_Age]]&gt;50,"Senior")</f>
        <v>Senior</v>
      </c>
      <c r="AB13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351" t="str" cm="1">
        <f t="array" ref="AC1351">_xlfn.IFS(Table2[[#This Row],[Satification_points]]&gt;=4.5,"GREAT",AND(Table2[[#This Row],[Satification_points]]&gt;=4,Table2[[#This Row],[Satification_points]]&lt;4.5),"GOOD",AND(Table2[[#This Row],[Satification_points]]&gt;=3,Table2[[#This Row],[Satification_points]]&lt;4),"AVERAGE",Table2[[#This Row],[Satification_points]]&lt;3,"POOR")</f>
        <v>AVERAGE</v>
      </c>
    </row>
    <row r="1352" spans="1:29" x14ac:dyDescent="0.3">
      <c r="A1352">
        <v>1351</v>
      </c>
      <c r="B1352">
        <v>72934</v>
      </c>
      <c r="C1352" t="s">
        <v>1395</v>
      </c>
      <c r="D1352" t="s">
        <v>51</v>
      </c>
      <c r="E1352" t="s">
        <v>52</v>
      </c>
      <c r="F1352" s="1">
        <v>45567</v>
      </c>
      <c r="G1352" s="1">
        <v>45591</v>
      </c>
      <c r="H1352">
        <v>3</v>
      </c>
      <c r="I1352" t="s">
        <v>28</v>
      </c>
      <c r="J1352" t="s">
        <v>40</v>
      </c>
      <c r="K1352">
        <v>2</v>
      </c>
      <c r="L1352">
        <v>3</v>
      </c>
      <c r="M1352">
        <v>5</v>
      </c>
      <c r="N1352">
        <v>4</v>
      </c>
      <c r="O1352">
        <v>1</v>
      </c>
      <c r="P1352">
        <v>1</v>
      </c>
      <c r="Q1352">
        <v>2</v>
      </c>
      <c r="R1352">
        <v>3</v>
      </c>
      <c r="S1352">
        <v>3</v>
      </c>
      <c r="T1352">
        <v>3</v>
      </c>
      <c r="U1352" t="s">
        <v>30</v>
      </c>
      <c r="V1352" t="s">
        <v>38</v>
      </c>
      <c r="W1352" t="s">
        <v>47</v>
      </c>
      <c r="X1352" t="s">
        <v>33</v>
      </c>
      <c r="Y1352">
        <v>64</v>
      </c>
      <c r="Z1352" s="1">
        <v>45591</v>
      </c>
      <c r="AA1352" t="str" cm="1">
        <f t="array" ref="AA1352">_xlfn.IFS(AND(Table2[[#This Row],[Guest_Age]]&gt;=18,Table2[[#This Row],[Guest_Age]]&lt;=25),"Young Adults",AND(Table2[[#This Row],[Guest_Age]]&gt;=26,Table2[[#This Row],[Guest_Age]]&lt;=35),"Adults",AND(Table2[[#This Row],[Guest_Age]]&gt;=36,Table2[[#This Row],[Guest_Age]]&lt;=50),"Middle Aged Adults",Table2[[#This Row],[Guest_Age]]&gt;50,"Senior")</f>
        <v>Senior</v>
      </c>
      <c r="AB13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52" t="str" cm="1">
        <f t="array" ref="AC1352">_xlfn.IFS(Table2[[#This Row],[Satification_points]]&gt;=4.5,"GREAT",AND(Table2[[#This Row],[Satification_points]]&gt;=4,Table2[[#This Row],[Satification_points]]&lt;4.5),"GOOD",AND(Table2[[#This Row],[Satification_points]]&gt;=3,Table2[[#This Row],[Satification_points]]&lt;4),"AVERAGE",Table2[[#This Row],[Satification_points]]&lt;3,"POOR")</f>
        <v>POOR</v>
      </c>
    </row>
    <row r="1353" spans="1:29" x14ac:dyDescent="0.3">
      <c r="A1353">
        <v>1352</v>
      </c>
      <c r="B1353">
        <v>64980</v>
      </c>
      <c r="C1353" t="s">
        <v>1396</v>
      </c>
      <c r="D1353" t="s">
        <v>48</v>
      </c>
      <c r="E1353" t="s">
        <v>45</v>
      </c>
      <c r="F1353" s="1">
        <v>45457</v>
      </c>
      <c r="G1353" s="1">
        <v>45615</v>
      </c>
      <c r="H1353">
        <v>4</v>
      </c>
      <c r="I1353" t="s">
        <v>42</v>
      </c>
      <c r="J1353" t="s">
        <v>36</v>
      </c>
      <c r="K1353">
        <v>1</v>
      </c>
      <c r="L1353">
        <v>2</v>
      </c>
      <c r="M1353">
        <v>4</v>
      </c>
      <c r="N1353">
        <v>1</v>
      </c>
      <c r="O1353">
        <v>1</v>
      </c>
      <c r="P1353">
        <v>3</v>
      </c>
      <c r="Q1353">
        <v>5</v>
      </c>
      <c r="R1353">
        <v>1</v>
      </c>
      <c r="S1353">
        <v>2</v>
      </c>
      <c r="T1353">
        <v>4</v>
      </c>
      <c r="U1353" t="s">
        <v>37</v>
      </c>
      <c r="V1353" t="s">
        <v>46</v>
      </c>
      <c r="W1353" t="s">
        <v>56</v>
      </c>
      <c r="X1353" t="s">
        <v>44</v>
      </c>
      <c r="Y1353">
        <v>28</v>
      </c>
      <c r="Z1353" s="1">
        <v>45615</v>
      </c>
      <c r="AA1353" t="str" cm="1">
        <f t="array" ref="AA1353">_xlfn.IFS(AND(Table2[[#This Row],[Guest_Age]]&gt;=18,Table2[[#This Row],[Guest_Age]]&lt;=25),"Young Adults",AND(Table2[[#This Row],[Guest_Age]]&gt;=26,Table2[[#This Row],[Guest_Age]]&lt;=35),"Adults",AND(Table2[[#This Row],[Guest_Age]]&gt;=36,Table2[[#This Row],[Guest_Age]]&lt;=50),"Middle Aged Adults",Table2[[#This Row],[Guest_Age]]&gt;50,"Senior")</f>
        <v>Adults</v>
      </c>
      <c r="AB13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353" t="str" cm="1">
        <f t="array" ref="AC1353">_xlfn.IFS(Table2[[#This Row],[Satification_points]]&gt;=4.5,"GREAT",AND(Table2[[#This Row],[Satification_points]]&gt;=4,Table2[[#This Row],[Satification_points]]&lt;4.5),"GOOD",AND(Table2[[#This Row],[Satification_points]]&gt;=3,Table2[[#This Row],[Satification_points]]&lt;4),"AVERAGE",Table2[[#This Row],[Satification_points]]&lt;3,"POOR")</f>
        <v>POOR</v>
      </c>
    </row>
    <row r="1354" spans="1:29" x14ac:dyDescent="0.3">
      <c r="A1354">
        <v>1353</v>
      </c>
      <c r="B1354">
        <v>64582</v>
      </c>
      <c r="C1354" t="s">
        <v>1397</v>
      </c>
      <c r="D1354" t="s">
        <v>51</v>
      </c>
      <c r="E1354" t="s">
        <v>57</v>
      </c>
      <c r="F1354" s="1">
        <v>45197</v>
      </c>
      <c r="G1354" s="1">
        <v>45246</v>
      </c>
      <c r="H1354">
        <v>10</v>
      </c>
      <c r="I1354" t="s">
        <v>49</v>
      </c>
      <c r="J1354" t="s">
        <v>53</v>
      </c>
      <c r="K1354">
        <v>3</v>
      </c>
      <c r="L1354">
        <v>2</v>
      </c>
      <c r="M1354">
        <v>3</v>
      </c>
      <c r="N1354">
        <v>4</v>
      </c>
      <c r="O1354">
        <v>5</v>
      </c>
      <c r="P1354">
        <v>5</v>
      </c>
      <c r="Q1354">
        <v>1</v>
      </c>
      <c r="R1354">
        <v>5</v>
      </c>
      <c r="S1354">
        <v>4</v>
      </c>
      <c r="T1354">
        <v>4</v>
      </c>
      <c r="U1354" t="s">
        <v>30</v>
      </c>
      <c r="V1354" t="s">
        <v>38</v>
      </c>
      <c r="W1354" t="s">
        <v>55</v>
      </c>
      <c r="X1354" t="s">
        <v>33</v>
      </c>
      <c r="Y1354">
        <v>45</v>
      </c>
      <c r="Z1354" s="1">
        <v>45591</v>
      </c>
      <c r="AA1354" t="str" cm="1">
        <f t="array" ref="AA135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354" t="str" cm="1">
        <f t="array" ref="AC1354">_xlfn.IFS(Table2[[#This Row],[Satification_points]]&gt;=4.5,"GREAT",AND(Table2[[#This Row],[Satification_points]]&gt;=4,Table2[[#This Row],[Satification_points]]&lt;4.5),"GOOD",AND(Table2[[#This Row],[Satification_points]]&gt;=3,Table2[[#This Row],[Satification_points]]&lt;4),"AVERAGE",Table2[[#This Row],[Satification_points]]&lt;3,"POOR")</f>
        <v>AVERAGE</v>
      </c>
    </row>
    <row r="1355" spans="1:29" x14ac:dyDescent="0.3">
      <c r="A1355">
        <v>1354</v>
      </c>
      <c r="B1355">
        <v>97256</v>
      </c>
      <c r="C1355" t="s">
        <v>1398</v>
      </c>
      <c r="D1355" t="s">
        <v>26</v>
      </c>
      <c r="E1355" t="s">
        <v>27</v>
      </c>
      <c r="F1355" s="1">
        <v>44927</v>
      </c>
      <c r="G1355" s="1">
        <v>45584</v>
      </c>
      <c r="H1355">
        <v>3</v>
      </c>
      <c r="I1355" t="s">
        <v>42</v>
      </c>
      <c r="J1355" t="s">
        <v>43</v>
      </c>
      <c r="K1355">
        <v>5</v>
      </c>
      <c r="L1355">
        <v>5</v>
      </c>
      <c r="M1355">
        <v>1</v>
      </c>
      <c r="N1355">
        <v>2</v>
      </c>
      <c r="O1355">
        <v>1</v>
      </c>
      <c r="P1355">
        <v>4</v>
      </c>
      <c r="Q1355">
        <v>2</v>
      </c>
      <c r="R1355">
        <v>1</v>
      </c>
      <c r="S1355">
        <v>2</v>
      </c>
      <c r="T1355">
        <v>2</v>
      </c>
      <c r="U1355" t="s">
        <v>37</v>
      </c>
      <c r="V1355" t="s">
        <v>58</v>
      </c>
      <c r="W1355" t="s">
        <v>47</v>
      </c>
      <c r="X1355" t="s">
        <v>40</v>
      </c>
      <c r="Y1355">
        <v>23</v>
      </c>
      <c r="Z1355" s="1">
        <v>45584</v>
      </c>
      <c r="AA1355" t="str" cm="1">
        <f t="array" ref="AA1355">_xlfn.IFS(AND(Table2[[#This Row],[Guest_Age]]&gt;=18,Table2[[#This Row],[Guest_Age]]&lt;=25),"Young Adults",AND(Table2[[#This Row],[Guest_Age]]&gt;=26,Table2[[#This Row],[Guest_Age]]&lt;=35),"Adults",AND(Table2[[#This Row],[Guest_Age]]&gt;=36,Table2[[#This Row],[Guest_Age]]&lt;=50),"Middle Aged Adults",Table2[[#This Row],[Guest_Age]]&gt;50,"Senior")</f>
        <v>Young Adults</v>
      </c>
      <c r="AB13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355" t="str" cm="1">
        <f t="array" ref="AC1355">_xlfn.IFS(Table2[[#This Row],[Satification_points]]&gt;=4.5,"GREAT",AND(Table2[[#This Row],[Satification_points]]&gt;=4,Table2[[#This Row],[Satification_points]]&lt;4.5),"GOOD",AND(Table2[[#This Row],[Satification_points]]&gt;=3,Table2[[#This Row],[Satification_points]]&lt;4),"AVERAGE",Table2[[#This Row],[Satification_points]]&lt;3,"POOR")</f>
        <v>POOR</v>
      </c>
    </row>
    <row r="1356" spans="1:29" x14ac:dyDescent="0.3">
      <c r="A1356">
        <v>1355</v>
      </c>
      <c r="B1356">
        <v>96008</v>
      </c>
      <c r="C1356" t="s">
        <v>1399</v>
      </c>
      <c r="D1356" t="s">
        <v>26</v>
      </c>
      <c r="E1356" t="s">
        <v>27</v>
      </c>
      <c r="F1356" s="1">
        <v>45213</v>
      </c>
      <c r="G1356" s="1">
        <v>45661</v>
      </c>
      <c r="H1356">
        <v>5</v>
      </c>
      <c r="I1356" t="s">
        <v>28</v>
      </c>
      <c r="J1356" t="s">
        <v>43</v>
      </c>
      <c r="K1356">
        <v>5</v>
      </c>
      <c r="L1356">
        <v>4</v>
      </c>
      <c r="M1356">
        <v>1</v>
      </c>
      <c r="N1356">
        <v>5</v>
      </c>
      <c r="O1356">
        <v>3</v>
      </c>
      <c r="P1356">
        <v>3</v>
      </c>
      <c r="Q1356">
        <v>1</v>
      </c>
      <c r="R1356">
        <v>2</v>
      </c>
      <c r="S1356">
        <v>2</v>
      </c>
      <c r="T1356">
        <v>5</v>
      </c>
      <c r="U1356" t="s">
        <v>30</v>
      </c>
      <c r="V1356" t="s">
        <v>46</v>
      </c>
      <c r="W1356" t="s">
        <v>56</v>
      </c>
      <c r="X1356" t="s">
        <v>33</v>
      </c>
      <c r="Y1356">
        <v>50</v>
      </c>
      <c r="Z1356" s="1">
        <v>45661</v>
      </c>
      <c r="AA1356" t="str" cm="1">
        <f t="array" ref="AA13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56" t="str" cm="1">
        <f t="array" ref="AC1356">_xlfn.IFS(Table2[[#This Row],[Satification_points]]&gt;=4.5,"GREAT",AND(Table2[[#This Row],[Satification_points]]&gt;=4,Table2[[#This Row],[Satification_points]]&lt;4.5),"GOOD",AND(Table2[[#This Row],[Satification_points]]&gt;=3,Table2[[#This Row],[Satification_points]]&lt;4),"AVERAGE",Table2[[#This Row],[Satification_points]]&lt;3,"POOR")</f>
        <v>AVERAGE</v>
      </c>
    </row>
    <row r="1357" spans="1:29" x14ac:dyDescent="0.3">
      <c r="A1357">
        <v>1356</v>
      </c>
      <c r="B1357">
        <v>10610</v>
      </c>
      <c r="C1357" t="s">
        <v>1400</v>
      </c>
      <c r="D1357" t="s">
        <v>51</v>
      </c>
      <c r="E1357" t="s">
        <v>45</v>
      </c>
      <c r="F1357" s="1">
        <v>45106</v>
      </c>
      <c r="G1357" s="1">
        <v>45325</v>
      </c>
      <c r="H1357">
        <v>11</v>
      </c>
      <c r="I1357" t="s">
        <v>50</v>
      </c>
      <c r="J1357" t="s">
        <v>36</v>
      </c>
      <c r="K1357">
        <v>4</v>
      </c>
      <c r="L1357">
        <v>4</v>
      </c>
      <c r="M1357">
        <v>2</v>
      </c>
      <c r="N1357">
        <v>4</v>
      </c>
      <c r="O1357">
        <v>1</v>
      </c>
      <c r="P1357">
        <v>4</v>
      </c>
      <c r="Q1357">
        <v>1</v>
      </c>
      <c r="R1357">
        <v>5</v>
      </c>
      <c r="S1357">
        <v>2</v>
      </c>
      <c r="T1357">
        <v>1</v>
      </c>
      <c r="U1357" t="s">
        <v>37</v>
      </c>
      <c r="V1357" t="s">
        <v>58</v>
      </c>
      <c r="W1357" t="s">
        <v>39</v>
      </c>
      <c r="X1357" t="s">
        <v>33</v>
      </c>
      <c r="Y1357">
        <v>31</v>
      </c>
      <c r="Z1357" s="1">
        <v>45454</v>
      </c>
      <c r="AA1357" t="str" cm="1">
        <f t="array" ref="AA1357">_xlfn.IFS(AND(Table2[[#This Row],[Guest_Age]]&gt;=18,Table2[[#This Row],[Guest_Age]]&lt;=25),"Young Adults",AND(Table2[[#This Row],[Guest_Age]]&gt;=26,Table2[[#This Row],[Guest_Age]]&lt;=35),"Adults",AND(Table2[[#This Row],[Guest_Age]]&gt;=36,Table2[[#This Row],[Guest_Age]]&lt;=50),"Middle Aged Adults",Table2[[#This Row],[Guest_Age]]&gt;50,"Senior")</f>
        <v>Adults</v>
      </c>
      <c r="AB13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57" t="str" cm="1">
        <f t="array" ref="AC1357">_xlfn.IFS(Table2[[#This Row],[Satification_points]]&gt;=4.5,"GREAT",AND(Table2[[#This Row],[Satification_points]]&gt;=4,Table2[[#This Row],[Satification_points]]&lt;4.5),"GOOD",AND(Table2[[#This Row],[Satification_points]]&gt;=3,Table2[[#This Row],[Satification_points]]&lt;4),"AVERAGE",Table2[[#This Row],[Satification_points]]&lt;3,"POOR")</f>
        <v>POOR</v>
      </c>
    </row>
    <row r="1358" spans="1:29" x14ac:dyDescent="0.3">
      <c r="A1358">
        <v>1357</v>
      </c>
      <c r="B1358">
        <v>46636</v>
      </c>
      <c r="C1358" t="s">
        <v>1401</v>
      </c>
      <c r="D1358" t="s">
        <v>41</v>
      </c>
      <c r="E1358" t="s">
        <v>52</v>
      </c>
      <c r="F1358" s="1">
        <v>45182</v>
      </c>
      <c r="G1358" s="1">
        <v>45183</v>
      </c>
      <c r="H1358">
        <v>12</v>
      </c>
      <c r="I1358" t="s">
        <v>42</v>
      </c>
      <c r="J1358" t="s">
        <v>43</v>
      </c>
      <c r="K1358">
        <v>4</v>
      </c>
      <c r="L1358">
        <v>5</v>
      </c>
      <c r="M1358">
        <v>5</v>
      </c>
      <c r="N1358">
        <v>5</v>
      </c>
      <c r="O1358">
        <v>2</v>
      </c>
      <c r="P1358">
        <v>3</v>
      </c>
      <c r="Q1358">
        <v>3</v>
      </c>
      <c r="R1358">
        <v>3</v>
      </c>
      <c r="S1358">
        <v>5</v>
      </c>
      <c r="T1358">
        <v>4</v>
      </c>
      <c r="U1358" t="s">
        <v>30</v>
      </c>
      <c r="V1358" t="s">
        <v>31</v>
      </c>
      <c r="W1358" t="s">
        <v>32</v>
      </c>
      <c r="X1358" t="s">
        <v>44</v>
      </c>
      <c r="Y1358">
        <v>64</v>
      </c>
      <c r="Z1358" s="1">
        <v>45183</v>
      </c>
      <c r="AA1358" t="str" cm="1">
        <f t="array" ref="AA1358">_xlfn.IFS(AND(Table2[[#This Row],[Guest_Age]]&gt;=18,Table2[[#This Row],[Guest_Age]]&lt;=25),"Young Adults",AND(Table2[[#This Row],[Guest_Age]]&gt;=26,Table2[[#This Row],[Guest_Age]]&lt;=35),"Adults",AND(Table2[[#This Row],[Guest_Age]]&gt;=36,Table2[[#This Row],[Guest_Age]]&lt;=50),"Middle Aged Adults",Table2[[#This Row],[Guest_Age]]&gt;50,"Senior")</f>
        <v>Senior</v>
      </c>
      <c r="AB13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358" t="str" cm="1">
        <f t="array" ref="AC1358">_xlfn.IFS(Table2[[#This Row],[Satification_points]]&gt;=4.5,"GREAT",AND(Table2[[#This Row],[Satification_points]]&gt;=4,Table2[[#This Row],[Satification_points]]&lt;4.5),"GOOD",AND(Table2[[#This Row],[Satification_points]]&gt;=3,Table2[[#This Row],[Satification_points]]&lt;4),"AVERAGE",Table2[[#This Row],[Satification_points]]&lt;3,"POOR")</f>
        <v>AVERAGE</v>
      </c>
    </row>
    <row r="1359" spans="1:29" x14ac:dyDescent="0.3">
      <c r="A1359">
        <v>1358</v>
      </c>
      <c r="B1359">
        <v>96245</v>
      </c>
      <c r="C1359" t="s">
        <v>1402</v>
      </c>
      <c r="D1359" t="s">
        <v>26</v>
      </c>
      <c r="E1359" t="s">
        <v>27</v>
      </c>
      <c r="F1359" s="1">
        <v>45100</v>
      </c>
      <c r="G1359" s="1">
        <v>45389</v>
      </c>
      <c r="H1359">
        <v>10</v>
      </c>
      <c r="I1359" t="s">
        <v>50</v>
      </c>
      <c r="J1359" t="s">
        <v>43</v>
      </c>
      <c r="K1359">
        <v>3</v>
      </c>
      <c r="L1359">
        <v>3</v>
      </c>
      <c r="M1359">
        <v>5</v>
      </c>
      <c r="N1359">
        <v>1</v>
      </c>
      <c r="O1359">
        <v>5</v>
      </c>
      <c r="P1359">
        <v>5</v>
      </c>
      <c r="Q1359">
        <v>3</v>
      </c>
      <c r="R1359">
        <v>3</v>
      </c>
      <c r="S1359">
        <v>5</v>
      </c>
      <c r="T1359">
        <v>2</v>
      </c>
      <c r="U1359" t="s">
        <v>30</v>
      </c>
      <c r="V1359" t="s">
        <v>38</v>
      </c>
      <c r="W1359" t="s">
        <v>32</v>
      </c>
      <c r="X1359" t="s">
        <v>33</v>
      </c>
      <c r="Y1359">
        <v>46</v>
      </c>
      <c r="Z1359" s="1">
        <v>45603</v>
      </c>
      <c r="AA1359" t="str" cm="1">
        <f t="array" ref="AA135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359" t="str" cm="1">
        <f t="array" ref="AC1359">_xlfn.IFS(Table2[[#This Row],[Satification_points]]&gt;=4.5,"GREAT",AND(Table2[[#This Row],[Satification_points]]&gt;=4,Table2[[#This Row],[Satification_points]]&lt;4.5),"GOOD",AND(Table2[[#This Row],[Satification_points]]&gt;=3,Table2[[#This Row],[Satification_points]]&lt;4),"AVERAGE",Table2[[#This Row],[Satification_points]]&lt;3,"POOR")</f>
        <v>AVERAGE</v>
      </c>
    </row>
    <row r="1360" spans="1:29" x14ac:dyDescent="0.3">
      <c r="A1360">
        <v>1359</v>
      </c>
      <c r="B1360">
        <v>21884</v>
      </c>
      <c r="C1360" t="s">
        <v>1403</v>
      </c>
      <c r="D1360" t="s">
        <v>26</v>
      </c>
      <c r="E1360" t="s">
        <v>35</v>
      </c>
      <c r="F1360" s="1">
        <v>44976</v>
      </c>
      <c r="G1360" s="1">
        <v>45065</v>
      </c>
      <c r="H1360">
        <v>7</v>
      </c>
      <c r="I1360" t="s">
        <v>28</v>
      </c>
      <c r="J1360" t="s">
        <v>43</v>
      </c>
      <c r="K1360">
        <v>5</v>
      </c>
      <c r="L1360">
        <v>4</v>
      </c>
      <c r="M1360">
        <v>2</v>
      </c>
      <c r="N1360">
        <v>5</v>
      </c>
      <c r="O1360">
        <v>4</v>
      </c>
      <c r="P1360">
        <v>5</v>
      </c>
      <c r="Q1360">
        <v>3</v>
      </c>
      <c r="R1360">
        <v>4</v>
      </c>
      <c r="S1360">
        <v>2</v>
      </c>
      <c r="T1360">
        <v>5</v>
      </c>
      <c r="U1360" t="s">
        <v>30</v>
      </c>
      <c r="V1360" t="s">
        <v>54</v>
      </c>
      <c r="W1360" t="s">
        <v>32</v>
      </c>
      <c r="X1360" t="s">
        <v>44</v>
      </c>
      <c r="Y1360">
        <v>56</v>
      </c>
      <c r="Z1360" s="1">
        <v>45287</v>
      </c>
      <c r="AA1360" t="str" cm="1">
        <f t="array" ref="AA1360">_xlfn.IFS(AND(Table2[[#This Row],[Guest_Age]]&gt;=18,Table2[[#This Row],[Guest_Age]]&lt;=25),"Young Adults",AND(Table2[[#This Row],[Guest_Age]]&gt;=26,Table2[[#This Row],[Guest_Age]]&lt;=35),"Adults",AND(Table2[[#This Row],[Guest_Age]]&gt;=36,Table2[[#This Row],[Guest_Age]]&lt;=50),"Middle Aged Adults",Table2[[#This Row],[Guest_Age]]&gt;50,"Senior")</f>
        <v>Senior</v>
      </c>
      <c r="AB13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360" t="str" cm="1">
        <f t="array" ref="AC1360">_xlfn.IFS(Table2[[#This Row],[Satification_points]]&gt;=4.5,"GREAT",AND(Table2[[#This Row],[Satification_points]]&gt;=4,Table2[[#This Row],[Satification_points]]&lt;4.5),"GOOD",AND(Table2[[#This Row],[Satification_points]]&gt;=3,Table2[[#This Row],[Satification_points]]&lt;4),"AVERAGE",Table2[[#This Row],[Satification_points]]&lt;3,"POOR")</f>
        <v>AVERAGE</v>
      </c>
    </row>
    <row r="1361" spans="1:29" x14ac:dyDescent="0.3">
      <c r="A1361">
        <v>1360</v>
      </c>
      <c r="B1361">
        <v>96355</v>
      </c>
      <c r="C1361" t="s">
        <v>1404</v>
      </c>
      <c r="D1361" t="s">
        <v>48</v>
      </c>
      <c r="E1361" t="s">
        <v>35</v>
      </c>
      <c r="F1361" s="1">
        <v>45458</v>
      </c>
      <c r="G1361" s="1">
        <v>45459</v>
      </c>
      <c r="H1361">
        <v>8</v>
      </c>
      <c r="I1361" t="s">
        <v>50</v>
      </c>
      <c r="J1361" t="s">
        <v>29</v>
      </c>
      <c r="K1361">
        <v>4</v>
      </c>
      <c r="L1361">
        <v>1</v>
      </c>
      <c r="M1361">
        <v>4</v>
      </c>
      <c r="N1361">
        <v>3</v>
      </c>
      <c r="O1361">
        <v>3</v>
      </c>
      <c r="P1361">
        <v>3</v>
      </c>
      <c r="Q1361">
        <v>1</v>
      </c>
      <c r="R1361">
        <v>2</v>
      </c>
      <c r="S1361">
        <v>4</v>
      </c>
      <c r="T1361">
        <v>2</v>
      </c>
      <c r="U1361" t="s">
        <v>37</v>
      </c>
      <c r="V1361" t="s">
        <v>46</v>
      </c>
      <c r="W1361" t="s">
        <v>56</v>
      </c>
      <c r="X1361" t="s">
        <v>44</v>
      </c>
      <c r="Y1361">
        <v>32</v>
      </c>
      <c r="Z1361" s="1">
        <v>45475</v>
      </c>
      <c r="AA1361" t="str" cm="1">
        <f t="array" ref="AA1361">_xlfn.IFS(AND(Table2[[#This Row],[Guest_Age]]&gt;=18,Table2[[#This Row],[Guest_Age]]&lt;=25),"Young Adults",AND(Table2[[#This Row],[Guest_Age]]&gt;=26,Table2[[#This Row],[Guest_Age]]&lt;=35),"Adults",AND(Table2[[#This Row],[Guest_Age]]&gt;=36,Table2[[#This Row],[Guest_Age]]&lt;=50),"Middle Aged Adults",Table2[[#This Row],[Guest_Age]]&gt;50,"Senior")</f>
        <v>Adults</v>
      </c>
      <c r="AB13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61" t="str" cm="1">
        <f t="array" ref="AC1361">_xlfn.IFS(Table2[[#This Row],[Satification_points]]&gt;=4.5,"GREAT",AND(Table2[[#This Row],[Satification_points]]&gt;=4,Table2[[#This Row],[Satification_points]]&lt;4.5),"GOOD",AND(Table2[[#This Row],[Satification_points]]&gt;=3,Table2[[#This Row],[Satification_points]]&lt;4),"AVERAGE",Table2[[#This Row],[Satification_points]]&lt;3,"POOR")</f>
        <v>POOR</v>
      </c>
    </row>
    <row r="1362" spans="1:29" x14ac:dyDescent="0.3">
      <c r="A1362">
        <v>1361</v>
      </c>
      <c r="B1362">
        <v>61315</v>
      </c>
      <c r="C1362" t="s">
        <v>1405</v>
      </c>
      <c r="D1362" t="s">
        <v>51</v>
      </c>
      <c r="E1362" t="s">
        <v>52</v>
      </c>
      <c r="F1362" s="1">
        <v>45543</v>
      </c>
      <c r="G1362" s="1">
        <v>45544</v>
      </c>
      <c r="H1362">
        <v>8</v>
      </c>
      <c r="I1362" t="s">
        <v>42</v>
      </c>
      <c r="J1362" t="s">
        <v>40</v>
      </c>
      <c r="K1362">
        <v>4</v>
      </c>
      <c r="L1362">
        <v>3</v>
      </c>
      <c r="M1362">
        <v>4</v>
      </c>
      <c r="N1362">
        <v>4</v>
      </c>
      <c r="O1362">
        <v>1</v>
      </c>
      <c r="P1362">
        <v>2</v>
      </c>
      <c r="Q1362">
        <v>5</v>
      </c>
      <c r="R1362">
        <v>3</v>
      </c>
      <c r="S1362">
        <v>3</v>
      </c>
      <c r="T1362">
        <v>1</v>
      </c>
      <c r="U1362" t="s">
        <v>30</v>
      </c>
      <c r="V1362" t="s">
        <v>58</v>
      </c>
      <c r="W1362" t="s">
        <v>39</v>
      </c>
      <c r="X1362" t="s">
        <v>33</v>
      </c>
      <c r="Y1362">
        <v>65</v>
      </c>
      <c r="Z1362" s="1">
        <v>45637</v>
      </c>
      <c r="AA1362" t="str" cm="1">
        <f t="array" ref="AA1362">_xlfn.IFS(AND(Table2[[#This Row],[Guest_Age]]&gt;=18,Table2[[#This Row],[Guest_Age]]&lt;=25),"Young Adults",AND(Table2[[#This Row],[Guest_Age]]&gt;=26,Table2[[#This Row],[Guest_Age]]&lt;=35),"Adults",AND(Table2[[#This Row],[Guest_Age]]&gt;=36,Table2[[#This Row],[Guest_Age]]&lt;=50),"Middle Aged Adults",Table2[[#This Row],[Guest_Age]]&gt;50,"Senior")</f>
        <v>Senior</v>
      </c>
      <c r="AB13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62" t="str" cm="1">
        <f t="array" ref="AC1362">_xlfn.IFS(Table2[[#This Row],[Satification_points]]&gt;=4.5,"GREAT",AND(Table2[[#This Row],[Satification_points]]&gt;=4,Table2[[#This Row],[Satification_points]]&lt;4.5),"GOOD",AND(Table2[[#This Row],[Satification_points]]&gt;=3,Table2[[#This Row],[Satification_points]]&lt;4),"AVERAGE",Table2[[#This Row],[Satification_points]]&lt;3,"POOR")</f>
        <v>AVERAGE</v>
      </c>
    </row>
    <row r="1363" spans="1:29" x14ac:dyDescent="0.3">
      <c r="A1363">
        <v>1362</v>
      </c>
      <c r="B1363">
        <v>60901</v>
      </c>
      <c r="C1363" t="s">
        <v>1406</v>
      </c>
      <c r="D1363" t="s">
        <v>26</v>
      </c>
      <c r="E1363" t="s">
        <v>35</v>
      </c>
      <c r="F1363" s="1">
        <v>45116</v>
      </c>
      <c r="G1363" s="1">
        <v>45504</v>
      </c>
      <c r="H1363">
        <v>11</v>
      </c>
      <c r="I1363" t="s">
        <v>49</v>
      </c>
      <c r="J1363" t="s">
        <v>40</v>
      </c>
      <c r="K1363">
        <v>2</v>
      </c>
      <c r="L1363">
        <v>3</v>
      </c>
      <c r="M1363">
        <v>1</v>
      </c>
      <c r="N1363">
        <v>5</v>
      </c>
      <c r="O1363">
        <v>4</v>
      </c>
      <c r="P1363">
        <v>5</v>
      </c>
      <c r="Q1363">
        <v>3</v>
      </c>
      <c r="R1363">
        <v>1</v>
      </c>
      <c r="S1363">
        <v>1</v>
      </c>
      <c r="T1363">
        <v>5</v>
      </c>
      <c r="U1363" t="s">
        <v>37</v>
      </c>
      <c r="V1363" t="s">
        <v>46</v>
      </c>
      <c r="W1363" t="s">
        <v>39</v>
      </c>
      <c r="X1363" t="s">
        <v>44</v>
      </c>
      <c r="Y1363">
        <v>22</v>
      </c>
      <c r="Z1363" s="1">
        <v>45504</v>
      </c>
      <c r="AA1363" t="str" cm="1">
        <f t="array" ref="AA1363">_xlfn.IFS(AND(Table2[[#This Row],[Guest_Age]]&gt;=18,Table2[[#This Row],[Guest_Age]]&lt;=25),"Young Adults",AND(Table2[[#This Row],[Guest_Age]]&gt;=26,Table2[[#This Row],[Guest_Age]]&lt;=35),"Adults",AND(Table2[[#This Row],[Guest_Age]]&gt;=36,Table2[[#This Row],[Guest_Age]]&lt;=50),"Middle Aged Adults",Table2[[#This Row],[Guest_Age]]&gt;50,"Senior")</f>
        <v>Young Adults</v>
      </c>
      <c r="AB13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63" t="str" cm="1">
        <f t="array" ref="AC1363">_xlfn.IFS(Table2[[#This Row],[Satification_points]]&gt;=4.5,"GREAT",AND(Table2[[#This Row],[Satification_points]]&gt;=4,Table2[[#This Row],[Satification_points]]&lt;4.5),"GOOD",AND(Table2[[#This Row],[Satification_points]]&gt;=3,Table2[[#This Row],[Satification_points]]&lt;4),"AVERAGE",Table2[[#This Row],[Satification_points]]&lt;3,"POOR")</f>
        <v>AVERAGE</v>
      </c>
    </row>
    <row r="1364" spans="1:29" x14ac:dyDescent="0.3">
      <c r="A1364">
        <v>1363</v>
      </c>
      <c r="B1364">
        <v>31556</v>
      </c>
      <c r="C1364" t="s">
        <v>1407</v>
      </c>
      <c r="D1364" t="s">
        <v>51</v>
      </c>
      <c r="E1364" t="s">
        <v>57</v>
      </c>
      <c r="F1364" s="1">
        <v>44969</v>
      </c>
      <c r="G1364" s="1">
        <v>45581</v>
      </c>
      <c r="H1364">
        <v>2</v>
      </c>
      <c r="I1364" t="s">
        <v>50</v>
      </c>
      <c r="J1364" t="s">
        <v>53</v>
      </c>
      <c r="K1364">
        <v>2</v>
      </c>
      <c r="L1364">
        <v>2</v>
      </c>
      <c r="M1364">
        <v>4</v>
      </c>
      <c r="N1364">
        <v>4</v>
      </c>
      <c r="O1364">
        <v>1</v>
      </c>
      <c r="P1364">
        <v>3</v>
      </c>
      <c r="Q1364">
        <v>3</v>
      </c>
      <c r="R1364">
        <v>3</v>
      </c>
      <c r="S1364">
        <v>3</v>
      </c>
      <c r="T1364">
        <v>4</v>
      </c>
      <c r="U1364" t="s">
        <v>30</v>
      </c>
      <c r="V1364" t="s">
        <v>58</v>
      </c>
      <c r="W1364" t="s">
        <v>39</v>
      </c>
      <c r="X1364" t="s">
        <v>40</v>
      </c>
      <c r="Y1364">
        <v>39</v>
      </c>
      <c r="Z1364" s="1">
        <v>45581</v>
      </c>
      <c r="AA1364" t="str" cm="1">
        <f t="array" ref="AA13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64" t="str" cm="1">
        <f t="array" ref="AC1364">_xlfn.IFS(Table2[[#This Row],[Satification_points]]&gt;=4.5,"GREAT",AND(Table2[[#This Row],[Satification_points]]&gt;=4,Table2[[#This Row],[Satification_points]]&lt;4.5),"GOOD",AND(Table2[[#This Row],[Satification_points]]&gt;=3,Table2[[#This Row],[Satification_points]]&lt;4),"AVERAGE",Table2[[#This Row],[Satification_points]]&lt;3,"POOR")</f>
        <v>POOR</v>
      </c>
    </row>
    <row r="1365" spans="1:29" x14ac:dyDescent="0.3">
      <c r="A1365">
        <v>1364</v>
      </c>
      <c r="B1365">
        <v>56676</v>
      </c>
      <c r="C1365" t="s">
        <v>1408</v>
      </c>
      <c r="D1365" t="s">
        <v>48</v>
      </c>
      <c r="E1365" t="s">
        <v>45</v>
      </c>
      <c r="F1365" s="1">
        <v>45443</v>
      </c>
      <c r="G1365" s="1">
        <v>45444</v>
      </c>
      <c r="H1365">
        <v>1</v>
      </c>
      <c r="I1365" t="s">
        <v>42</v>
      </c>
      <c r="J1365" t="s">
        <v>43</v>
      </c>
      <c r="K1365">
        <v>3</v>
      </c>
      <c r="L1365">
        <v>5</v>
      </c>
      <c r="M1365">
        <v>3</v>
      </c>
      <c r="N1365">
        <v>4</v>
      </c>
      <c r="O1365">
        <v>5</v>
      </c>
      <c r="P1365">
        <v>3</v>
      </c>
      <c r="Q1365">
        <v>4</v>
      </c>
      <c r="R1365">
        <v>1</v>
      </c>
      <c r="S1365">
        <v>4</v>
      </c>
      <c r="T1365">
        <v>5</v>
      </c>
      <c r="U1365" t="s">
        <v>30</v>
      </c>
      <c r="V1365" t="s">
        <v>31</v>
      </c>
      <c r="W1365" t="s">
        <v>47</v>
      </c>
      <c r="X1365" t="s">
        <v>44</v>
      </c>
      <c r="Y1365">
        <v>69</v>
      </c>
      <c r="Z1365" s="1">
        <v>45444</v>
      </c>
      <c r="AA1365" t="str" cm="1">
        <f t="array" ref="AA1365">_xlfn.IFS(AND(Table2[[#This Row],[Guest_Age]]&gt;=18,Table2[[#This Row],[Guest_Age]]&lt;=25),"Young Adults",AND(Table2[[#This Row],[Guest_Age]]&gt;=26,Table2[[#This Row],[Guest_Age]]&lt;=35),"Adults",AND(Table2[[#This Row],[Guest_Age]]&gt;=36,Table2[[#This Row],[Guest_Age]]&lt;=50),"Middle Aged Adults",Table2[[#This Row],[Guest_Age]]&gt;50,"Senior")</f>
        <v>Senior</v>
      </c>
      <c r="AB13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365" t="str" cm="1">
        <f t="array" ref="AC1365">_xlfn.IFS(Table2[[#This Row],[Satification_points]]&gt;=4.5,"GREAT",AND(Table2[[#This Row],[Satification_points]]&gt;=4,Table2[[#This Row],[Satification_points]]&lt;4.5),"GOOD",AND(Table2[[#This Row],[Satification_points]]&gt;=3,Table2[[#This Row],[Satification_points]]&lt;4),"AVERAGE",Table2[[#This Row],[Satification_points]]&lt;3,"POOR")</f>
        <v>AVERAGE</v>
      </c>
    </row>
    <row r="1366" spans="1:29" x14ac:dyDescent="0.3">
      <c r="A1366">
        <v>1365</v>
      </c>
      <c r="B1366">
        <v>88758</v>
      </c>
      <c r="C1366" t="s">
        <v>1409</v>
      </c>
      <c r="D1366" t="s">
        <v>51</v>
      </c>
      <c r="E1366" t="s">
        <v>27</v>
      </c>
      <c r="F1366" s="1">
        <v>44992</v>
      </c>
      <c r="G1366" s="1">
        <v>45350</v>
      </c>
      <c r="H1366">
        <v>13</v>
      </c>
      <c r="I1366" t="s">
        <v>49</v>
      </c>
      <c r="J1366" t="s">
        <v>36</v>
      </c>
      <c r="K1366">
        <v>3</v>
      </c>
      <c r="L1366">
        <v>3</v>
      </c>
      <c r="M1366">
        <v>3</v>
      </c>
      <c r="N1366">
        <v>3</v>
      </c>
      <c r="O1366">
        <v>4</v>
      </c>
      <c r="P1366">
        <v>1</v>
      </c>
      <c r="Q1366">
        <v>1</v>
      </c>
      <c r="R1366">
        <v>1</v>
      </c>
      <c r="S1366">
        <v>4</v>
      </c>
      <c r="T1366">
        <v>4</v>
      </c>
      <c r="U1366" t="s">
        <v>30</v>
      </c>
      <c r="V1366" t="s">
        <v>54</v>
      </c>
      <c r="W1366" t="s">
        <v>56</v>
      </c>
      <c r="X1366" t="s">
        <v>44</v>
      </c>
      <c r="Y1366">
        <v>48</v>
      </c>
      <c r="Z1366" s="1">
        <v>45350</v>
      </c>
      <c r="AA1366" t="str" cm="1">
        <f t="array" ref="AA13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66" t="str" cm="1">
        <f t="array" ref="AC1366">_xlfn.IFS(Table2[[#This Row],[Satification_points]]&gt;=4.5,"GREAT",AND(Table2[[#This Row],[Satification_points]]&gt;=4,Table2[[#This Row],[Satification_points]]&lt;4.5),"GOOD",AND(Table2[[#This Row],[Satification_points]]&gt;=3,Table2[[#This Row],[Satification_points]]&lt;4),"AVERAGE",Table2[[#This Row],[Satification_points]]&lt;3,"POOR")</f>
        <v>POOR</v>
      </c>
    </row>
    <row r="1367" spans="1:29" x14ac:dyDescent="0.3">
      <c r="A1367">
        <v>1366</v>
      </c>
      <c r="B1367">
        <v>96603</v>
      </c>
      <c r="C1367" t="s">
        <v>1410</v>
      </c>
      <c r="D1367" t="s">
        <v>51</v>
      </c>
      <c r="E1367" t="s">
        <v>45</v>
      </c>
      <c r="F1367" s="1">
        <v>45322</v>
      </c>
      <c r="G1367" s="1">
        <v>45346</v>
      </c>
      <c r="H1367">
        <v>14</v>
      </c>
      <c r="I1367" t="s">
        <v>28</v>
      </c>
      <c r="J1367" t="s">
        <v>43</v>
      </c>
      <c r="K1367">
        <v>3</v>
      </c>
      <c r="L1367">
        <v>2</v>
      </c>
      <c r="M1367">
        <v>3</v>
      </c>
      <c r="N1367">
        <v>1</v>
      </c>
      <c r="O1367">
        <v>2</v>
      </c>
      <c r="P1367">
        <v>4</v>
      </c>
      <c r="Q1367">
        <v>1</v>
      </c>
      <c r="R1367">
        <v>5</v>
      </c>
      <c r="S1367">
        <v>3</v>
      </c>
      <c r="T1367">
        <v>3</v>
      </c>
      <c r="U1367" t="s">
        <v>37</v>
      </c>
      <c r="V1367" t="s">
        <v>46</v>
      </c>
      <c r="W1367" t="s">
        <v>55</v>
      </c>
      <c r="X1367" t="s">
        <v>33</v>
      </c>
      <c r="Y1367">
        <v>36</v>
      </c>
      <c r="Z1367" s="1">
        <v>45640</v>
      </c>
      <c r="AA1367" t="str" cm="1">
        <f t="array" ref="AA13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67" t="str" cm="1">
        <f t="array" ref="AC1367">_xlfn.IFS(Table2[[#This Row],[Satification_points]]&gt;=4.5,"GREAT",AND(Table2[[#This Row],[Satification_points]]&gt;=4,Table2[[#This Row],[Satification_points]]&lt;4.5),"GOOD",AND(Table2[[#This Row],[Satification_points]]&gt;=3,Table2[[#This Row],[Satification_points]]&lt;4),"AVERAGE",Table2[[#This Row],[Satification_points]]&lt;3,"POOR")</f>
        <v>POOR</v>
      </c>
    </row>
    <row r="1368" spans="1:29" x14ac:dyDescent="0.3">
      <c r="A1368">
        <v>1367</v>
      </c>
      <c r="B1368">
        <v>21018</v>
      </c>
      <c r="C1368" t="s">
        <v>1411</v>
      </c>
      <c r="D1368" t="s">
        <v>48</v>
      </c>
      <c r="E1368" t="s">
        <v>52</v>
      </c>
      <c r="F1368" s="1">
        <v>45177</v>
      </c>
      <c r="G1368" s="1">
        <v>45178</v>
      </c>
      <c r="H1368">
        <v>6</v>
      </c>
      <c r="I1368" t="s">
        <v>49</v>
      </c>
      <c r="J1368" t="s">
        <v>53</v>
      </c>
      <c r="K1368">
        <v>3</v>
      </c>
      <c r="L1368">
        <v>1</v>
      </c>
      <c r="M1368">
        <v>2</v>
      </c>
      <c r="N1368">
        <v>5</v>
      </c>
      <c r="O1368">
        <v>2</v>
      </c>
      <c r="P1368">
        <v>1</v>
      </c>
      <c r="Q1368">
        <v>3</v>
      </c>
      <c r="R1368">
        <v>5</v>
      </c>
      <c r="S1368">
        <v>3</v>
      </c>
      <c r="T1368">
        <v>4</v>
      </c>
      <c r="U1368" t="s">
        <v>30</v>
      </c>
      <c r="V1368" t="s">
        <v>46</v>
      </c>
      <c r="W1368" t="s">
        <v>47</v>
      </c>
      <c r="X1368" t="s">
        <v>33</v>
      </c>
      <c r="Y1368">
        <v>68</v>
      </c>
      <c r="Z1368" s="1">
        <v>45178</v>
      </c>
      <c r="AA1368" t="str" cm="1">
        <f t="array" ref="AA1368">_xlfn.IFS(AND(Table2[[#This Row],[Guest_Age]]&gt;=18,Table2[[#This Row],[Guest_Age]]&lt;=25),"Young Adults",AND(Table2[[#This Row],[Guest_Age]]&gt;=26,Table2[[#This Row],[Guest_Age]]&lt;=35),"Adults",AND(Table2[[#This Row],[Guest_Age]]&gt;=36,Table2[[#This Row],[Guest_Age]]&lt;=50),"Middle Aged Adults",Table2[[#This Row],[Guest_Age]]&gt;50,"Senior")</f>
        <v>Senior</v>
      </c>
      <c r="AB13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68" t="str" cm="1">
        <f t="array" ref="AC1368">_xlfn.IFS(Table2[[#This Row],[Satification_points]]&gt;=4.5,"GREAT",AND(Table2[[#This Row],[Satification_points]]&gt;=4,Table2[[#This Row],[Satification_points]]&lt;4.5),"GOOD",AND(Table2[[#This Row],[Satification_points]]&gt;=3,Table2[[#This Row],[Satification_points]]&lt;4),"AVERAGE",Table2[[#This Row],[Satification_points]]&lt;3,"POOR")</f>
        <v>POOR</v>
      </c>
    </row>
    <row r="1369" spans="1:29" x14ac:dyDescent="0.3">
      <c r="A1369">
        <v>1368</v>
      </c>
      <c r="B1369">
        <v>46599</v>
      </c>
      <c r="C1369" t="s">
        <v>1412</v>
      </c>
      <c r="D1369" t="s">
        <v>26</v>
      </c>
      <c r="E1369" t="s">
        <v>45</v>
      </c>
      <c r="F1369" s="1">
        <v>45054</v>
      </c>
      <c r="G1369" s="1">
        <v>45210</v>
      </c>
      <c r="H1369">
        <v>1</v>
      </c>
      <c r="I1369" t="s">
        <v>28</v>
      </c>
      <c r="J1369" t="s">
        <v>43</v>
      </c>
      <c r="K1369">
        <v>5</v>
      </c>
      <c r="L1369">
        <v>1</v>
      </c>
      <c r="M1369">
        <v>3</v>
      </c>
      <c r="N1369">
        <v>2</v>
      </c>
      <c r="O1369">
        <v>4</v>
      </c>
      <c r="P1369">
        <v>4</v>
      </c>
      <c r="Q1369">
        <v>4</v>
      </c>
      <c r="R1369">
        <v>3</v>
      </c>
      <c r="S1369">
        <v>2</v>
      </c>
      <c r="T1369">
        <v>2</v>
      </c>
      <c r="U1369" t="s">
        <v>30</v>
      </c>
      <c r="V1369" t="s">
        <v>58</v>
      </c>
      <c r="W1369" t="s">
        <v>56</v>
      </c>
      <c r="X1369" t="s">
        <v>44</v>
      </c>
      <c r="Y1369">
        <v>35</v>
      </c>
      <c r="Z1369" s="1">
        <v>45222</v>
      </c>
      <c r="AA1369" t="str" cm="1">
        <f t="array" ref="AA1369">_xlfn.IFS(AND(Table2[[#This Row],[Guest_Age]]&gt;=18,Table2[[#This Row],[Guest_Age]]&lt;=25),"Young Adults",AND(Table2[[#This Row],[Guest_Age]]&gt;=26,Table2[[#This Row],[Guest_Age]]&lt;=35),"Adults",AND(Table2[[#This Row],[Guest_Age]]&gt;=36,Table2[[#This Row],[Guest_Age]]&lt;=50),"Middle Aged Adults",Table2[[#This Row],[Guest_Age]]&gt;50,"Senior")</f>
        <v>Adults</v>
      </c>
      <c r="AB13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69" t="str" cm="1">
        <f t="array" ref="AC1369">_xlfn.IFS(Table2[[#This Row],[Satification_points]]&gt;=4.5,"GREAT",AND(Table2[[#This Row],[Satification_points]]&gt;=4,Table2[[#This Row],[Satification_points]]&lt;4.5),"GOOD",AND(Table2[[#This Row],[Satification_points]]&gt;=3,Table2[[#This Row],[Satification_points]]&lt;4),"AVERAGE",Table2[[#This Row],[Satification_points]]&lt;3,"POOR")</f>
        <v>AVERAGE</v>
      </c>
    </row>
    <row r="1370" spans="1:29" x14ac:dyDescent="0.3">
      <c r="A1370">
        <v>1369</v>
      </c>
      <c r="B1370">
        <v>77915</v>
      </c>
      <c r="C1370" t="s">
        <v>1413</v>
      </c>
      <c r="D1370" t="s">
        <v>51</v>
      </c>
      <c r="E1370" t="s">
        <v>27</v>
      </c>
      <c r="F1370" s="1">
        <v>45623</v>
      </c>
      <c r="G1370" s="1">
        <v>45624</v>
      </c>
      <c r="H1370">
        <v>6</v>
      </c>
      <c r="I1370" t="s">
        <v>42</v>
      </c>
      <c r="J1370" t="s">
        <v>29</v>
      </c>
      <c r="K1370">
        <v>1</v>
      </c>
      <c r="L1370">
        <v>4</v>
      </c>
      <c r="M1370">
        <v>2</v>
      </c>
      <c r="N1370">
        <v>4</v>
      </c>
      <c r="O1370">
        <v>2</v>
      </c>
      <c r="P1370">
        <v>4</v>
      </c>
      <c r="Q1370">
        <v>4</v>
      </c>
      <c r="R1370">
        <v>3</v>
      </c>
      <c r="S1370">
        <v>3</v>
      </c>
      <c r="T1370">
        <v>1</v>
      </c>
      <c r="U1370" t="s">
        <v>37</v>
      </c>
      <c r="V1370" t="s">
        <v>58</v>
      </c>
      <c r="W1370" t="s">
        <v>39</v>
      </c>
      <c r="X1370" t="s">
        <v>40</v>
      </c>
      <c r="Y1370">
        <v>23</v>
      </c>
      <c r="Z1370" s="1">
        <v>45624</v>
      </c>
      <c r="AA1370" t="str" cm="1">
        <f t="array" ref="AA1370">_xlfn.IFS(AND(Table2[[#This Row],[Guest_Age]]&gt;=18,Table2[[#This Row],[Guest_Age]]&lt;=25),"Young Adults",AND(Table2[[#This Row],[Guest_Age]]&gt;=26,Table2[[#This Row],[Guest_Age]]&lt;=35),"Adults",AND(Table2[[#This Row],[Guest_Age]]&gt;=36,Table2[[#This Row],[Guest_Age]]&lt;=50),"Middle Aged Adults",Table2[[#This Row],[Guest_Age]]&gt;50,"Senior")</f>
        <v>Young Adults</v>
      </c>
      <c r="AB13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70" t="str" cm="1">
        <f t="array" ref="AC1370">_xlfn.IFS(Table2[[#This Row],[Satification_points]]&gt;=4.5,"GREAT",AND(Table2[[#This Row],[Satification_points]]&gt;=4,Table2[[#This Row],[Satification_points]]&lt;4.5),"GOOD",AND(Table2[[#This Row],[Satification_points]]&gt;=3,Table2[[#This Row],[Satification_points]]&lt;4),"AVERAGE",Table2[[#This Row],[Satification_points]]&lt;3,"POOR")</f>
        <v>POOR</v>
      </c>
    </row>
    <row r="1371" spans="1:29" x14ac:dyDescent="0.3">
      <c r="A1371">
        <v>1370</v>
      </c>
      <c r="B1371">
        <v>32489</v>
      </c>
      <c r="C1371" t="s">
        <v>1414</v>
      </c>
      <c r="D1371" t="s">
        <v>41</v>
      </c>
      <c r="E1371" t="s">
        <v>27</v>
      </c>
      <c r="F1371" s="1">
        <v>45114</v>
      </c>
      <c r="G1371" s="1">
        <v>45431</v>
      </c>
      <c r="H1371">
        <v>13</v>
      </c>
      <c r="I1371" t="s">
        <v>42</v>
      </c>
      <c r="J1371" t="s">
        <v>53</v>
      </c>
      <c r="K1371">
        <v>3</v>
      </c>
      <c r="L1371">
        <v>5</v>
      </c>
      <c r="M1371">
        <v>1</v>
      </c>
      <c r="N1371">
        <v>1</v>
      </c>
      <c r="O1371">
        <v>3</v>
      </c>
      <c r="P1371">
        <v>1</v>
      </c>
      <c r="Q1371">
        <v>2</v>
      </c>
      <c r="R1371">
        <v>1</v>
      </c>
      <c r="S1371">
        <v>3</v>
      </c>
      <c r="T1371">
        <v>5</v>
      </c>
      <c r="U1371" t="s">
        <v>37</v>
      </c>
      <c r="V1371" t="s">
        <v>46</v>
      </c>
      <c r="W1371" t="s">
        <v>56</v>
      </c>
      <c r="X1371" t="s">
        <v>40</v>
      </c>
      <c r="Y1371">
        <v>26</v>
      </c>
      <c r="Z1371" s="1">
        <v>45431</v>
      </c>
      <c r="AA1371" t="str" cm="1">
        <f t="array" ref="AA1371">_xlfn.IFS(AND(Table2[[#This Row],[Guest_Age]]&gt;=18,Table2[[#This Row],[Guest_Age]]&lt;=25),"Young Adults",AND(Table2[[#This Row],[Guest_Age]]&gt;=26,Table2[[#This Row],[Guest_Age]]&lt;=35),"Adults",AND(Table2[[#This Row],[Guest_Age]]&gt;=36,Table2[[#This Row],[Guest_Age]]&lt;=50),"Middle Aged Adults",Table2[[#This Row],[Guest_Age]]&gt;50,"Senior")</f>
        <v>Adults</v>
      </c>
      <c r="AB13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371" t="str" cm="1">
        <f t="array" ref="AC1371">_xlfn.IFS(Table2[[#This Row],[Satification_points]]&gt;=4.5,"GREAT",AND(Table2[[#This Row],[Satification_points]]&gt;=4,Table2[[#This Row],[Satification_points]]&lt;4.5),"GOOD",AND(Table2[[#This Row],[Satification_points]]&gt;=3,Table2[[#This Row],[Satification_points]]&lt;4),"AVERAGE",Table2[[#This Row],[Satification_points]]&lt;3,"POOR")</f>
        <v>POOR</v>
      </c>
    </row>
    <row r="1372" spans="1:29" x14ac:dyDescent="0.3">
      <c r="A1372">
        <v>1371</v>
      </c>
      <c r="B1372">
        <v>58071</v>
      </c>
      <c r="C1372" t="s">
        <v>1415</v>
      </c>
      <c r="D1372" t="s">
        <v>26</v>
      </c>
      <c r="E1372" t="s">
        <v>52</v>
      </c>
      <c r="F1372" s="1">
        <v>45109</v>
      </c>
      <c r="G1372" s="1">
        <v>45612</v>
      </c>
      <c r="H1372">
        <v>7</v>
      </c>
      <c r="I1372" t="s">
        <v>49</v>
      </c>
      <c r="J1372" t="s">
        <v>40</v>
      </c>
      <c r="K1372">
        <v>2</v>
      </c>
      <c r="L1372">
        <v>5</v>
      </c>
      <c r="M1372">
        <v>1</v>
      </c>
      <c r="N1372">
        <v>2</v>
      </c>
      <c r="O1372">
        <v>5</v>
      </c>
      <c r="P1372">
        <v>2</v>
      </c>
      <c r="Q1372">
        <v>2</v>
      </c>
      <c r="R1372">
        <v>5</v>
      </c>
      <c r="S1372">
        <v>2</v>
      </c>
      <c r="T1372">
        <v>3</v>
      </c>
      <c r="U1372" t="s">
        <v>30</v>
      </c>
      <c r="V1372" t="s">
        <v>31</v>
      </c>
      <c r="W1372" t="s">
        <v>39</v>
      </c>
      <c r="X1372" t="s">
        <v>44</v>
      </c>
      <c r="Y1372">
        <v>47</v>
      </c>
      <c r="Z1372" s="1">
        <v>45612</v>
      </c>
      <c r="AA1372" t="str" cm="1">
        <f t="array" ref="AA13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72" t="str" cm="1">
        <f t="array" ref="AC1372">_xlfn.IFS(Table2[[#This Row],[Satification_points]]&gt;=4.5,"GREAT",AND(Table2[[#This Row],[Satification_points]]&gt;=4,Table2[[#This Row],[Satification_points]]&lt;4.5),"GOOD",AND(Table2[[#This Row],[Satification_points]]&gt;=3,Table2[[#This Row],[Satification_points]]&lt;4),"AVERAGE",Table2[[#This Row],[Satification_points]]&lt;3,"POOR")</f>
        <v>POOR</v>
      </c>
    </row>
    <row r="1373" spans="1:29" x14ac:dyDescent="0.3">
      <c r="A1373">
        <v>1372</v>
      </c>
      <c r="B1373">
        <v>22394</v>
      </c>
      <c r="C1373" t="s">
        <v>720</v>
      </c>
      <c r="D1373" t="s">
        <v>48</v>
      </c>
      <c r="E1373" t="s">
        <v>27</v>
      </c>
      <c r="F1373" s="1">
        <v>45509</v>
      </c>
      <c r="G1373" s="1">
        <v>45510</v>
      </c>
      <c r="H1373">
        <v>9</v>
      </c>
      <c r="I1373" t="s">
        <v>42</v>
      </c>
      <c r="J1373" t="s">
        <v>40</v>
      </c>
      <c r="K1373">
        <v>1</v>
      </c>
      <c r="L1373">
        <v>2</v>
      </c>
      <c r="M1373">
        <v>3</v>
      </c>
      <c r="N1373">
        <v>4</v>
      </c>
      <c r="O1373">
        <v>3</v>
      </c>
      <c r="P1373">
        <v>3</v>
      </c>
      <c r="Q1373">
        <v>3</v>
      </c>
      <c r="R1373">
        <v>3</v>
      </c>
      <c r="S1373">
        <v>4</v>
      </c>
      <c r="T1373">
        <v>3</v>
      </c>
      <c r="U1373" t="s">
        <v>30</v>
      </c>
      <c r="V1373" t="s">
        <v>46</v>
      </c>
      <c r="W1373" t="s">
        <v>55</v>
      </c>
      <c r="X1373" t="s">
        <v>44</v>
      </c>
      <c r="Y1373">
        <v>48</v>
      </c>
      <c r="Z1373" s="1">
        <v>45557</v>
      </c>
      <c r="AA1373" t="str" cm="1">
        <f t="array" ref="AA137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73" t="str" cm="1">
        <f t="array" ref="AC1373">_xlfn.IFS(Table2[[#This Row],[Satification_points]]&gt;=4.5,"GREAT",AND(Table2[[#This Row],[Satification_points]]&gt;=4,Table2[[#This Row],[Satification_points]]&lt;4.5),"GOOD",AND(Table2[[#This Row],[Satification_points]]&gt;=3,Table2[[#This Row],[Satification_points]]&lt;4),"AVERAGE",Table2[[#This Row],[Satification_points]]&lt;3,"POOR")</f>
        <v>POOR</v>
      </c>
    </row>
    <row r="1374" spans="1:29" x14ac:dyDescent="0.3">
      <c r="A1374">
        <v>1373</v>
      </c>
      <c r="B1374">
        <v>24417</v>
      </c>
      <c r="C1374" t="s">
        <v>1416</v>
      </c>
      <c r="D1374" t="s">
        <v>34</v>
      </c>
      <c r="E1374" t="s">
        <v>35</v>
      </c>
      <c r="F1374" s="1">
        <v>45504</v>
      </c>
      <c r="G1374" s="1">
        <v>45505</v>
      </c>
      <c r="H1374">
        <v>10</v>
      </c>
      <c r="I1374" t="s">
        <v>42</v>
      </c>
      <c r="J1374" t="s">
        <v>29</v>
      </c>
      <c r="K1374">
        <v>1</v>
      </c>
      <c r="L1374">
        <v>4</v>
      </c>
      <c r="M1374">
        <v>2</v>
      </c>
      <c r="N1374">
        <v>2</v>
      </c>
      <c r="O1374">
        <v>4</v>
      </c>
      <c r="P1374">
        <v>5</v>
      </c>
      <c r="Q1374">
        <v>1</v>
      </c>
      <c r="R1374">
        <v>5</v>
      </c>
      <c r="S1374">
        <v>5</v>
      </c>
      <c r="T1374">
        <v>3</v>
      </c>
      <c r="U1374" t="s">
        <v>30</v>
      </c>
      <c r="V1374" t="s">
        <v>38</v>
      </c>
      <c r="W1374" t="s">
        <v>39</v>
      </c>
      <c r="X1374" t="s">
        <v>44</v>
      </c>
      <c r="Y1374">
        <v>52</v>
      </c>
      <c r="Z1374" s="1">
        <v>45505</v>
      </c>
      <c r="AA1374" t="str" cm="1">
        <f t="array" ref="AA1374">_xlfn.IFS(AND(Table2[[#This Row],[Guest_Age]]&gt;=18,Table2[[#This Row],[Guest_Age]]&lt;=25),"Young Adults",AND(Table2[[#This Row],[Guest_Age]]&gt;=26,Table2[[#This Row],[Guest_Age]]&lt;=35),"Adults",AND(Table2[[#This Row],[Guest_Age]]&gt;=36,Table2[[#This Row],[Guest_Age]]&lt;=50),"Middle Aged Adults",Table2[[#This Row],[Guest_Age]]&gt;50,"Senior")</f>
        <v>Senior</v>
      </c>
      <c r="AB13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374" t="str" cm="1">
        <f t="array" ref="AC1374">_xlfn.IFS(Table2[[#This Row],[Satification_points]]&gt;=4.5,"GREAT",AND(Table2[[#This Row],[Satification_points]]&gt;=4,Table2[[#This Row],[Satification_points]]&lt;4.5),"GOOD",AND(Table2[[#This Row],[Satification_points]]&gt;=3,Table2[[#This Row],[Satification_points]]&lt;4),"AVERAGE",Table2[[#This Row],[Satification_points]]&lt;3,"POOR")</f>
        <v>AVERAGE</v>
      </c>
    </row>
    <row r="1375" spans="1:29" x14ac:dyDescent="0.3">
      <c r="A1375">
        <v>1374</v>
      </c>
      <c r="B1375">
        <v>37849</v>
      </c>
      <c r="C1375" t="s">
        <v>1417</v>
      </c>
      <c r="D1375" t="s">
        <v>41</v>
      </c>
      <c r="E1375" t="s">
        <v>45</v>
      </c>
      <c r="F1375" s="1">
        <v>45593</v>
      </c>
      <c r="G1375" s="1">
        <v>45594</v>
      </c>
      <c r="H1375">
        <v>10</v>
      </c>
      <c r="I1375" t="s">
        <v>28</v>
      </c>
      <c r="J1375" t="s">
        <v>40</v>
      </c>
      <c r="K1375">
        <v>5</v>
      </c>
      <c r="L1375">
        <v>5</v>
      </c>
      <c r="M1375">
        <v>3</v>
      </c>
      <c r="N1375">
        <v>5</v>
      </c>
      <c r="O1375">
        <v>3</v>
      </c>
      <c r="P1375">
        <v>3</v>
      </c>
      <c r="Q1375">
        <v>4</v>
      </c>
      <c r="R1375">
        <v>2</v>
      </c>
      <c r="S1375">
        <v>2</v>
      </c>
      <c r="T1375">
        <v>2</v>
      </c>
      <c r="U1375" t="s">
        <v>30</v>
      </c>
      <c r="V1375" t="s">
        <v>38</v>
      </c>
      <c r="W1375" t="s">
        <v>47</v>
      </c>
      <c r="X1375" t="s">
        <v>44</v>
      </c>
      <c r="Y1375">
        <v>34</v>
      </c>
      <c r="Z1375" s="1">
        <v>45594</v>
      </c>
      <c r="AA1375" t="str" cm="1">
        <f t="array" ref="AA1375">_xlfn.IFS(AND(Table2[[#This Row],[Guest_Age]]&gt;=18,Table2[[#This Row],[Guest_Age]]&lt;=25),"Young Adults",AND(Table2[[#This Row],[Guest_Age]]&gt;=26,Table2[[#This Row],[Guest_Age]]&lt;=35),"Adults",AND(Table2[[#This Row],[Guest_Age]]&gt;=36,Table2[[#This Row],[Guest_Age]]&lt;=50),"Middle Aged Adults",Table2[[#This Row],[Guest_Age]]&gt;50,"Senior")</f>
        <v>Adults</v>
      </c>
      <c r="AB13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75" t="str" cm="1">
        <f t="array" ref="AC1375">_xlfn.IFS(Table2[[#This Row],[Satification_points]]&gt;=4.5,"GREAT",AND(Table2[[#This Row],[Satification_points]]&gt;=4,Table2[[#This Row],[Satification_points]]&lt;4.5),"GOOD",AND(Table2[[#This Row],[Satification_points]]&gt;=3,Table2[[#This Row],[Satification_points]]&lt;4),"AVERAGE",Table2[[#This Row],[Satification_points]]&lt;3,"POOR")</f>
        <v>AVERAGE</v>
      </c>
    </row>
    <row r="1376" spans="1:29" x14ac:dyDescent="0.3">
      <c r="A1376">
        <v>1375</v>
      </c>
      <c r="B1376">
        <v>45207</v>
      </c>
      <c r="C1376" t="s">
        <v>1418</v>
      </c>
      <c r="D1376" t="s">
        <v>26</v>
      </c>
      <c r="E1376" t="s">
        <v>57</v>
      </c>
      <c r="F1376" s="1">
        <v>45338</v>
      </c>
      <c r="G1376" s="1">
        <v>45339</v>
      </c>
      <c r="H1376">
        <v>1</v>
      </c>
      <c r="I1376" t="s">
        <v>42</v>
      </c>
      <c r="J1376" t="s">
        <v>29</v>
      </c>
      <c r="K1376">
        <v>4</v>
      </c>
      <c r="L1376">
        <v>4</v>
      </c>
      <c r="M1376">
        <v>4</v>
      </c>
      <c r="N1376">
        <v>5</v>
      </c>
      <c r="O1376">
        <v>5</v>
      </c>
      <c r="P1376">
        <v>1</v>
      </c>
      <c r="Q1376">
        <v>4</v>
      </c>
      <c r="R1376">
        <v>1</v>
      </c>
      <c r="S1376">
        <v>3</v>
      </c>
      <c r="T1376">
        <v>4</v>
      </c>
      <c r="U1376" t="s">
        <v>30</v>
      </c>
      <c r="V1376" t="s">
        <v>46</v>
      </c>
      <c r="W1376" t="s">
        <v>56</v>
      </c>
      <c r="X1376" t="s">
        <v>33</v>
      </c>
      <c r="Y1376">
        <v>59</v>
      </c>
      <c r="Z1376" s="1">
        <v>45339</v>
      </c>
      <c r="AA1376" t="str" cm="1">
        <f t="array" ref="AA1376">_xlfn.IFS(AND(Table2[[#This Row],[Guest_Age]]&gt;=18,Table2[[#This Row],[Guest_Age]]&lt;=25),"Young Adults",AND(Table2[[#This Row],[Guest_Age]]&gt;=26,Table2[[#This Row],[Guest_Age]]&lt;=35),"Adults",AND(Table2[[#This Row],[Guest_Age]]&gt;=36,Table2[[#This Row],[Guest_Age]]&lt;=50),"Middle Aged Adults",Table2[[#This Row],[Guest_Age]]&gt;50,"Senior")</f>
        <v>Senior</v>
      </c>
      <c r="AB13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376" t="str" cm="1">
        <f t="array" ref="AC1376">_xlfn.IFS(Table2[[#This Row],[Satification_points]]&gt;=4.5,"GREAT",AND(Table2[[#This Row],[Satification_points]]&gt;=4,Table2[[#This Row],[Satification_points]]&lt;4.5),"GOOD",AND(Table2[[#This Row],[Satification_points]]&gt;=3,Table2[[#This Row],[Satification_points]]&lt;4),"AVERAGE",Table2[[#This Row],[Satification_points]]&lt;3,"POOR")</f>
        <v>AVERAGE</v>
      </c>
    </row>
    <row r="1377" spans="1:29" x14ac:dyDescent="0.3">
      <c r="A1377">
        <v>1376</v>
      </c>
      <c r="B1377">
        <v>71669</v>
      </c>
      <c r="C1377" t="s">
        <v>1419</v>
      </c>
      <c r="D1377" t="s">
        <v>48</v>
      </c>
      <c r="E1377" t="s">
        <v>57</v>
      </c>
      <c r="F1377" s="1">
        <v>45005</v>
      </c>
      <c r="G1377" s="1">
        <v>45151</v>
      </c>
      <c r="H1377">
        <v>7</v>
      </c>
      <c r="I1377" t="s">
        <v>50</v>
      </c>
      <c r="J1377" t="s">
        <v>40</v>
      </c>
      <c r="K1377">
        <v>1</v>
      </c>
      <c r="L1377">
        <v>2</v>
      </c>
      <c r="M1377">
        <v>2</v>
      </c>
      <c r="N1377">
        <v>4</v>
      </c>
      <c r="O1377">
        <v>5</v>
      </c>
      <c r="P1377">
        <v>2</v>
      </c>
      <c r="Q1377">
        <v>4</v>
      </c>
      <c r="R1377">
        <v>5</v>
      </c>
      <c r="S1377">
        <v>1</v>
      </c>
      <c r="T1377">
        <v>3</v>
      </c>
      <c r="U1377" t="s">
        <v>37</v>
      </c>
      <c r="V1377" t="s">
        <v>31</v>
      </c>
      <c r="W1377" t="s">
        <v>32</v>
      </c>
      <c r="X1377" t="s">
        <v>44</v>
      </c>
      <c r="Y1377">
        <v>33</v>
      </c>
      <c r="Z1377" s="1">
        <v>45199</v>
      </c>
      <c r="AA1377" t="str" cm="1">
        <f t="array" ref="AA1377">_xlfn.IFS(AND(Table2[[#This Row],[Guest_Age]]&gt;=18,Table2[[#This Row],[Guest_Age]]&lt;=25),"Young Adults",AND(Table2[[#This Row],[Guest_Age]]&gt;=26,Table2[[#This Row],[Guest_Age]]&lt;=35),"Adults",AND(Table2[[#This Row],[Guest_Age]]&gt;=36,Table2[[#This Row],[Guest_Age]]&lt;=50),"Middle Aged Adults",Table2[[#This Row],[Guest_Age]]&gt;50,"Senior")</f>
        <v>Adults</v>
      </c>
      <c r="AB13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77" t="str" cm="1">
        <f t="array" ref="AC1377">_xlfn.IFS(Table2[[#This Row],[Satification_points]]&gt;=4.5,"GREAT",AND(Table2[[#This Row],[Satification_points]]&gt;=4,Table2[[#This Row],[Satification_points]]&lt;4.5),"GOOD",AND(Table2[[#This Row],[Satification_points]]&gt;=3,Table2[[#This Row],[Satification_points]]&lt;4),"AVERAGE",Table2[[#This Row],[Satification_points]]&lt;3,"POOR")</f>
        <v>POOR</v>
      </c>
    </row>
    <row r="1378" spans="1:29" x14ac:dyDescent="0.3">
      <c r="A1378">
        <v>1377</v>
      </c>
      <c r="B1378">
        <v>34290</v>
      </c>
      <c r="C1378" t="s">
        <v>1420</v>
      </c>
      <c r="D1378" t="s">
        <v>41</v>
      </c>
      <c r="E1378" t="s">
        <v>57</v>
      </c>
      <c r="F1378" s="1">
        <v>44945</v>
      </c>
      <c r="G1378" s="1">
        <v>45501</v>
      </c>
      <c r="H1378">
        <v>4</v>
      </c>
      <c r="I1378" t="s">
        <v>28</v>
      </c>
      <c r="J1378" t="s">
        <v>40</v>
      </c>
      <c r="K1378">
        <v>5</v>
      </c>
      <c r="L1378">
        <v>4</v>
      </c>
      <c r="M1378">
        <v>2</v>
      </c>
      <c r="N1378">
        <v>4</v>
      </c>
      <c r="O1378">
        <v>4</v>
      </c>
      <c r="P1378">
        <v>5</v>
      </c>
      <c r="Q1378">
        <v>1</v>
      </c>
      <c r="R1378">
        <v>3</v>
      </c>
      <c r="S1378">
        <v>3</v>
      </c>
      <c r="T1378">
        <v>1</v>
      </c>
      <c r="U1378" t="s">
        <v>30</v>
      </c>
      <c r="V1378" t="s">
        <v>58</v>
      </c>
      <c r="W1378" t="s">
        <v>39</v>
      </c>
      <c r="X1378" t="s">
        <v>44</v>
      </c>
      <c r="Y1378">
        <v>50</v>
      </c>
      <c r="Z1378" s="1">
        <v>45631</v>
      </c>
      <c r="AA1378" t="str" cm="1">
        <f t="array" ref="AA137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378" t="str" cm="1">
        <f t="array" ref="AC1378">_xlfn.IFS(Table2[[#This Row],[Satification_points]]&gt;=4.5,"GREAT",AND(Table2[[#This Row],[Satification_points]]&gt;=4,Table2[[#This Row],[Satification_points]]&lt;4.5),"GOOD",AND(Table2[[#This Row],[Satification_points]]&gt;=3,Table2[[#This Row],[Satification_points]]&lt;4),"AVERAGE",Table2[[#This Row],[Satification_points]]&lt;3,"POOR")</f>
        <v>AVERAGE</v>
      </c>
    </row>
    <row r="1379" spans="1:29" x14ac:dyDescent="0.3">
      <c r="A1379">
        <v>1378</v>
      </c>
      <c r="B1379">
        <v>25115</v>
      </c>
      <c r="C1379" t="s">
        <v>1421</v>
      </c>
      <c r="D1379" t="s">
        <v>26</v>
      </c>
      <c r="E1379" t="s">
        <v>52</v>
      </c>
      <c r="F1379" s="1">
        <v>45404</v>
      </c>
      <c r="G1379" s="1">
        <v>45405</v>
      </c>
      <c r="H1379">
        <v>9</v>
      </c>
      <c r="I1379" t="s">
        <v>50</v>
      </c>
      <c r="J1379" t="s">
        <v>43</v>
      </c>
      <c r="K1379">
        <v>5</v>
      </c>
      <c r="L1379">
        <v>3</v>
      </c>
      <c r="M1379">
        <v>2</v>
      </c>
      <c r="N1379">
        <v>5</v>
      </c>
      <c r="O1379">
        <v>3</v>
      </c>
      <c r="P1379">
        <v>5</v>
      </c>
      <c r="Q1379">
        <v>2</v>
      </c>
      <c r="R1379">
        <v>1</v>
      </c>
      <c r="S1379">
        <v>1</v>
      </c>
      <c r="T1379">
        <v>1</v>
      </c>
      <c r="U1379" t="s">
        <v>37</v>
      </c>
      <c r="V1379" t="s">
        <v>58</v>
      </c>
      <c r="W1379" t="s">
        <v>39</v>
      </c>
      <c r="X1379" t="s">
        <v>40</v>
      </c>
      <c r="Y1379">
        <v>21</v>
      </c>
      <c r="Z1379" s="1">
        <v>45441</v>
      </c>
      <c r="AA1379" t="str" cm="1">
        <f t="array" ref="AA1379">_xlfn.IFS(AND(Table2[[#This Row],[Guest_Age]]&gt;=18,Table2[[#This Row],[Guest_Age]]&lt;=25),"Young Adults",AND(Table2[[#This Row],[Guest_Age]]&gt;=26,Table2[[#This Row],[Guest_Age]]&lt;=35),"Adults",AND(Table2[[#This Row],[Guest_Age]]&gt;=36,Table2[[#This Row],[Guest_Age]]&lt;=50),"Middle Aged Adults",Table2[[#This Row],[Guest_Age]]&gt;50,"Senior")</f>
        <v>Young Adults</v>
      </c>
      <c r="AB13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379" t="str" cm="1">
        <f t="array" ref="AC1379">_xlfn.IFS(Table2[[#This Row],[Satification_points]]&gt;=4.5,"GREAT",AND(Table2[[#This Row],[Satification_points]]&gt;=4,Table2[[#This Row],[Satification_points]]&lt;4.5),"GOOD",AND(Table2[[#This Row],[Satification_points]]&gt;=3,Table2[[#This Row],[Satification_points]]&lt;4),"AVERAGE",Table2[[#This Row],[Satification_points]]&lt;3,"POOR")</f>
        <v>POOR</v>
      </c>
    </row>
    <row r="1380" spans="1:29" x14ac:dyDescent="0.3">
      <c r="A1380">
        <v>1379</v>
      </c>
      <c r="B1380">
        <v>42752</v>
      </c>
      <c r="C1380" t="s">
        <v>1422</v>
      </c>
      <c r="D1380" t="s">
        <v>34</v>
      </c>
      <c r="E1380" t="s">
        <v>57</v>
      </c>
      <c r="F1380" s="1">
        <v>44971</v>
      </c>
      <c r="G1380" s="1">
        <v>45523</v>
      </c>
      <c r="H1380">
        <v>11</v>
      </c>
      <c r="I1380" t="s">
        <v>49</v>
      </c>
      <c r="J1380" t="s">
        <v>53</v>
      </c>
      <c r="K1380">
        <v>5</v>
      </c>
      <c r="L1380">
        <v>3</v>
      </c>
      <c r="M1380">
        <v>2</v>
      </c>
      <c r="N1380">
        <v>1</v>
      </c>
      <c r="O1380">
        <v>5</v>
      </c>
      <c r="P1380">
        <v>2</v>
      </c>
      <c r="Q1380">
        <v>3</v>
      </c>
      <c r="R1380">
        <v>4</v>
      </c>
      <c r="S1380">
        <v>2</v>
      </c>
      <c r="T1380">
        <v>5</v>
      </c>
      <c r="U1380" t="s">
        <v>30</v>
      </c>
      <c r="V1380" t="s">
        <v>46</v>
      </c>
      <c r="W1380" t="s">
        <v>32</v>
      </c>
      <c r="X1380" t="s">
        <v>44</v>
      </c>
      <c r="Y1380">
        <v>48</v>
      </c>
      <c r="Z1380" s="1">
        <v>45523</v>
      </c>
      <c r="AA1380" t="str" cm="1">
        <f t="array" ref="AA13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380" t="str" cm="1">
        <f t="array" ref="AC1380">_xlfn.IFS(Table2[[#This Row],[Satification_points]]&gt;=4.5,"GREAT",AND(Table2[[#This Row],[Satification_points]]&gt;=4,Table2[[#This Row],[Satification_points]]&lt;4.5),"GOOD",AND(Table2[[#This Row],[Satification_points]]&gt;=3,Table2[[#This Row],[Satification_points]]&lt;4),"AVERAGE",Table2[[#This Row],[Satification_points]]&lt;3,"POOR")</f>
        <v>AVERAGE</v>
      </c>
    </row>
    <row r="1381" spans="1:29" x14ac:dyDescent="0.3">
      <c r="A1381">
        <v>1380</v>
      </c>
      <c r="B1381">
        <v>56402</v>
      </c>
      <c r="C1381" t="s">
        <v>1423</v>
      </c>
      <c r="D1381" t="s">
        <v>26</v>
      </c>
      <c r="E1381" t="s">
        <v>45</v>
      </c>
      <c r="F1381" s="1">
        <v>45148</v>
      </c>
      <c r="G1381" s="1">
        <v>45149</v>
      </c>
      <c r="H1381">
        <v>4</v>
      </c>
      <c r="I1381" t="s">
        <v>50</v>
      </c>
      <c r="J1381" t="s">
        <v>40</v>
      </c>
      <c r="K1381">
        <v>3</v>
      </c>
      <c r="L1381">
        <v>3</v>
      </c>
      <c r="M1381">
        <v>4</v>
      </c>
      <c r="N1381">
        <v>2</v>
      </c>
      <c r="O1381">
        <v>4</v>
      </c>
      <c r="P1381">
        <v>5</v>
      </c>
      <c r="Q1381">
        <v>2</v>
      </c>
      <c r="R1381">
        <v>1</v>
      </c>
      <c r="S1381">
        <v>5</v>
      </c>
      <c r="T1381">
        <v>1</v>
      </c>
      <c r="U1381" t="s">
        <v>37</v>
      </c>
      <c r="V1381" t="s">
        <v>54</v>
      </c>
      <c r="W1381" t="s">
        <v>47</v>
      </c>
      <c r="X1381" t="s">
        <v>44</v>
      </c>
      <c r="Y1381">
        <v>50</v>
      </c>
      <c r="Z1381" s="1">
        <v>45149</v>
      </c>
      <c r="AA1381" t="str" cm="1">
        <f t="array" ref="AA13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81" t="str" cm="1">
        <f t="array" ref="AC1381">_xlfn.IFS(Table2[[#This Row],[Satification_points]]&gt;=4.5,"GREAT",AND(Table2[[#This Row],[Satification_points]]&gt;=4,Table2[[#This Row],[Satification_points]]&lt;4.5),"GOOD",AND(Table2[[#This Row],[Satification_points]]&gt;=3,Table2[[#This Row],[Satification_points]]&lt;4),"AVERAGE",Table2[[#This Row],[Satification_points]]&lt;3,"POOR")</f>
        <v>AVERAGE</v>
      </c>
    </row>
    <row r="1382" spans="1:29" x14ac:dyDescent="0.3">
      <c r="A1382">
        <v>1381</v>
      </c>
      <c r="B1382">
        <v>34241</v>
      </c>
      <c r="C1382" t="s">
        <v>1424</v>
      </c>
      <c r="D1382" t="s">
        <v>34</v>
      </c>
      <c r="E1382" t="s">
        <v>27</v>
      </c>
      <c r="F1382" s="1">
        <v>45055</v>
      </c>
      <c r="G1382" s="1">
        <v>45308</v>
      </c>
      <c r="H1382">
        <v>2</v>
      </c>
      <c r="I1382" t="s">
        <v>42</v>
      </c>
      <c r="J1382" t="s">
        <v>53</v>
      </c>
      <c r="K1382">
        <v>4</v>
      </c>
      <c r="L1382">
        <v>3</v>
      </c>
      <c r="M1382">
        <v>3</v>
      </c>
      <c r="N1382">
        <v>4</v>
      </c>
      <c r="O1382">
        <v>5</v>
      </c>
      <c r="P1382">
        <v>5</v>
      </c>
      <c r="Q1382">
        <v>4</v>
      </c>
      <c r="R1382">
        <v>2</v>
      </c>
      <c r="S1382">
        <v>5</v>
      </c>
      <c r="T1382">
        <v>4</v>
      </c>
      <c r="U1382" t="s">
        <v>30</v>
      </c>
      <c r="V1382" t="s">
        <v>58</v>
      </c>
      <c r="W1382" t="s">
        <v>55</v>
      </c>
      <c r="X1382" t="s">
        <v>44</v>
      </c>
      <c r="Y1382">
        <v>67</v>
      </c>
      <c r="Z1382" s="1">
        <v>45308</v>
      </c>
      <c r="AA1382" t="str" cm="1">
        <f t="array" ref="AA1382">_xlfn.IFS(AND(Table2[[#This Row],[Guest_Age]]&gt;=18,Table2[[#This Row],[Guest_Age]]&lt;=25),"Young Adults",AND(Table2[[#This Row],[Guest_Age]]&gt;=26,Table2[[#This Row],[Guest_Age]]&lt;=35),"Adults",AND(Table2[[#This Row],[Guest_Age]]&gt;=36,Table2[[#This Row],[Guest_Age]]&lt;=50),"Middle Aged Adults",Table2[[#This Row],[Guest_Age]]&gt;50,"Senior")</f>
        <v>Senior</v>
      </c>
      <c r="AB13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382" t="str" cm="1">
        <f t="array" ref="AC1382">_xlfn.IFS(Table2[[#This Row],[Satification_points]]&gt;=4.5,"GREAT",AND(Table2[[#This Row],[Satification_points]]&gt;=4,Table2[[#This Row],[Satification_points]]&lt;4.5),"GOOD",AND(Table2[[#This Row],[Satification_points]]&gt;=3,Table2[[#This Row],[Satification_points]]&lt;4),"AVERAGE",Table2[[#This Row],[Satification_points]]&lt;3,"POOR")</f>
        <v>AVERAGE</v>
      </c>
    </row>
    <row r="1383" spans="1:29" x14ac:dyDescent="0.3">
      <c r="A1383">
        <v>1382</v>
      </c>
      <c r="B1383">
        <v>59021</v>
      </c>
      <c r="C1383" t="s">
        <v>1425</v>
      </c>
      <c r="D1383" t="s">
        <v>34</v>
      </c>
      <c r="E1383" t="s">
        <v>35</v>
      </c>
      <c r="F1383" s="1">
        <v>45544</v>
      </c>
      <c r="G1383" s="1">
        <v>45545</v>
      </c>
      <c r="H1383">
        <v>1</v>
      </c>
      <c r="I1383" t="s">
        <v>49</v>
      </c>
      <c r="J1383" t="s">
        <v>53</v>
      </c>
      <c r="K1383">
        <v>3</v>
      </c>
      <c r="L1383">
        <v>1</v>
      </c>
      <c r="M1383">
        <v>1</v>
      </c>
      <c r="N1383">
        <v>4</v>
      </c>
      <c r="O1383">
        <v>1</v>
      </c>
      <c r="P1383">
        <v>2</v>
      </c>
      <c r="Q1383">
        <v>4</v>
      </c>
      <c r="R1383">
        <v>1</v>
      </c>
      <c r="S1383">
        <v>1</v>
      </c>
      <c r="T1383">
        <v>4</v>
      </c>
      <c r="U1383" t="s">
        <v>37</v>
      </c>
      <c r="V1383" t="s">
        <v>38</v>
      </c>
      <c r="W1383" t="s">
        <v>55</v>
      </c>
      <c r="X1383" t="s">
        <v>44</v>
      </c>
      <c r="Y1383">
        <v>69</v>
      </c>
      <c r="Z1383" s="1">
        <v>45545</v>
      </c>
      <c r="AA1383" t="str" cm="1">
        <f t="array" ref="AA1383">_xlfn.IFS(AND(Table2[[#This Row],[Guest_Age]]&gt;=18,Table2[[#This Row],[Guest_Age]]&lt;=25),"Young Adults",AND(Table2[[#This Row],[Guest_Age]]&gt;=26,Table2[[#This Row],[Guest_Age]]&lt;=35),"Adults",AND(Table2[[#This Row],[Guest_Age]]&gt;=36,Table2[[#This Row],[Guest_Age]]&lt;=50),"Middle Aged Adults",Table2[[#This Row],[Guest_Age]]&gt;50,"Senior")</f>
        <v>Senior</v>
      </c>
      <c r="AB13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383" t="str" cm="1">
        <f t="array" ref="AC1383">_xlfn.IFS(Table2[[#This Row],[Satification_points]]&gt;=4.5,"GREAT",AND(Table2[[#This Row],[Satification_points]]&gt;=4,Table2[[#This Row],[Satification_points]]&lt;4.5),"GOOD",AND(Table2[[#This Row],[Satification_points]]&gt;=3,Table2[[#This Row],[Satification_points]]&lt;4),"AVERAGE",Table2[[#This Row],[Satification_points]]&lt;3,"POOR")</f>
        <v>POOR</v>
      </c>
    </row>
    <row r="1384" spans="1:29" x14ac:dyDescent="0.3">
      <c r="A1384">
        <v>1383</v>
      </c>
      <c r="B1384">
        <v>48197</v>
      </c>
      <c r="C1384" t="s">
        <v>1426</v>
      </c>
      <c r="D1384" t="s">
        <v>51</v>
      </c>
      <c r="E1384" t="s">
        <v>57</v>
      </c>
      <c r="F1384" s="1">
        <v>45559</v>
      </c>
      <c r="G1384" s="1">
        <v>45560</v>
      </c>
      <c r="H1384">
        <v>7</v>
      </c>
      <c r="I1384" t="s">
        <v>42</v>
      </c>
      <c r="J1384" t="s">
        <v>40</v>
      </c>
      <c r="K1384">
        <v>2</v>
      </c>
      <c r="L1384">
        <v>1</v>
      </c>
      <c r="M1384">
        <v>5</v>
      </c>
      <c r="N1384">
        <v>3</v>
      </c>
      <c r="O1384">
        <v>1</v>
      </c>
      <c r="P1384">
        <v>1</v>
      </c>
      <c r="Q1384">
        <v>1</v>
      </c>
      <c r="R1384">
        <v>5</v>
      </c>
      <c r="S1384">
        <v>4</v>
      </c>
      <c r="T1384">
        <v>3</v>
      </c>
      <c r="U1384" t="s">
        <v>37</v>
      </c>
      <c r="V1384" t="s">
        <v>38</v>
      </c>
      <c r="W1384" t="s">
        <v>47</v>
      </c>
      <c r="X1384" t="s">
        <v>44</v>
      </c>
      <c r="Y1384">
        <v>53</v>
      </c>
      <c r="Z1384" s="1">
        <v>45560</v>
      </c>
      <c r="AA1384" t="str" cm="1">
        <f t="array" ref="AA1384">_xlfn.IFS(AND(Table2[[#This Row],[Guest_Age]]&gt;=18,Table2[[#This Row],[Guest_Age]]&lt;=25),"Young Adults",AND(Table2[[#This Row],[Guest_Age]]&gt;=26,Table2[[#This Row],[Guest_Age]]&lt;=35),"Adults",AND(Table2[[#This Row],[Guest_Age]]&gt;=36,Table2[[#This Row],[Guest_Age]]&lt;=50),"Middle Aged Adults",Table2[[#This Row],[Guest_Age]]&gt;50,"Senior")</f>
        <v>Senior</v>
      </c>
      <c r="AB13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384" t="str" cm="1">
        <f t="array" ref="AC1384">_xlfn.IFS(Table2[[#This Row],[Satification_points]]&gt;=4.5,"GREAT",AND(Table2[[#This Row],[Satification_points]]&gt;=4,Table2[[#This Row],[Satification_points]]&lt;4.5),"GOOD",AND(Table2[[#This Row],[Satification_points]]&gt;=3,Table2[[#This Row],[Satification_points]]&lt;4),"AVERAGE",Table2[[#This Row],[Satification_points]]&lt;3,"POOR")</f>
        <v>POOR</v>
      </c>
    </row>
    <row r="1385" spans="1:29" x14ac:dyDescent="0.3">
      <c r="A1385">
        <v>1384</v>
      </c>
      <c r="B1385">
        <v>74079</v>
      </c>
      <c r="C1385" t="s">
        <v>1427</v>
      </c>
      <c r="D1385" t="s">
        <v>48</v>
      </c>
      <c r="E1385" t="s">
        <v>57</v>
      </c>
      <c r="F1385" s="1">
        <v>45156</v>
      </c>
      <c r="G1385" s="1">
        <v>45566</v>
      </c>
      <c r="H1385">
        <v>12</v>
      </c>
      <c r="I1385" t="s">
        <v>49</v>
      </c>
      <c r="J1385" t="s">
        <v>53</v>
      </c>
      <c r="K1385">
        <v>4</v>
      </c>
      <c r="L1385">
        <v>5</v>
      </c>
      <c r="M1385">
        <v>5</v>
      </c>
      <c r="N1385">
        <v>2</v>
      </c>
      <c r="O1385">
        <v>5</v>
      </c>
      <c r="P1385">
        <v>1</v>
      </c>
      <c r="Q1385">
        <v>1</v>
      </c>
      <c r="R1385">
        <v>5</v>
      </c>
      <c r="S1385">
        <v>1</v>
      </c>
      <c r="T1385">
        <v>4</v>
      </c>
      <c r="U1385" t="s">
        <v>37</v>
      </c>
      <c r="V1385" t="s">
        <v>54</v>
      </c>
      <c r="W1385" t="s">
        <v>56</v>
      </c>
      <c r="X1385" t="s">
        <v>40</v>
      </c>
      <c r="Y1385">
        <v>28</v>
      </c>
      <c r="Z1385" s="1">
        <v>45566</v>
      </c>
      <c r="AA1385" t="str" cm="1">
        <f t="array" ref="AA1385">_xlfn.IFS(AND(Table2[[#This Row],[Guest_Age]]&gt;=18,Table2[[#This Row],[Guest_Age]]&lt;=25),"Young Adults",AND(Table2[[#This Row],[Guest_Age]]&gt;=26,Table2[[#This Row],[Guest_Age]]&lt;=35),"Adults",AND(Table2[[#This Row],[Guest_Age]]&gt;=36,Table2[[#This Row],[Guest_Age]]&lt;=50),"Middle Aged Adults",Table2[[#This Row],[Guest_Age]]&gt;50,"Senior")</f>
        <v>Adults</v>
      </c>
      <c r="AB13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385" t="str" cm="1">
        <f t="array" ref="AC1385">_xlfn.IFS(Table2[[#This Row],[Satification_points]]&gt;=4.5,"GREAT",AND(Table2[[#This Row],[Satification_points]]&gt;=4,Table2[[#This Row],[Satification_points]]&lt;4.5),"GOOD",AND(Table2[[#This Row],[Satification_points]]&gt;=3,Table2[[#This Row],[Satification_points]]&lt;4),"AVERAGE",Table2[[#This Row],[Satification_points]]&lt;3,"POOR")</f>
        <v>AVERAGE</v>
      </c>
    </row>
    <row r="1386" spans="1:29" x14ac:dyDescent="0.3">
      <c r="A1386">
        <v>1385</v>
      </c>
      <c r="B1386">
        <v>99979</v>
      </c>
      <c r="C1386" t="s">
        <v>1428</v>
      </c>
      <c r="D1386" t="s">
        <v>51</v>
      </c>
      <c r="E1386" t="s">
        <v>57</v>
      </c>
      <c r="F1386" s="1">
        <v>45153</v>
      </c>
      <c r="G1386" s="1">
        <v>45450</v>
      </c>
      <c r="H1386">
        <v>7</v>
      </c>
      <c r="I1386" t="s">
        <v>49</v>
      </c>
      <c r="J1386" t="s">
        <v>29</v>
      </c>
      <c r="K1386">
        <v>3</v>
      </c>
      <c r="L1386">
        <v>1</v>
      </c>
      <c r="M1386">
        <v>2</v>
      </c>
      <c r="N1386">
        <v>5</v>
      </c>
      <c r="O1386">
        <v>4</v>
      </c>
      <c r="P1386">
        <v>5</v>
      </c>
      <c r="Q1386">
        <v>1</v>
      </c>
      <c r="R1386">
        <v>3</v>
      </c>
      <c r="S1386">
        <v>1</v>
      </c>
      <c r="T1386">
        <v>4</v>
      </c>
      <c r="U1386" t="s">
        <v>37</v>
      </c>
      <c r="V1386" t="s">
        <v>54</v>
      </c>
      <c r="W1386" t="s">
        <v>55</v>
      </c>
      <c r="X1386" t="s">
        <v>33</v>
      </c>
      <c r="Y1386">
        <v>21</v>
      </c>
      <c r="Z1386" s="1">
        <v>45553</v>
      </c>
      <c r="AA1386" t="str" cm="1">
        <f t="array" ref="AA1386">_xlfn.IFS(AND(Table2[[#This Row],[Guest_Age]]&gt;=18,Table2[[#This Row],[Guest_Age]]&lt;=25),"Young Adults",AND(Table2[[#This Row],[Guest_Age]]&gt;=26,Table2[[#This Row],[Guest_Age]]&lt;=35),"Adults",AND(Table2[[#This Row],[Guest_Age]]&gt;=36,Table2[[#This Row],[Guest_Age]]&lt;=50),"Middle Aged Adults",Table2[[#This Row],[Guest_Age]]&gt;50,"Senior")</f>
        <v>Young Adults</v>
      </c>
      <c r="AB13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86" t="str" cm="1">
        <f t="array" ref="AC1386">_xlfn.IFS(Table2[[#This Row],[Satification_points]]&gt;=4.5,"GREAT",AND(Table2[[#This Row],[Satification_points]]&gt;=4,Table2[[#This Row],[Satification_points]]&lt;4.5),"GOOD",AND(Table2[[#This Row],[Satification_points]]&gt;=3,Table2[[#This Row],[Satification_points]]&lt;4),"AVERAGE",Table2[[#This Row],[Satification_points]]&lt;3,"POOR")</f>
        <v>POOR</v>
      </c>
    </row>
    <row r="1387" spans="1:29" x14ac:dyDescent="0.3">
      <c r="A1387">
        <v>1386</v>
      </c>
      <c r="B1387">
        <v>46533</v>
      </c>
      <c r="C1387" t="s">
        <v>1429</v>
      </c>
      <c r="D1387" t="s">
        <v>34</v>
      </c>
      <c r="E1387" t="s">
        <v>35</v>
      </c>
      <c r="F1387" s="1">
        <v>45323</v>
      </c>
      <c r="G1387" s="1">
        <v>45324</v>
      </c>
      <c r="H1387">
        <v>3</v>
      </c>
      <c r="I1387" t="s">
        <v>28</v>
      </c>
      <c r="J1387" t="s">
        <v>36</v>
      </c>
      <c r="K1387">
        <v>4</v>
      </c>
      <c r="L1387">
        <v>4</v>
      </c>
      <c r="M1387">
        <v>2</v>
      </c>
      <c r="N1387">
        <v>4</v>
      </c>
      <c r="O1387">
        <v>1</v>
      </c>
      <c r="P1387">
        <v>1</v>
      </c>
      <c r="Q1387">
        <v>3</v>
      </c>
      <c r="R1387">
        <v>3</v>
      </c>
      <c r="S1387">
        <v>2</v>
      </c>
      <c r="T1387">
        <v>3</v>
      </c>
      <c r="U1387" t="s">
        <v>37</v>
      </c>
      <c r="V1387" t="s">
        <v>38</v>
      </c>
      <c r="W1387" t="s">
        <v>47</v>
      </c>
      <c r="X1387" t="s">
        <v>33</v>
      </c>
      <c r="Y1387">
        <v>68</v>
      </c>
      <c r="Z1387" s="1">
        <v>45324</v>
      </c>
      <c r="AA1387" t="str" cm="1">
        <f t="array" ref="AA1387">_xlfn.IFS(AND(Table2[[#This Row],[Guest_Age]]&gt;=18,Table2[[#This Row],[Guest_Age]]&lt;=25),"Young Adults",AND(Table2[[#This Row],[Guest_Age]]&gt;=26,Table2[[#This Row],[Guest_Age]]&lt;=35),"Adults",AND(Table2[[#This Row],[Guest_Age]]&gt;=36,Table2[[#This Row],[Guest_Age]]&lt;=50),"Middle Aged Adults",Table2[[#This Row],[Guest_Age]]&gt;50,"Senior")</f>
        <v>Senior</v>
      </c>
      <c r="AB13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387" t="str" cm="1">
        <f t="array" ref="AC1387">_xlfn.IFS(Table2[[#This Row],[Satification_points]]&gt;=4.5,"GREAT",AND(Table2[[#This Row],[Satification_points]]&gt;=4,Table2[[#This Row],[Satification_points]]&lt;4.5),"GOOD",AND(Table2[[#This Row],[Satification_points]]&gt;=3,Table2[[#This Row],[Satification_points]]&lt;4),"AVERAGE",Table2[[#This Row],[Satification_points]]&lt;3,"POOR")</f>
        <v>POOR</v>
      </c>
    </row>
    <row r="1388" spans="1:29" x14ac:dyDescent="0.3">
      <c r="A1388">
        <v>1387</v>
      </c>
      <c r="B1388">
        <v>87897</v>
      </c>
      <c r="C1388" t="s">
        <v>1430</v>
      </c>
      <c r="D1388" t="s">
        <v>48</v>
      </c>
      <c r="E1388" t="s">
        <v>45</v>
      </c>
      <c r="F1388" s="1">
        <v>45201</v>
      </c>
      <c r="G1388" s="1">
        <v>45212</v>
      </c>
      <c r="H1388">
        <v>5</v>
      </c>
      <c r="I1388" t="s">
        <v>50</v>
      </c>
      <c r="J1388" t="s">
        <v>29</v>
      </c>
      <c r="K1388">
        <v>2</v>
      </c>
      <c r="L1388">
        <v>4</v>
      </c>
      <c r="M1388">
        <v>1</v>
      </c>
      <c r="N1388">
        <v>4</v>
      </c>
      <c r="O1388">
        <v>5</v>
      </c>
      <c r="P1388">
        <v>1</v>
      </c>
      <c r="Q1388">
        <v>5</v>
      </c>
      <c r="R1388">
        <v>1</v>
      </c>
      <c r="S1388">
        <v>3</v>
      </c>
      <c r="T1388">
        <v>5</v>
      </c>
      <c r="U1388" t="s">
        <v>37</v>
      </c>
      <c r="V1388" t="s">
        <v>46</v>
      </c>
      <c r="W1388" t="s">
        <v>39</v>
      </c>
      <c r="X1388" t="s">
        <v>40</v>
      </c>
      <c r="Y1388">
        <v>53</v>
      </c>
      <c r="Z1388" s="1">
        <v>45504</v>
      </c>
      <c r="AA1388" t="str" cm="1">
        <f t="array" ref="AA1388">_xlfn.IFS(AND(Table2[[#This Row],[Guest_Age]]&gt;=18,Table2[[#This Row],[Guest_Age]]&lt;=25),"Young Adults",AND(Table2[[#This Row],[Guest_Age]]&gt;=26,Table2[[#This Row],[Guest_Age]]&lt;=35),"Adults",AND(Table2[[#This Row],[Guest_Age]]&gt;=36,Table2[[#This Row],[Guest_Age]]&lt;=50),"Middle Aged Adults",Table2[[#This Row],[Guest_Age]]&gt;50,"Senior")</f>
        <v>Senior</v>
      </c>
      <c r="AB13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88" t="str" cm="1">
        <f t="array" ref="AC1388">_xlfn.IFS(Table2[[#This Row],[Satification_points]]&gt;=4.5,"GREAT",AND(Table2[[#This Row],[Satification_points]]&gt;=4,Table2[[#This Row],[Satification_points]]&lt;4.5),"GOOD",AND(Table2[[#This Row],[Satification_points]]&gt;=3,Table2[[#This Row],[Satification_points]]&lt;4),"AVERAGE",Table2[[#This Row],[Satification_points]]&lt;3,"POOR")</f>
        <v>AVERAGE</v>
      </c>
    </row>
    <row r="1389" spans="1:29" x14ac:dyDescent="0.3">
      <c r="A1389">
        <v>1388</v>
      </c>
      <c r="B1389">
        <v>99832</v>
      </c>
      <c r="C1389" t="s">
        <v>1431</v>
      </c>
      <c r="D1389" t="s">
        <v>48</v>
      </c>
      <c r="E1389" t="s">
        <v>57</v>
      </c>
      <c r="F1389" s="1">
        <v>45064</v>
      </c>
      <c r="G1389" s="1">
        <v>45124</v>
      </c>
      <c r="H1389">
        <v>10</v>
      </c>
      <c r="I1389" t="s">
        <v>42</v>
      </c>
      <c r="J1389" t="s">
        <v>40</v>
      </c>
      <c r="K1389">
        <v>3</v>
      </c>
      <c r="L1389">
        <v>1</v>
      </c>
      <c r="M1389">
        <v>5</v>
      </c>
      <c r="N1389">
        <v>5</v>
      </c>
      <c r="O1389">
        <v>2</v>
      </c>
      <c r="P1389">
        <v>5</v>
      </c>
      <c r="Q1389">
        <v>5</v>
      </c>
      <c r="R1389">
        <v>1</v>
      </c>
      <c r="S1389">
        <v>4</v>
      </c>
      <c r="T1389">
        <v>4</v>
      </c>
      <c r="U1389" t="s">
        <v>30</v>
      </c>
      <c r="V1389" t="s">
        <v>46</v>
      </c>
      <c r="W1389" t="s">
        <v>32</v>
      </c>
      <c r="X1389" t="s">
        <v>44</v>
      </c>
      <c r="Y1389">
        <v>22</v>
      </c>
      <c r="Z1389" s="1">
        <v>45288</v>
      </c>
      <c r="AA1389" t="str" cm="1">
        <f t="array" ref="AA1389">_xlfn.IFS(AND(Table2[[#This Row],[Guest_Age]]&gt;=18,Table2[[#This Row],[Guest_Age]]&lt;=25),"Young Adults",AND(Table2[[#This Row],[Guest_Age]]&gt;=26,Table2[[#This Row],[Guest_Age]]&lt;=35),"Adults",AND(Table2[[#This Row],[Guest_Age]]&gt;=36,Table2[[#This Row],[Guest_Age]]&lt;=50),"Middle Aged Adults",Table2[[#This Row],[Guest_Age]]&gt;50,"Senior")</f>
        <v>Young Adults</v>
      </c>
      <c r="AB13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389" t="str" cm="1">
        <f t="array" ref="AC1389">_xlfn.IFS(Table2[[#This Row],[Satification_points]]&gt;=4.5,"GREAT",AND(Table2[[#This Row],[Satification_points]]&gt;=4,Table2[[#This Row],[Satification_points]]&lt;4.5),"GOOD",AND(Table2[[#This Row],[Satification_points]]&gt;=3,Table2[[#This Row],[Satification_points]]&lt;4),"AVERAGE",Table2[[#This Row],[Satification_points]]&lt;3,"POOR")</f>
        <v>AVERAGE</v>
      </c>
    </row>
    <row r="1390" spans="1:29" x14ac:dyDescent="0.3">
      <c r="A1390">
        <v>1389</v>
      </c>
      <c r="B1390">
        <v>84381</v>
      </c>
      <c r="C1390" t="s">
        <v>1432</v>
      </c>
      <c r="D1390" t="s">
        <v>48</v>
      </c>
      <c r="E1390" t="s">
        <v>27</v>
      </c>
      <c r="F1390" s="1">
        <v>45099</v>
      </c>
      <c r="G1390" s="1">
        <v>45664</v>
      </c>
      <c r="H1390">
        <v>12</v>
      </c>
      <c r="I1390" t="s">
        <v>49</v>
      </c>
      <c r="J1390" t="s">
        <v>29</v>
      </c>
      <c r="K1390">
        <v>4</v>
      </c>
      <c r="L1390">
        <v>4</v>
      </c>
      <c r="M1390">
        <v>2</v>
      </c>
      <c r="N1390">
        <v>2</v>
      </c>
      <c r="O1390">
        <v>3</v>
      </c>
      <c r="P1390">
        <v>5</v>
      </c>
      <c r="Q1390">
        <v>3</v>
      </c>
      <c r="R1390">
        <v>1</v>
      </c>
      <c r="S1390">
        <v>1</v>
      </c>
      <c r="T1390">
        <v>4</v>
      </c>
      <c r="U1390" t="s">
        <v>30</v>
      </c>
      <c r="V1390" t="s">
        <v>46</v>
      </c>
      <c r="W1390" t="s">
        <v>56</v>
      </c>
      <c r="X1390" t="s">
        <v>40</v>
      </c>
      <c r="Y1390">
        <v>38</v>
      </c>
      <c r="Z1390" s="1">
        <v>45664</v>
      </c>
      <c r="AA1390" t="str" cm="1">
        <f t="array" ref="AA13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90" t="str" cm="1">
        <f t="array" ref="AC1390">_xlfn.IFS(Table2[[#This Row],[Satification_points]]&gt;=4.5,"GREAT",AND(Table2[[#This Row],[Satification_points]]&gt;=4,Table2[[#This Row],[Satification_points]]&lt;4.5),"GOOD",AND(Table2[[#This Row],[Satification_points]]&gt;=3,Table2[[#This Row],[Satification_points]]&lt;4),"AVERAGE",Table2[[#This Row],[Satification_points]]&lt;3,"POOR")</f>
        <v>POOR</v>
      </c>
    </row>
    <row r="1391" spans="1:29" x14ac:dyDescent="0.3">
      <c r="A1391">
        <v>1390</v>
      </c>
      <c r="B1391">
        <v>89283</v>
      </c>
      <c r="C1391" t="s">
        <v>1433</v>
      </c>
      <c r="D1391" t="s">
        <v>41</v>
      </c>
      <c r="E1391" t="s">
        <v>52</v>
      </c>
      <c r="F1391" s="1">
        <v>45253</v>
      </c>
      <c r="G1391" s="1">
        <v>45254</v>
      </c>
      <c r="H1391">
        <v>14</v>
      </c>
      <c r="I1391" t="s">
        <v>28</v>
      </c>
      <c r="J1391" t="s">
        <v>36</v>
      </c>
      <c r="K1391">
        <v>2</v>
      </c>
      <c r="L1391">
        <v>5</v>
      </c>
      <c r="M1391">
        <v>4</v>
      </c>
      <c r="N1391">
        <v>1</v>
      </c>
      <c r="O1391">
        <v>5</v>
      </c>
      <c r="P1391">
        <v>1</v>
      </c>
      <c r="Q1391">
        <v>3</v>
      </c>
      <c r="R1391">
        <v>5</v>
      </c>
      <c r="S1391">
        <v>2</v>
      </c>
      <c r="T1391">
        <v>2</v>
      </c>
      <c r="U1391" t="s">
        <v>30</v>
      </c>
      <c r="V1391" t="s">
        <v>38</v>
      </c>
      <c r="W1391" t="s">
        <v>56</v>
      </c>
      <c r="X1391" t="s">
        <v>44</v>
      </c>
      <c r="Y1391">
        <v>30</v>
      </c>
      <c r="Z1391" s="1">
        <v>45254</v>
      </c>
      <c r="AA1391" t="str" cm="1">
        <f t="array" ref="AA1391">_xlfn.IFS(AND(Table2[[#This Row],[Guest_Age]]&gt;=18,Table2[[#This Row],[Guest_Age]]&lt;=25),"Young Adults",AND(Table2[[#This Row],[Guest_Age]]&gt;=26,Table2[[#This Row],[Guest_Age]]&lt;=35),"Adults",AND(Table2[[#This Row],[Guest_Age]]&gt;=36,Table2[[#This Row],[Guest_Age]]&lt;=50),"Middle Aged Adults",Table2[[#This Row],[Guest_Age]]&gt;50,"Senior")</f>
        <v>Adults</v>
      </c>
      <c r="AB13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391" t="str" cm="1">
        <f t="array" ref="AC1391">_xlfn.IFS(Table2[[#This Row],[Satification_points]]&gt;=4.5,"GREAT",AND(Table2[[#This Row],[Satification_points]]&gt;=4,Table2[[#This Row],[Satification_points]]&lt;4.5),"GOOD",AND(Table2[[#This Row],[Satification_points]]&gt;=3,Table2[[#This Row],[Satification_points]]&lt;4),"AVERAGE",Table2[[#This Row],[Satification_points]]&lt;3,"POOR")</f>
        <v>AVERAGE</v>
      </c>
    </row>
    <row r="1392" spans="1:29" x14ac:dyDescent="0.3">
      <c r="A1392">
        <v>1391</v>
      </c>
      <c r="B1392">
        <v>93093</v>
      </c>
      <c r="C1392" t="s">
        <v>1434</v>
      </c>
      <c r="D1392" t="s">
        <v>26</v>
      </c>
      <c r="E1392" t="s">
        <v>35</v>
      </c>
      <c r="F1392" s="1">
        <v>45141</v>
      </c>
      <c r="G1392" s="1">
        <v>45142</v>
      </c>
      <c r="H1392">
        <v>12</v>
      </c>
      <c r="I1392" t="s">
        <v>49</v>
      </c>
      <c r="J1392" t="s">
        <v>29</v>
      </c>
      <c r="K1392">
        <v>5</v>
      </c>
      <c r="L1392">
        <v>2</v>
      </c>
      <c r="M1392">
        <v>5</v>
      </c>
      <c r="N1392">
        <v>5</v>
      </c>
      <c r="O1392">
        <v>1</v>
      </c>
      <c r="P1392">
        <v>4</v>
      </c>
      <c r="Q1392">
        <v>3</v>
      </c>
      <c r="R1392">
        <v>5</v>
      </c>
      <c r="S1392">
        <v>4</v>
      </c>
      <c r="T1392">
        <v>5</v>
      </c>
      <c r="U1392" t="s">
        <v>37</v>
      </c>
      <c r="V1392" t="s">
        <v>54</v>
      </c>
      <c r="W1392" t="s">
        <v>39</v>
      </c>
      <c r="X1392" t="s">
        <v>33</v>
      </c>
      <c r="Y1392">
        <v>21</v>
      </c>
      <c r="Z1392" s="1">
        <v>45457</v>
      </c>
      <c r="AA1392" t="str" cm="1">
        <f t="array" ref="AA1392">_xlfn.IFS(AND(Table2[[#This Row],[Guest_Age]]&gt;=18,Table2[[#This Row],[Guest_Age]]&lt;=25),"Young Adults",AND(Table2[[#This Row],[Guest_Age]]&gt;=26,Table2[[#This Row],[Guest_Age]]&lt;=35),"Adults",AND(Table2[[#This Row],[Guest_Age]]&gt;=36,Table2[[#This Row],[Guest_Age]]&lt;=50),"Middle Aged Adults",Table2[[#This Row],[Guest_Age]]&gt;50,"Senior")</f>
        <v>Young Adults</v>
      </c>
      <c r="AB13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392" t="str" cm="1">
        <f t="array" ref="AC1392">_xlfn.IFS(Table2[[#This Row],[Satification_points]]&gt;=4.5,"GREAT",AND(Table2[[#This Row],[Satification_points]]&gt;=4,Table2[[#This Row],[Satification_points]]&lt;4.5),"GOOD",AND(Table2[[#This Row],[Satification_points]]&gt;=3,Table2[[#This Row],[Satification_points]]&lt;4),"AVERAGE",Table2[[#This Row],[Satification_points]]&lt;3,"POOR")</f>
        <v>AVERAGE</v>
      </c>
    </row>
    <row r="1393" spans="1:29" x14ac:dyDescent="0.3">
      <c r="A1393">
        <v>1392</v>
      </c>
      <c r="B1393">
        <v>77203</v>
      </c>
      <c r="C1393" t="s">
        <v>1435</v>
      </c>
      <c r="D1393" t="s">
        <v>34</v>
      </c>
      <c r="E1393" t="s">
        <v>45</v>
      </c>
      <c r="F1393" s="1">
        <v>45154</v>
      </c>
      <c r="G1393" s="1">
        <v>45160</v>
      </c>
      <c r="H1393">
        <v>7</v>
      </c>
      <c r="I1393" t="s">
        <v>50</v>
      </c>
      <c r="J1393" t="s">
        <v>53</v>
      </c>
      <c r="K1393">
        <v>4</v>
      </c>
      <c r="L1393">
        <v>1</v>
      </c>
      <c r="M1393">
        <v>4</v>
      </c>
      <c r="N1393">
        <v>1</v>
      </c>
      <c r="O1393">
        <v>5</v>
      </c>
      <c r="P1393">
        <v>2</v>
      </c>
      <c r="Q1393">
        <v>2</v>
      </c>
      <c r="R1393">
        <v>4</v>
      </c>
      <c r="S1393">
        <v>5</v>
      </c>
      <c r="T1393">
        <v>3</v>
      </c>
      <c r="U1393" t="s">
        <v>30</v>
      </c>
      <c r="V1393" t="s">
        <v>31</v>
      </c>
      <c r="W1393" t="s">
        <v>55</v>
      </c>
      <c r="X1393" t="s">
        <v>33</v>
      </c>
      <c r="Y1393">
        <v>59</v>
      </c>
      <c r="Z1393" s="1">
        <v>45452</v>
      </c>
      <c r="AA1393" t="str" cm="1">
        <f t="array" ref="AA1393">_xlfn.IFS(AND(Table2[[#This Row],[Guest_Age]]&gt;=18,Table2[[#This Row],[Guest_Age]]&lt;=25),"Young Adults",AND(Table2[[#This Row],[Guest_Age]]&gt;=26,Table2[[#This Row],[Guest_Age]]&lt;=35),"Adults",AND(Table2[[#This Row],[Guest_Age]]&gt;=36,Table2[[#This Row],[Guest_Age]]&lt;=50),"Middle Aged Adults",Table2[[#This Row],[Guest_Age]]&gt;50,"Senior")</f>
        <v>Senior</v>
      </c>
      <c r="AB13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393" t="str" cm="1">
        <f t="array" ref="AC1393">_xlfn.IFS(Table2[[#This Row],[Satification_points]]&gt;=4.5,"GREAT",AND(Table2[[#This Row],[Satification_points]]&gt;=4,Table2[[#This Row],[Satification_points]]&lt;4.5),"GOOD",AND(Table2[[#This Row],[Satification_points]]&gt;=3,Table2[[#This Row],[Satification_points]]&lt;4),"AVERAGE",Table2[[#This Row],[Satification_points]]&lt;3,"POOR")</f>
        <v>AVERAGE</v>
      </c>
    </row>
    <row r="1394" spans="1:29" x14ac:dyDescent="0.3">
      <c r="A1394">
        <v>1393</v>
      </c>
      <c r="B1394">
        <v>56963</v>
      </c>
      <c r="C1394" t="s">
        <v>1436</v>
      </c>
      <c r="D1394" t="s">
        <v>48</v>
      </c>
      <c r="E1394" t="s">
        <v>27</v>
      </c>
      <c r="F1394" s="1">
        <v>45033</v>
      </c>
      <c r="G1394" s="1">
        <v>45538</v>
      </c>
      <c r="H1394">
        <v>8</v>
      </c>
      <c r="I1394" t="s">
        <v>49</v>
      </c>
      <c r="J1394" t="s">
        <v>40</v>
      </c>
      <c r="K1394">
        <v>2</v>
      </c>
      <c r="L1394">
        <v>3</v>
      </c>
      <c r="M1394">
        <v>1</v>
      </c>
      <c r="N1394">
        <v>4</v>
      </c>
      <c r="O1394">
        <v>4</v>
      </c>
      <c r="P1394">
        <v>1</v>
      </c>
      <c r="Q1394">
        <v>3</v>
      </c>
      <c r="R1394">
        <v>4</v>
      </c>
      <c r="S1394">
        <v>5</v>
      </c>
      <c r="T1394">
        <v>2</v>
      </c>
      <c r="U1394" t="s">
        <v>30</v>
      </c>
      <c r="V1394" t="s">
        <v>38</v>
      </c>
      <c r="W1394" t="s">
        <v>56</v>
      </c>
      <c r="X1394" t="s">
        <v>33</v>
      </c>
      <c r="Y1394">
        <v>67</v>
      </c>
      <c r="Z1394" s="1">
        <v>45538</v>
      </c>
      <c r="AA1394" t="str" cm="1">
        <f t="array" ref="AA1394">_xlfn.IFS(AND(Table2[[#This Row],[Guest_Age]]&gt;=18,Table2[[#This Row],[Guest_Age]]&lt;=25),"Young Adults",AND(Table2[[#This Row],[Guest_Age]]&gt;=26,Table2[[#This Row],[Guest_Age]]&lt;=35),"Adults",AND(Table2[[#This Row],[Guest_Age]]&gt;=36,Table2[[#This Row],[Guest_Age]]&lt;=50),"Middle Aged Adults",Table2[[#This Row],[Guest_Age]]&gt;50,"Senior")</f>
        <v>Senior</v>
      </c>
      <c r="AB13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394" t="str" cm="1">
        <f t="array" ref="AC1394">_xlfn.IFS(Table2[[#This Row],[Satification_points]]&gt;=4.5,"GREAT",AND(Table2[[#This Row],[Satification_points]]&gt;=4,Table2[[#This Row],[Satification_points]]&lt;4.5),"GOOD",AND(Table2[[#This Row],[Satification_points]]&gt;=3,Table2[[#This Row],[Satification_points]]&lt;4),"AVERAGE",Table2[[#This Row],[Satification_points]]&lt;3,"POOR")</f>
        <v>POOR</v>
      </c>
    </row>
    <row r="1395" spans="1:29" x14ac:dyDescent="0.3">
      <c r="A1395">
        <v>1394</v>
      </c>
      <c r="B1395">
        <v>41034</v>
      </c>
      <c r="C1395" t="s">
        <v>1437</v>
      </c>
      <c r="D1395" t="s">
        <v>41</v>
      </c>
      <c r="E1395" t="s">
        <v>35</v>
      </c>
      <c r="F1395" s="1">
        <v>45085</v>
      </c>
      <c r="G1395" s="1">
        <v>45149</v>
      </c>
      <c r="H1395">
        <v>14</v>
      </c>
      <c r="I1395" t="s">
        <v>50</v>
      </c>
      <c r="J1395" t="s">
        <v>53</v>
      </c>
      <c r="K1395">
        <v>5</v>
      </c>
      <c r="L1395">
        <v>4</v>
      </c>
      <c r="M1395">
        <v>1</v>
      </c>
      <c r="N1395">
        <v>1</v>
      </c>
      <c r="O1395">
        <v>1</v>
      </c>
      <c r="P1395">
        <v>1</v>
      </c>
      <c r="Q1395">
        <v>2</v>
      </c>
      <c r="R1395">
        <v>4</v>
      </c>
      <c r="S1395">
        <v>2</v>
      </c>
      <c r="T1395">
        <v>2</v>
      </c>
      <c r="U1395" t="s">
        <v>30</v>
      </c>
      <c r="V1395" t="s">
        <v>38</v>
      </c>
      <c r="W1395" t="s">
        <v>32</v>
      </c>
      <c r="X1395" t="s">
        <v>44</v>
      </c>
      <c r="Y1395">
        <v>52</v>
      </c>
      <c r="Z1395" s="1">
        <v>45525</v>
      </c>
      <c r="AA1395" t="str" cm="1">
        <f t="array" ref="AA1395">_xlfn.IFS(AND(Table2[[#This Row],[Guest_Age]]&gt;=18,Table2[[#This Row],[Guest_Age]]&lt;=25),"Young Adults",AND(Table2[[#This Row],[Guest_Age]]&gt;=26,Table2[[#This Row],[Guest_Age]]&lt;=35),"Adults",AND(Table2[[#This Row],[Guest_Age]]&gt;=36,Table2[[#This Row],[Guest_Age]]&lt;=50),"Middle Aged Adults",Table2[[#This Row],[Guest_Age]]&gt;50,"Senior")</f>
        <v>Senior</v>
      </c>
      <c r="AB13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395" t="str" cm="1">
        <f t="array" ref="AC1395">_xlfn.IFS(Table2[[#This Row],[Satification_points]]&gt;=4.5,"GREAT",AND(Table2[[#This Row],[Satification_points]]&gt;=4,Table2[[#This Row],[Satification_points]]&lt;4.5),"GOOD",AND(Table2[[#This Row],[Satification_points]]&gt;=3,Table2[[#This Row],[Satification_points]]&lt;4),"AVERAGE",Table2[[#This Row],[Satification_points]]&lt;3,"POOR")</f>
        <v>POOR</v>
      </c>
    </row>
    <row r="1396" spans="1:29" x14ac:dyDescent="0.3">
      <c r="A1396">
        <v>1395</v>
      </c>
      <c r="B1396">
        <v>24143</v>
      </c>
      <c r="C1396" t="s">
        <v>1438</v>
      </c>
      <c r="D1396" t="s">
        <v>41</v>
      </c>
      <c r="E1396" t="s">
        <v>35</v>
      </c>
      <c r="F1396" s="1">
        <v>45062</v>
      </c>
      <c r="G1396" s="1">
        <v>45380</v>
      </c>
      <c r="H1396">
        <v>12</v>
      </c>
      <c r="I1396" t="s">
        <v>49</v>
      </c>
      <c r="J1396" t="s">
        <v>53</v>
      </c>
      <c r="K1396">
        <v>2</v>
      </c>
      <c r="L1396">
        <v>4</v>
      </c>
      <c r="M1396">
        <v>5</v>
      </c>
      <c r="N1396">
        <v>1</v>
      </c>
      <c r="O1396">
        <v>4</v>
      </c>
      <c r="P1396">
        <v>4</v>
      </c>
      <c r="Q1396">
        <v>1</v>
      </c>
      <c r="R1396">
        <v>3</v>
      </c>
      <c r="S1396">
        <v>4</v>
      </c>
      <c r="T1396">
        <v>5</v>
      </c>
      <c r="U1396" t="s">
        <v>30</v>
      </c>
      <c r="V1396" t="s">
        <v>58</v>
      </c>
      <c r="W1396" t="s">
        <v>39</v>
      </c>
      <c r="X1396" t="s">
        <v>44</v>
      </c>
      <c r="Y1396">
        <v>43</v>
      </c>
      <c r="Z1396" s="1">
        <v>45380</v>
      </c>
      <c r="AA1396" t="str" cm="1">
        <f t="array" ref="AA13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396" t="str" cm="1">
        <f t="array" ref="AC1396">_xlfn.IFS(Table2[[#This Row],[Satification_points]]&gt;=4.5,"GREAT",AND(Table2[[#This Row],[Satification_points]]&gt;=4,Table2[[#This Row],[Satification_points]]&lt;4.5),"GOOD",AND(Table2[[#This Row],[Satification_points]]&gt;=3,Table2[[#This Row],[Satification_points]]&lt;4),"AVERAGE",Table2[[#This Row],[Satification_points]]&lt;3,"POOR")</f>
        <v>AVERAGE</v>
      </c>
    </row>
    <row r="1397" spans="1:29" x14ac:dyDescent="0.3">
      <c r="A1397">
        <v>1396</v>
      </c>
      <c r="B1397">
        <v>78857</v>
      </c>
      <c r="C1397" t="s">
        <v>1439</v>
      </c>
      <c r="D1397" t="s">
        <v>34</v>
      </c>
      <c r="E1397" t="s">
        <v>52</v>
      </c>
      <c r="F1397" s="1">
        <v>44956</v>
      </c>
      <c r="G1397" s="1">
        <v>45563</v>
      </c>
      <c r="H1397">
        <v>9</v>
      </c>
      <c r="I1397" t="s">
        <v>50</v>
      </c>
      <c r="J1397" t="s">
        <v>40</v>
      </c>
      <c r="K1397">
        <v>1</v>
      </c>
      <c r="L1397">
        <v>2</v>
      </c>
      <c r="M1397">
        <v>3</v>
      </c>
      <c r="N1397">
        <v>5</v>
      </c>
      <c r="O1397">
        <v>4</v>
      </c>
      <c r="P1397">
        <v>3</v>
      </c>
      <c r="Q1397">
        <v>4</v>
      </c>
      <c r="R1397">
        <v>5</v>
      </c>
      <c r="S1397">
        <v>3</v>
      </c>
      <c r="T1397">
        <v>4</v>
      </c>
      <c r="U1397" t="s">
        <v>37</v>
      </c>
      <c r="V1397" t="s">
        <v>46</v>
      </c>
      <c r="W1397" t="s">
        <v>56</v>
      </c>
      <c r="X1397" t="s">
        <v>40</v>
      </c>
      <c r="Y1397">
        <v>43</v>
      </c>
      <c r="Z1397" s="1">
        <v>45563</v>
      </c>
      <c r="AA1397" t="str" cm="1">
        <f t="array" ref="AA13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97" t="str" cm="1">
        <f t="array" ref="AC1397">_xlfn.IFS(Table2[[#This Row],[Satification_points]]&gt;=4.5,"GREAT",AND(Table2[[#This Row],[Satification_points]]&gt;=4,Table2[[#This Row],[Satification_points]]&lt;4.5),"GOOD",AND(Table2[[#This Row],[Satification_points]]&gt;=3,Table2[[#This Row],[Satification_points]]&lt;4),"AVERAGE",Table2[[#This Row],[Satification_points]]&lt;3,"POOR")</f>
        <v>AVERAGE</v>
      </c>
    </row>
    <row r="1398" spans="1:29" x14ac:dyDescent="0.3">
      <c r="A1398">
        <v>1397</v>
      </c>
      <c r="B1398">
        <v>79662</v>
      </c>
      <c r="C1398" t="s">
        <v>1440</v>
      </c>
      <c r="D1398" t="s">
        <v>51</v>
      </c>
      <c r="E1398" t="s">
        <v>52</v>
      </c>
      <c r="F1398" s="1">
        <v>45024</v>
      </c>
      <c r="G1398" s="1">
        <v>45231</v>
      </c>
      <c r="H1398">
        <v>10</v>
      </c>
      <c r="I1398" t="s">
        <v>42</v>
      </c>
      <c r="J1398" t="s">
        <v>40</v>
      </c>
      <c r="K1398">
        <v>2</v>
      </c>
      <c r="L1398">
        <v>5</v>
      </c>
      <c r="M1398">
        <v>5</v>
      </c>
      <c r="N1398">
        <v>4</v>
      </c>
      <c r="O1398">
        <v>4</v>
      </c>
      <c r="P1398">
        <v>3</v>
      </c>
      <c r="Q1398">
        <v>5</v>
      </c>
      <c r="R1398">
        <v>1</v>
      </c>
      <c r="S1398">
        <v>2</v>
      </c>
      <c r="T1398">
        <v>3</v>
      </c>
      <c r="U1398" t="s">
        <v>30</v>
      </c>
      <c r="V1398" t="s">
        <v>58</v>
      </c>
      <c r="W1398" t="s">
        <v>39</v>
      </c>
      <c r="X1398" t="s">
        <v>44</v>
      </c>
      <c r="Y1398">
        <v>36</v>
      </c>
      <c r="Z1398" s="1">
        <v>45231</v>
      </c>
      <c r="AA1398" t="str" cm="1">
        <f t="array" ref="AA13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3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398" t="str" cm="1">
        <f t="array" ref="AC1398">_xlfn.IFS(Table2[[#This Row],[Satification_points]]&gt;=4.5,"GREAT",AND(Table2[[#This Row],[Satification_points]]&gt;=4,Table2[[#This Row],[Satification_points]]&lt;4.5),"GOOD",AND(Table2[[#This Row],[Satification_points]]&gt;=3,Table2[[#This Row],[Satification_points]]&lt;4),"AVERAGE",Table2[[#This Row],[Satification_points]]&lt;3,"POOR")</f>
        <v>AVERAGE</v>
      </c>
    </row>
    <row r="1399" spans="1:29" x14ac:dyDescent="0.3">
      <c r="A1399">
        <v>1398</v>
      </c>
      <c r="B1399">
        <v>29177</v>
      </c>
      <c r="C1399" t="s">
        <v>1441</v>
      </c>
      <c r="D1399" t="s">
        <v>41</v>
      </c>
      <c r="E1399" t="s">
        <v>45</v>
      </c>
      <c r="F1399" s="1">
        <v>45535</v>
      </c>
      <c r="G1399" s="1">
        <v>45541</v>
      </c>
      <c r="H1399">
        <v>10</v>
      </c>
      <c r="I1399" t="s">
        <v>50</v>
      </c>
      <c r="J1399" t="s">
        <v>43</v>
      </c>
      <c r="K1399">
        <v>3</v>
      </c>
      <c r="L1399">
        <v>4</v>
      </c>
      <c r="M1399">
        <v>4</v>
      </c>
      <c r="N1399">
        <v>2</v>
      </c>
      <c r="O1399">
        <v>5</v>
      </c>
      <c r="P1399">
        <v>2</v>
      </c>
      <c r="Q1399">
        <v>4</v>
      </c>
      <c r="R1399">
        <v>1</v>
      </c>
      <c r="S1399">
        <v>3</v>
      </c>
      <c r="T1399">
        <v>5</v>
      </c>
      <c r="U1399" t="s">
        <v>30</v>
      </c>
      <c r="V1399" t="s">
        <v>38</v>
      </c>
      <c r="W1399" t="s">
        <v>55</v>
      </c>
      <c r="X1399" t="s">
        <v>44</v>
      </c>
      <c r="Y1399">
        <v>54</v>
      </c>
      <c r="Z1399" s="1">
        <v>45609</v>
      </c>
      <c r="AA1399" t="str" cm="1">
        <f t="array" ref="AA1399">_xlfn.IFS(AND(Table2[[#This Row],[Guest_Age]]&gt;=18,Table2[[#This Row],[Guest_Age]]&lt;=25),"Young Adults",AND(Table2[[#This Row],[Guest_Age]]&gt;=26,Table2[[#This Row],[Guest_Age]]&lt;=35),"Adults",AND(Table2[[#This Row],[Guest_Age]]&gt;=36,Table2[[#This Row],[Guest_Age]]&lt;=50),"Middle Aged Adults",Table2[[#This Row],[Guest_Age]]&gt;50,"Senior")</f>
        <v>Senior</v>
      </c>
      <c r="AB13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399" t="str" cm="1">
        <f t="array" ref="AC1399">_xlfn.IFS(Table2[[#This Row],[Satification_points]]&gt;=4.5,"GREAT",AND(Table2[[#This Row],[Satification_points]]&gt;=4,Table2[[#This Row],[Satification_points]]&lt;4.5),"GOOD",AND(Table2[[#This Row],[Satification_points]]&gt;=3,Table2[[#This Row],[Satification_points]]&lt;4),"AVERAGE",Table2[[#This Row],[Satification_points]]&lt;3,"POOR")</f>
        <v>AVERAGE</v>
      </c>
    </row>
    <row r="1400" spans="1:29" x14ac:dyDescent="0.3">
      <c r="A1400">
        <v>1399</v>
      </c>
      <c r="B1400">
        <v>84835</v>
      </c>
      <c r="C1400" t="s">
        <v>1442</v>
      </c>
      <c r="D1400" t="s">
        <v>34</v>
      </c>
      <c r="E1400" t="s">
        <v>57</v>
      </c>
      <c r="F1400" s="1">
        <v>45449</v>
      </c>
      <c r="G1400" s="1">
        <v>45450</v>
      </c>
      <c r="H1400">
        <v>1</v>
      </c>
      <c r="I1400" t="s">
        <v>50</v>
      </c>
      <c r="J1400" t="s">
        <v>36</v>
      </c>
      <c r="K1400">
        <v>3</v>
      </c>
      <c r="L1400">
        <v>3</v>
      </c>
      <c r="M1400">
        <v>3</v>
      </c>
      <c r="N1400">
        <v>3</v>
      </c>
      <c r="O1400">
        <v>1</v>
      </c>
      <c r="P1400">
        <v>5</v>
      </c>
      <c r="Q1400">
        <v>5</v>
      </c>
      <c r="R1400">
        <v>4</v>
      </c>
      <c r="S1400">
        <v>1</v>
      </c>
      <c r="T1400">
        <v>2</v>
      </c>
      <c r="U1400" t="s">
        <v>37</v>
      </c>
      <c r="V1400" t="s">
        <v>38</v>
      </c>
      <c r="W1400" t="s">
        <v>47</v>
      </c>
      <c r="X1400" t="s">
        <v>33</v>
      </c>
      <c r="Y1400">
        <v>28</v>
      </c>
      <c r="Z1400" s="1">
        <v>45567</v>
      </c>
      <c r="AA1400" t="str" cm="1">
        <f t="array" ref="AA1400">_xlfn.IFS(AND(Table2[[#This Row],[Guest_Age]]&gt;=18,Table2[[#This Row],[Guest_Age]]&lt;=25),"Young Adults",AND(Table2[[#This Row],[Guest_Age]]&gt;=26,Table2[[#This Row],[Guest_Age]]&lt;=35),"Adults",AND(Table2[[#This Row],[Guest_Age]]&gt;=36,Table2[[#This Row],[Guest_Age]]&lt;=50),"Middle Aged Adults",Table2[[#This Row],[Guest_Age]]&gt;50,"Senior")</f>
        <v>Adults</v>
      </c>
      <c r="AB14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400" t="str" cm="1">
        <f t="array" ref="AC1400">_xlfn.IFS(Table2[[#This Row],[Satification_points]]&gt;=4.5,"GREAT",AND(Table2[[#This Row],[Satification_points]]&gt;=4,Table2[[#This Row],[Satification_points]]&lt;4.5),"GOOD",AND(Table2[[#This Row],[Satification_points]]&gt;=3,Table2[[#This Row],[Satification_points]]&lt;4),"AVERAGE",Table2[[#This Row],[Satification_points]]&lt;3,"POOR")</f>
        <v>AVERAGE</v>
      </c>
    </row>
    <row r="1401" spans="1:29" x14ac:dyDescent="0.3">
      <c r="A1401">
        <v>1400</v>
      </c>
      <c r="B1401">
        <v>56051</v>
      </c>
      <c r="C1401" t="s">
        <v>1443</v>
      </c>
      <c r="D1401" t="s">
        <v>41</v>
      </c>
      <c r="E1401" t="s">
        <v>52</v>
      </c>
      <c r="F1401" s="1">
        <v>45268</v>
      </c>
      <c r="G1401" s="1">
        <v>45269</v>
      </c>
      <c r="H1401">
        <v>9</v>
      </c>
      <c r="I1401" t="s">
        <v>42</v>
      </c>
      <c r="J1401" t="s">
        <v>53</v>
      </c>
      <c r="K1401">
        <v>3</v>
      </c>
      <c r="L1401">
        <v>2</v>
      </c>
      <c r="M1401">
        <v>4</v>
      </c>
      <c r="N1401">
        <v>1</v>
      </c>
      <c r="O1401">
        <v>4</v>
      </c>
      <c r="P1401">
        <v>1</v>
      </c>
      <c r="Q1401">
        <v>1</v>
      </c>
      <c r="R1401">
        <v>3</v>
      </c>
      <c r="S1401">
        <v>3</v>
      </c>
      <c r="T1401">
        <v>1</v>
      </c>
      <c r="U1401" t="s">
        <v>30</v>
      </c>
      <c r="V1401" t="s">
        <v>38</v>
      </c>
      <c r="W1401" t="s">
        <v>39</v>
      </c>
      <c r="X1401" t="s">
        <v>44</v>
      </c>
      <c r="Y1401">
        <v>19</v>
      </c>
      <c r="Z1401" s="1">
        <v>45269</v>
      </c>
      <c r="AA1401" t="str" cm="1">
        <f t="array" ref="AA1401">_xlfn.IFS(AND(Table2[[#This Row],[Guest_Age]]&gt;=18,Table2[[#This Row],[Guest_Age]]&lt;=25),"Young Adults",AND(Table2[[#This Row],[Guest_Age]]&gt;=26,Table2[[#This Row],[Guest_Age]]&lt;=35),"Adults",AND(Table2[[#This Row],[Guest_Age]]&gt;=36,Table2[[#This Row],[Guest_Age]]&lt;=50),"Middle Aged Adults",Table2[[#This Row],[Guest_Age]]&gt;50,"Senior")</f>
        <v>Young Adults</v>
      </c>
      <c r="AB14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401" t="str" cm="1">
        <f t="array" ref="AC1401">_xlfn.IFS(Table2[[#This Row],[Satification_points]]&gt;=4.5,"GREAT",AND(Table2[[#This Row],[Satification_points]]&gt;=4,Table2[[#This Row],[Satification_points]]&lt;4.5),"GOOD",AND(Table2[[#This Row],[Satification_points]]&gt;=3,Table2[[#This Row],[Satification_points]]&lt;4),"AVERAGE",Table2[[#This Row],[Satification_points]]&lt;3,"POOR")</f>
        <v>POOR</v>
      </c>
    </row>
    <row r="1402" spans="1:29" x14ac:dyDescent="0.3">
      <c r="A1402">
        <v>1401</v>
      </c>
      <c r="B1402">
        <v>81721</v>
      </c>
      <c r="C1402" t="s">
        <v>1444</v>
      </c>
      <c r="D1402" t="s">
        <v>34</v>
      </c>
      <c r="E1402" t="s">
        <v>45</v>
      </c>
      <c r="F1402" s="1">
        <v>45094</v>
      </c>
      <c r="G1402" s="1">
        <v>45191</v>
      </c>
      <c r="H1402">
        <v>6</v>
      </c>
      <c r="I1402" t="s">
        <v>50</v>
      </c>
      <c r="J1402" t="s">
        <v>53</v>
      </c>
      <c r="K1402">
        <v>3</v>
      </c>
      <c r="L1402">
        <v>4</v>
      </c>
      <c r="M1402">
        <v>4</v>
      </c>
      <c r="N1402">
        <v>4</v>
      </c>
      <c r="O1402">
        <v>2</v>
      </c>
      <c r="P1402">
        <v>4</v>
      </c>
      <c r="Q1402">
        <v>5</v>
      </c>
      <c r="R1402">
        <v>3</v>
      </c>
      <c r="S1402">
        <v>2</v>
      </c>
      <c r="T1402">
        <v>3</v>
      </c>
      <c r="U1402" t="s">
        <v>37</v>
      </c>
      <c r="V1402" t="s">
        <v>31</v>
      </c>
      <c r="W1402" t="s">
        <v>55</v>
      </c>
      <c r="X1402" t="s">
        <v>40</v>
      </c>
      <c r="Y1402">
        <v>48</v>
      </c>
      <c r="Z1402" s="1">
        <v>45191</v>
      </c>
      <c r="AA1402" t="str" cm="1">
        <f t="array" ref="AA140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02" t="str" cm="1">
        <f t="array" ref="AC1402">_xlfn.IFS(Table2[[#This Row],[Satification_points]]&gt;=4.5,"GREAT",AND(Table2[[#This Row],[Satification_points]]&gt;=4,Table2[[#This Row],[Satification_points]]&lt;4.5),"GOOD",AND(Table2[[#This Row],[Satification_points]]&gt;=3,Table2[[#This Row],[Satification_points]]&lt;4),"AVERAGE",Table2[[#This Row],[Satification_points]]&lt;3,"POOR")</f>
        <v>AVERAGE</v>
      </c>
    </row>
    <row r="1403" spans="1:29" x14ac:dyDescent="0.3">
      <c r="A1403">
        <v>1402</v>
      </c>
      <c r="B1403">
        <v>62937</v>
      </c>
      <c r="C1403" t="s">
        <v>1445</v>
      </c>
      <c r="D1403" t="s">
        <v>48</v>
      </c>
      <c r="E1403" t="s">
        <v>35</v>
      </c>
      <c r="F1403" s="1">
        <v>45137</v>
      </c>
      <c r="G1403" s="1">
        <v>45292</v>
      </c>
      <c r="H1403">
        <v>6</v>
      </c>
      <c r="I1403" t="s">
        <v>49</v>
      </c>
      <c r="J1403" t="s">
        <v>40</v>
      </c>
      <c r="K1403">
        <v>1</v>
      </c>
      <c r="L1403">
        <v>3</v>
      </c>
      <c r="M1403">
        <v>4</v>
      </c>
      <c r="N1403">
        <v>3</v>
      </c>
      <c r="O1403">
        <v>3</v>
      </c>
      <c r="P1403">
        <v>5</v>
      </c>
      <c r="Q1403">
        <v>1</v>
      </c>
      <c r="R1403">
        <v>4</v>
      </c>
      <c r="S1403">
        <v>4</v>
      </c>
      <c r="T1403">
        <v>1</v>
      </c>
      <c r="U1403" t="s">
        <v>30</v>
      </c>
      <c r="V1403" t="s">
        <v>58</v>
      </c>
      <c r="W1403" t="s">
        <v>56</v>
      </c>
      <c r="X1403" t="s">
        <v>40</v>
      </c>
      <c r="Y1403">
        <v>35</v>
      </c>
      <c r="Z1403" s="1">
        <v>45292</v>
      </c>
      <c r="AA1403" t="str" cm="1">
        <f t="array" ref="AA1403">_xlfn.IFS(AND(Table2[[#This Row],[Guest_Age]]&gt;=18,Table2[[#This Row],[Guest_Age]]&lt;=25),"Young Adults",AND(Table2[[#This Row],[Guest_Age]]&gt;=26,Table2[[#This Row],[Guest_Age]]&lt;=35),"Adults",AND(Table2[[#This Row],[Guest_Age]]&gt;=36,Table2[[#This Row],[Guest_Age]]&lt;=50),"Middle Aged Adults",Table2[[#This Row],[Guest_Age]]&gt;50,"Senior")</f>
        <v>Adults</v>
      </c>
      <c r="AB14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03" t="str" cm="1">
        <f t="array" ref="AC1403">_xlfn.IFS(Table2[[#This Row],[Satification_points]]&gt;=4.5,"GREAT",AND(Table2[[#This Row],[Satification_points]]&gt;=4,Table2[[#This Row],[Satification_points]]&lt;4.5),"GOOD",AND(Table2[[#This Row],[Satification_points]]&gt;=3,Table2[[#This Row],[Satification_points]]&lt;4),"AVERAGE",Table2[[#This Row],[Satification_points]]&lt;3,"POOR")</f>
        <v>POOR</v>
      </c>
    </row>
    <row r="1404" spans="1:29" x14ac:dyDescent="0.3">
      <c r="A1404">
        <v>1403</v>
      </c>
      <c r="B1404">
        <v>69778</v>
      </c>
      <c r="C1404" t="s">
        <v>1446</v>
      </c>
      <c r="D1404" t="s">
        <v>51</v>
      </c>
      <c r="E1404" t="s">
        <v>57</v>
      </c>
      <c r="F1404" s="1">
        <v>45610</v>
      </c>
      <c r="G1404" s="1">
        <v>45611</v>
      </c>
      <c r="H1404">
        <v>14</v>
      </c>
      <c r="I1404" t="s">
        <v>49</v>
      </c>
      <c r="J1404" t="s">
        <v>40</v>
      </c>
      <c r="K1404">
        <v>1</v>
      </c>
      <c r="L1404">
        <v>4</v>
      </c>
      <c r="M1404">
        <v>2</v>
      </c>
      <c r="N1404">
        <v>2</v>
      </c>
      <c r="O1404">
        <v>5</v>
      </c>
      <c r="P1404">
        <v>5</v>
      </c>
      <c r="Q1404">
        <v>4</v>
      </c>
      <c r="R1404">
        <v>1</v>
      </c>
      <c r="S1404">
        <v>3</v>
      </c>
      <c r="T1404">
        <v>4</v>
      </c>
      <c r="U1404" t="s">
        <v>37</v>
      </c>
      <c r="V1404" t="s">
        <v>54</v>
      </c>
      <c r="W1404" t="s">
        <v>56</v>
      </c>
      <c r="X1404" t="s">
        <v>33</v>
      </c>
      <c r="Y1404">
        <v>28</v>
      </c>
      <c r="Z1404" s="1">
        <v>45611</v>
      </c>
      <c r="AA1404" t="str" cm="1">
        <f t="array" ref="AA1404">_xlfn.IFS(AND(Table2[[#This Row],[Guest_Age]]&gt;=18,Table2[[#This Row],[Guest_Age]]&lt;=25),"Young Adults",AND(Table2[[#This Row],[Guest_Age]]&gt;=26,Table2[[#This Row],[Guest_Age]]&lt;=35),"Adults",AND(Table2[[#This Row],[Guest_Age]]&gt;=36,Table2[[#This Row],[Guest_Age]]&lt;=50),"Middle Aged Adults",Table2[[#This Row],[Guest_Age]]&gt;50,"Senior")</f>
        <v>Adults</v>
      </c>
      <c r="AB14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404" t="str" cm="1">
        <f t="array" ref="AC1404">_xlfn.IFS(Table2[[#This Row],[Satification_points]]&gt;=4.5,"GREAT",AND(Table2[[#This Row],[Satification_points]]&gt;=4,Table2[[#This Row],[Satification_points]]&lt;4.5),"GOOD",AND(Table2[[#This Row],[Satification_points]]&gt;=3,Table2[[#This Row],[Satification_points]]&lt;4),"AVERAGE",Table2[[#This Row],[Satification_points]]&lt;3,"POOR")</f>
        <v>AVERAGE</v>
      </c>
    </row>
    <row r="1405" spans="1:29" x14ac:dyDescent="0.3">
      <c r="A1405">
        <v>1404</v>
      </c>
      <c r="B1405">
        <v>83993</v>
      </c>
      <c r="C1405" t="s">
        <v>1447</v>
      </c>
      <c r="D1405" t="s">
        <v>41</v>
      </c>
      <c r="E1405" t="s">
        <v>27</v>
      </c>
      <c r="F1405" s="1">
        <v>45558</v>
      </c>
      <c r="G1405" s="1">
        <v>45562</v>
      </c>
      <c r="H1405">
        <v>7</v>
      </c>
      <c r="I1405" t="s">
        <v>49</v>
      </c>
      <c r="J1405" t="s">
        <v>29</v>
      </c>
      <c r="K1405">
        <v>1</v>
      </c>
      <c r="L1405">
        <v>3</v>
      </c>
      <c r="M1405">
        <v>3</v>
      </c>
      <c r="N1405">
        <v>3</v>
      </c>
      <c r="O1405">
        <v>2</v>
      </c>
      <c r="P1405">
        <v>3</v>
      </c>
      <c r="Q1405">
        <v>2</v>
      </c>
      <c r="R1405">
        <v>3</v>
      </c>
      <c r="S1405">
        <v>1</v>
      </c>
      <c r="T1405">
        <v>5</v>
      </c>
      <c r="U1405" t="s">
        <v>30</v>
      </c>
      <c r="V1405" t="s">
        <v>46</v>
      </c>
      <c r="W1405" t="s">
        <v>55</v>
      </c>
      <c r="X1405" t="s">
        <v>44</v>
      </c>
      <c r="Y1405">
        <v>61</v>
      </c>
      <c r="Z1405" s="1">
        <v>45562</v>
      </c>
      <c r="AA1405" t="str" cm="1">
        <f t="array" ref="AA1405">_xlfn.IFS(AND(Table2[[#This Row],[Guest_Age]]&gt;=18,Table2[[#This Row],[Guest_Age]]&lt;=25),"Young Adults",AND(Table2[[#This Row],[Guest_Age]]&gt;=26,Table2[[#This Row],[Guest_Age]]&lt;=35),"Adults",AND(Table2[[#This Row],[Guest_Age]]&gt;=36,Table2[[#This Row],[Guest_Age]]&lt;=50),"Middle Aged Adults",Table2[[#This Row],[Guest_Age]]&gt;50,"Senior")</f>
        <v>Senior</v>
      </c>
      <c r="AB14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405" t="str" cm="1">
        <f t="array" ref="AC1405">_xlfn.IFS(Table2[[#This Row],[Satification_points]]&gt;=4.5,"GREAT",AND(Table2[[#This Row],[Satification_points]]&gt;=4,Table2[[#This Row],[Satification_points]]&lt;4.5),"GOOD",AND(Table2[[#This Row],[Satification_points]]&gt;=3,Table2[[#This Row],[Satification_points]]&lt;4),"AVERAGE",Table2[[#This Row],[Satification_points]]&lt;3,"POOR")</f>
        <v>POOR</v>
      </c>
    </row>
    <row r="1406" spans="1:29" x14ac:dyDescent="0.3">
      <c r="A1406">
        <v>1405</v>
      </c>
      <c r="B1406">
        <v>25942</v>
      </c>
      <c r="C1406" t="s">
        <v>1448</v>
      </c>
      <c r="D1406" t="s">
        <v>41</v>
      </c>
      <c r="E1406" t="s">
        <v>35</v>
      </c>
      <c r="F1406" s="1">
        <v>45111</v>
      </c>
      <c r="G1406" s="1">
        <v>45154</v>
      </c>
      <c r="H1406">
        <v>9</v>
      </c>
      <c r="I1406" t="s">
        <v>42</v>
      </c>
      <c r="J1406" t="s">
        <v>53</v>
      </c>
      <c r="K1406">
        <v>5</v>
      </c>
      <c r="L1406">
        <v>2</v>
      </c>
      <c r="M1406">
        <v>2</v>
      </c>
      <c r="N1406">
        <v>2</v>
      </c>
      <c r="O1406">
        <v>1</v>
      </c>
      <c r="P1406">
        <v>1</v>
      </c>
      <c r="Q1406">
        <v>5</v>
      </c>
      <c r="R1406">
        <v>2</v>
      </c>
      <c r="S1406">
        <v>4</v>
      </c>
      <c r="T1406">
        <v>4</v>
      </c>
      <c r="U1406" t="s">
        <v>30</v>
      </c>
      <c r="V1406" t="s">
        <v>46</v>
      </c>
      <c r="W1406" t="s">
        <v>56</v>
      </c>
      <c r="X1406" t="s">
        <v>33</v>
      </c>
      <c r="Y1406">
        <v>33</v>
      </c>
      <c r="Z1406" s="1">
        <v>45491</v>
      </c>
      <c r="AA1406" t="str" cm="1">
        <f t="array" ref="AA1406">_xlfn.IFS(AND(Table2[[#This Row],[Guest_Age]]&gt;=18,Table2[[#This Row],[Guest_Age]]&lt;=25),"Young Adults",AND(Table2[[#This Row],[Guest_Age]]&gt;=26,Table2[[#This Row],[Guest_Age]]&lt;=35),"Adults",AND(Table2[[#This Row],[Guest_Age]]&gt;=36,Table2[[#This Row],[Guest_Age]]&lt;=50),"Middle Aged Adults",Table2[[#This Row],[Guest_Age]]&gt;50,"Senior")</f>
        <v>Adults</v>
      </c>
      <c r="AB14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06" t="str" cm="1">
        <f t="array" ref="AC1406">_xlfn.IFS(Table2[[#This Row],[Satification_points]]&gt;=4.5,"GREAT",AND(Table2[[#This Row],[Satification_points]]&gt;=4,Table2[[#This Row],[Satification_points]]&lt;4.5),"GOOD",AND(Table2[[#This Row],[Satification_points]]&gt;=3,Table2[[#This Row],[Satification_points]]&lt;4),"AVERAGE",Table2[[#This Row],[Satification_points]]&lt;3,"POOR")</f>
        <v>POOR</v>
      </c>
    </row>
    <row r="1407" spans="1:29" x14ac:dyDescent="0.3">
      <c r="A1407">
        <v>1406</v>
      </c>
      <c r="B1407">
        <v>77659</v>
      </c>
      <c r="C1407" t="s">
        <v>1449</v>
      </c>
      <c r="D1407" t="s">
        <v>41</v>
      </c>
      <c r="E1407" t="s">
        <v>45</v>
      </c>
      <c r="F1407" s="1">
        <v>45358</v>
      </c>
      <c r="G1407" s="1">
        <v>45383</v>
      </c>
      <c r="H1407">
        <v>7</v>
      </c>
      <c r="I1407" t="s">
        <v>50</v>
      </c>
      <c r="J1407" t="s">
        <v>53</v>
      </c>
      <c r="K1407">
        <v>4</v>
      </c>
      <c r="L1407">
        <v>5</v>
      </c>
      <c r="M1407">
        <v>2</v>
      </c>
      <c r="N1407">
        <v>3</v>
      </c>
      <c r="O1407">
        <v>3</v>
      </c>
      <c r="P1407">
        <v>2</v>
      </c>
      <c r="Q1407">
        <v>3</v>
      </c>
      <c r="R1407">
        <v>4</v>
      </c>
      <c r="S1407">
        <v>5</v>
      </c>
      <c r="T1407">
        <v>5</v>
      </c>
      <c r="U1407" t="s">
        <v>30</v>
      </c>
      <c r="V1407" t="s">
        <v>31</v>
      </c>
      <c r="W1407" t="s">
        <v>56</v>
      </c>
      <c r="X1407" t="s">
        <v>33</v>
      </c>
      <c r="Y1407">
        <v>19</v>
      </c>
      <c r="Z1407" s="1">
        <v>45383</v>
      </c>
      <c r="AA1407" t="str" cm="1">
        <f t="array" ref="AA1407">_xlfn.IFS(AND(Table2[[#This Row],[Guest_Age]]&gt;=18,Table2[[#This Row],[Guest_Age]]&lt;=25),"Young Adults",AND(Table2[[#This Row],[Guest_Age]]&gt;=26,Table2[[#This Row],[Guest_Age]]&lt;=35),"Adults",AND(Table2[[#This Row],[Guest_Age]]&gt;=36,Table2[[#This Row],[Guest_Age]]&lt;=50),"Middle Aged Adults",Table2[[#This Row],[Guest_Age]]&gt;50,"Senior")</f>
        <v>Young Adults</v>
      </c>
      <c r="AB14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407" t="str" cm="1">
        <f t="array" ref="AC1407">_xlfn.IFS(Table2[[#This Row],[Satification_points]]&gt;=4.5,"GREAT",AND(Table2[[#This Row],[Satification_points]]&gt;=4,Table2[[#This Row],[Satification_points]]&lt;4.5),"GOOD",AND(Table2[[#This Row],[Satification_points]]&gt;=3,Table2[[#This Row],[Satification_points]]&lt;4),"AVERAGE",Table2[[#This Row],[Satification_points]]&lt;3,"POOR")</f>
        <v>AVERAGE</v>
      </c>
    </row>
    <row r="1408" spans="1:29" x14ac:dyDescent="0.3">
      <c r="A1408">
        <v>1407</v>
      </c>
      <c r="B1408">
        <v>27894</v>
      </c>
      <c r="C1408" t="s">
        <v>1450</v>
      </c>
      <c r="D1408" t="s">
        <v>26</v>
      </c>
      <c r="E1408" t="s">
        <v>27</v>
      </c>
      <c r="F1408" s="1">
        <v>45350</v>
      </c>
      <c r="G1408" s="1">
        <v>45667</v>
      </c>
      <c r="H1408">
        <v>7</v>
      </c>
      <c r="I1408" t="s">
        <v>50</v>
      </c>
      <c r="J1408" t="s">
        <v>40</v>
      </c>
      <c r="K1408">
        <v>3</v>
      </c>
      <c r="L1408">
        <v>1</v>
      </c>
      <c r="M1408">
        <v>4</v>
      </c>
      <c r="N1408">
        <v>2</v>
      </c>
      <c r="O1408">
        <v>4</v>
      </c>
      <c r="P1408">
        <v>4</v>
      </c>
      <c r="Q1408">
        <v>2</v>
      </c>
      <c r="R1408">
        <v>1</v>
      </c>
      <c r="S1408">
        <v>5</v>
      </c>
      <c r="T1408">
        <v>2</v>
      </c>
      <c r="U1408" t="s">
        <v>30</v>
      </c>
      <c r="V1408" t="s">
        <v>58</v>
      </c>
      <c r="W1408" t="s">
        <v>56</v>
      </c>
      <c r="X1408" t="s">
        <v>40</v>
      </c>
      <c r="Y1408">
        <v>49</v>
      </c>
      <c r="Z1408" s="1">
        <v>45667</v>
      </c>
      <c r="AA1408" t="str" cm="1">
        <f t="array" ref="AA14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08" t="str" cm="1">
        <f t="array" ref="AC1408">_xlfn.IFS(Table2[[#This Row],[Satification_points]]&gt;=4.5,"GREAT",AND(Table2[[#This Row],[Satification_points]]&gt;=4,Table2[[#This Row],[Satification_points]]&lt;4.5),"GOOD",AND(Table2[[#This Row],[Satification_points]]&gt;=3,Table2[[#This Row],[Satification_points]]&lt;4),"AVERAGE",Table2[[#This Row],[Satification_points]]&lt;3,"POOR")</f>
        <v>POOR</v>
      </c>
    </row>
    <row r="1409" spans="1:29" x14ac:dyDescent="0.3">
      <c r="A1409">
        <v>1408</v>
      </c>
      <c r="B1409">
        <v>63927</v>
      </c>
      <c r="C1409" t="s">
        <v>1451</v>
      </c>
      <c r="D1409" t="s">
        <v>26</v>
      </c>
      <c r="E1409" t="s">
        <v>35</v>
      </c>
      <c r="F1409" s="1">
        <v>44965</v>
      </c>
      <c r="G1409" s="1">
        <v>45592</v>
      </c>
      <c r="H1409">
        <v>11</v>
      </c>
      <c r="I1409" t="s">
        <v>49</v>
      </c>
      <c r="J1409" t="s">
        <v>53</v>
      </c>
      <c r="K1409">
        <v>4</v>
      </c>
      <c r="L1409">
        <v>1</v>
      </c>
      <c r="M1409">
        <v>1</v>
      </c>
      <c r="N1409">
        <v>1</v>
      </c>
      <c r="O1409">
        <v>2</v>
      </c>
      <c r="P1409">
        <v>1</v>
      </c>
      <c r="Q1409">
        <v>2</v>
      </c>
      <c r="R1409">
        <v>2</v>
      </c>
      <c r="S1409">
        <v>4</v>
      </c>
      <c r="T1409">
        <v>4</v>
      </c>
      <c r="U1409" t="s">
        <v>37</v>
      </c>
      <c r="V1409" t="s">
        <v>46</v>
      </c>
      <c r="W1409" t="s">
        <v>55</v>
      </c>
      <c r="X1409" t="s">
        <v>33</v>
      </c>
      <c r="Y1409">
        <v>65</v>
      </c>
      <c r="Z1409" s="1">
        <v>45592</v>
      </c>
      <c r="AA1409" t="str" cm="1">
        <f t="array" ref="AA1409">_xlfn.IFS(AND(Table2[[#This Row],[Guest_Age]]&gt;=18,Table2[[#This Row],[Guest_Age]]&lt;=25),"Young Adults",AND(Table2[[#This Row],[Guest_Age]]&gt;=26,Table2[[#This Row],[Guest_Age]]&lt;=35),"Adults",AND(Table2[[#This Row],[Guest_Age]]&gt;=36,Table2[[#This Row],[Guest_Age]]&lt;=50),"Middle Aged Adults",Table2[[#This Row],[Guest_Age]]&gt;50,"Senior")</f>
        <v>Senior</v>
      </c>
      <c r="AB14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409" t="str" cm="1">
        <f t="array" ref="AC1409">_xlfn.IFS(Table2[[#This Row],[Satification_points]]&gt;=4.5,"GREAT",AND(Table2[[#This Row],[Satification_points]]&gt;=4,Table2[[#This Row],[Satification_points]]&lt;4.5),"GOOD",AND(Table2[[#This Row],[Satification_points]]&gt;=3,Table2[[#This Row],[Satification_points]]&lt;4),"AVERAGE",Table2[[#This Row],[Satification_points]]&lt;3,"POOR")</f>
        <v>POOR</v>
      </c>
    </row>
    <row r="1410" spans="1:29" x14ac:dyDescent="0.3">
      <c r="A1410">
        <v>1409</v>
      </c>
      <c r="B1410">
        <v>66160</v>
      </c>
      <c r="C1410" t="s">
        <v>1452</v>
      </c>
      <c r="D1410" t="s">
        <v>48</v>
      </c>
      <c r="E1410" t="s">
        <v>52</v>
      </c>
      <c r="F1410" s="1">
        <v>45313</v>
      </c>
      <c r="G1410" s="1">
        <v>45314</v>
      </c>
      <c r="H1410">
        <v>12</v>
      </c>
      <c r="I1410" t="s">
        <v>50</v>
      </c>
      <c r="J1410" t="s">
        <v>36</v>
      </c>
      <c r="K1410">
        <v>3</v>
      </c>
      <c r="L1410">
        <v>5</v>
      </c>
      <c r="M1410">
        <v>5</v>
      </c>
      <c r="N1410">
        <v>3</v>
      </c>
      <c r="O1410">
        <v>2</v>
      </c>
      <c r="P1410">
        <v>5</v>
      </c>
      <c r="Q1410">
        <v>1</v>
      </c>
      <c r="R1410">
        <v>5</v>
      </c>
      <c r="S1410">
        <v>2</v>
      </c>
      <c r="T1410">
        <v>1</v>
      </c>
      <c r="U1410" t="s">
        <v>30</v>
      </c>
      <c r="V1410" t="s">
        <v>38</v>
      </c>
      <c r="W1410" t="s">
        <v>55</v>
      </c>
      <c r="X1410" t="s">
        <v>33</v>
      </c>
      <c r="Y1410">
        <v>65</v>
      </c>
      <c r="Z1410" s="1">
        <v>45314</v>
      </c>
      <c r="AA1410" t="str" cm="1">
        <f t="array" ref="AA1410">_xlfn.IFS(AND(Table2[[#This Row],[Guest_Age]]&gt;=18,Table2[[#This Row],[Guest_Age]]&lt;=25),"Young Adults",AND(Table2[[#This Row],[Guest_Age]]&gt;=26,Table2[[#This Row],[Guest_Age]]&lt;=35),"Adults",AND(Table2[[#This Row],[Guest_Age]]&gt;=36,Table2[[#This Row],[Guest_Age]]&lt;=50),"Middle Aged Adults",Table2[[#This Row],[Guest_Age]]&gt;50,"Senior")</f>
        <v>Senior</v>
      </c>
      <c r="AB14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10" t="str" cm="1">
        <f t="array" ref="AC1410">_xlfn.IFS(Table2[[#This Row],[Satification_points]]&gt;=4.5,"GREAT",AND(Table2[[#This Row],[Satification_points]]&gt;=4,Table2[[#This Row],[Satification_points]]&lt;4.5),"GOOD",AND(Table2[[#This Row],[Satification_points]]&gt;=3,Table2[[#This Row],[Satification_points]]&lt;4),"AVERAGE",Table2[[#This Row],[Satification_points]]&lt;3,"POOR")</f>
        <v>AVERAGE</v>
      </c>
    </row>
    <row r="1411" spans="1:29" x14ac:dyDescent="0.3">
      <c r="A1411">
        <v>1410</v>
      </c>
      <c r="B1411">
        <v>46190</v>
      </c>
      <c r="C1411" t="s">
        <v>1453</v>
      </c>
      <c r="D1411" t="s">
        <v>41</v>
      </c>
      <c r="E1411" t="s">
        <v>45</v>
      </c>
      <c r="F1411" s="1">
        <v>45377</v>
      </c>
      <c r="G1411" s="1">
        <v>45432</v>
      </c>
      <c r="H1411">
        <v>3</v>
      </c>
      <c r="I1411" t="s">
        <v>49</v>
      </c>
      <c r="J1411" t="s">
        <v>43</v>
      </c>
      <c r="K1411">
        <v>3</v>
      </c>
      <c r="L1411">
        <v>4</v>
      </c>
      <c r="M1411">
        <v>1</v>
      </c>
      <c r="N1411">
        <v>2</v>
      </c>
      <c r="O1411">
        <v>4</v>
      </c>
      <c r="P1411">
        <v>5</v>
      </c>
      <c r="Q1411">
        <v>4</v>
      </c>
      <c r="R1411">
        <v>1</v>
      </c>
      <c r="S1411">
        <v>3</v>
      </c>
      <c r="T1411">
        <v>2</v>
      </c>
      <c r="U1411" t="s">
        <v>30</v>
      </c>
      <c r="V1411" t="s">
        <v>58</v>
      </c>
      <c r="W1411" t="s">
        <v>39</v>
      </c>
      <c r="X1411" t="s">
        <v>40</v>
      </c>
      <c r="Y1411">
        <v>39</v>
      </c>
      <c r="Z1411" s="1">
        <v>45451</v>
      </c>
      <c r="AA1411" t="str" cm="1">
        <f t="array" ref="AA141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11" t="str" cm="1">
        <f t="array" ref="AC1411">_xlfn.IFS(Table2[[#This Row],[Satification_points]]&gt;=4.5,"GREAT",AND(Table2[[#This Row],[Satification_points]]&gt;=4,Table2[[#This Row],[Satification_points]]&lt;4.5),"GOOD",AND(Table2[[#This Row],[Satification_points]]&gt;=3,Table2[[#This Row],[Satification_points]]&lt;4),"AVERAGE",Table2[[#This Row],[Satification_points]]&lt;3,"POOR")</f>
        <v>POOR</v>
      </c>
    </row>
    <row r="1412" spans="1:29" x14ac:dyDescent="0.3">
      <c r="A1412">
        <v>1411</v>
      </c>
      <c r="B1412">
        <v>18432</v>
      </c>
      <c r="C1412" t="s">
        <v>1454</v>
      </c>
      <c r="D1412" t="s">
        <v>51</v>
      </c>
      <c r="E1412" t="s">
        <v>27</v>
      </c>
      <c r="F1412" s="1">
        <v>45041</v>
      </c>
      <c r="G1412" s="1">
        <v>45255</v>
      </c>
      <c r="H1412">
        <v>10</v>
      </c>
      <c r="I1412" t="s">
        <v>49</v>
      </c>
      <c r="J1412" t="s">
        <v>40</v>
      </c>
      <c r="K1412">
        <v>3</v>
      </c>
      <c r="L1412">
        <v>2</v>
      </c>
      <c r="M1412">
        <v>4</v>
      </c>
      <c r="N1412">
        <v>4</v>
      </c>
      <c r="O1412">
        <v>4</v>
      </c>
      <c r="P1412">
        <v>2</v>
      </c>
      <c r="Q1412">
        <v>3</v>
      </c>
      <c r="R1412">
        <v>2</v>
      </c>
      <c r="S1412">
        <v>3</v>
      </c>
      <c r="T1412">
        <v>5</v>
      </c>
      <c r="U1412" t="s">
        <v>30</v>
      </c>
      <c r="V1412" t="s">
        <v>46</v>
      </c>
      <c r="W1412" t="s">
        <v>32</v>
      </c>
      <c r="X1412" t="s">
        <v>33</v>
      </c>
      <c r="Y1412">
        <v>53</v>
      </c>
      <c r="Z1412" s="1">
        <v>45255</v>
      </c>
      <c r="AA1412" t="str" cm="1">
        <f t="array" ref="AA1412">_xlfn.IFS(AND(Table2[[#This Row],[Guest_Age]]&gt;=18,Table2[[#This Row],[Guest_Age]]&lt;=25),"Young Adults",AND(Table2[[#This Row],[Guest_Age]]&gt;=26,Table2[[#This Row],[Guest_Age]]&lt;=35),"Adults",AND(Table2[[#This Row],[Guest_Age]]&gt;=36,Table2[[#This Row],[Guest_Age]]&lt;=50),"Middle Aged Adults",Table2[[#This Row],[Guest_Age]]&gt;50,"Senior")</f>
        <v>Senior</v>
      </c>
      <c r="AB14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12" t="str" cm="1">
        <f t="array" ref="AC1412">_xlfn.IFS(Table2[[#This Row],[Satification_points]]&gt;=4.5,"GREAT",AND(Table2[[#This Row],[Satification_points]]&gt;=4,Table2[[#This Row],[Satification_points]]&lt;4.5),"GOOD",AND(Table2[[#This Row],[Satification_points]]&gt;=3,Table2[[#This Row],[Satification_points]]&lt;4),"AVERAGE",Table2[[#This Row],[Satification_points]]&lt;3,"POOR")</f>
        <v>AVERAGE</v>
      </c>
    </row>
    <row r="1413" spans="1:29" x14ac:dyDescent="0.3">
      <c r="A1413">
        <v>1412</v>
      </c>
      <c r="B1413">
        <v>67394</v>
      </c>
      <c r="C1413" t="s">
        <v>1455</v>
      </c>
      <c r="D1413" t="s">
        <v>26</v>
      </c>
      <c r="E1413" t="s">
        <v>52</v>
      </c>
      <c r="F1413" s="1">
        <v>45327</v>
      </c>
      <c r="G1413" s="1">
        <v>45588</v>
      </c>
      <c r="H1413">
        <v>9</v>
      </c>
      <c r="I1413" t="s">
        <v>49</v>
      </c>
      <c r="J1413" t="s">
        <v>40</v>
      </c>
      <c r="K1413">
        <v>1</v>
      </c>
      <c r="L1413">
        <v>3</v>
      </c>
      <c r="M1413">
        <v>5</v>
      </c>
      <c r="N1413">
        <v>5</v>
      </c>
      <c r="O1413">
        <v>2</v>
      </c>
      <c r="P1413">
        <v>3</v>
      </c>
      <c r="Q1413">
        <v>4</v>
      </c>
      <c r="R1413">
        <v>5</v>
      </c>
      <c r="S1413">
        <v>4</v>
      </c>
      <c r="T1413">
        <v>2</v>
      </c>
      <c r="U1413" t="s">
        <v>37</v>
      </c>
      <c r="V1413" t="s">
        <v>58</v>
      </c>
      <c r="W1413" t="s">
        <v>47</v>
      </c>
      <c r="X1413" t="s">
        <v>33</v>
      </c>
      <c r="Y1413">
        <v>25</v>
      </c>
      <c r="Z1413" s="1">
        <v>45588</v>
      </c>
      <c r="AA1413" t="str" cm="1">
        <f t="array" ref="AA1413">_xlfn.IFS(AND(Table2[[#This Row],[Guest_Age]]&gt;=18,Table2[[#This Row],[Guest_Age]]&lt;=25),"Young Adults",AND(Table2[[#This Row],[Guest_Age]]&gt;=26,Table2[[#This Row],[Guest_Age]]&lt;=35),"Adults",AND(Table2[[#This Row],[Guest_Age]]&gt;=36,Table2[[#This Row],[Guest_Age]]&lt;=50),"Middle Aged Adults",Table2[[#This Row],[Guest_Age]]&gt;50,"Senior")</f>
        <v>Young Adults</v>
      </c>
      <c r="AB14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13" t="str" cm="1">
        <f t="array" ref="AC1413">_xlfn.IFS(Table2[[#This Row],[Satification_points]]&gt;=4.5,"GREAT",AND(Table2[[#This Row],[Satification_points]]&gt;=4,Table2[[#This Row],[Satification_points]]&lt;4.5),"GOOD",AND(Table2[[#This Row],[Satification_points]]&gt;=3,Table2[[#This Row],[Satification_points]]&lt;4),"AVERAGE",Table2[[#This Row],[Satification_points]]&lt;3,"POOR")</f>
        <v>AVERAGE</v>
      </c>
    </row>
    <row r="1414" spans="1:29" x14ac:dyDescent="0.3">
      <c r="A1414">
        <v>1413</v>
      </c>
      <c r="B1414">
        <v>67819</v>
      </c>
      <c r="C1414" t="s">
        <v>1456</v>
      </c>
      <c r="D1414" t="s">
        <v>34</v>
      </c>
      <c r="E1414" t="s">
        <v>27</v>
      </c>
      <c r="F1414" s="1">
        <v>45230</v>
      </c>
      <c r="G1414" s="1">
        <v>45448</v>
      </c>
      <c r="H1414">
        <v>4</v>
      </c>
      <c r="I1414" t="s">
        <v>42</v>
      </c>
      <c r="J1414" t="s">
        <v>53</v>
      </c>
      <c r="K1414">
        <v>5</v>
      </c>
      <c r="L1414">
        <v>2</v>
      </c>
      <c r="M1414">
        <v>5</v>
      </c>
      <c r="N1414">
        <v>3</v>
      </c>
      <c r="O1414">
        <v>1</v>
      </c>
      <c r="P1414">
        <v>2</v>
      </c>
      <c r="Q1414">
        <v>4</v>
      </c>
      <c r="R1414">
        <v>3</v>
      </c>
      <c r="S1414">
        <v>3</v>
      </c>
      <c r="T1414">
        <v>1</v>
      </c>
      <c r="U1414" t="s">
        <v>37</v>
      </c>
      <c r="V1414" t="s">
        <v>31</v>
      </c>
      <c r="W1414" t="s">
        <v>56</v>
      </c>
      <c r="X1414" t="s">
        <v>44</v>
      </c>
      <c r="Y1414">
        <v>53</v>
      </c>
      <c r="Z1414" s="1">
        <v>45448</v>
      </c>
      <c r="AA1414" t="str" cm="1">
        <f t="array" ref="AA1414">_xlfn.IFS(AND(Table2[[#This Row],[Guest_Age]]&gt;=18,Table2[[#This Row],[Guest_Age]]&lt;=25),"Young Adults",AND(Table2[[#This Row],[Guest_Age]]&gt;=26,Table2[[#This Row],[Guest_Age]]&lt;=35),"Adults",AND(Table2[[#This Row],[Guest_Age]]&gt;=36,Table2[[#This Row],[Guest_Age]]&lt;=50),"Middle Aged Adults",Table2[[#This Row],[Guest_Age]]&gt;50,"Senior")</f>
        <v>Senior</v>
      </c>
      <c r="AB14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14" t="str" cm="1">
        <f t="array" ref="AC1414">_xlfn.IFS(Table2[[#This Row],[Satification_points]]&gt;=4.5,"GREAT",AND(Table2[[#This Row],[Satification_points]]&gt;=4,Table2[[#This Row],[Satification_points]]&lt;4.5),"GOOD",AND(Table2[[#This Row],[Satification_points]]&gt;=3,Table2[[#This Row],[Satification_points]]&lt;4),"AVERAGE",Table2[[#This Row],[Satification_points]]&lt;3,"POOR")</f>
        <v>POOR</v>
      </c>
    </row>
    <row r="1415" spans="1:29" x14ac:dyDescent="0.3">
      <c r="A1415">
        <v>1414</v>
      </c>
      <c r="B1415">
        <v>42338</v>
      </c>
      <c r="C1415" t="s">
        <v>1457</v>
      </c>
      <c r="D1415" t="s">
        <v>34</v>
      </c>
      <c r="E1415" t="s">
        <v>57</v>
      </c>
      <c r="F1415" s="1">
        <v>45529</v>
      </c>
      <c r="G1415" s="1">
        <v>45530</v>
      </c>
      <c r="H1415">
        <v>6</v>
      </c>
      <c r="I1415" t="s">
        <v>28</v>
      </c>
      <c r="J1415" t="s">
        <v>43</v>
      </c>
      <c r="K1415">
        <v>3</v>
      </c>
      <c r="L1415">
        <v>5</v>
      </c>
      <c r="M1415">
        <v>4</v>
      </c>
      <c r="N1415">
        <v>3</v>
      </c>
      <c r="O1415">
        <v>5</v>
      </c>
      <c r="P1415">
        <v>2</v>
      </c>
      <c r="Q1415">
        <v>2</v>
      </c>
      <c r="R1415">
        <v>1</v>
      </c>
      <c r="S1415">
        <v>5</v>
      </c>
      <c r="T1415">
        <v>3</v>
      </c>
      <c r="U1415" t="s">
        <v>37</v>
      </c>
      <c r="V1415" t="s">
        <v>54</v>
      </c>
      <c r="W1415" t="s">
        <v>32</v>
      </c>
      <c r="X1415" t="s">
        <v>44</v>
      </c>
      <c r="Y1415">
        <v>60</v>
      </c>
      <c r="Z1415" s="1">
        <v>45530</v>
      </c>
      <c r="AA1415" t="str" cm="1">
        <f t="array" ref="AA1415">_xlfn.IFS(AND(Table2[[#This Row],[Guest_Age]]&gt;=18,Table2[[#This Row],[Guest_Age]]&lt;=25),"Young Adults",AND(Table2[[#This Row],[Guest_Age]]&gt;=26,Table2[[#This Row],[Guest_Age]]&lt;=35),"Adults",AND(Table2[[#This Row],[Guest_Age]]&gt;=36,Table2[[#This Row],[Guest_Age]]&lt;=50),"Middle Aged Adults",Table2[[#This Row],[Guest_Age]]&gt;50,"Senior")</f>
        <v>Senior</v>
      </c>
      <c r="AB14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15" t="str" cm="1">
        <f t="array" ref="AC1415">_xlfn.IFS(Table2[[#This Row],[Satification_points]]&gt;=4.5,"GREAT",AND(Table2[[#This Row],[Satification_points]]&gt;=4,Table2[[#This Row],[Satification_points]]&lt;4.5),"GOOD",AND(Table2[[#This Row],[Satification_points]]&gt;=3,Table2[[#This Row],[Satification_points]]&lt;4),"AVERAGE",Table2[[#This Row],[Satification_points]]&lt;3,"POOR")</f>
        <v>AVERAGE</v>
      </c>
    </row>
    <row r="1416" spans="1:29" x14ac:dyDescent="0.3">
      <c r="A1416">
        <v>1415</v>
      </c>
      <c r="B1416">
        <v>41583</v>
      </c>
      <c r="C1416" t="s">
        <v>1458</v>
      </c>
      <c r="D1416" t="s">
        <v>34</v>
      </c>
      <c r="E1416" t="s">
        <v>57</v>
      </c>
      <c r="F1416" s="1">
        <v>45235</v>
      </c>
      <c r="G1416" s="1">
        <v>45663</v>
      </c>
      <c r="H1416">
        <v>13</v>
      </c>
      <c r="I1416" t="s">
        <v>28</v>
      </c>
      <c r="J1416" t="s">
        <v>43</v>
      </c>
      <c r="K1416">
        <v>3</v>
      </c>
      <c r="L1416">
        <v>4</v>
      </c>
      <c r="M1416">
        <v>2</v>
      </c>
      <c r="N1416">
        <v>3</v>
      </c>
      <c r="O1416">
        <v>1</v>
      </c>
      <c r="P1416">
        <v>1</v>
      </c>
      <c r="Q1416">
        <v>3</v>
      </c>
      <c r="R1416">
        <v>1</v>
      </c>
      <c r="S1416">
        <v>4</v>
      </c>
      <c r="T1416">
        <v>5</v>
      </c>
      <c r="U1416" t="s">
        <v>30</v>
      </c>
      <c r="V1416" t="s">
        <v>54</v>
      </c>
      <c r="W1416" t="s">
        <v>32</v>
      </c>
      <c r="X1416" t="s">
        <v>44</v>
      </c>
      <c r="Y1416">
        <v>42</v>
      </c>
      <c r="Z1416" s="1">
        <v>45663</v>
      </c>
      <c r="AA1416" t="str" cm="1">
        <f t="array" ref="AA14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16" t="str" cm="1">
        <f t="array" ref="AC1416">_xlfn.IFS(Table2[[#This Row],[Satification_points]]&gt;=4.5,"GREAT",AND(Table2[[#This Row],[Satification_points]]&gt;=4,Table2[[#This Row],[Satification_points]]&lt;4.5),"GOOD",AND(Table2[[#This Row],[Satification_points]]&gt;=3,Table2[[#This Row],[Satification_points]]&lt;4),"AVERAGE",Table2[[#This Row],[Satification_points]]&lt;3,"POOR")</f>
        <v>POOR</v>
      </c>
    </row>
    <row r="1417" spans="1:29" x14ac:dyDescent="0.3">
      <c r="A1417">
        <v>1416</v>
      </c>
      <c r="B1417">
        <v>23913</v>
      </c>
      <c r="C1417" t="s">
        <v>1459</v>
      </c>
      <c r="D1417" t="s">
        <v>48</v>
      </c>
      <c r="E1417" t="s">
        <v>45</v>
      </c>
      <c r="F1417" s="1">
        <v>45499</v>
      </c>
      <c r="G1417" s="1">
        <v>45500</v>
      </c>
      <c r="H1417">
        <v>7</v>
      </c>
      <c r="I1417" t="s">
        <v>50</v>
      </c>
      <c r="J1417" t="s">
        <v>40</v>
      </c>
      <c r="K1417">
        <v>3</v>
      </c>
      <c r="L1417">
        <v>4</v>
      </c>
      <c r="M1417">
        <v>5</v>
      </c>
      <c r="N1417">
        <v>3</v>
      </c>
      <c r="O1417">
        <v>1</v>
      </c>
      <c r="P1417">
        <v>3</v>
      </c>
      <c r="Q1417">
        <v>5</v>
      </c>
      <c r="R1417">
        <v>3</v>
      </c>
      <c r="S1417">
        <v>3</v>
      </c>
      <c r="T1417">
        <v>3</v>
      </c>
      <c r="U1417" t="s">
        <v>37</v>
      </c>
      <c r="V1417" t="s">
        <v>58</v>
      </c>
      <c r="W1417" t="s">
        <v>55</v>
      </c>
      <c r="X1417" t="s">
        <v>44</v>
      </c>
      <c r="Y1417">
        <v>57</v>
      </c>
      <c r="Z1417" s="1">
        <v>45548</v>
      </c>
      <c r="AA1417" t="str" cm="1">
        <f t="array" ref="AA1417">_xlfn.IFS(AND(Table2[[#This Row],[Guest_Age]]&gt;=18,Table2[[#This Row],[Guest_Age]]&lt;=25),"Young Adults",AND(Table2[[#This Row],[Guest_Age]]&gt;=26,Table2[[#This Row],[Guest_Age]]&lt;=35),"Adults",AND(Table2[[#This Row],[Guest_Age]]&gt;=36,Table2[[#This Row],[Guest_Age]]&lt;=50),"Middle Aged Adults",Table2[[#This Row],[Guest_Age]]&gt;50,"Senior")</f>
        <v>Senior</v>
      </c>
      <c r="AB14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17" t="str" cm="1">
        <f t="array" ref="AC1417">_xlfn.IFS(Table2[[#This Row],[Satification_points]]&gt;=4.5,"GREAT",AND(Table2[[#This Row],[Satification_points]]&gt;=4,Table2[[#This Row],[Satification_points]]&lt;4.5),"GOOD",AND(Table2[[#This Row],[Satification_points]]&gt;=3,Table2[[#This Row],[Satification_points]]&lt;4),"AVERAGE",Table2[[#This Row],[Satification_points]]&lt;3,"POOR")</f>
        <v>AVERAGE</v>
      </c>
    </row>
    <row r="1418" spans="1:29" x14ac:dyDescent="0.3">
      <c r="A1418">
        <v>1417</v>
      </c>
      <c r="B1418">
        <v>24860</v>
      </c>
      <c r="C1418" t="s">
        <v>1460</v>
      </c>
      <c r="D1418" t="s">
        <v>41</v>
      </c>
      <c r="E1418" t="s">
        <v>27</v>
      </c>
      <c r="F1418" s="1">
        <v>45029</v>
      </c>
      <c r="G1418" s="1">
        <v>45388</v>
      </c>
      <c r="H1418">
        <v>12</v>
      </c>
      <c r="I1418" t="s">
        <v>49</v>
      </c>
      <c r="J1418" t="s">
        <v>40</v>
      </c>
      <c r="K1418">
        <v>2</v>
      </c>
      <c r="L1418">
        <v>5</v>
      </c>
      <c r="M1418">
        <v>5</v>
      </c>
      <c r="N1418">
        <v>5</v>
      </c>
      <c r="O1418">
        <v>5</v>
      </c>
      <c r="P1418">
        <v>5</v>
      </c>
      <c r="Q1418">
        <v>3</v>
      </c>
      <c r="R1418">
        <v>1</v>
      </c>
      <c r="S1418">
        <v>1</v>
      </c>
      <c r="T1418">
        <v>2</v>
      </c>
      <c r="U1418" t="s">
        <v>37</v>
      </c>
      <c r="V1418" t="s">
        <v>31</v>
      </c>
      <c r="W1418" t="s">
        <v>55</v>
      </c>
      <c r="X1418" t="s">
        <v>40</v>
      </c>
      <c r="Y1418">
        <v>61</v>
      </c>
      <c r="Z1418" s="1">
        <v>45388</v>
      </c>
      <c r="AA1418" t="str" cm="1">
        <f t="array" ref="AA1418">_xlfn.IFS(AND(Table2[[#This Row],[Guest_Age]]&gt;=18,Table2[[#This Row],[Guest_Age]]&lt;=25),"Young Adults",AND(Table2[[#This Row],[Guest_Age]]&gt;=26,Table2[[#This Row],[Guest_Age]]&lt;=35),"Adults",AND(Table2[[#This Row],[Guest_Age]]&gt;=36,Table2[[#This Row],[Guest_Age]]&lt;=50),"Middle Aged Adults",Table2[[#This Row],[Guest_Age]]&gt;50,"Senior")</f>
        <v>Senior</v>
      </c>
      <c r="AB14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18" t="str" cm="1">
        <f t="array" ref="AC1418">_xlfn.IFS(Table2[[#This Row],[Satification_points]]&gt;=4.5,"GREAT",AND(Table2[[#This Row],[Satification_points]]&gt;=4,Table2[[#This Row],[Satification_points]]&lt;4.5),"GOOD",AND(Table2[[#This Row],[Satification_points]]&gt;=3,Table2[[#This Row],[Satification_points]]&lt;4),"AVERAGE",Table2[[#This Row],[Satification_points]]&lt;3,"POOR")</f>
        <v>AVERAGE</v>
      </c>
    </row>
    <row r="1419" spans="1:29" x14ac:dyDescent="0.3">
      <c r="A1419">
        <v>1418</v>
      </c>
      <c r="B1419">
        <v>42924</v>
      </c>
      <c r="C1419" t="s">
        <v>1461</v>
      </c>
      <c r="D1419" t="s">
        <v>41</v>
      </c>
      <c r="E1419" t="s">
        <v>57</v>
      </c>
      <c r="F1419" s="1">
        <v>45653</v>
      </c>
      <c r="G1419" s="1">
        <v>45654</v>
      </c>
      <c r="H1419">
        <v>13</v>
      </c>
      <c r="I1419" t="s">
        <v>28</v>
      </c>
      <c r="J1419" t="s">
        <v>40</v>
      </c>
      <c r="K1419">
        <v>3</v>
      </c>
      <c r="L1419">
        <v>2</v>
      </c>
      <c r="M1419">
        <v>5</v>
      </c>
      <c r="N1419">
        <v>3</v>
      </c>
      <c r="O1419">
        <v>1</v>
      </c>
      <c r="P1419">
        <v>3</v>
      </c>
      <c r="Q1419">
        <v>1</v>
      </c>
      <c r="R1419">
        <v>4</v>
      </c>
      <c r="S1419">
        <v>2</v>
      </c>
      <c r="T1419">
        <v>4</v>
      </c>
      <c r="U1419" t="s">
        <v>30</v>
      </c>
      <c r="V1419" t="s">
        <v>46</v>
      </c>
      <c r="W1419" t="s">
        <v>32</v>
      </c>
      <c r="X1419" t="s">
        <v>40</v>
      </c>
      <c r="Y1419">
        <v>48</v>
      </c>
      <c r="Z1419" s="1">
        <v>45654</v>
      </c>
      <c r="AA1419" t="str" cm="1">
        <f t="array" ref="AA141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19" t="str" cm="1">
        <f t="array" ref="AC1419">_xlfn.IFS(Table2[[#This Row],[Satification_points]]&gt;=4.5,"GREAT",AND(Table2[[#This Row],[Satification_points]]&gt;=4,Table2[[#This Row],[Satification_points]]&lt;4.5),"GOOD",AND(Table2[[#This Row],[Satification_points]]&gt;=3,Table2[[#This Row],[Satification_points]]&lt;4),"AVERAGE",Table2[[#This Row],[Satification_points]]&lt;3,"POOR")</f>
        <v>POOR</v>
      </c>
    </row>
    <row r="1420" spans="1:29" x14ac:dyDescent="0.3">
      <c r="A1420">
        <v>1419</v>
      </c>
      <c r="B1420">
        <v>83134</v>
      </c>
      <c r="C1420" t="s">
        <v>1462</v>
      </c>
      <c r="D1420" t="s">
        <v>26</v>
      </c>
      <c r="E1420" t="s">
        <v>35</v>
      </c>
      <c r="F1420" s="1">
        <v>45028</v>
      </c>
      <c r="G1420" s="1">
        <v>45371</v>
      </c>
      <c r="H1420">
        <v>12</v>
      </c>
      <c r="I1420" t="s">
        <v>28</v>
      </c>
      <c r="J1420" t="s">
        <v>36</v>
      </c>
      <c r="K1420">
        <v>1</v>
      </c>
      <c r="L1420">
        <v>1</v>
      </c>
      <c r="M1420">
        <v>5</v>
      </c>
      <c r="N1420">
        <v>1</v>
      </c>
      <c r="O1420">
        <v>3</v>
      </c>
      <c r="P1420">
        <v>1</v>
      </c>
      <c r="Q1420">
        <v>2</v>
      </c>
      <c r="R1420">
        <v>2</v>
      </c>
      <c r="S1420">
        <v>1</v>
      </c>
      <c r="T1420">
        <v>5</v>
      </c>
      <c r="U1420" t="s">
        <v>37</v>
      </c>
      <c r="V1420" t="s">
        <v>38</v>
      </c>
      <c r="W1420" t="s">
        <v>55</v>
      </c>
      <c r="X1420" t="s">
        <v>44</v>
      </c>
      <c r="Y1420">
        <v>21</v>
      </c>
      <c r="Z1420" s="1">
        <v>45371</v>
      </c>
      <c r="AA1420" t="str" cm="1">
        <f t="array" ref="AA1420">_xlfn.IFS(AND(Table2[[#This Row],[Guest_Age]]&gt;=18,Table2[[#This Row],[Guest_Age]]&lt;=25),"Young Adults",AND(Table2[[#This Row],[Guest_Age]]&gt;=26,Table2[[#This Row],[Guest_Age]]&lt;=35),"Adults",AND(Table2[[#This Row],[Guest_Age]]&gt;=36,Table2[[#This Row],[Guest_Age]]&lt;=50),"Middle Aged Adults",Table2[[#This Row],[Guest_Age]]&gt;50,"Senior")</f>
        <v>Young Adults</v>
      </c>
      <c r="AB14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420" t="str" cm="1">
        <f t="array" ref="AC1420">_xlfn.IFS(Table2[[#This Row],[Satification_points]]&gt;=4.5,"GREAT",AND(Table2[[#This Row],[Satification_points]]&gt;=4,Table2[[#This Row],[Satification_points]]&lt;4.5),"GOOD",AND(Table2[[#This Row],[Satification_points]]&gt;=3,Table2[[#This Row],[Satification_points]]&lt;4),"AVERAGE",Table2[[#This Row],[Satification_points]]&lt;3,"POOR")</f>
        <v>POOR</v>
      </c>
    </row>
    <row r="1421" spans="1:29" x14ac:dyDescent="0.3">
      <c r="A1421">
        <v>1420</v>
      </c>
      <c r="B1421">
        <v>47529</v>
      </c>
      <c r="C1421" t="s">
        <v>1463</v>
      </c>
      <c r="D1421" t="s">
        <v>34</v>
      </c>
      <c r="E1421" t="s">
        <v>35</v>
      </c>
      <c r="F1421" s="1">
        <v>45581</v>
      </c>
      <c r="G1421" s="1">
        <v>45582</v>
      </c>
      <c r="H1421">
        <v>9</v>
      </c>
      <c r="I1421" t="s">
        <v>50</v>
      </c>
      <c r="J1421" t="s">
        <v>53</v>
      </c>
      <c r="K1421">
        <v>1</v>
      </c>
      <c r="L1421">
        <v>2</v>
      </c>
      <c r="M1421">
        <v>3</v>
      </c>
      <c r="N1421">
        <v>1</v>
      </c>
      <c r="O1421">
        <v>4</v>
      </c>
      <c r="P1421">
        <v>1</v>
      </c>
      <c r="Q1421">
        <v>3</v>
      </c>
      <c r="R1421">
        <v>5</v>
      </c>
      <c r="S1421">
        <v>1</v>
      </c>
      <c r="T1421">
        <v>2</v>
      </c>
      <c r="U1421" t="s">
        <v>37</v>
      </c>
      <c r="V1421" t="s">
        <v>58</v>
      </c>
      <c r="W1421" t="s">
        <v>39</v>
      </c>
      <c r="X1421" t="s">
        <v>33</v>
      </c>
      <c r="Y1421">
        <v>56</v>
      </c>
      <c r="Z1421" s="1">
        <v>45582</v>
      </c>
      <c r="AA1421" t="str" cm="1">
        <f t="array" ref="AA1421">_xlfn.IFS(AND(Table2[[#This Row],[Guest_Age]]&gt;=18,Table2[[#This Row],[Guest_Age]]&lt;=25),"Young Adults",AND(Table2[[#This Row],[Guest_Age]]&gt;=26,Table2[[#This Row],[Guest_Age]]&lt;=35),"Adults",AND(Table2[[#This Row],[Guest_Age]]&gt;=36,Table2[[#This Row],[Guest_Age]]&lt;=50),"Middle Aged Adults",Table2[[#This Row],[Guest_Age]]&gt;50,"Senior")</f>
        <v>Senior</v>
      </c>
      <c r="AB14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421" t="str" cm="1">
        <f t="array" ref="AC1421">_xlfn.IFS(Table2[[#This Row],[Satification_points]]&gt;=4.5,"GREAT",AND(Table2[[#This Row],[Satification_points]]&gt;=4,Table2[[#This Row],[Satification_points]]&lt;4.5),"GOOD",AND(Table2[[#This Row],[Satification_points]]&gt;=3,Table2[[#This Row],[Satification_points]]&lt;4),"AVERAGE",Table2[[#This Row],[Satification_points]]&lt;3,"POOR")</f>
        <v>POOR</v>
      </c>
    </row>
    <row r="1422" spans="1:29" x14ac:dyDescent="0.3">
      <c r="A1422">
        <v>1421</v>
      </c>
      <c r="B1422">
        <v>42453</v>
      </c>
      <c r="C1422" t="s">
        <v>1464</v>
      </c>
      <c r="D1422" t="s">
        <v>48</v>
      </c>
      <c r="E1422" t="s">
        <v>57</v>
      </c>
      <c r="F1422" s="1">
        <v>45016</v>
      </c>
      <c r="G1422" s="1">
        <v>45631</v>
      </c>
      <c r="H1422">
        <v>13</v>
      </c>
      <c r="I1422" t="s">
        <v>42</v>
      </c>
      <c r="J1422" t="s">
        <v>36</v>
      </c>
      <c r="K1422">
        <v>4</v>
      </c>
      <c r="L1422">
        <v>4</v>
      </c>
      <c r="M1422">
        <v>2</v>
      </c>
      <c r="N1422">
        <v>4</v>
      </c>
      <c r="O1422">
        <v>2</v>
      </c>
      <c r="P1422">
        <v>2</v>
      </c>
      <c r="Q1422">
        <v>1</v>
      </c>
      <c r="R1422">
        <v>5</v>
      </c>
      <c r="S1422">
        <v>3</v>
      </c>
      <c r="T1422">
        <v>5</v>
      </c>
      <c r="U1422" t="s">
        <v>37</v>
      </c>
      <c r="V1422" t="s">
        <v>58</v>
      </c>
      <c r="W1422" t="s">
        <v>39</v>
      </c>
      <c r="X1422" t="s">
        <v>33</v>
      </c>
      <c r="Y1422">
        <v>62</v>
      </c>
      <c r="Z1422" s="1">
        <v>45631</v>
      </c>
      <c r="AA1422" t="str" cm="1">
        <f t="array" ref="AA1422">_xlfn.IFS(AND(Table2[[#This Row],[Guest_Age]]&gt;=18,Table2[[#This Row],[Guest_Age]]&lt;=25),"Young Adults",AND(Table2[[#This Row],[Guest_Age]]&gt;=26,Table2[[#This Row],[Guest_Age]]&lt;=35),"Adults",AND(Table2[[#This Row],[Guest_Age]]&gt;=36,Table2[[#This Row],[Guest_Age]]&lt;=50),"Middle Aged Adults",Table2[[#This Row],[Guest_Age]]&gt;50,"Senior")</f>
        <v>Senior</v>
      </c>
      <c r="AB14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22" t="str" cm="1">
        <f t="array" ref="AC1422">_xlfn.IFS(Table2[[#This Row],[Satification_points]]&gt;=4.5,"GREAT",AND(Table2[[#This Row],[Satification_points]]&gt;=4,Table2[[#This Row],[Satification_points]]&lt;4.5),"GOOD",AND(Table2[[#This Row],[Satification_points]]&gt;=3,Table2[[#This Row],[Satification_points]]&lt;4),"AVERAGE",Table2[[#This Row],[Satification_points]]&lt;3,"POOR")</f>
        <v>AVERAGE</v>
      </c>
    </row>
    <row r="1423" spans="1:29" x14ac:dyDescent="0.3">
      <c r="A1423">
        <v>1422</v>
      </c>
      <c r="B1423">
        <v>86511</v>
      </c>
      <c r="C1423" t="s">
        <v>1465</v>
      </c>
      <c r="D1423" t="s">
        <v>51</v>
      </c>
      <c r="E1423" t="s">
        <v>57</v>
      </c>
      <c r="F1423" s="1">
        <v>45044</v>
      </c>
      <c r="G1423" s="1">
        <v>45154</v>
      </c>
      <c r="H1423">
        <v>13</v>
      </c>
      <c r="I1423" t="s">
        <v>50</v>
      </c>
      <c r="J1423" t="s">
        <v>40</v>
      </c>
      <c r="K1423">
        <v>1</v>
      </c>
      <c r="L1423">
        <v>4</v>
      </c>
      <c r="M1423">
        <v>3</v>
      </c>
      <c r="N1423">
        <v>5</v>
      </c>
      <c r="O1423">
        <v>5</v>
      </c>
      <c r="P1423">
        <v>1</v>
      </c>
      <c r="Q1423">
        <v>5</v>
      </c>
      <c r="R1423">
        <v>2</v>
      </c>
      <c r="S1423">
        <v>4</v>
      </c>
      <c r="T1423">
        <v>1</v>
      </c>
      <c r="U1423" t="s">
        <v>37</v>
      </c>
      <c r="V1423" t="s">
        <v>46</v>
      </c>
      <c r="W1423" t="s">
        <v>47</v>
      </c>
      <c r="X1423" t="s">
        <v>33</v>
      </c>
      <c r="Y1423">
        <v>60</v>
      </c>
      <c r="Z1423" s="1">
        <v>45154</v>
      </c>
      <c r="AA1423" t="str" cm="1">
        <f t="array" ref="AA1423">_xlfn.IFS(AND(Table2[[#This Row],[Guest_Age]]&gt;=18,Table2[[#This Row],[Guest_Age]]&lt;=25),"Young Adults",AND(Table2[[#This Row],[Guest_Age]]&gt;=26,Table2[[#This Row],[Guest_Age]]&lt;=35),"Adults",AND(Table2[[#This Row],[Guest_Age]]&gt;=36,Table2[[#This Row],[Guest_Age]]&lt;=50),"Middle Aged Adults",Table2[[#This Row],[Guest_Age]]&gt;50,"Senior")</f>
        <v>Senior</v>
      </c>
      <c r="AB14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423" t="str" cm="1">
        <f t="array" ref="AC1423">_xlfn.IFS(Table2[[#This Row],[Satification_points]]&gt;=4.5,"GREAT",AND(Table2[[#This Row],[Satification_points]]&gt;=4,Table2[[#This Row],[Satification_points]]&lt;4.5),"GOOD",AND(Table2[[#This Row],[Satification_points]]&gt;=3,Table2[[#This Row],[Satification_points]]&lt;4),"AVERAGE",Table2[[#This Row],[Satification_points]]&lt;3,"POOR")</f>
        <v>AVERAGE</v>
      </c>
    </row>
    <row r="1424" spans="1:29" x14ac:dyDescent="0.3">
      <c r="A1424">
        <v>1423</v>
      </c>
      <c r="B1424">
        <v>64389</v>
      </c>
      <c r="C1424" t="s">
        <v>1466</v>
      </c>
      <c r="D1424" t="s">
        <v>41</v>
      </c>
      <c r="E1424" t="s">
        <v>45</v>
      </c>
      <c r="F1424" s="1">
        <v>45065</v>
      </c>
      <c r="G1424" s="1">
        <v>45493</v>
      </c>
      <c r="H1424">
        <v>10</v>
      </c>
      <c r="I1424" t="s">
        <v>50</v>
      </c>
      <c r="J1424" t="s">
        <v>43</v>
      </c>
      <c r="K1424">
        <v>4</v>
      </c>
      <c r="L1424">
        <v>5</v>
      </c>
      <c r="M1424">
        <v>3</v>
      </c>
      <c r="N1424">
        <v>4</v>
      </c>
      <c r="O1424">
        <v>1</v>
      </c>
      <c r="P1424">
        <v>3</v>
      </c>
      <c r="Q1424">
        <v>4</v>
      </c>
      <c r="R1424">
        <v>4</v>
      </c>
      <c r="S1424">
        <v>5</v>
      </c>
      <c r="T1424">
        <v>2</v>
      </c>
      <c r="U1424" t="s">
        <v>30</v>
      </c>
      <c r="V1424" t="s">
        <v>38</v>
      </c>
      <c r="W1424" t="s">
        <v>47</v>
      </c>
      <c r="X1424" t="s">
        <v>44</v>
      </c>
      <c r="Y1424">
        <v>27</v>
      </c>
      <c r="Z1424" s="1">
        <v>45493</v>
      </c>
      <c r="AA1424" t="str" cm="1">
        <f t="array" ref="AA1424">_xlfn.IFS(AND(Table2[[#This Row],[Guest_Age]]&gt;=18,Table2[[#This Row],[Guest_Age]]&lt;=25),"Young Adults",AND(Table2[[#This Row],[Guest_Age]]&gt;=26,Table2[[#This Row],[Guest_Age]]&lt;=35),"Adults",AND(Table2[[#This Row],[Guest_Age]]&gt;=36,Table2[[#This Row],[Guest_Age]]&lt;=50),"Middle Aged Adults",Table2[[#This Row],[Guest_Age]]&gt;50,"Senior")</f>
        <v>Adults</v>
      </c>
      <c r="AB14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24" t="str" cm="1">
        <f t="array" ref="AC1424">_xlfn.IFS(Table2[[#This Row],[Satification_points]]&gt;=4.5,"GREAT",AND(Table2[[#This Row],[Satification_points]]&gt;=4,Table2[[#This Row],[Satification_points]]&lt;4.5),"GOOD",AND(Table2[[#This Row],[Satification_points]]&gt;=3,Table2[[#This Row],[Satification_points]]&lt;4),"AVERAGE",Table2[[#This Row],[Satification_points]]&lt;3,"POOR")</f>
        <v>AVERAGE</v>
      </c>
    </row>
    <row r="1425" spans="1:29" x14ac:dyDescent="0.3">
      <c r="A1425">
        <v>1424</v>
      </c>
      <c r="B1425">
        <v>96090</v>
      </c>
      <c r="C1425" t="s">
        <v>1467</v>
      </c>
      <c r="D1425" t="s">
        <v>41</v>
      </c>
      <c r="E1425" t="s">
        <v>45</v>
      </c>
      <c r="F1425" s="1">
        <v>45229</v>
      </c>
      <c r="G1425" s="1">
        <v>45531</v>
      </c>
      <c r="H1425">
        <v>12</v>
      </c>
      <c r="I1425" t="s">
        <v>49</v>
      </c>
      <c r="J1425" t="s">
        <v>53</v>
      </c>
      <c r="K1425">
        <v>5</v>
      </c>
      <c r="L1425">
        <v>2</v>
      </c>
      <c r="M1425">
        <v>4</v>
      </c>
      <c r="N1425">
        <v>1</v>
      </c>
      <c r="O1425">
        <v>2</v>
      </c>
      <c r="P1425">
        <v>2</v>
      </c>
      <c r="Q1425">
        <v>4</v>
      </c>
      <c r="R1425">
        <v>1</v>
      </c>
      <c r="S1425">
        <v>4</v>
      </c>
      <c r="T1425">
        <v>4</v>
      </c>
      <c r="U1425" t="s">
        <v>37</v>
      </c>
      <c r="V1425" t="s">
        <v>38</v>
      </c>
      <c r="W1425" t="s">
        <v>47</v>
      </c>
      <c r="X1425" t="s">
        <v>33</v>
      </c>
      <c r="Y1425">
        <v>44</v>
      </c>
      <c r="Z1425" s="1">
        <v>45531</v>
      </c>
      <c r="AA1425" t="str" cm="1">
        <f t="array" ref="AA14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25" t="str" cm="1">
        <f t="array" ref="AC1425">_xlfn.IFS(Table2[[#This Row],[Satification_points]]&gt;=4.5,"GREAT",AND(Table2[[#This Row],[Satification_points]]&gt;=4,Table2[[#This Row],[Satification_points]]&lt;4.5),"GOOD",AND(Table2[[#This Row],[Satification_points]]&gt;=3,Table2[[#This Row],[Satification_points]]&lt;4),"AVERAGE",Table2[[#This Row],[Satification_points]]&lt;3,"POOR")</f>
        <v>POOR</v>
      </c>
    </row>
    <row r="1426" spans="1:29" x14ac:dyDescent="0.3">
      <c r="A1426">
        <v>1425</v>
      </c>
      <c r="B1426">
        <v>64199</v>
      </c>
      <c r="C1426" t="s">
        <v>1468</v>
      </c>
      <c r="D1426" t="s">
        <v>48</v>
      </c>
      <c r="E1426" t="s">
        <v>35</v>
      </c>
      <c r="F1426" s="1">
        <v>45574</v>
      </c>
      <c r="G1426" s="1">
        <v>45575</v>
      </c>
      <c r="H1426">
        <v>3</v>
      </c>
      <c r="I1426" t="s">
        <v>42</v>
      </c>
      <c r="J1426" t="s">
        <v>53</v>
      </c>
      <c r="K1426">
        <v>2</v>
      </c>
      <c r="L1426">
        <v>1</v>
      </c>
      <c r="M1426">
        <v>2</v>
      </c>
      <c r="N1426">
        <v>3</v>
      </c>
      <c r="O1426">
        <v>3</v>
      </c>
      <c r="P1426">
        <v>2</v>
      </c>
      <c r="Q1426">
        <v>1</v>
      </c>
      <c r="R1426">
        <v>3</v>
      </c>
      <c r="S1426">
        <v>3</v>
      </c>
      <c r="T1426">
        <v>5</v>
      </c>
      <c r="U1426" t="s">
        <v>37</v>
      </c>
      <c r="V1426" t="s">
        <v>46</v>
      </c>
      <c r="W1426" t="s">
        <v>56</v>
      </c>
      <c r="X1426" t="s">
        <v>40</v>
      </c>
      <c r="Y1426">
        <v>58</v>
      </c>
      <c r="Z1426" s="1">
        <v>45575</v>
      </c>
      <c r="AA1426" t="str" cm="1">
        <f t="array" ref="AA1426">_xlfn.IFS(AND(Table2[[#This Row],[Guest_Age]]&gt;=18,Table2[[#This Row],[Guest_Age]]&lt;=25),"Young Adults",AND(Table2[[#This Row],[Guest_Age]]&gt;=26,Table2[[#This Row],[Guest_Age]]&lt;=35),"Adults",AND(Table2[[#This Row],[Guest_Age]]&gt;=36,Table2[[#This Row],[Guest_Age]]&lt;=50),"Middle Aged Adults",Table2[[#This Row],[Guest_Age]]&gt;50,"Senior")</f>
        <v>Senior</v>
      </c>
      <c r="AB14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426" t="str" cm="1">
        <f t="array" ref="AC1426">_xlfn.IFS(Table2[[#This Row],[Satification_points]]&gt;=4.5,"GREAT",AND(Table2[[#This Row],[Satification_points]]&gt;=4,Table2[[#This Row],[Satification_points]]&lt;4.5),"GOOD",AND(Table2[[#This Row],[Satification_points]]&gt;=3,Table2[[#This Row],[Satification_points]]&lt;4),"AVERAGE",Table2[[#This Row],[Satification_points]]&lt;3,"POOR")</f>
        <v>POOR</v>
      </c>
    </row>
    <row r="1427" spans="1:29" x14ac:dyDescent="0.3">
      <c r="A1427">
        <v>1426</v>
      </c>
      <c r="B1427">
        <v>41444</v>
      </c>
      <c r="C1427" t="s">
        <v>1469</v>
      </c>
      <c r="D1427" t="s">
        <v>26</v>
      </c>
      <c r="E1427" t="s">
        <v>52</v>
      </c>
      <c r="F1427" s="1">
        <v>45443</v>
      </c>
      <c r="G1427" s="1">
        <v>45618</v>
      </c>
      <c r="H1427">
        <v>14</v>
      </c>
      <c r="I1427" t="s">
        <v>50</v>
      </c>
      <c r="J1427" t="s">
        <v>40</v>
      </c>
      <c r="K1427">
        <v>1</v>
      </c>
      <c r="L1427">
        <v>2</v>
      </c>
      <c r="M1427">
        <v>1</v>
      </c>
      <c r="N1427">
        <v>3</v>
      </c>
      <c r="O1427">
        <v>1</v>
      </c>
      <c r="P1427">
        <v>2</v>
      </c>
      <c r="Q1427">
        <v>2</v>
      </c>
      <c r="R1427">
        <v>3</v>
      </c>
      <c r="S1427">
        <v>3</v>
      </c>
      <c r="T1427">
        <v>4</v>
      </c>
      <c r="U1427" t="s">
        <v>37</v>
      </c>
      <c r="V1427" t="s">
        <v>58</v>
      </c>
      <c r="W1427" t="s">
        <v>39</v>
      </c>
      <c r="X1427" t="s">
        <v>44</v>
      </c>
      <c r="Y1427">
        <v>55</v>
      </c>
      <c r="Z1427" s="1">
        <v>45618</v>
      </c>
      <c r="AA1427" t="str" cm="1">
        <f t="array" ref="AA1427">_xlfn.IFS(AND(Table2[[#This Row],[Guest_Age]]&gt;=18,Table2[[#This Row],[Guest_Age]]&lt;=25),"Young Adults",AND(Table2[[#This Row],[Guest_Age]]&gt;=26,Table2[[#This Row],[Guest_Age]]&lt;=35),"Adults",AND(Table2[[#This Row],[Guest_Age]]&gt;=36,Table2[[#This Row],[Guest_Age]]&lt;=50),"Middle Aged Adults",Table2[[#This Row],[Guest_Age]]&gt;50,"Senior")</f>
        <v>Senior</v>
      </c>
      <c r="AB14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427" t="str" cm="1">
        <f t="array" ref="AC1427">_xlfn.IFS(Table2[[#This Row],[Satification_points]]&gt;=4.5,"GREAT",AND(Table2[[#This Row],[Satification_points]]&gt;=4,Table2[[#This Row],[Satification_points]]&lt;4.5),"GOOD",AND(Table2[[#This Row],[Satification_points]]&gt;=3,Table2[[#This Row],[Satification_points]]&lt;4),"AVERAGE",Table2[[#This Row],[Satification_points]]&lt;3,"POOR")</f>
        <v>POOR</v>
      </c>
    </row>
    <row r="1428" spans="1:29" x14ac:dyDescent="0.3">
      <c r="A1428">
        <v>1427</v>
      </c>
      <c r="B1428">
        <v>58112</v>
      </c>
      <c r="C1428" t="s">
        <v>1470</v>
      </c>
      <c r="D1428" t="s">
        <v>48</v>
      </c>
      <c r="E1428" t="s">
        <v>27</v>
      </c>
      <c r="F1428" s="1">
        <v>45135</v>
      </c>
      <c r="G1428" s="1">
        <v>45443</v>
      </c>
      <c r="H1428">
        <v>11</v>
      </c>
      <c r="I1428" t="s">
        <v>28</v>
      </c>
      <c r="J1428" t="s">
        <v>40</v>
      </c>
      <c r="K1428">
        <v>3</v>
      </c>
      <c r="L1428">
        <v>4</v>
      </c>
      <c r="M1428">
        <v>2</v>
      </c>
      <c r="N1428">
        <v>2</v>
      </c>
      <c r="O1428">
        <v>1</v>
      </c>
      <c r="P1428">
        <v>3</v>
      </c>
      <c r="Q1428">
        <v>4</v>
      </c>
      <c r="R1428">
        <v>1</v>
      </c>
      <c r="S1428">
        <v>5</v>
      </c>
      <c r="T1428">
        <v>4</v>
      </c>
      <c r="U1428" t="s">
        <v>37</v>
      </c>
      <c r="V1428" t="s">
        <v>46</v>
      </c>
      <c r="W1428" t="s">
        <v>56</v>
      </c>
      <c r="X1428" t="s">
        <v>44</v>
      </c>
      <c r="Y1428">
        <v>34</v>
      </c>
      <c r="Z1428" s="1">
        <v>45443</v>
      </c>
      <c r="AA1428" t="str" cm="1">
        <f t="array" ref="AA1428">_xlfn.IFS(AND(Table2[[#This Row],[Guest_Age]]&gt;=18,Table2[[#This Row],[Guest_Age]]&lt;=25),"Young Adults",AND(Table2[[#This Row],[Guest_Age]]&gt;=26,Table2[[#This Row],[Guest_Age]]&lt;=35),"Adults",AND(Table2[[#This Row],[Guest_Age]]&gt;=36,Table2[[#This Row],[Guest_Age]]&lt;=50),"Middle Aged Adults",Table2[[#This Row],[Guest_Age]]&gt;50,"Senior")</f>
        <v>Adults</v>
      </c>
      <c r="AB14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28" t="str" cm="1">
        <f t="array" ref="AC1428">_xlfn.IFS(Table2[[#This Row],[Satification_points]]&gt;=4.5,"GREAT",AND(Table2[[#This Row],[Satification_points]]&gt;=4,Table2[[#This Row],[Satification_points]]&lt;4.5),"GOOD",AND(Table2[[#This Row],[Satification_points]]&gt;=3,Table2[[#This Row],[Satification_points]]&lt;4),"AVERAGE",Table2[[#This Row],[Satification_points]]&lt;3,"POOR")</f>
        <v>POOR</v>
      </c>
    </row>
    <row r="1429" spans="1:29" x14ac:dyDescent="0.3">
      <c r="A1429">
        <v>1428</v>
      </c>
      <c r="B1429">
        <v>28798</v>
      </c>
      <c r="C1429" t="s">
        <v>1471</v>
      </c>
      <c r="D1429" t="s">
        <v>26</v>
      </c>
      <c r="E1429" t="s">
        <v>52</v>
      </c>
      <c r="F1429" s="1">
        <v>45013</v>
      </c>
      <c r="G1429" s="1">
        <v>45345</v>
      </c>
      <c r="H1429">
        <v>2</v>
      </c>
      <c r="I1429" t="s">
        <v>28</v>
      </c>
      <c r="J1429" t="s">
        <v>40</v>
      </c>
      <c r="K1429">
        <v>5</v>
      </c>
      <c r="L1429">
        <v>2</v>
      </c>
      <c r="M1429">
        <v>1</v>
      </c>
      <c r="N1429">
        <v>5</v>
      </c>
      <c r="O1429">
        <v>1</v>
      </c>
      <c r="P1429">
        <v>2</v>
      </c>
      <c r="Q1429">
        <v>2</v>
      </c>
      <c r="R1429">
        <v>5</v>
      </c>
      <c r="S1429">
        <v>1</v>
      </c>
      <c r="T1429">
        <v>1</v>
      </c>
      <c r="U1429" t="s">
        <v>30</v>
      </c>
      <c r="V1429" t="s">
        <v>54</v>
      </c>
      <c r="W1429" t="s">
        <v>39</v>
      </c>
      <c r="X1429" t="s">
        <v>33</v>
      </c>
      <c r="Y1429">
        <v>62</v>
      </c>
      <c r="Z1429" s="1">
        <v>45345</v>
      </c>
      <c r="AA1429" t="str" cm="1">
        <f t="array" ref="AA1429">_xlfn.IFS(AND(Table2[[#This Row],[Guest_Age]]&gt;=18,Table2[[#This Row],[Guest_Age]]&lt;=25),"Young Adults",AND(Table2[[#This Row],[Guest_Age]]&gt;=26,Table2[[#This Row],[Guest_Age]]&lt;=35),"Adults",AND(Table2[[#This Row],[Guest_Age]]&gt;=36,Table2[[#This Row],[Guest_Age]]&lt;=50),"Middle Aged Adults",Table2[[#This Row],[Guest_Age]]&gt;50,"Senior")</f>
        <v>Senior</v>
      </c>
      <c r="AB14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429" t="str" cm="1">
        <f t="array" ref="AC1429">_xlfn.IFS(Table2[[#This Row],[Satification_points]]&gt;=4.5,"GREAT",AND(Table2[[#This Row],[Satification_points]]&gt;=4,Table2[[#This Row],[Satification_points]]&lt;4.5),"GOOD",AND(Table2[[#This Row],[Satification_points]]&gt;=3,Table2[[#This Row],[Satification_points]]&lt;4),"AVERAGE",Table2[[#This Row],[Satification_points]]&lt;3,"POOR")</f>
        <v>POOR</v>
      </c>
    </row>
    <row r="1430" spans="1:29" x14ac:dyDescent="0.3">
      <c r="A1430">
        <v>1429</v>
      </c>
      <c r="B1430">
        <v>70147</v>
      </c>
      <c r="C1430" t="s">
        <v>1472</v>
      </c>
      <c r="D1430" t="s">
        <v>41</v>
      </c>
      <c r="E1430" t="s">
        <v>45</v>
      </c>
      <c r="F1430" s="1">
        <v>45245</v>
      </c>
      <c r="G1430" s="1">
        <v>45246</v>
      </c>
      <c r="H1430">
        <v>2</v>
      </c>
      <c r="I1430" t="s">
        <v>50</v>
      </c>
      <c r="J1430" t="s">
        <v>40</v>
      </c>
      <c r="K1430">
        <v>3</v>
      </c>
      <c r="L1430">
        <v>4</v>
      </c>
      <c r="M1430">
        <v>5</v>
      </c>
      <c r="N1430">
        <v>2</v>
      </c>
      <c r="O1430">
        <v>3</v>
      </c>
      <c r="P1430">
        <v>4</v>
      </c>
      <c r="Q1430">
        <v>2</v>
      </c>
      <c r="R1430">
        <v>2</v>
      </c>
      <c r="S1430">
        <v>1</v>
      </c>
      <c r="T1430">
        <v>3</v>
      </c>
      <c r="U1430" t="s">
        <v>30</v>
      </c>
      <c r="V1430" t="s">
        <v>46</v>
      </c>
      <c r="W1430" t="s">
        <v>32</v>
      </c>
      <c r="X1430" t="s">
        <v>44</v>
      </c>
      <c r="Y1430">
        <v>55</v>
      </c>
      <c r="Z1430" s="1">
        <v>45503</v>
      </c>
      <c r="AA1430" t="str" cm="1">
        <f t="array" ref="AA1430">_xlfn.IFS(AND(Table2[[#This Row],[Guest_Age]]&gt;=18,Table2[[#This Row],[Guest_Age]]&lt;=25),"Young Adults",AND(Table2[[#This Row],[Guest_Age]]&gt;=26,Table2[[#This Row],[Guest_Age]]&lt;=35),"Adults",AND(Table2[[#This Row],[Guest_Age]]&gt;=36,Table2[[#This Row],[Guest_Age]]&lt;=50),"Middle Aged Adults",Table2[[#This Row],[Guest_Age]]&gt;50,"Senior")</f>
        <v>Senior</v>
      </c>
      <c r="AB14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30" t="str" cm="1">
        <f t="array" ref="AC1430">_xlfn.IFS(Table2[[#This Row],[Satification_points]]&gt;=4.5,"GREAT",AND(Table2[[#This Row],[Satification_points]]&gt;=4,Table2[[#This Row],[Satification_points]]&lt;4.5),"GOOD",AND(Table2[[#This Row],[Satification_points]]&gt;=3,Table2[[#This Row],[Satification_points]]&lt;4),"AVERAGE",Table2[[#This Row],[Satification_points]]&lt;3,"POOR")</f>
        <v>POOR</v>
      </c>
    </row>
    <row r="1431" spans="1:29" x14ac:dyDescent="0.3">
      <c r="A1431">
        <v>1430</v>
      </c>
      <c r="B1431">
        <v>21441</v>
      </c>
      <c r="C1431" t="s">
        <v>1473</v>
      </c>
      <c r="D1431" t="s">
        <v>26</v>
      </c>
      <c r="E1431" t="s">
        <v>52</v>
      </c>
      <c r="F1431" s="1">
        <v>45559</v>
      </c>
      <c r="G1431" s="1">
        <v>45560</v>
      </c>
      <c r="H1431">
        <v>2</v>
      </c>
      <c r="I1431" t="s">
        <v>49</v>
      </c>
      <c r="J1431" t="s">
        <v>40</v>
      </c>
      <c r="K1431">
        <v>4</v>
      </c>
      <c r="L1431">
        <v>4</v>
      </c>
      <c r="M1431">
        <v>1</v>
      </c>
      <c r="N1431">
        <v>5</v>
      </c>
      <c r="O1431">
        <v>4</v>
      </c>
      <c r="P1431">
        <v>4</v>
      </c>
      <c r="Q1431">
        <v>4</v>
      </c>
      <c r="R1431">
        <v>2</v>
      </c>
      <c r="S1431">
        <v>4</v>
      </c>
      <c r="T1431">
        <v>2</v>
      </c>
      <c r="U1431" t="s">
        <v>30</v>
      </c>
      <c r="V1431" t="s">
        <v>31</v>
      </c>
      <c r="W1431" t="s">
        <v>56</v>
      </c>
      <c r="X1431" t="s">
        <v>33</v>
      </c>
      <c r="Y1431">
        <v>42</v>
      </c>
      <c r="Z1431" s="1">
        <v>45651</v>
      </c>
      <c r="AA1431" t="str" cm="1">
        <f t="array" ref="AA14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31" t="str" cm="1">
        <f t="array" ref="AC1431">_xlfn.IFS(Table2[[#This Row],[Satification_points]]&gt;=4.5,"GREAT",AND(Table2[[#This Row],[Satification_points]]&gt;=4,Table2[[#This Row],[Satification_points]]&lt;4.5),"GOOD",AND(Table2[[#This Row],[Satification_points]]&gt;=3,Table2[[#This Row],[Satification_points]]&lt;4),"AVERAGE",Table2[[#This Row],[Satification_points]]&lt;3,"POOR")</f>
        <v>AVERAGE</v>
      </c>
    </row>
    <row r="1432" spans="1:29" x14ac:dyDescent="0.3">
      <c r="A1432">
        <v>1431</v>
      </c>
      <c r="B1432">
        <v>77691</v>
      </c>
      <c r="C1432" t="s">
        <v>1474</v>
      </c>
      <c r="D1432" t="s">
        <v>26</v>
      </c>
      <c r="E1432" t="s">
        <v>45</v>
      </c>
      <c r="F1432" s="1">
        <v>45171</v>
      </c>
      <c r="G1432" s="1">
        <v>45332</v>
      </c>
      <c r="H1432">
        <v>9</v>
      </c>
      <c r="I1432" t="s">
        <v>49</v>
      </c>
      <c r="J1432" t="s">
        <v>40</v>
      </c>
      <c r="K1432">
        <v>4</v>
      </c>
      <c r="L1432">
        <v>3</v>
      </c>
      <c r="M1432">
        <v>1</v>
      </c>
      <c r="N1432">
        <v>5</v>
      </c>
      <c r="O1432">
        <v>2</v>
      </c>
      <c r="P1432">
        <v>3</v>
      </c>
      <c r="Q1432">
        <v>5</v>
      </c>
      <c r="R1432">
        <v>5</v>
      </c>
      <c r="S1432">
        <v>2</v>
      </c>
      <c r="T1432">
        <v>3</v>
      </c>
      <c r="U1432" t="s">
        <v>30</v>
      </c>
      <c r="V1432" t="s">
        <v>58</v>
      </c>
      <c r="W1432" t="s">
        <v>47</v>
      </c>
      <c r="X1432" t="s">
        <v>44</v>
      </c>
      <c r="Y1432">
        <v>34</v>
      </c>
      <c r="Z1432" s="1">
        <v>45332</v>
      </c>
      <c r="AA1432" t="str" cm="1">
        <f t="array" ref="AA1432">_xlfn.IFS(AND(Table2[[#This Row],[Guest_Age]]&gt;=18,Table2[[#This Row],[Guest_Age]]&lt;=25),"Young Adults",AND(Table2[[#This Row],[Guest_Age]]&gt;=26,Table2[[#This Row],[Guest_Age]]&lt;=35),"Adults",AND(Table2[[#This Row],[Guest_Age]]&gt;=36,Table2[[#This Row],[Guest_Age]]&lt;=50),"Middle Aged Adults",Table2[[#This Row],[Guest_Age]]&gt;50,"Senior")</f>
        <v>Adults</v>
      </c>
      <c r="AB14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32" t="str" cm="1">
        <f t="array" ref="AC1432">_xlfn.IFS(Table2[[#This Row],[Satification_points]]&gt;=4.5,"GREAT",AND(Table2[[#This Row],[Satification_points]]&gt;=4,Table2[[#This Row],[Satification_points]]&lt;4.5),"GOOD",AND(Table2[[#This Row],[Satification_points]]&gt;=3,Table2[[#This Row],[Satification_points]]&lt;4),"AVERAGE",Table2[[#This Row],[Satification_points]]&lt;3,"POOR")</f>
        <v>AVERAGE</v>
      </c>
    </row>
    <row r="1433" spans="1:29" x14ac:dyDescent="0.3">
      <c r="A1433">
        <v>1432</v>
      </c>
      <c r="B1433">
        <v>57792</v>
      </c>
      <c r="C1433" t="s">
        <v>1475</v>
      </c>
      <c r="D1433" t="s">
        <v>26</v>
      </c>
      <c r="E1433" t="s">
        <v>52</v>
      </c>
      <c r="F1433" s="1">
        <v>45016</v>
      </c>
      <c r="G1433" s="1">
        <v>45057</v>
      </c>
      <c r="H1433">
        <v>8</v>
      </c>
      <c r="I1433" t="s">
        <v>50</v>
      </c>
      <c r="J1433" t="s">
        <v>53</v>
      </c>
      <c r="K1433">
        <v>2</v>
      </c>
      <c r="L1433">
        <v>1</v>
      </c>
      <c r="M1433">
        <v>1</v>
      </c>
      <c r="N1433">
        <v>3</v>
      </c>
      <c r="O1433">
        <v>1</v>
      </c>
      <c r="P1433">
        <v>5</v>
      </c>
      <c r="Q1433">
        <v>3</v>
      </c>
      <c r="R1433">
        <v>2</v>
      </c>
      <c r="S1433">
        <v>3</v>
      </c>
      <c r="T1433">
        <v>3</v>
      </c>
      <c r="U1433" t="s">
        <v>30</v>
      </c>
      <c r="V1433" t="s">
        <v>31</v>
      </c>
      <c r="W1433" t="s">
        <v>39</v>
      </c>
      <c r="X1433" t="s">
        <v>33</v>
      </c>
      <c r="Y1433">
        <v>30</v>
      </c>
      <c r="Z1433" s="1">
        <v>45057</v>
      </c>
      <c r="AA1433" t="str" cm="1">
        <f t="array" ref="AA1433">_xlfn.IFS(AND(Table2[[#This Row],[Guest_Age]]&gt;=18,Table2[[#This Row],[Guest_Age]]&lt;=25),"Young Adults",AND(Table2[[#This Row],[Guest_Age]]&gt;=26,Table2[[#This Row],[Guest_Age]]&lt;=35),"Adults",AND(Table2[[#This Row],[Guest_Age]]&gt;=36,Table2[[#This Row],[Guest_Age]]&lt;=50),"Middle Aged Adults",Table2[[#This Row],[Guest_Age]]&gt;50,"Senior")</f>
        <v>Adults</v>
      </c>
      <c r="AB14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433" t="str" cm="1">
        <f t="array" ref="AC1433">_xlfn.IFS(Table2[[#This Row],[Satification_points]]&gt;=4.5,"GREAT",AND(Table2[[#This Row],[Satification_points]]&gt;=4,Table2[[#This Row],[Satification_points]]&lt;4.5),"GOOD",AND(Table2[[#This Row],[Satification_points]]&gt;=3,Table2[[#This Row],[Satification_points]]&lt;4),"AVERAGE",Table2[[#This Row],[Satification_points]]&lt;3,"POOR")</f>
        <v>POOR</v>
      </c>
    </row>
    <row r="1434" spans="1:29" x14ac:dyDescent="0.3">
      <c r="A1434">
        <v>1433</v>
      </c>
      <c r="B1434">
        <v>72942</v>
      </c>
      <c r="C1434" t="s">
        <v>1476</v>
      </c>
      <c r="D1434" t="s">
        <v>26</v>
      </c>
      <c r="E1434" t="s">
        <v>35</v>
      </c>
      <c r="F1434" s="1">
        <v>45404</v>
      </c>
      <c r="G1434" s="1">
        <v>45446</v>
      </c>
      <c r="H1434">
        <v>9</v>
      </c>
      <c r="I1434" t="s">
        <v>42</v>
      </c>
      <c r="J1434" t="s">
        <v>36</v>
      </c>
      <c r="K1434">
        <v>5</v>
      </c>
      <c r="L1434">
        <v>5</v>
      </c>
      <c r="M1434">
        <v>5</v>
      </c>
      <c r="N1434">
        <v>3</v>
      </c>
      <c r="O1434">
        <v>1</v>
      </c>
      <c r="P1434">
        <v>5</v>
      </c>
      <c r="Q1434">
        <v>4</v>
      </c>
      <c r="R1434">
        <v>5</v>
      </c>
      <c r="S1434">
        <v>5</v>
      </c>
      <c r="T1434">
        <v>1</v>
      </c>
      <c r="U1434" t="s">
        <v>37</v>
      </c>
      <c r="V1434" t="s">
        <v>58</v>
      </c>
      <c r="W1434" t="s">
        <v>47</v>
      </c>
      <c r="X1434" t="s">
        <v>33</v>
      </c>
      <c r="Y1434">
        <v>38</v>
      </c>
      <c r="Z1434" s="1">
        <v>45446</v>
      </c>
      <c r="AA1434" t="str" cm="1">
        <f t="array" ref="AA143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434" t="str" cm="1">
        <f t="array" ref="AC1434">_xlfn.IFS(Table2[[#This Row],[Satification_points]]&gt;=4.5,"GREAT",AND(Table2[[#This Row],[Satification_points]]&gt;=4,Table2[[#This Row],[Satification_points]]&lt;4.5),"GOOD",AND(Table2[[#This Row],[Satification_points]]&gt;=3,Table2[[#This Row],[Satification_points]]&lt;4),"AVERAGE",Table2[[#This Row],[Satification_points]]&lt;3,"POOR")</f>
        <v>AVERAGE</v>
      </c>
    </row>
    <row r="1435" spans="1:29" x14ac:dyDescent="0.3">
      <c r="A1435">
        <v>1434</v>
      </c>
      <c r="B1435">
        <v>95677</v>
      </c>
      <c r="C1435" t="s">
        <v>1477</v>
      </c>
      <c r="D1435" t="s">
        <v>34</v>
      </c>
      <c r="E1435" t="s">
        <v>45</v>
      </c>
      <c r="F1435" s="1">
        <v>45578</v>
      </c>
      <c r="G1435" s="1">
        <v>45623</v>
      </c>
      <c r="H1435">
        <v>9</v>
      </c>
      <c r="I1435" t="s">
        <v>49</v>
      </c>
      <c r="J1435" t="s">
        <v>43</v>
      </c>
      <c r="K1435">
        <v>4</v>
      </c>
      <c r="L1435">
        <v>1</v>
      </c>
      <c r="M1435">
        <v>5</v>
      </c>
      <c r="N1435">
        <v>4</v>
      </c>
      <c r="O1435">
        <v>3</v>
      </c>
      <c r="P1435">
        <v>2</v>
      </c>
      <c r="Q1435">
        <v>3</v>
      </c>
      <c r="R1435">
        <v>4</v>
      </c>
      <c r="S1435">
        <v>4</v>
      </c>
      <c r="T1435">
        <v>4</v>
      </c>
      <c r="U1435" t="s">
        <v>37</v>
      </c>
      <c r="V1435" t="s">
        <v>58</v>
      </c>
      <c r="W1435" t="s">
        <v>55</v>
      </c>
      <c r="X1435" t="s">
        <v>33</v>
      </c>
      <c r="Y1435">
        <v>32</v>
      </c>
      <c r="Z1435" s="1">
        <v>45623</v>
      </c>
      <c r="AA1435" t="str" cm="1">
        <f t="array" ref="AA1435">_xlfn.IFS(AND(Table2[[#This Row],[Guest_Age]]&gt;=18,Table2[[#This Row],[Guest_Age]]&lt;=25),"Young Adults",AND(Table2[[#This Row],[Guest_Age]]&gt;=26,Table2[[#This Row],[Guest_Age]]&lt;=35),"Adults",AND(Table2[[#This Row],[Guest_Age]]&gt;=36,Table2[[#This Row],[Guest_Age]]&lt;=50),"Middle Aged Adults",Table2[[#This Row],[Guest_Age]]&gt;50,"Senior")</f>
        <v>Adults</v>
      </c>
      <c r="AB14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35" t="str" cm="1">
        <f t="array" ref="AC1435">_xlfn.IFS(Table2[[#This Row],[Satification_points]]&gt;=4.5,"GREAT",AND(Table2[[#This Row],[Satification_points]]&gt;=4,Table2[[#This Row],[Satification_points]]&lt;4.5),"GOOD",AND(Table2[[#This Row],[Satification_points]]&gt;=3,Table2[[#This Row],[Satification_points]]&lt;4),"AVERAGE",Table2[[#This Row],[Satification_points]]&lt;3,"POOR")</f>
        <v>AVERAGE</v>
      </c>
    </row>
    <row r="1436" spans="1:29" x14ac:dyDescent="0.3">
      <c r="A1436">
        <v>1435</v>
      </c>
      <c r="B1436">
        <v>42860</v>
      </c>
      <c r="C1436" t="s">
        <v>1478</v>
      </c>
      <c r="D1436" t="s">
        <v>34</v>
      </c>
      <c r="E1436" t="s">
        <v>35</v>
      </c>
      <c r="F1436" s="1">
        <v>45038</v>
      </c>
      <c r="G1436" s="1">
        <v>45039</v>
      </c>
      <c r="H1436">
        <v>1</v>
      </c>
      <c r="I1436" t="s">
        <v>28</v>
      </c>
      <c r="J1436" t="s">
        <v>40</v>
      </c>
      <c r="K1436">
        <v>3</v>
      </c>
      <c r="L1436">
        <v>2</v>
      </c>
      <c r="M1436">
        <v>3</v>
      </c>
      <c r="N1436">
        <v>1</v>
      </c>
      <c r="O1436">
        <v>3</v>
      </c>
      <c r="P1436">
        <v>3</v>
      </c>
      <c r="Q1436">
        <v>2</v>
      </c>
      <c r="R1436">
        <v>1</v>
      </c>
      <c r="S1436">
        <v>5</v>
      </c>
      <c r="T1436">
        <v>4</v>
      </c>
      <c r="U1436" t="s">
        <v>37</v>
      </c>
      <c r="V1436" t="s">
        <v>54</v>
      </c>
      <c r="W1436" t="s">
        <v>39</v>
      </c>
      <c r="X1436" t="s">
        <v>33</v>
      </c>
      <c r="Y1436">
        <v>65</v>
      </c>
      <c r="Z1436" s="1">
        <v>45039</v>
      </c>
      <c r="AA1436" t="str" cm="1">
        <f t="array" ref="AA1436">_xlfn.IFS(AND(Table2[[#This Row],[Guest_Age]]&gt;=18,Table2[[#This Row],[Guest_Age]]&lt;=25),"Young Adults",AND(Table2[[#This Row],[Guest_Age]]&gt;=26,Table2[[#This Row],[Guest_Age]]&lt;=35),"Adults",AND(Table2[[#This Row],[Guest_Age]]&gt;=36,Table2[[#This Row],[Guest_Age]]&lt;=50),"Middle Aged Adults",Table2[[#This Row],[Guest_Age]]&gt;50,"Senior")</f>
        <v>Senior</v>
      </c>
      <c r="AB14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36" t="str" cm="1">
        <f t="array" ref="AC1436">_xlfn.IFS(Table2[[#This Row],[Satification_points]]&gt;=4.5,"GREAT",AND(Table2[[#This Row],[Satification_points]]&gt;=4,Table2[[#This Row],[Satification_points]]&lt;4.5),"GOOD",AND(Table2[[#This Row],[Satification_points]]&gt;=3,Table2[[#This Row],[Satification_points]]&lt;4),"AVERAGE",Table2[[#This Row],[Satification_points]]&lt;3,"POOR")</f>
        <v>POOR</v>
      </c>
    </row>
    <row r="1437" spans="1:29" x14ac:dyDescent="0.3">
      <c r="A1437">
        <v>1436</v>
      </c>
      <c r="B1437">
        <v>22468</v>
      </c>
      <c r="C1437" t="s">
        <v>1479</v>
      </c>
      <c r="D1437" t="s">
        <v>34</v>
      </c>
      <c r="E1437" t="s">
        <v>52</v>
      </c>
      <c r="F1437" s="1">
        <v>45320</v>
      </c>
      <c r="G1437" s="1">
        <v>45321</v>
      </c>
      <c r="H1437">
        <v>10</v>
      </c>
      <c r="I1437" t="s">
        <v>42</v>
      </c>
      <c r="J1437" t="s">
        <v>43</v>
      </c>
      <c r="K1437">
        <v>1</v>
      </c>
      <c r="L1437">
        <v>3</v>
      </c>
      <c r="M1437">
        <v>1</v>
      </c>
      <c r="N1437">
        <v>1</v>
      </c>
      <c r="O1437">
        <v>2</v>
      </c>
      <c r="P1437">
        <v>2</v>
      </c>
      <c r="Q1437">
        <v>5</v>
      </c>
      <c r="R1437">
        <v>5</v>
      </c>
      <c r="S1437">
        <v>1</v>
      </c>
      <c r="T1437">
        <v>2</v>
      </c>
      <c r="U1437" t="s">
        <v>30</v>
      </c>
      <c r="V1437" t="s">
        <v>46</v>
      </c>
      <c r="W1437" t="s">
        <v>39</v>
      </c>
      <c r="X1437" t="s">
        <v>33</v>
      </c>
      <c r="Y1437">
        <v>41</v>
      </c>
      <c r="Z1437" s="1">
        <v>45654</v>
      </c>
      <c r="AA1437" t="str" cm="1">
        <f t="array" ref="AA143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437" t="str" cm="1">
        <f t="array" ref="AC1437">_xlfn.IFS(Table2[[#This Row],[Satification_points]]&gt;=4.5,"GREAT",AND(Table2[[#This Row],[Satification_points]]&gt;=4,Table2[[#This Row],[Satification_points]]&lt;4.5),"GOOD",AND(Table2[[#This Row],[Satification_points]]&gt;=3,Table2[[#This Row],[Satification_points]]&lt;4),"AVERAGE",Table2[[#This Row],[Satification_points]]&lt;3,"POOR")</f>
        <v>POOR</v>
      </c>
    </row>
    <row r="1438" spans="1:29" x14ac:dyDescent="0.3">
      <c r="A1438">
        <v>1437</v>
      </c>
      <c r="B1438">
        <v>68014</v>
      </c>
      <c r="C1438" t="s">
        <v>1480</v>
      </c>
      <c r="D1438" t="s">
        <v>34</v>
      </c>
      <c r="E1438" t="s">
        <v>57</v>
      </c>
      <c r="F1438" s="1">
        <v>45166</v>
      </c>
      <c r="G1438" s="1">
        <v>45329</v>
      </c>
      <c r="H1438">
        <v>10</v>
      </c>
      <c r="I1438" t="s">
        <v>50</v>
      </c>
      <c r="J1438" t="s">
        <v>53</v>
      </c>
      <c r="K1438">
        <v>1</v>
      </c>
      <c r="L1438">
        <v>4</v>
      </c>
      <c r="M1438">
        <v>2</v>
      </c>
      <c r="N1438">
        <v>3</v>
      </c>
      <c r="O1438">
        <v>2</v>
      </c>
      <c r="P1438">
        <v>2</v>
      </c>
      <c r="Q1438">
        <v>2</v>
      </c>
      <c r="R1438">
        <v>4</v>
      </c>
      <c r="S1438">
        <v>1</v>
      </c>
      <c r="T1438">
        <v>1</v>
      </c>
      <c r="U1438" t="s">
        <v>30</v>
      </c>
      <c r="V1438" t="s">
        <v>46</v>
      </c>
      <c r="W1438" t="s">
        <v>47</v>
      </c>
      <c r="X1438" t="s">
        <v>40</v>
      </c>
      <c r="Y1438">
        <v>24</v>
      </c>
      <c r="Z1438" s="1">
        <v>45329</v>
      </c>
      <c r="AA1438" t="str" cm="1">
        <f t="array" ref="AA1438">_xlfn.IFS(AND(Table2[[#This Row],[Guest_Age]]&gt;=18,Table2[[#This Row],[Guest_Age]]&lt;=25),"Young Adults",AND(Table2[[#This Row],[Guest_Age]]&gt;=26,Table2[[#This Row],[Guest_Age]]&lt;=35),"Adults",AND(Table2[[#This Row],[Guest_Age]]&gt;=36,Table2[[#This Row],[Guest_Age]]&lt;=50),"Middle Aged Adults",Table2[[#This Row],[Guest_Age]]&gt;50,"Senior")</f>
        <v>Young Adults</v>
      </c>
      <c r="AB14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438" t="str" cm="1">
        <f t="array" ref="AC1438">_xlfn.IFS(Table2[[#This Row],[Satification_points]]&gt;=4.5,"GREAT",AND(Table2[[#This Row],[Satification_points]]&gt;=4,Table2[[#This Row],[Satification_points]]&lt;4.5),"GOOD",AND(Table2[[#This Row],[Satification_points]]&gt;=3,Table2[[#This Row],[Satification_points]]&lt;4),"AVERAGE",Table2[[#This Row],[Satification_points]]&lt;3,"POOR")</f>
        <v>POOR</v>
      </c>
    </row>
    <row r="1439" spans="1:29" x14ac:dyDescent="0.3">
      <c r="A1439">
        <v>1438</v>
      </c>
      <c r="B1439">
        <v>44911</v>
      </c>
      <c r="C1439" t="s">
        <v>1481</v>
      </c>
      <c r="D1439" t="s">
        <v>48</v>
      </c>
      <c r="E1439" t="s">
        <v>57</v>
      </c>
      <c r="F1439" s="1">
        <v>45198</v>
      </c>
      <c r="G1439" s="1">
        <v>45199</v>
      </c>
      <c r="H1439">
        <v>9</v>
      </c>
      <c r="I1439" t="s">
        <v>42</v>
      </c>
      <c r="J1439" t="s">
        <v>43</v>
      </c>
      <c r="K1439">
        <v>5</v>
      </c>
      <c r="L1439">
        <v>1</v>
      </c>
      <c r="M1439">
        <v>4</v>
      </c>
      <c r="N1439">
        <v>1</v>
      </c>
      <c r="O1439">
        <v>1</v>
      </c>
      <c r="P1439">
        <v>4</v>
      </c>
      <c r="Q1439">
        <v>5</v>
      </c>
      <c r="R1439">
        <v>5</v>
      </c>
      <c r="S1439">
        <v>4</v>
      </c>
      <c r="T1439">
        <v>5</v>
      </c>
      <c r="U1439" t="s">
        <v>30</v>
      </c>
      <c r="V1439" t="s">
        <v>54</v>
      </c>
      <c r="W1439" t="s">
        <v>47</v>
      </c>
      <c r="X1439" t="s">
        <v>40</v>
      </c>
      <c r="Y1439">
        <v>62</v>
      </c>
      <c r="Z1439" s="1">
        <v>45456</v>
      </c>
      <c r="AA1439" t="str" cm="1">
        <f t="array" ref="AA1439">_xlfn.IFS(AND(Table2[[#This Row],[Guest_Age]]&gt;=18,Table2[[#This Row],[Guest_Age]]&lt;=25),"Young Adults",AND(Table2[[#This Row],[Guest_Age]]&gt;=26,Table2[[#This Row],[Guest_Age]]&lt;=35),"Adults",AND(Table2[[#This Row],[Guest_Age]]&gt;=36,Table2[[#This Row],[Guest_Age]]&lt;=50),"Middle Aged Adults",Table2[[#This Row],[Guest_Age]]&gt;50,"Senior")</f>
        <v>Senior</v>
      </c>
      <c r="AB14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39" t="str" cm="1">
        <f t="array" ref="AC1439">_xlfn.IFS(Table2[[#This Row],[Satification_points]]&gt;=4.5,"GREAT",AND(Table2[[#This Row],[Satification_points]]&gt;=4,Table2[[#This Row],[Satification_points]]&lt;4.5),"GOOD",AND(Table2[[#This Row],[Satification_points]]&gt;=3,Table2[[#This Row],[Satification_points]]&lt;4),"AVERAGE",Table2[[#This Row],[Satification_points]]&lt;3,"POOR")</f>
        <v>AVERAGE</v>
      </c>
    </row>
    <row r="1440" spans="1:29" x14ac:dyDescent="0.3">
      <c r="A1440">
        <v>1439</v>
      </c>
      <c r="B1440">
        <v>65123</v>
      </c>
      <c r="C1440" t="s">
        <v>1482</v>
      </c>
      <c r="D1440" t="s">
        <v>51</v>
      </c>
      <c r="E1440" t="s">
        <v>27</v>
      </c>
      <c r="F1440" s="1">
        <v>45069</v>
      </c>
      <c r="G1440" s="1">
        <v>45495</v>
      </c>
      <c r="H1440">
        <v>1</v>
      </c>
      <c r="I1440" t="s">
        <v>49</v>
      </c>
      <c r="J1440" t="s">
        <v>53</v>
      </c>
      <c r="K1440">
        <v>5</v>
      </c>
      <c r="L1440">
        <v>4</v>
      </c>
      <c r="M1440">
        <v>3</v>
      </c>
      <c r="N1440">
        <v>5</v>
      </c>
      <c r="O1440">
        <v>1</v>
      </c>
      <c r="P1440">
        <v>1</v>
      </c>
      <c r="Q1440">
        <v>1</v>
      </c>
      <c r="R1440">
        <v>4</v>
      </c>
      <c r="S1440">
        <v>2</v>
      </c>
      <c r="T1440">
        <v>4</v>
      </c>
      <c r="U1440" t="s">
        <v>37</v>
      </c>
      <c r="V1440" t="s">
        <v>54</v>
      </c>
      <c r="W1440" t="s">
        <v>47</v>
      </c>
      <c r="X1440" t="s">
        <v>33</v>
      </c>
      <c r="Y1440">
        <v>55</v>
      </c>
      <c r="Z1440" s="1">
        <v>45517</v>
      </c>
      <c r="AA1440" t="str" cm="1">
        <f t="array" ref="AA1440">_xlfn.IFS(AND(Table2[[#This Row],[Guest_Age]]&gt;=18,Table2[[#This Row],[Guest_Age]]&lt;=25),"Young Adults",AND(Table2[[#This Row],[Guest_Age]]&gt;=26,Table2[[#This Row],[Guest_Age]]&lt;=35),"Adults",AND(Table2[[#This Row],[Guest_Age]]&gt;=36,Table2[[#This Row],[Guest_Age]]&lt;=50),"Middle Aged Adults",Table2[[#This Row],[Guest_Age]]&gt;50,"Senior")</f>
        <v>Senior</v>
      </c>
      <c r="AB14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440" t="str" cm="1">
        <f t="array" ref="AC1440">_xlfn.IFS(Table2[[#This Row],[Satification_points]]&gt;=4.5,"GREAT",AND(Table2[[#This Row],[Satification_points]]&gt;=4,Table2[[#This Row],[Satification_points]]&lt;4.5),"GOOD",AND(Table2[[#This Row],[Satification_points]]&gt;=3,Table2[[#This Row],[Satification_points]]&lt;4),"AVERAGE",Table2[[#This Row],[Satification_points]]&lt;3,"POOR")</f>
        <v>AVERAGE</v>
      </c>
    </row>
    <row r="1441" spans="1:29" x14ac:dyDescent="0.3">
      <c r="A1441">
        <v>1440</v>
      </c>
      <c r="B1441">
        <v>71333</v>
      </c>
      <c r="C1441" t="s">
        <v>1483</v>
      </c>
      <c r="D1441" t="s">
        <v>26</v>
      </c>
      <c r="E1441" t="s">
        <v>57</v>
      </c>
      <c r="F1441" s="1">
        <v>45645</v>
      </c>
      <c r="G1441" s="1">
        <v>45646</v>
      </c>
      <c r="H1441">
        <v>5</v>
      </c>
      <c r="I1441" t="s">
        <v>49</v>
      </c>
      <c r="J1441" t="s">
        <v>29</v>
      </c>
      <c r="K1441">
        <v>4</v>
      </c>
      <c r="L1441">
        <v>4</v>
      </c>
      <c r="M1441">
        <v>1</v>
      </c>
      <c r="N1441">
        <v>1</v>
      </c>
      <c r="O1441">
        <v>1</v>
      </c>
      <c r="P1441">
        <v>3</v>
      </c>
      <c r="Q1441">
        <v>5</v>
      </c>
      <c r="R1441">
        <v>4</v>
      </c>
      <c r="S1441">
        <v>1</v>
      </c>
      <c r="T1441">
        <v>2</v>
      </c>
      <c r="U1441" t="s">
        <v>30</v>
      </c>
      <c r="V1441" t="s">
        <v>38</v>
      </c>
      <c r="W1441" t="s">
        <v>39</v>
      </c>
      <c r="X1441" t="s">
        <v>40</v>
      </c>
      <c r="Y1441">
        <v>57</v>
      </c>
      <c r="Z1441" s="1">
        <v>45646</v>
      </c>
      <c r="AA1441" t="str" cm="1">
        <f t="array" ref="AA1441">_xlfn.IFS(AND(Table2[[#This Row],[Guest_Age]]&gt;=18,Table2[[#This Row],[Guest_Age]]&lt;=25),"Young Adults",AND(Table2[[#This Row],[Guest_Age]]&gt;=26,Table2[[#This Row],[Guest_Age]]&lt;=35),"Adults",AND(Table2[[#This Row],[Guest_Age]]&gt;=36,Table2[[#This Row],[Guest_Age]]&lt;=50),"Middle Aged Adults",Table2[[#This Row],[Guest_Age]]&gt;50,"Senior")</f>
        <v>Senior</v>
      </c>
      <c r="AB14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441" t="str" cm="1">
        <f t="array" ref="AC1441">_xlfn.IFS(Table2[[#This Row],[Satification_points]]&gt;=4.5,"GREAT",AND(Table2[[#This Row],[Satification_points]]&gt;=4,Table2[[#This Row],[Satification_points]]&lt;4.5),"GOOD",AND(Table2[[#This Row],[Satification_points]]&gt;=3,Table2[[#This Row],[Satification_points]]&lt;4),"AVERAGE",Table2[[#This Row],[Satification_points]]&lt;3,"POOR")</f>
        <v>POOR</v>
      </c>
    </row>
    <row r="1442" spans="1:29" x14ac:dyDescent="0.3">
      <c r="A1442">
        <v>1441</v>
      </c>
      <c r="B1442">
        <v>27986</v>
      </c>
      <c r="C1442" t="s">
        <v>1484</v>
      </c>
      <c r="D1442" t="s">
        <v>48</v>
      </c>
      <c r="E1442" t="s">
        <v>27</v>
      </c>
      <c r="F1442" s="1">
        <v>45045</v>
      </c>
      <c r="G1442" s="1">
        <v>45180</v>
      </c>
      <c r="H1442">
        <v>4</v>
      </c>
      <c r="I1442" t="s">
        <v>28</v>
      </c>
      <c r="J1442" t="s">
        <v>36</v>
      </c>
      <c r="K1442">
        <v>1</v>
      </c>
      <c r="L1442">
        <v>3</v>
      </c>
      <c r="M1442">
        <v>3</v>
      </c>
      <c r="N1442">
        <v>4</v>
      </c>
      <c r="O1442">
        <v>1</v>
      </c>
      <c r="P1442">
        <v>1</v>
      </c>
      <c r="Q1442">
        <v>5</v>
      </c>
      <c r="R1442">
        <v>4</v>
      </c>
      <c r="S1442">
        <v>5</v>
      </c>
      <c r="T1442">
        <v>5</v>
      </c>
      <c r="U1442" t="s">
        <v>30</v>
      </c>
      <c r="V1442" t="s">
        <v>31</v>
      </c>
      <c r="W1442" t="s">
        <v>32</v>
      </c>
      <c r="X1442" t="s">
        <v>33</v>
      </c>
      <c r="Y1442">
        <v>39</v>
      </c>
      <c r="Z1442" s="1">
        <v>45291</v>
      </c>
      <c r="AA1442" t="str" cm="1">
        <f t="array" ref="AA14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42" t="str" cm="1">
        <f t="array" ref="AC1442">_xlfn.IFS(Table2[[#This Row],[Satification_points]]&gt;=4.5,"GREAT",AND(Table2[[#This Row],[Satification_points]]&gt;=4,Table2[[#This Row],[Satification_points]]&lt;4.5),"GOOD",AND(Table2[[#This Row],[Satification_points]]&gt;=3,Table2[[#This Row],[Satification_points]]&lt;4),"AVERAGE",Table2[[#This Row],[Satification_points]]&lt;3,"POOR")</f>
        <v>AVERAGE</v>
      </c>
    </row>
    <row r="1443" spans="1:29" x14ac:dyDescent="0.3">
      <c r="A1443">
        <v>1442</v>
      </c>
      <c r="B1443">
        <v>45719</v>
      </c>
      <c r="C1443" t="s">
        <v>1485</v>
      </c>
      <c r="D1443" t="s">
        <v>34</v>
      </c>
      <c r="E1443" t="s">
        <v>52</v>
      </c>
      <c r="F1443" s="1">
        <v>45522</v>
      </c>
      <c r="G1443" s="1">
        <v>45523</v>
      </c>
      <c r="H1443">
        <v>8</v>
      </c>
      <c r="I1443" t="s">
        <v>50</v>
      </c>
      <c r="J1443" t="s">
        <v>29</v>
      </c>
      <c r="K1443">
        <v>2</v>
      </c>
      <c r="L1443">
        <v>1</v>
      </c>
      <c r="M1443">
        <v>1</v>
      </c>
      <c r="N1443">
        <v>1</v>
      </c>
      <c r="O1443">
        <v>1</v>
      </c>
      <c r="P1443">
        <v>4</v>
      </c>
      <c r="Q1443">
        <v>2</v>
      </c>
      <c r="R1443">
        <v>1</v>
      </c>
      <c r="S1443">
        <v>3</v>
      </c>
      <c r="T1443">
        <v>3</v>
      </c>
      <c r="U1443" t="s">
        <v>37</v>
      </c>
      <c r="V1443" t="s">
        <v>58</v>
      </c>
      <c r="W1443" t="s">
        <v>55</v>
      </c>
      <c r="X1443" t="s">
        <v>33</v>
      </c>
      <c r="Y1443">
        <v>59</v>
      </c>
      <c r="Z1443" s="1">
        <v>45523</v>
      </c>
      <c r="AA1443" t="str" cm="1">
        <f t="array" ref="AA1443">_xlfn.IFS(AND(Table2[[#This Row],[Guest_Age]]&gt;=18,Table2[[#This Row],[Guest_Age]]&lt;=25),"Young Adults",AND(Table2[[#This Row],[Guest_Age]]&gt;=26,Table2[[#This Row],[Guest_Age]]&lt;=35),"Adults",AND(Table2[[#This Row],[Guest_Age]]&gt;=36,Table2[[#This Row],[Guest_Age]]&lt;=50),"Middle Aged Adults",Table2[[#This Row],[Guest_Age]]&gt;50,"Senior")</f>
        <v>Senior</v>
      </c>
      <c r="AB14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1.9</v>
      </c>
      <c r="AC1443" t="str" cm="1">
        <f t="array" ref="AC1443">_xlfn.IFS(Table2[[#This Row],[Satification_points]]&gt;=4.5,"GREAT",AND(Table2[[#This Row],[Satification_points]]&gt;=4,Table2[[#This Row],[Satification_points]]&lt;4.5),"GOOD",AND(Table2[[#This Row],[Satification_points]]&gt;=3,Table2[[#This Row],[Satification_points]]&lt;4),"AVERAGE",Table2[[#This Row],[Satification_points]]&lt;3,"POOR")</f>
        <v>POOR</v>
      </c>
    </row>
    <row r="1444" spans="1:29" x14ac:dyDescent="0.3">
      <c r="A1444">
        <v>1443</v>
      </c>
      <c r="B1444">
        <v>69116</v>
      </c>
      <c r="C1444" t="s">
        <v>1486</v>
      </c>
      <c r="D1444" t="s">
        <v>26</v>
      </c>
      <c r="E1444" t="s">
        <v>27</v>
      </c>
      <c r="F1444" s="1">
        <v>45177</v>
      </c>
      <c r="G1444" s="1">
        <v>45491</v>
      </c>
      <c r="H1444">
        <v>5</v>
      </c>
      <c r="I1444" t="s">
        <v>42</v>
      </c>
      <c r="J1444" t="s">
        <v>53</v>
      </c>
      <c r="K1444">
        <v>2</v>
      </c>
      <c r="L1444">
        <v>3</v>
      </c>
      <c r="M1444">
        <v>1</v>
      </c>
      <c r="N1444">
        <v>1</v>
      </c>
      <c r="O1444">
        <v>3</v>
      </c>
      <c r="P1444">
        <v>1</v>
      </c>
      <c r="Q1444">
        <v>4</v>
      </c>
      <c r="R1444">
        <v>5</v>
      </c>
      <c r="S1444">
        <v>3</v>
      </c>
      <c r="T1444">
        <v>1</v>
      </c>
      <c r="U1444" t="s">
        <v>30</v>
      </c>
      <c r="V1444" t="s">
        <v>38</v>
      </c>
      <c r="W1444" t="s">
        <v>47</v>
      </c>
      <c r="X1444" t="s">
        <v>40</v>
      </c>
      <c r="Y1444">
        <v>27</v>
      </c>
      <c r="Z1444" s="1">
        <v>45511</v>
      </c>
      <c r="AA1444" t="str" cm="1">
        <f t="array" ref="AA1444">_xlfn.IFS(AND(Table2[[#This Row],[Guest_Age]]&gt;=18,Table2[[#This Row],[Guest_Age]]&lt;=25),"Young Adults",AND(Table2[[#This Row],[Guest_Age]]&gt;=26,Table2[[#This Row],[Guest_Age]]&lt;=35),"Adults",AND(Table2[[#This Row],[Guest_Age]]&gt;=36,Table2[[#This Row],[Guest_Age]]&lt;=50),"Middle Aged Adults",Table2[[#This Row],[Guest_Age]]&gt;50,"Senior")</f>
        <v>Adults</v>
      </c>
      <c r="AB14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444" t="str" cm="1">
        <f t="array" ref="AC1444">_xlfn.IFS(Table2[[#This Row],[Satification_points]]&gt;=4.5,"GREAT",AND(Table2[[#This Row],[Satification_points]]&gt;=4,Table2[[#This Row],[Satification_points]]&lt;4.5),"GOOD",AND(Table2[[#This Row],[Satification_points]]&gt;=3,Table2[[#This Row],[Satification_points]]&lt;4),"AVERAGE",Table2[[#This Row],[Satification_points]]&lt;3,"POOR")</f>
        <v>POOR</v>
      </c>
    </row>
    <row r="1445" spans="1:29" x14ac:dyDescent="0.3">
      <c r="A1445">
        <v>1444</v>
      </c>
      <c r="B1445">
        <v>85794</v>
      </c>
      <c r="C1445" t="s">
        <v>1487</v>
      </c>
      <c r="D1445" t="s">
        <v>51</v>
      </c>
      <c r="E1445" t="s">
        <v>27</v>
      </c>
      <c r="F1445" s="1">
        <v>45204</v>
      </c>
      <c r="G1445" s="1">
        <v>45205</v>
      </c>
      <c r="H1445">
        <v>12</v>
      </c>
      <c r="I1445" t="s">
        <v>42</v>
      </c>
      <c r="J1445" t="s">
        <v>29</v>
      </c>
      <c r="K1445">
        <v>2</v>
      </c>
      <c r="L1445">
        <v>4</v>
      </c>
      <c r="M1445">
        <v>3</v>
      </c>
      <c r="N1445">
        <v>4</v>
      </c>
      <c r="O1445">
        <v>4</v>
      </c>
      <c r="P1445">
        <v>4</v>
      </c>
      <c r="Q1445">
        <v>4</v>
      </c>
      <c r="R1445">
        <v>5</v>
      </c>
      <c r="S1445">
        <v>2</v>
      </c>
      <c r="T1445">
        <v>5</v>
      </c>
      <c r="U1445" t="s">
        <v>37</v>
      </c>
      <c r="V1445" t="s">
        <v>46</v>
      </c>
      <c r="W1445" t="s">
        <v>32</v>
      </c>
      <c r="X1445" t="s">
        <v>40</v>
      </c>
      <c r="Y1445">
        <v>50</v>
      </c>
      <c r="Z1445" s="1">
        <v>45351</v>
      </c>
      <c r="AA1445" t="str" cm="1">
        <f t="array" ref="AA14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445" t="str" cm="1">
        <f t="array" ref="AC1445">_xlfn.IFS(Table2[[#This Row],[Satification_points]]&gt;=4.5,"GREAT",AND(Table2[[#This Row],[Satification_points]]&gt;=4,Table2[[#This Row],[Satification_points]]&lt;4.5),"GOOD",AND(Table2[[#This Row],[Satification_points]]&gt;=3,Table2[[#This Row],[Satification_points]]&lt;4),"AVERAGE",Table2[[#This Row],[Satification_points]]&lt;3,"POOR")</f>
        <v>AVERAGE</v>
      </c>
    </row>
    <row r="1446" spans="1:29" x14ac:dyDescent="0.3">
      <c r="A1446">
        <v>1445</v>
      </c>
      <c r="B1446">
        <v>11310</v>
      </c>
      <c r="C1446" t="s">
        <v>1488</v>
      </c>
      <c r="D1446" t="s">
        <v>26</v>
      </c>
      <c r="E1446" t="s">
        <v>27</v>
      </c>
      <c r="F1446" s="1">
        <v>45089</v>
      </c>
      <c r="G1446" s="1">
        <v>45267</v>
      </c>
      <c r="H1446">
        <v>9</v>
      </c>
      <c r="I1446" t="s">
        <v>42</v>
      </c>
      <c r="J1446" t="s">
        <v>53</v>
      </c>
      <c r="K1446">
        <v>2</v>
      </c>
      <c r="L1446">
        <v>1</v>
      </c>
      <c r="M1446">
        <v>1</v>
      </c>
      <c r="N1446">
        <v>4</v>
      </c>
      <c r="O1446">
        <v>2</v>
      </c>
      <c r="P1446">
        <v>5</v>
      </c>
      <c r="Q1446">
        <v>3</v>
      </c>
      <c r="R1446">
        <v>5</v>
      </c>
      <c r="S1446">
        <v>4</v>
      </c>
      <c r="T1446">
        <v>4</v>
      </c>
      <c r="U1446" t="s">
        <v>30</v>
      </c>
      <c r="V1446" t="s">
        <v>38</v>
      </c>
      <c r="W1446" t="s">
        <v>47</v>
      </c>
      <c r="X1446" t="s">
        <v>33</v>
      </c>
      <c r="Y1446">
        <v>29</v>
      </c>
      <c r="Z1446" s="1">
        <v>45429</v>
      </c>
      <c r="AA1446" t="str" cm="1">
        <f t="array" ref="AA1446">_xlfn.IFS(AND(Table2[[#This Row],[Guest_Age]]&gt;=18,Table2[[#This Row],[Guest_Age]]&lt;=25),"Young Adults",AND(Table2[[#This Row],[Guest_Age]]&gt;=26,Table2[[#This Row],[Guest_Age]]&lt;=35),"Adults",AND(Table2[[#This Row],[Guest_Age]]&gt;=36,Table2[[#This Row],[Guest_Age]]&lt;=50),"Middle Aged Adults",Table2[[#This Row],[Guest_Age]]&gt;50,"Senior")</f>
        <v>Adults</v>
      </c>
      <c r="AB14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446" t="str" cm="1">
        <f t="array" ref="AC1446">_xlfn.IFS(Table2[[#This Row],[Satification_points]]&gt;=4.5,"GREAT",AND(Table2[[#This Row],[Satification_points]]&gt;=4,Table2[[#This Row],[Satification_points]]&lt;4.5),"GOOD",AND(Table2[[#This Row],[Satification_points]]&gt;=3,Table2[[#This Row],[Satification_points]]&lt;4),"AVERAGE",Table2[[#This Row],[Satification_points]]&lt;3,"POOR")</f>
        <v>AVERAGE</v>
      </c>
    </row>
    <row r="1447" spans="1:29" x14ac:dyDescent="0.3">
      <c r="A1447">
        <v>1446</v>
      </c>
      <c r="B1447">
        <v>73798</v>
      </c>
      <c r="C1447" t="s">
        <v>1489</v>
      </c>
      <c r="D1447" t="s">
        <v>41</v>
      </c>
      <c r="E1447" t="s">
        <v>35</v>
      </c>
      <c r="F1447" s="1">
        <v>45580</v>
      </c>
      <c r="G1447" s="1">
        <v>45581</v>
      </c>
      <c r="H1447">
        <v>1</v>
      </c>
      <c r="I1447" t="s">
        <v>42</v>
      </c>
      <c r="J1447" t="s">
        <v>29</v>
      </c>
      <c r="K1447">
        <v>4</v>
      </c>
      <c r="L1447">
        <v>4</v>
      </c>
      <c r="M1447">
        <v>1</v>
      </c>
      <c r="N1447">
        <v>3</v>
      </c>
      <c r="O1447">
        <v>3</v>
      </c>
      <c r="P1447">
        <v>4</v>
      </c>
      <c r="Q1447">
        <v>1</v>
      </c>
      <c r="R1447">
        <v>4</v>
      </c>
      <c r="S1447">
        <v>2</v>
      </c>
      <c r="T1447">
        <v>2</v>
      </c>
      <c r="U1447" t="s">
        <v>30</v>
      </c>
      <c r="V1447" t="s">
        <v>46</v>
      </c>
      <c r="W1447" t="s">
        <v>39</v>
      </c>
      <c r="X1447" t="s">
        <v>40</v>
      </c>
      <c r="Y1447">
        <v>25</v>
      </c>
      <c r="Z1447" s="1">
        <v>45581</v>
      </c>
      <c r="AA1447" t="str" cm="1">
        <f t="array" ref="AA1447">_xlfn.IFS(AND(Table2[[#This Row],[Guest_Age]]&gt;=18,Table2[[#This Row],[Guest_Age]]&lt;=25),"Young Adults",AND(Table2[[#This Row],[Guest_Age]]&gt;=26,Table2[[#This Row],[Guest_Age]]&lt;=35),"Adults",AND(Table2[[#This Row],[Guest_Age]]&gt;=36,Table2[[#This Row],[Guest_Age]]&lt;=50),"Middle Aged Adults",Table2[[#This Row],[Guest_Age]]&gt;50,"Senior")</f>
        <v>Young Adults</v>
      </c>
      <c r="AB14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47" t="str" cm="1">
        <f t="array" ref="AC1447">_xlfn.IFS(Table2[[#This Row],[Satification_points]]&gt;=4.5,"GREAT",AND(Table2[[#This Row],[Satification_points]]&gt;=4,Table2[[#This Row],[Satification_points]]&lt;4.5),"GOOD",AND(Table2[[#This Row],[Satification_points]]&gt;=3,Table2[[#This Row],[Satification_points]]&lt;4),"AVERAGE",Table2[[#This Row],[Satification_points]]&lt;3,"POOR")</f>
        <v>POOR</v>
      </c>
    </row>
    <row r="1448" spans="1:29" x14ac:dyDescent="0.3">
      <c r="A1448">
        <v>1447</v>
      </c>
      <c r="B1448">
        <v>81782</v>
      </c>
      <c r="C1448" t="s">
        <v>1490</v>
      </c>
      <c r="D1448" t="s">
        <v>41</v>
      </c>
      <c r="E1448" t="s">
        <v>27</v>
      </c>
      <c r="F1448" s="1">
        <v>45276</v>
      </c>
      <c r="G1448" s="1">
        <v>45277</v>
      </c>
      <c r="H1448">
        <v>8</v>
      </c>
      <c r="I1448" t="s">
        <v>28</v>
      </c>
      <c r="J1448" t="s">
        <v>53</v>
      </c>
      <c r="K1448">
        <v>3</v>
      </c>
      <c r="L1448">
        <v>4</v>
      </c>
      <c r="M1448">
        <v>4</v>
      </c>
      <c r="N1448">
        <v>4</v>
      </c>
      <c r="O1448">
        <v>5</v>
      </c>
      <c r="P1448">
        <v>3</v>
      </c>
      <c r="Q1448">
        <v>5</v>
      </c>
      <c r="R1448">
        <v>2</v>
      </c>
      <c r="S1448">
        <v>5</v>
      </c>
      <c r="T1448">
        <v>2</v>
      </c>
      <c r="U1448" t="s">
        <v>37</v>
      </c>
      <c r="V1448" t="s">
        <v>54</v>
      </c>
      <c r="W1448" t="s">
        <v>32</v>
      </c>
      <c r="X1448" t="s">
        <v>44</v>
      </c>
      <c r="Y1448">
        <v>57</v>
      </c>
      <c r="Z1448" s="1">
        <v>45277</v>
      </c>
      <c r="AA1448" t="str" cm="1">
        <f t="array" ref="AA1448">_xlfn.IFS(AND(Table2[[#This Row],[Guest_Age]]&gt;=18,Table2[[#This Row],[Guest_Age]]&lt;=25),"Young Adults",AND(Table2[[#This Row],[Guest_Age]]&gt;=26,Table2[[#This Row],[Guest_Age]]&lt;=35),"Adults",AND(Table2[[#This Row],[Guest_Age]]&gt;=36,Table2[[#This Row],[Guest_Age]]&lt;=50),"Middle Aged Adults",Table2[[#This Row],[Guest_Age]]&gt;50,"Senior")</f>
        <v>Senior</v>
      </c>
      <c r="AB14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448" t="str" cm="1">
        <f t="array" ref="AC1448">_xlfn.IFS(Table2[[#This Row],[Satification_points]]&gt;=4.5,"GREAT",AND(Table2[[#This Row],[Satification_points]]&gt;=4,Table2[[#This Row],[Satification_points]]&lt;4.5),"GOOD",AND(Table2[[#This Row],[Satification_points]]&gt;=3,Table2[[#This Row],[Satification_points]]&lt;4),"AVERAGE",Table2[[#This Row],[Satification_points]]&lt;3,"POOR")</f>
        <v>AVERAGE</v>
      </c>
    </row>
    <row r="1449" spans="1:29" x14ac:dyDescent="0.3">
      <c r="A1449">
        <v>1448</v>
      </c>
      <c r="B1449">
        <v>92078</v>
      </c>
      <c r="C1449" t="s">
        <v>1491</v>
      </c>
      <c r="D1449" t="s">
        <v>48</v>
      </c>
      <c r="E1449" t="s">
        <v>45</v>
      </c>
      <c r="F1449" s="1">
        <v>44957</v>
      </c>
      <c r="G1449" s="1">
        <v>45516</v>
      </c>
      <c r="H1449">
        <v>6</v>
      </c>
      <c r="I1449" t="s">
        <v>28</v>
      </c>
      <c r="J1449" t="s">
        <v>36</v>
      </c>
      <c r="K1449">
        <v>2</v>
      </c>
      <c r="L1449">
        <v>1</v>
      </c>
      <c r="M1449">
        <v>2</v>
      </c>
      <c r="N1449">
        <v>3</v>
      </c>
      <c r="O1449">
        <v>5</v>
      </c>
      <c r="P1449">
        <v>5</v>
      </c>
      <c r="Q1449">
        <v>3</v>
      </c>
      <c r="R1449">
        <v>2</v>
      </c>
      <c r="S1449">
        <v>2</v>
      </c>
      <c r="T1449">
        <v>1</v>
      </c>
      <c r="U1449" t="s">
        <v>37</v>
      </c>
      <c r="V1449" t="s">
        <v>58</v>
      </c>
      <c r="W1449" t="s">
        <v>39</v>
      </c>
      <c r="X1449" t="s">
        <v>40</v>
      </c>
      <c r="Y1449">
        <v>39</v>
      </c>
      <c r="Z1449" s="1">
        <v>45516</v>
      </c>
      <c r="AA1449" t="str" cm="1">
        <f t="array" ref="AA144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449" t="str" cm="1">
        <f t="array" ref="AC1449">_xlfn.IFS(Table2[[#This Row],[Satification_points]]&gt;=4.5,"GREAT",AND(Table2[[#This Row],[Satification_points]]&gt;=4,Table2[[#This Row],[Satification_points]]&lt;4.5),"GOOD",AND(Table2[[#This Row],[Satification_points]]&gt;=3,Table2[[#This Row],[Satification_points]]&lt;4),"AVERAGE",Table2[[#This Row],[Satification_points]]&lt;3,"POOR")</f>
        <v>POOR</v>
      </c>
    </row>
    <row r="1450" spans="1:29" x14ac:dyDescent="0.3">
      <c r="A1450">
        <v>1449</v>
      </c>
      <c r="B1450">
        <v>30162</v>
      </c>
      <c r="C1450" t="s">
        <v>1492</v>
      </c>
      <c r="D1450" t="s">
        <v>51</v>
      </c>
      <c r="E1450" t="s">
        <v>52</v>
      </c>
      <c r="F1450" s="1">
        <v>45384</v>
      </c>
      <c r="G1450" s="1">
        <v>45385</v>
      </c>
      <c r="H1450">
        <v>1</v>
      </c>
      <c r="I1450" t="s">
        <v>28</v>
      </c>
      <c r="J1450" t="s">
        <v>36</v>
      </c>
      <c r="K1450">
        <v>4</v>
      </c>
      <c r="L1450">
        <v>5</v>
      </c>
      <c r="M1450">
        <v>5</v>
      </c>
      <c r="N1450">
        <v>5</v>
      </c>
      <c r="O1450">
        <v>5</v>
      </c>
      <c r="P1450">
        <v>2</v>
      </c>
      <c r="Q1450">
        <v>5</v>
      </c>
      <c r="R1450">
        <v>5</v>
      </c>
      <c r="S1450">
        <v>3</v>
      </c>
      <c r="T1450">
        <v>3</v>
      </c>
      <c r="U1450" t="s">
        <v>37</v>
      </c>
      <c r="V1450" t="s">
        <v>58</v>
      </c>
      <c r="W1450" t="s">
        <v>56</v>
      </c>
      <c r="X1450" t="s">
        <v>33</v>
      </c>
      <c r="Y1450">
        <v>56</v>
      </c>
      <c r="Z1450" s="1">
        <v>45385</v>
      </c>
      <c r="AA1450" t="str" cm="1">
        <f t="array" ref="AA1450">_xlfn.IFS(AND(Table2[[#This Row],[Guest_Age]]&gt;=18,Table2[[#This Row],[Guest_Age]]&lt;=25),"Young Adults",AND(Table2[[#This Row],[Guest_Age]]&gt;=26,Table2[[#This Row],[Guest_Age]]&lt;=35),"Adults",AND(Table2[[#This Row],[Guest_Age]]&gt;=36,Table2[[#This Row],[Guest_Age]]&lt;=50),"Middle Aged Adults",Table2[[#This Row],[Guest_Age]]&gt;50,"Senior")</f>
        <v>Senior</v>
      </c>
      <c r="AB14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1450" t="str" cm="1">
        <f t="array" ref="AC1450">_xlfn.IFS(Table2[[#This Row],[Satification_points]]&gt;=4.5,"GREAT",AND(Table2[[#This Row],[Satification_points]]&gt;=4,Table2[[#This Row],[Satification_points]]&lt;4.5),"GOOD",AND(Table2[[#This Row],[Satification_points]]&gt;=3,Table2[[#This Row],[Satification_points]]&lt;4),"AVERAGE",Table2[[#This Row],[Satification_points]]&lt;3,"POOR")</f>
        <v>GOOD</v>
      </c>
    </row>
    <row r="1451" spans="1:29" x14ac:dyDescent="0.3">
      <c r="A1451">
        <v>1450</v>
      </c>
      <c r="B1451">
        <v>26761</v>
      </c>
      <c r="C1451" t="s">
        <v>1493</v>
      </c>
      <c r="D1451" t="s">
        <v>48</v>
      </c>
      <c r="E1451" t="s">
        <v>35</v>
      </c>
      <c r="F1451" s="1">
        <v>45017</v>
      </c>
      <c r="G1451" s="1">
        <v>45662</v>
      </c>
      <c r="H1451">
        <v>13</v>
      </c>
      <c r="I1451" t="s">
        <v>49</v>
      </c>
      <c r="J1451" t="s">
        <v>36</v>
      </c>
      <c r="K1451">
        <v>2</v>
      </c>
      <c r="L1451">
        <v>3</v>
      </c>
      <c r="M1451">
        <v>4</v>
      </c>
      <c r="N1451">
        <v>2</v>
      </c>
      <c r="O1451">
        <v>2</v>
      </c>
      <c r="P1451">
        <v>3</v>
      </c>
      <c r="Q1451">
        <v>5</v>
      </c>
      <c r="R1451">
        <v>2</v>
      </c>
      <c r="S1451">
        <v>1</v>
      </c>
      <c r="T1451">
        <v>4</v>
      </c>
      <c r="U1451" t="s">
        <v>30</v>
      </c>
      <c r="V1451" t="s">
        <v>58</v>
      </c>
      <c r="W1451" t="s">
        <v>47</v>
      </c>
      <c r="X1451" t="s">
        <v>44</v>
      </c>
      <c r="Y1451">
        <v>56</v>
      </c>
      <c r="Z1451" s="1">
        <v>45662</v>
      </c>
      <c r="AA1451" t="str" cm="1">
        <f t="array" ref="AA1451">_xlfn.IFS(AND(Table2[[#This Row],[Guest_Age]]&gt;=18,Table2[[#This Row],[Guest_Age]]&lt;=25),"Young Adults",AND(Table2[[#This Row],[Guest_Age]]&gt;=26,Table2[[#This Row],[Guest_Age]]&lt;=35),"Adults",AND(Table2[[#This Row],[Guest_Age]]&gt;=36,Table2[[#This Row],[Guest_Age]]&lt;=50),"Middle Aged Adults",Table2[[#This Row],[Guest_Age]]&gt;50,"Senior")</f>
        <v>Senior</v>
      </c>
      <c r="AB14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51" t="str" cm="1">
        <f t="array" ref="AC1451">_xlfn.IFS(Table2[[#This Row],[Satification_points]]&gt;=4.5,"GREAT",AND(Table2[[#This Row],[Satification_points]]&gt;=4,Table2[[#This Row],[Satification_points]]&lt;4.5),"GOOD",AND(Table2[[#This Row],[Satification_points]]&gt;=3,Table2[[#This Row],[Satification_points]]&lt;4),"AVERAGE",Table2[[#This Row],[Satification_points]]&lt;3,"POOR")</f>
        <v>POOR</v>
      </c>
    </row>
    <row r="1452" spans="1:29" x14ac:dyDescent="0.3">
      <c r="A1452">
        <v>1451</v>
      </c>
      <c r="B1452">
        <v>29679</v>
      </c>
      <c r="C1452" t="s">
        <v>1494</v>
      </c>
      <c r="D1452" t="s">
        <v>26</v>
      </c>
      <c r="E1452" t="s">
        <v>45</v>
      </c>
      <c r="F1452" s="1">
        <v>45054</v>
      </c>
      <c r="G1452" s="1">
        <v>45081</v>
      </c>
      <c r="H1452">
        <v>2</v>
      </c>
      <c r="I1452" t="s">
        <v>28</v>
      </c>
      <c r="J1452" t="s">
        <v>53</v>
      </c>
      <c r="K1452">
        <v>2</v>
      </c>
      <c r="L1452">
        <v>2</v>
      </c>
      <c r="M1452">
        <v>5</v>
      </c>
      <c r="N1452">
        <v>1</v>
      </c>
      <c r="O1452">
        <v>1</v>
      </c>
      <c r="P1452">
        <v>3</v>
      </c>
      <c r="Q1452">
        <v>1</v>
      </c>
      <c r="R1452">
        <v>2</v>
      </c>
      <c r="S1452">
        <v>1</v>
      </c>
      <c r="T1452">
        <v>3</v>
      </c>
      <c r="U1452" t="s">
        <v>37</v>
      </c>
      <c r="V1452" t="s">
        <v>54</v>
      </c>
      <c r="W1452" t="s">
        <v>55</v>
      </c>
      <c r="X1452" t="s">
        <v>40</v>
      </c>
      <c r="Y1452">
        <v>64</v>
      </c>
      <c r="Z1452" s="1">
        <v>45584</v>
      </c>
      <c r="AA1452" t="str" cm="1">
        <f t="array" ref="AA1452">_xlfn.IFS(AND(Table2[[#This Row],[Guest_Age]]&gt;=18,Table2[[#This Row],[Guest_Age]]&lt;=25),"Young Adults",AND(Table2[[#This Row],[Guest_Age]]&gt;=26,Table2[[#This Row],[Guest_Age]]&lt;=35),"Adults",AND(Table2[[#This Row],[Guest_Age]]&gt;=36,Table2[[#This Row],[Guest_Age]]&lt;=50),"Middle Aged Adults",Table2[[#This Row],[Guest_Age]]&gt;50,"Senior")</f>
        <v>Senior</v>
      </c>
      <c r="AB14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452" t="str" cm="1">
        <f t="array" ref="AC1452">_xlfn.IFS(Table2[[#This Row],[Satification_points]]&gt;=4.5,"GREAT",AND(Table2[[#This Row],[Satification_points]]&gt;=4,Table2[[#This Row],[Satification_points]]&lt;4.5),"GOOD",AND(Table2[[#This Row],[Satification_points]]&gt;=3,Table2[[#This Row],[Satification_points]]&lt;4),"AVERAGE",Table2[[#This Row],[Satification_points]]&lt;3,"POOR")</f>
        <v>POOR</v>
      </c>
    </row>
    <row r="1453" spans="1:29" x14ac:dyDescent="0.3">
      <c r="A1453">
        <v>1452</v>
      </c>
      <c r="B1453">
        <v>84441</v>
      </c>
      <c r="C1453" t="s">
        <v>1495</v>
      </c>
      <c r="D1453" t="s">
        <v>51</v>
      </c>
      <c r="E1453" t="s">
        <v>52</v>
      </c>
      <c r="F1453" s="1">
        <v>45474</v>
      </c>
      <c r="G1453" s="1">
        <v>45475</v>
      </c>
      <c r="H1453">
        <v>4</v>
      </c>
      <c r="I1453" t="s">
        <v>28</v>
      </c>
      <c r="J1453" t="s">
        <v>43</v>
      </c>
      <c r="K1453">
        <v>3</v>
      </c>
      <c r="L1453">
        <v>4</v>
      </c>
      <c r="M1453">
        <v>5</v>
      </c>
      <c r="N1453">
        <v>4</v>
      </c>
      <c r="O1453">
        <v>5</v>
      </c>
      <c r="P1453">
        <v>3</v>
      </c>
      <c r="Q1453">
        <v>1</v>
      </c>
      <c r="R1453">
        <v>2</v>
      </c>
      <c r="S1453">
        <v>4</v>
      </c>
      <c r="T1453">
        <v>1</v>
      </c>
      <c r="U1453" t="s">
        <v>30</v>
      </c>
      <c r="V1453" t="s">
        <v>46</v>
      </c>
      <c r="W1453" t="s">
        <v>32</v>
      </c>
      <c r="X1453" t="s">
        <v>40</v>
      </c>
      <c r="Y1453">
        <v>61</v>
      </c>
      <c r="Z1453" s="1">
        <v>45593</v>
      </c>
      <c r="AA1453" t="str" cm="1">
        <f t="array" ref="AA1453">_xlfn.IFS(AND(Table2[[#This Row],[Guest_Age]]&gt;=18,Table2[[#This Row],[Guest_Age]]&lt;=25),"Young Adults",AND(Table2[[#This Row],[Guest_Age]]&gt;=26,Table2[[#This Row],[Guest_Age]]&lt;=35),"Adults",AND(Table2[[#This Row],[Guest_Age]]&gt;=36,Table2[[#This Row],[Guest_Age]]&lt;=50),"Middle Aged Adults",Table2[[#This Row],[Guest_Age]]&gt;50,"Senior")</f>
        <v>Senior</v>
      </c>
      <c r="AB14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53" t="str" cm="1">
        <f t="array" ref="AC1453">_xlfn.IFS(Table2[[#This Row],[Satification_points]]&gt;=4.5,"GREAT",AND(Table2[[#This Row],[Satification_points]]&gt;=4,Table2[[#This Row],[Satification_points]]&lt;4.5),"GOOD",AND(Table2[[#This Row],[Satification_points]]&gt;=3,Table2[[#This Row],[Satification_points]]&lt;4),"AVERAGE",Table2[[#This Row],[Satification_points]]&lt;3,"POOR")</f>
        <v>AVERAGE</v>
      </c>
    </row>
    <row r="1454" spans="1:29" x14ac:dyDescent="0.3">
      <c r="A1454">
        <v>1453</v>
      </c>
      <c r="B1454">
        <v>22379</v>
      </c>
      <c r="C1454" t="s">
        <v>1496</v>
      </c>
      <c r="D1454" t="s">
        <v>48</v>
      </c>
      <c r="E1454" t="s">
        <v>35</v>
      </c>
      <c r="F1454" s="1">
        <v>45651</v>
      </c>
      <c r="G1454" s="1">
        <v>45652</v>
      </c>
      <c r="H1454">
        <v>14</v>
      </c>
      <c r="I1454" t="s">
        <v>50</v>
      </c>
      <c r="J1454" t="s">
        <v>29</v>
      </c>
      <c r="K1454">
        <v>2</v>
      </c>
      <c r="L1454">
        <v>3</v>
      </c>
      <c r="M1454">
        <v>2</v>
      </c>
      <c r="N1454">
        <v>1</v>
      </c>
      <c r="O1454">
        <v>5</v>
      </c>
      <c r="P1454">
        <v>1</v>
      </c>
      <c r="Q1454">
        <v>3</v>
      </c>
      <c r="R1454">
        <v>4</v>
      </c>
      <c r="S1454">
        <v>5</v>
      </c>
      <c r="T1454">
        <v>1</v>
      </c>
      <c r="U1454" t="s">
        <v>37</v>
      </c>
      <c r="V1454" t="s">
        <v>54</v>
      </c>
      <c r="W1454" t="s">
        <v>56</v>
      </c>
      <c r="X1454" t="s">
        <v>40</v>
      </c>
      <c r="Y1454">
        <v>33</v>
      </c>
      <c r="Z1454" s="1">
        <v>45652</v>
      </c>
      <c r="AA1454" t="str" cm="1">
        <f t="array" ref="AA1454">_xlfn.IFS(AND(Table2[[#This Row],[Guest_Age]]&gt;=18,Table2[[#This Row],[Guest_Age]]&lt;=25),"Young Adults",AND(Table2[[#This Row],[Guest_Age]]&gt;=26,Table2[[#This Row],[Guest_Age]]&lt;=35),"Adults",AND(Table2[[#This Row],[Guest_Age]]&gt;=36,Table2[[#This Row],[Guest_Age]]&lt;=50),"Middle Aged Adults",Table2[[#This Row],[Guest_Age]]&gt;50,"Senior")</f>
        <v>Adults</v>
      </c>
      <c r="AB14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54" t="str" cm="1">
        <f t="array" ref="AC1454">_xlfn.IFS(Table2[[#This Row],[Satification_points]]&gt;=4.5,"GREAT",AND(Table2[[#This Row],[Satification_points]]&gt;=4,Table2[[#This Row],[Satification_points]]&lt;4.5),"GOOD",AND(Table2[[#This Row],[Satification_points]]&gt;=3,Table2[[#This Row],[Satification_points]]&lt;4),"AVERAGE",Table2[[#This Row],[Satification_points]]&lt;3,"POOR")</f>
        <v>POOR</v>
      </c>
    </row>
    <row r="1455" spans="1:29" x14ac:dyDescent="0.3">
      <c r="A1455">
        <v>1454</v>
      </c>
      <c r="B1455">
        <v>57770</v>
      </c>
      <c r="C1455" t="s">
        <v>1497</v>
      </c>
      <c r="D1455" t="s">
        <v>26</v>
      </c>
      <c r="E1455" t="s">
        <v>52</v>
      </c>
      <c r="F1455" s="1">
        <v>45435</v>
      </c>
      <c r="G1455" s="1">
        <v>45436</v>
      </c>
      <c r="H1455">
        <v>5</v>
      </c>
      <c r="I1455" t="s">
        <v>50</v>
      </c>
      <c r="J1455" t="s">
        <v>29</v>
      </c>
      <c r="K1455">
        <v>4</v>
      </c>
      <c r="L1455">
        <v>3</v>
      </c>
      <c r="M1455">
        <v>4</v>
      </c>
      <c r="N1455">
        <v>5</v>
      </c>
      <c r="O1455">
        <v>4</v>
      </c>
      <c r="P1455">
        <v>1</v>
      </c>
      <c r="Q1455">
        <v>4</v>
      </c>
      <c r="R1455">
        <v>5</v>
      </c>
      <c r="S1455">
        <v>4</v>
      </c>
      <c r="T1455">
        <v>3</v>
      </c>
      <c r="U1455" t="s">
        <v>30</v>
      </c>
      <c r="V1455" t="s">
        <v>58</v>
      </c>
      <c r="W1455" t="s">
        <v>47</v>
      </c>
      <c r="X1455" t="s">
        <v>40</v>
      </c>
      <c r="Y1455">
        <v>65</v>
      </c>
      <c r="Z1455" s="1">
        <v>45436</v>
      </c>
      <c r="AA1455" t="str" cm="1">
        <f t="array" ref="AA1455">_xlfn.IFS(AND(Table2[[#This Row],[Guest_Age]]&gt;=18,Table2[[#This Row],[Guest_Age]]&lt;=25),"Young Adults",AND(Table2[[#This Row],[Guest_Age]]&gt;=26,Table2[[#This Row],[Guest_Age]]&lt;=35),"Adults",AND(Table2[[#This Row],[Guest_Age]]&gt;=36,Table2[[#This Row],[Guest_Age]]&lt;=50),"Middle Aged Adults",Table2[[#This Row],[Guest_Age]]&gt;50,"Senior")</f>
        <v>Senior</v>
      </c>
      <c r="AB14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455" t="str" cm="1">
        <f t="array" ref="AC1455">_xlfn.IFS(Table2[[#This Row],[Satification_points]]&gt;=4.5,"GREAT",AND(Table2[[#This Row],[Satification_points]]&gt;=4,Table2[[#This Row],[Satification_points]]&lt;4.5),"GOOD",AND(Table2[[#This Row],[Satification_points]]&gt;=3,Table2[[#This Row],[Satification_points]]&lt;4),"AVERAGE",Table2[[#This Row],[Satification_points]]&lt;3,"POOR")</f>
        <v>AVERAGE</v>
      </c>
    </row>
    <row r="1456" spans="1:29" x14ac:dyDescent="0.3">
      <c r="A1456">
        <v>1455</v>
      </c>
      <c r="B1456">
        <v>69567</v>
      </c>
      <c r="C1456" t="s">
        <v>1498</v>
      </c>
      <c r="D1456" t="s">
        <v>34</v>
      </c>
      <c r="E1456" t="s">
        <v>57</v>
      </c>
      <c r="F1456" s="1">
        <v>45163</v>
      </c>
      <c r="G1456" s="1">
        <v>45520</v>
      </c>
      <c r="H1456">
        <v>14</v>
      </c>
      <c r="I1456" t="s">
        <v>50</v>
      </c>
      <c r="J1456" t="s">
        <v>29</v>
      </c>
      <c r="K1456">
        <v>4</v>
      </c>
      <c r="L1456">
        <v>1</v>
      </c>
      <c r="M1456">
        <v>1</v>
      </c>
      <c r="N1456">
        <v>2</v>
      </c>
      <c r="O1456">
        <v>3</v>
      </c>
      <c r="P1456">
        <v>2</v>
      </c>
      <c r="Q1456">
        <v>5</v>
      </c>
      <c r="R1456">
        <v>5</v>
      </c>
      <c r="S1456">
        <v>2</v>
      </c>
      <c r="T1456">
        <v>5</v>
      </c>
      <c r="U1456" t="s">
        <v>37</v>
      </c>
      <c r="V1456" t="s">
        <v>58</v>
      </c>
      <c r="W1456" t="s">
        <v>56</v>
      </c>
      <c r="X1456" t="s">
        <v>40</v>
      </c>
      <c r="Y1456">
        <v>51</v>
      </c>
      <c r="Z1456" s="1">
        <v>45520</v>
      </c>
      <c r="AA1456" t="str" cm="1">
        <f t="array" ref="AA1456">_xlfn.IFS(AND(Table2[[#This Row],[Guest_Age]]&gt;=18,Table2[[#This Row],[Guest_Age]]&lt;=25),"Young Adults",AND(Table2[[#This Row],[Guest_Age]]&gt;=26,Table2[[#This Row],[Guest_Age]]&lt;=35),"Adults",AND(Table2[[#This Row],[Guest_Age]]&gt;=36,Table2[[#This Row],[Guest_Age]]&lt;=50),"Middle Aged Adults",Table2[[#This Row],[Guest_Age]]&gt;50,"Senior")</f>
        <v>Senior</v>
      </c>
      <c r="AB14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456" t="str" cm="1">
        <f t="array" ref="AC1456">_xlfn.IFS(Table2[[#This Row],[Satification_points]]&gt;=4.5,"GREAT",AND(Table2[[#This Row],[Satification_points]]&gt;=4,Table2[[#This Row],[Satification_points]]&lt;4.5),"GOOD",AND(Table2[[#This Row],[Satification_points]]&gt;=3,Table2[[#This Row],[Satification_points]]&lt;4),"AVERAGE",Table2[[#This Row],[Satification_points]]&lt;3,"POOR")</f>
        <v>AVERAGE</v>
      </c>
    </row>
    <row r="1457" spans="1:29" x14ac:dyDescent="0.3">
      <c r="A1457">
        <v>1456</v>
      </c>
      <c r="B1457">
        <v>23421</v>
      </c>
      <c r="C1457" t="s">
        <v>1499</v>
      </c>
      <c r="D1457" t="s">
        <v>26</v>
      </c>
      <c r="E1457" t="s">
        <v>52</v>
      </c>
      <c r="F1457" s="1">
        <v>45459</v>
      </c>
      <c r="G1457" s="1">
        <v>45492</v>
      </c>
      <c r="H1457">
        <v>1</v>
      </c>
      <c r="I1457" t="s">
        <v>50</v>
      </c>
      <c r="J1457" t="s">
        <v>29</v>
      </c>
      <c r="K1457">
        <v>1</v>
      </c>
      <c r="L1457">
        <v>1</v>
      </c>
      <c r="M1457">
        <v>2</v>
      </c>
      <c r="N1457">
        <v>4</v>
      </c>
      <c r="O1457">
        <v>2</v>
      </c>
      <c r="P1457">
        <v>1</v>
      </c>
      <c r="Q1457">
        <v>2</v>
      </c>
      <c r="R1457">
        <v>3</v>
      </c>
      <c r="S1457">
        <v>2</v>
      </c>
      <c r="T1457">
        <v>5</v>
      </c>
      <c r="U1457" t="s">
        <v>37</v>
      </c>
      <c r="V1457" t="s">
        <v>58</v>
      </c>
      <c r="W1457" t="s">
        <v>32</v>
      </c>
      <c r="X1457" t="s">
        <v>33</v>
      </c>
      <c r="Y1457">
        <v>63</v>
      </c>
      <c r="Z1457" s="1">
        <v>45492</v>
      </c>
      <c r="AA1457" t="str" cm="1">
        <f t="array" ref="AA1457">_xlfn.IFS(AND(Table2[[#This Row],[Guest_Age]]&gt;=18,Table2[[#This Row],[Guest_Age]]&lt;=25),"Young Adults",AND(Table2[[#This Row],[Guest_Age]]&gt;=26,Table2[[#This Row],[Guest_Age]]&lt;=35),"Adults",AND(Table2[[#This Row],[Guest_Age]]&gt;=36,Table2[[#This Row],[Guest_Age]]&lt;=50),"Middle Aged Adults",Table2[[#This Row],[Guest_Age]]&gt;50,"Senior")</f>
        <v>Senior</v>
      </c>
      <c r="AB14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457" t="str" cm="1">
        <f t="array" ref="AC1457">_xlfn.IFS(Table2[[#This Row],[Satification_points]]&gt;=4.5,"GREAT",AND(Table2[[#This Row],[Satification_points]]&gt;=4,Table2[[#This Row],[Satification_points]]&lt;4.5),"GOOD",AND(Table2[[#This Row],[Satification_points]]&gt;=3,Table2[[#This Row],[Satification_points]]&lt;4),"AVERAGE",Table2[[#This Row],[Satification_points]]&lt;3,"POOR")</f>
        <v>POOR</v>
      </c>
    </row>
    <row r="1458" spans="1:29" x14ac:dyDescent="0.3">
      <c r="A1458">
        <v>1457</v>
      </c>
      <c r="B1458">
        <v>58938</v>
      </c>
      <c r="C1458" t="s">
        <v>1500</v>
      </c>
      <c r="D1458" t="s">
        <v>48</v>
      </c>
      <c r="E1458" t="s">
        <v>57</v>
      </c>
      <c r="F1458" s="1">
        <v>45534</v>
      </c>
      <c r="G1458" s="1">
        <v>45596</v>
      </c>
      <c r="H1458">
        <v>10</v>
      </c>
      <c r="I1458" t="s">
        <v>28</v>
      </c>
      <c r="J1458" t="s">
        <v>36</v>
      </c>
      <c r="K1458">
        <v>5</v>
      </c>
      <c r="L1458">
        <v>1</v>
      </c>
      <c r="M1458">
        <v>1</v>
      </c>
      <c r="N1458">
        <v>3</v>
      </c>
      <c r="O1458">
        <v>2</v>
      </c>
      <c r="P1458">
        <v>3</v>
      </c>
      <c r="Q1458">
        <v>3</v>
      </c>
      <c r="R1458">
        <v>3</v>
      </c>
      <c r="S1458">
        <v>2</v>
      </c>
      <c r="T1458">
        <v>1</v>
      </c>
      <c r="U1458" t="s">
        <v>30</v>
      </c>
      <c r="V1458" t="s">
        <v>46</v>
      </c>
      <c r="W1458" t="s">
        <v>55</v>
      </c>
      <c r="X1458" t="s">
        <v>40</v>
      </c>
      <c r="Y1458">
        <v>33</v>
      </c>
      <c r="Z1458" s="1">
        <v>45596</v>
      </c>
      <c r="AA1458" t="str" cm="1">
        <f t="array" ref="AA1458">_xlfn.IFS(AND(Table2[[#This Row],[Guest_Age]]&gt;=18,Table2[[#This Row],[Guest_Age]]&lt;=25),"Young Adults",AND(Table2[[#This Row],[Guest_Age]]&gt;=26,Table2[[#This Row],[Guest_Age]]&lt;=35),"Adults",AND(Table2[[#This Row],[Guest_Age]]&gt;=36,Table2[[#This Row],[Guest_Age]]&lt;=50),"Middle Aged Adults",Table2[[#This Row],[Guest_Age]]&gt;50,"Senior")</f>
        <v>Adults</v>
      </c>
      <c r="AB14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458" t="str" cm="1">
        <f t="array" ref="AC1458">_xlfn.IFS(Table2[[#This Row],[Satification_points]]&gt;=4.5,"GREAT",AND(Table2[[#This Row],[Satification_points]]&gt;=4,Table2[[#This Row],[Satification_points]]&lt;4.5),"GOOD",AND(Table2[[#This Row],[Satification_points]]&gt;=3,Table2[[#This Row],[Satification_points]]&lt;4),"AVERAGE",Table2[[#This Row],[Satification_points]]&lt;3,"POOR")</f>
        <v>POOR</v>
      </c>
    </row>
    <row r="1459" spans="1:29" x14ac:dyDescent="0.3">
      <c r="A1459">
        <v>1458</v>
      </c>
      <c r="B1459">
        <v>20974</v>
      </c>
      <c r="C1459" t="s">
        <v>1501</v>
      </c>
      <c r="D1459" t="s">
        <v>51</v>
      </c>
      <c r="E1459" t="s">
        <v>57</v>
      </c>
      <c r="F1459" s="1">
        <v>44977</v>
      </c>
      <c r="G1459" s="1">
        <v>45296</v>
      </c>
      <c r="H1459">
        <v>7</v>
      </c>
      <c r="I1459" t="s">
        <v>28</v>
      </c>
      <c r="J1459" t="s">
        <v>43</v>
      </c>
      <c r="K1459">
        <v>2</v>
      </c>
      <c r="L1459">
        <v>3</v>
      </c>
      <c r="M1459">
        <v>1</v>
      </c>
      <c r="N1459">
        <v>3</v>
      </c>
      <c r="O1459">
        <v>4</v>
      </c>
      <c r="P1459">
        <v>4</v>
      </c>
      <c r="Q1459">
        <v>5</v>
      </c>
      <c r="R1459">
        <v>2</v>
      </c>
      <c r="S1459">
        <v>5</v>
      </c>
      <c r="T1459">
        <v>5</v>
      </c>
      <c r="U1459" t="s">
        <v>37</v>
      </c>
      <c r="V1459" t="s">
        <v>46</v>
      </c>
      <c r="W1459" t="s">
        <v>32</v>
      </c>
      <c r="X1459" t="s">
        <v>44</v>
      </c>
      <c r="Y1459">
        <v>31</v>
      </c>
      <c r="Z1459" s="1">
        <v>45301</v>
      </c>
      <c r="AA1459" t="str" cm="1">
        <f t="array" ref="AA1459">_xlfn.IFS(AND(Table2[[#This Row],[Guest_Age]]&gt;=18,Table2[[#This Row],[Guest_Age]]&lt;=25),"Young Adults",AND(Table2[[#This Row],[Guest_Age]]&gt;=26,Table2[[#This Row],[Guest_Age]]&lt;=35),"Adults",AND(Table2[[#This Row],[Guest_Age]]&gt;=36,Table2[[#This Row],[Guest_Age]]&lt;=50),"Middle Aged Adults",Table2[[#This Row],[Guest_Age]]&gt;50,"Senior")</f>
        <v>Adults</v>
      </c>
      <c r="AB14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59" t="str" cm="1">
        <f t="array" ref="AC1459">_xlfn.IFS(Table2[[#This Row],[Satification_points]]&gt;=4.5,"GREAT",AND(Table2[[#This Row],[Satification_points]]&gt;=4,Table2[[#This Row],[Satification_points]]&lt;4.5),"GOOD",AND(Table2[[#This Row],[Satification_points]]&gt;=3,Table2[[#This Row],[Satification_points]]&lt;4),"AVERAGE",Table2[[#This Row],[Satification_points]]&lt;3,"POOR")</f>
        <v>AVERAGE</v>
      </c>
    </row>
    <row r="1460" spans="1:29" x14ac:dyDescent="0.3">
      <c r="A1460">
        <v>1459</v>
      </c>
      <c r="B1460">
        <v>12500</v>
      </c>
      <c r="C1460" t="s">
        <v>1502</v>
      </c>
      <c r="D1460" t="s">
        <v>51</v>
      </c>
      <c r="E1460" t="s">
        <v>52</v>
      </c>
      <c r="F1460" s="1">
        <v>45395</v>
      </c>
      <c r="G1460" s="1">
        <v>45586</v>
      </c>
      <c r="H1460">
        <v>13</v>
      </c>
      <c r="I1460" t="s">
        <v>49</v>
      </c>
      <c r="J1460" t="s">
        <v>29</v>
      </c>
      <c r="K1460">
        <v>2</v>
      </c>
      <c r="L1460">
        <v>1</v>
      </c>
      <c r="M1460">
        <v>1</v>
      </c>
      <c r="N1460">
        <v>4</v>
      </c>
      <c r="O1460">
        <v>5</v>
      </c>
      <c r="P1460">
        <v>2</v>
      </c>
      <c r="Q1460">
        <v>1</v>
      </c>
      <c r="R1460">
        <v>5</v>
      </c>
      <c r="S1460">
        <v>1</v>
      </c>
      <c r="T1460">
        <v>5</v>
      </c>
      <c r="U1460" t="s">
        <v>37</v>
      </c>
      <c r="V1460" t="s">
        <v>38</v>
      </c>
      <c r="W1460" t="s">
        <v>55</v>
      </c>
      <c r="X1460" t="s">
        <v>40</v>
      </c>
      <c r="Y1460">
        <v>23</v>
      </c>
      <c r="Z1460" s="1">
        <v>45586</v>
      </c>
      <c r="AA1460" t="str" cm="1">
        <f t="array" ref="AA1460">_xlfn.IFS(AND(Table2[[#This Row],[Guest_Age]]&gt;=18,Table2[[#This Row],[Guest_Age]]&lt;=25),"Young Adults",AND(Table2[[#This Row],[Guest_Age]]&gt;=26,Table2[[#This Row],[Guest_Age]]&lt;=35),"Adults",AND(Table2[[#This Row],[Guest_Age]]&gt;=36,Table2[[#This Row],[Guest_Age]]&lt;=50),"Middle Aged Adults",Table2[[#This Row],[Guest_Age]]&gt;50,"Senior")</f>
        <v>Young Adults</v>
      </c>
      <c r="AB14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60" t="str" cm="1">
        <f t="array" ref="AC1460">_xlfn.IFS(Table2[[#This Row],[Satification_points]]&gt;=4.5,"GREAT",AND(Table2[[#This Row],[Satification_points]]&gt;=4,Table2[[#This Row],[Satification_points]]&lt;4.5),"GOOD",AND(Table2[[#This Row],[Satification_points]]&gt;=3,Table2[[#This Row],[Satification_points]]&lt;4),"AVERAGE",Table2[[#This Row],[Satification_points]]&lt;3,"POOR")</f>
        <v>POOR</v>
      </c>
    </row>
    <row r="1461" spans="1:29" x14ac:dyDescent="0.3">
      <c r="A1461">
        <v>1460</v>
      </c>
      <c r="B1461">
        <v>70490</v>
      </c>
      <c r="C1461" t="s">
        <v>1503</v>
      </c>
      <c r="D1461" t="s">
        <v>34</v>
      </c>
      <c r="E1461" t="s">
        <v>57</v>
      </c>
      <c r="F1461" s="1">
        <v>45314</v>
      </c>
      <c r="G1461" s="1">
        <v>45621</v>
      </c>
      <c r="H1461">
        <v>4</v>
      </c>
      <c r="I1461" t="s">
        <v>42</v>
      </c>
      <c r="J1461" t="s">
        <v>43</v>
      </c>
      <c r="K1461">
        <v>4</v>
      </c>
      <c r="L1461">
        <v>2</v>
      </c>
      <c r="M1461">
        <v>1</v>
      </c>
      <c r="N1461">
        <v>4</v>
      </c>
      <c r="O1461">
        <v>4</v>
      </c>
      <c r="P1461">
        <v>2</v>
      </c>
      <c r="Q1461">
        <v>1</v>
      </c>
      <c r="R1461">
        <v>2</v>
      </c>
      <c r="S1461">
        <v>3</v>
      </c>
      <c r="T1461">
        <v>2</v>
      </c>
      <c r="U1461" t="s">
        <v>30</v>
      </c>
      <c r="V1461" t="s">
        <v>38</v>
      </c>
      <c r="W1461" t="s">
        <v>39</v>
      </c>
      <c r="X1461" t="s">
        <v>40</v>
      </c>
      <c r="Y1461">
        <v>67</v>
      </c>
      <c r="Z1461" s="1">
        <v>45621</v>
      </c>
      <c r="AA1461" t="str" cm="1">
        <f t="array" ref="AA1461">_xlfn.IFS(AND(Table2[[#This Row],[Guest_Age]]&gt;=18,Table2[[#This Row],[Guest_Age]]&lt;=25),"Young Adults",AND(Table2[[#This Row],[Guest_Age]]&gt;=26,Table2[[#This Row],[Guest_Age]]&lt;=35),"Adults",AND(Table2[[#This Row],[Guest_Age]]&gt;=36,Table2[[#This Row],[Guest_Age]]&lt;=50),"Middle Aged Adults",Table2[[#This Row],[Guest_Age]]&gt;50,"Senior")</f>
        <v>Senior</v>
      </c>
      <c r="AB14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461" t="str" cm="1">
        <f t="array" ref="AC1461">_xlfn.IFS(Table2[[#This Row],[Satification_points]]&gt;=4.5,"GREAT",AND(Table2[[#This Row],[Satification_points]]&gt;=4,Table2[[#This Row],[Satification_points]]&lt;4.5),"GOOD",AND(Table2[[#This Row],[Satification_points]]&gt;=3,Table2[[#This Row],[Satification_points]]&lt;4),"AVERAGE",Table2[[#This Row],[Satification_points]]&lt;3,"POOR")</f>
        <v>POOR</v>
      </c>
    </row>
    <row r="1462" spans="1:29" x14ac:dyDescent="0.3">
      <c r="A1462">
        <v>1461</v>
      </c>
      <c r="B1462">
        <v>61015</v>
      </c>
      <c r="C1462" t="s">
        <v>1504</v>
      </c>
      <c r="D1462" t="s">
        <v>48</v>
      </c>
      <c r="E1462" t="s">
        <v>35</v>
      </c>
      <c r="F1462" s="1">
        <v>44988</v>
      </c>
      <c r="G1462" s="1">
        <v>45005</v>
      </c>
      <c r="H1462">
        <v>14</v>
      </c>
      <c r="I1462" t="s">
        <v>42</v>
      </c>
      <c r="J1462" t="s">
        <v>53</v>
      </c>
      <c r="K1462">
        <v>2</v>
      </c>
      <c r="L1462">
        <v>3</v>
      </c>
      <c r="M1462">
        <v>4</v>
      </c>
      <c r="N1462">
        <v>5</v>
      </c>
      <c r="O1462">
        <v>1</v>
      </c>
      <c r="P1462">
        <v>3</v>
      </c>
      <c r="Q1462">
        <v>1</v>
      </c>
      <c r="R1462">
        <v>4</v>
      </c>
      <c r="S1462">
        <v>3</v>
      </c>
      <c r="T1462">
        <v>3</v>
      </c>
      <c r="U1462" t="s">
        <v>30</v>
      </c>
      <c r="V1462" t="s">
        <v>31</v>
      </c>
      <c r="W1462" t="s">
        <v>47</v>
      </c>
      <c r="X1462" t="s">
        <v>33</v>
      </c>
      <c r="Y1462">
        <v>27</v>
      </c>
      <c r="Z1462" s="1">
        <v>45029</v>
      </c>
      <c r="AA1462" t="str" cm="1">
        <f t="array" ref="AA1462">_xlfn.IFS(AND(Table2[[#This Row],[Guest_Age]]&gt;=18,Table2[[#This Row],[Guest_Age]]&lt;=25),"Young Adults",AND(Table2[[#This Row],[Guest_Age]]&gt;=26,Table2[[#This Row],[Guest_Age]]&lt;=35),"Adults",AND(Table2[[#This Row],[Guest_Age]]&gt;=36,Table2[[#This Row],[Guest_Age]]&lt;=50),"Middle Aged Adults",Table2[[#This Row],[Guest_Age]]&gt;50,"Senior")</f>
        <v>Adults</v>
      </c>
      <c r="AB14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62" t="str" cm="1">
        <f t="array" ref="AC1462">_xlfn.IFS(Table2[[#This Row],[Satification_points]]&gt;=4.5,"GREAT",AND(Table2[[#This Row],[Satification_points]]&gt;=4,Table2[[#This Row],[Satification_points]]&lt;4.5),"GOOD",AND(Table2[[#This Row],[Satification_points]]&gt;=3,Table2[[#This Row],[Satification_points]]&lt;4),"AVERAGE",Table2[[#This Row],[Satification_points]]&lt;3,"POOR")</f>
        <v>POOR</v>
      </c>
    </row>
    <row r="1463" spans="1:29" x14ac:dyDescent="0.3">
      <c r="A1463">
        <v>1462</v>
      </c>
      <c r="B1463">
        <v>59643</v>
      </c>
      <c r="C1463" t="s">
        <v>1505</v>
      </c>
      <c r="D1463" t="s">
        <v>34</v>
      </c>
      <c r="E1463" t="s">
        <v>57</v>
      </c>
      <c r="F1463" s="1">
        <v>45269</v>
      </c>
      <c r="G1463" s="1">
        <v>45270</v>
      </c>
      <c r="H1463">
        <v>14</v>
      </c>
      <c r="I1463" t="s">
        <v>50</v>
      </c>
      <c r="J1463" t="s">
        <v>53</v>
      </c>
      <c r="K1463">
        <v>4</v>
      </c>
      <c r="L1463">
        <v>1</v>
      </c>
      <c r="M1463">
        <v>5</v>
      </c>
      <c r="N1463">
        <v>2</v>
      </c>
      <c r="O1463">
        <v>5</v>
      </c>
      <c r="P1463">
        <v>5</v>
      </c>
      <c r="Q1463">
        <v>1</v>
      </c>
      <c r="R1463">
        <v>5</v>
      </c>
      <c r="S1463">
        <v>2</v>
      </c>
      <c r="T1463">
        <v>2</v>
      </c>
      <c r="U1463" t="s">
        <v>30</v>
      </c>
      <c r="V1463" t="s">
        <v>46</v>
      </c>
      <c r="W1463" t="s">
        <v>56</v>
      </c>
      <c r="X1463" t="s">
        <v>33</v>
      </c>
      <c r="Y1463">
        <v>41</v>
      </c>
      <c r="Z1463" s="1">
        <v>45270</v>
      </c>
      <c r="AA1463" t="str" cm="1">
        <f t="array" ref="AA146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63" t="str" cm="1">
        <f t="array" ref="AC1463">_xlfn.IFS(Table2[[#This Row],[Satification_points]]&gt;=4.5,"GREAT",AND(Table2[[#This Row],[Satification_points]]&gt;=4,Table2[[#This Row],[Satification_points]]&lt;4.5),"GOOD",AND(Table2[[#This Row],[Satification_points]]&gt;=3,Table2[[#This Row],[Satification_points]]&lt;4),"AVERAGE",Table2[[#This Row],[Satification_points]]&lt;3,"POOR")</f>
        <v>AVERAGE</v>
      </c>
    </row>
    <row r="1464" spans="1:29" x14ac:dyDescent="0.3">
      <c r="A1464">
        <v>1463</v>
      </c>
      <c r="B1464">
        <v>83649</v>
      </c>
      <c r="C1464" t="s">
        <v>1506</v>
      </c>
      <c r="D1464" t="s">
        <v>41</v>
      </c>
      <c r="E1464" t="s">
        <v>27</v>
      </c>
      <c r="F1464" s="1">
        <v>45079</v>
      </c>
      <c r="G1464" s="1">
        <v>45286</v>
      </c>
      <c r="H1464">
        <v>14</v>
      </c>
      <c r="I1464" t="s">
        <v>49</v>
      </c>
      <c r="J1464" t="s">
        <v>29</v>
      </c>
      <c r="K1464">
        <v>1</v>
      </c>
      <c r="L1464">
        <v>4</v>
      </c>
      <c r="M1464">
        <v>5</v>
      </c>
      <c r="N1464">
        <v>4</v>
      </c>
      <c r="O1464">
        <v>2</v>
      </c>
      <c r="P1464">
        <v>1</v>
      </c>
      <c r="Q1464">
        <v>4</v>
      </c>
      <c r="R1464">
        <v>4</v>
      </c>
      <c r="S1464">
        <v>2</v>
      </c>
      <c r="T1464">
        <v>2</v>
      </c>
      <c r="U1464" t="s">
        <v>30</v>
      </c>
      <c r="V1464" t="s">
        <v>54</v>
      </c>
      <c r="W1464" t="s">
        <v>39</v>
      </c>
      <c r="X1464" t="s">
        <v>44</v>
      </c>
      <c r="Y1464">
        <v>44</v>
      </c>
      <c r="Z1464" s="1">
        <v>45495</v>
      </c>
      <c r="AA1464" t="str" cm="1">
        <f t="array" ref="AA14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64" t="str" cm="1">
        <f t="array" ref="AC1464">_xlfn.IFS(Table2[[#This Row],[Satification_points]]&gt;=4.5,"GREAT",AND(Table2[[#This Row],[Satification_points]]&gt;=4,Table2[[#This Row],[Satification_points]]&lt;4.5),"GOOD",AND(Table2[[#This Row],[Satification_points]]&gt;=3,Table2[[#This Row],[Satification_points]]&lt;4),"AVERAGE",Table2[[#This Row],[Satification_points]]&lt;3,"POOR")</f>
        <v>POOR</v>
      </c>
    </row>
    <row r="1465" spans="1:29" x14ac:dyDescent="0.3">
      <c r="A1465">
        <v>1464</v>
      </c>
      <c r="B1465">
        <v>21805</v>
      </c>
      <c r="C1465" t="s">
        <v>1507</v>
      </c>
      <c r="D1465" t="s">
        <v>26</v>
      </c>
      <c r="E1465" t="s">
        <v>35</v>
      </c>
      <c r="F1465" s="1">
        <v>45580</v>
      </c>
      <c r="G1465" s="1">
        <v>45581</v>
      </c>
      <c r="H1465">
        <v>1</v>
      </c>
      <c r="I1465" t="s">
        <v>28</v>
      </c>
      <c r="J1465" t="s">
        <v>40</v>
      </c>
      <c r="K1465">
        <v>2</v>
      </c>
      <c r="L1465">
        <v>3</v>
      </c>
      <c r="M1465">
        <v>4</v>
      </c>
      <c r="N1465">
        <v>3</v>
      </c>
      <c r="O1465">
        <v>3</v>
      </c>
      <c r="P1465">
        <v>5</v>
      </c>
      <c r="Q1465">
        <v>4</v>
      </c>
      <c r="R1465">
        <v>4</v>
      </c>
      <c r="S1465">
        <v>2</v>
      </c>
      <c r="T1465">
        <v>1</v>
      </c>
      <c r="U1465" t="s">
        <v>37</v>
      </c>
      <c r="V1465" t="s">
        <v>46</v>
      </c>
      <c r="W1465" t="s">
        <v>47</v>
      </c>
      <c r="X1465" t="s">
        <v>33</v>
      </c>
      <c r="Y1465">
        <v>64</v>
      </c>
      <c r="Z1465" s="1">
        <v>45581</v>
      </c>
      <c r="AA1465" t="str" cm="1">
        <f t="array" ref="AA1465">_xlfn.IFS(AND(Table2[[#This Row],[Guest_Age]]&gt;=18,Table2[[#This Row],[Guest_Age]]&lt;=25),"Young Adults",AND(Table2[[#This Row],[Guest_Age]]&gt;=26,Table2[[#This Row],[Guest_Age]]&lt;=35),"Adults",AND(Table2[[#This Row],[Guest_Age]]&gt;=36,Table2[[#This Row],[Guest_Age]]&lt;=50),"Middle Aged Adults",Table2[[#This Row],[Guest_Age]]&gt;50,"Senior")</f>
        <v>Senior</v>
      </c>
      <c r="AB14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465" t="str" cm="1">
        <f t="array" ref="AC1465">_xlfn.IFS(Table2[[#This Row],[Satification_points]]&gt;=4.5,"GREAT",AND(Table2[[#This Row],[Satification_points]]&gt;=4,Table2[[#This Row],[Satification_points]]&lt;4.5),"GOOD",AND(Table2[[#This Row],[Satification_points]]&gt;=3,Table2[[#This Row],[Satification_points]]&lt;4),"AVERAGE",Table2[[#This Row],[Satification_points]]&lt;3,"POOR")</f>
        <v>AVERAGE</v>
      </c>
    </row>
    <row r="1466" spans="1:29" x14ac:dyDescent="0.3">
      <c r="A1466">
        <v>1465</v>
      </c>
      <c r="B1466">
        <v>17731</v>
      </c>
      <c r="C1466" t="s">
        <v>1508</v>
      </c>
      <c r="D1466" t="s">
        <v>41</v>
      </c>
      <c r="E1466" t="s">
        <v>35</v>
      </c>
      <c r="F1466" s="1">
        <v>44967</v>
      </c>
      <c r="G1466" s="1">
        <v>45441</v>
      </c>
      <c r="H1466">
        <v>12</v>
      </c>
      <c r="I1466" t="s">
        <v>42</v>
      </c>
      <c r="J1466" t="s">
        <v>36</v>
      </c>
      <c r="K1466">
        <v>1</v>
      </c>
      <c r="L1466">
        <v>5</v>
      </c>
      <c r="M1466">
        <v>5</v>
      </c>
      <c r="N1466">
        <v>2</v>
      </c>
      <c r="O1466">
        <v>4</v>
      </c>
      <c r="P1466">
        <v>3</v>
      </c>
      <c r="Q1466">
        <v>5</v>
      </c>
      <c r="R1466">
        <v>5</v>
      </c>
      <c r="S1466">
        <v>5</v>
      </c>
      <c r="T1466">
        <v>1</v>
      </c>
      <c r="U1466" t="s">
        <v>37</v>
      </c>
      <c r="V1466" t="s">
        <v>38</v>
      </c>
      <c r="W1466" t="s">
        <v>56</v>
      </c>
      <c r="X1466" t="s">
        <v>44</v>
      </c>
      <c r="Y1466">
        <v>67</v>
      </c>
      <c r="Z1466" s="1">
        <v>45441</v>
      </c>
      <c r="AA1466" t="str" cm="1">
        <f t="array" ref="AA1466">_xlfn.IFS(AND(Table2[[#This Row],[Guest_Age]]&gt;=18,Table2[[#This Row],[Guest_Age]]&lt;=25),"Young Adults",AND(Table2[[#This Row],[Guest_Age]]&gt;=26,Table2[[#This Row],[Guest_Age]]&lt;=35),"Adults",AND(Table2[[#This Row],[Guest_Age]]&gt;=36,Table2[[#This Row],[Guest_Age]]&lt;=50),"Middle Aged Adults",Table2[[#This Row],[Guest_Age]]&gt;50,"Senior")</f>
        <v>Senior</v>
      </c>
      <c r="AB14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466" t="str" cm="1">
        <f t="array" ref="AC1466">_xlfn.IFS(Table2[[#This Row],[Satification_points]]&gt;=4.5,"GREAT",AND(Table2[[#This Row],[Satification_points]]&gt;=4,Table2[[#This Row],[Satification_points]]&lt;4.5),"GOOD",AND(Table2[[#This Row],[Satification_points]]&gt;=3,Table2[[#This Row],[Satification_points]]&lt;4),"AVERAGE",Table2[[#This Row],[Satification_points]]&lt;3,"POOR")</f>
        <v>AVERAGE</v>
      </c>
    </row>
    <row r="1467" spans="1:29" x14ac:dyDescent="0.3">
      <c r="A1467">
        <v>1466</v>
      </c>
      <c r="B1467">
        <v>61907</v>
      </c>
      <c r="C1467" t="s">
        <v>1509</v>
      </c>
      <c r="D1467" t="s">
        <v>41</v>
      </c>
      <c r="E1467" t="s">
        <v>35</v>
      </c>
      <c r="F1467" s="1">
        <v>45412</v>
      </c>
      <c r="G1467" s="1">
        <v>45554</v>
      </c>
      <c r="H1467">
        <v>6</v>
      </c>
      <c r="I1467" t="s">
        <v>50</v>
      </c>
      <c r="J1467" t="s">
        <v>29</v>
      </c>
      <c r="K1467">
        <v>1</v>
      </c>
      <c r="L1467">
        <v>5</v>
      </c>
      <c r="M1467">
        <v>2</v>
      </c>
      <c r="N1467">
        <v>4</v>
      </c>
      <c r="O1467">
        <v>4</v>
      </c>
      <c r="P1467">
        <v>5</v>
      </c>
      <c r="Q1467">
        <v>5</v>
      </c>
      <c r="R1467">
        <v>2</v>
      </c>
      <c r="S1467">
        <v>3</v>
      </c>
      <c r="T1467">
        <v>1</v>
      </c>
      <c r="U1467" t="s">
        <v>30</v>
      </c>
      <c r="V1467" t="s">
        <v>58</v>
      </c>
      <c r="W1467" t="s">
        <v>39</v>
      </c>
      <c r="X1467" t="s">
        <v>40</v>
      </c>
      <c r="Y1467">
        <v>26</v>
      </c>
      <c r="Z1467" s="1">
        <v>45554</v>
      </c>
      <c r="AA1467" t="str" cm="1">
        <f t="array" ref="AA1467">_xlfn.IFS(AND(Table2[[#This Row],[Guest_Age]]&gt;=18,Table2[[#This Row],[Guest_Age]]&lt;=25),"Young Adults",AND(Table2[[#This Row],[Guest_Age]]&gt;=26,Table2[[#This Row],[Guest_Age]]&lt;=35),"Adults",AND(Table2[[#This Row],[Guest_Age]]&gt;=36,Table2[[#This Row],[Guest_Age]]&lt;=50),"Middle Aged Adults",Table2[[#This Row],[Guest_Age]]&gt;50,"Senior")</f>
        <v>Adults</v>
      </c>
      <c r="AB14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67" t="str" cm="1">
        <f t="array" ref="AC1467">_xlfn.IFS(Table2[[#This Row],[Satification_points]]&gt;=4.5,"GREAT",AND(Table2[[#This Row],[Satification_points]]&gt;=4,Table2[[#This Row],[Satification_points]]&lt;4.5),"GOOD",AND(Table2[[#This Row],[Satification_points]]&gt;=3,Table2[[#This Row],[Satification_points]]&lt;4),"AVERAGE",Table2[[#This Row],[Satification_points]]&lt;3,"POOR")</f>
        <v>AVERAGE</v>
      </c>
    </row>
    <row r="1468" spans="1:29" x14ac:dyDescent="0.3">
      <c r="A1468">
        <v>1467</v>
      </c>
      <c r="B1468">
        <v>21460</v>
      </c>
      <c r="C1468" t="s">
        <v>1510</v>
      </c>
      <c r="D1468" t="s">
        <v>34</v>
      </c>
      <c r="E1468" t="s">
        <v>27</v>
      </c>
      <c r="F1468" s="1">
        <v>45604</v>
      </c>
      <c r="G1468" s="1">
        <v>45605</v>
      </c>
      <c r="H1468">
        <v>9</v>
      </c>
      <c r="I1468" t="s">
        <v>50</v>
      </c>
      <c r="J1468" t="s">
        <v>36</v>
      </c>
      <c r="K1468">
        <v>5</v>
      </c>
      <c r="L1468">
        <v>3</v>
      </c>
      <c r="M1468">
        <v>1</v>
      </c>
      <c r="N1468">
        <v>2</v>
      </c>
      <c r="O1468">
        <v>2</v>
      </c>
      <c r="P1468">
        <v>3</v>
      </c>
      <c r="Q1468">
        <v>3</v>
      </c>
      <c r="R1468">
        <v>3</v>
      </c>
      <c r="S1468">
        <v>4</v>
      </c>
      <c r="T1468">
        <v>2</v>
      </c>
      <c r="U1468" t="s">
        <v>30</v>
      </c>
      <c r="V1468" t="s">
        <v>38</v>
      </c>
      <c r="W1468" t="s">
        <v>47</v>
      </c>
      <c r="X1468" t="s">
        <v>33</v>
      </c>
      <c r="Y1468">
        <v>65</v>
      </c>
      <c r="Z1468" s="1">
        <v>45605</v>
      </c>
      <c r="AA1468" t="str" cm="1">
        <f t="array" ref="AA1468">_xlfn.IFS(AND(Table2[[#This Row],[Guest_Age]]&gt;=18,Table2[[#This Row],[Guest_Age]]&lt;=25),"Young Adults",AND(Table2[[#This Row],[Guest_Age]]&gt;=26,Table2[[#This Row],[Guest_Age]]&lt;=35),"Adults",AND(Table2[[#This Row],[Guest_Age]]&gt;=36,Table2[[#This Row],[Guest_Age]]&lt;=50),"Middle Aged Adults",Table2[[#This Row],[Guest_Age]]&gt;50,"Senior")</f>
        <v>Senior</v>
      </c>
      <c r="AB14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68" t="str" cm="1">
        <f t="array" ref="AC1468">_xlfn.IFS(Table2[[#This Row],[Satification_points]]&gt;=4.5,"GREAT",AND(Table2[[#This Row],[Satification_points]]&gt;=4,Table2[[#This Row],[Satification_points]]&lt;4.5),"GOOD",AND(Table2[[#This Row],[Satification_points]]&gt;=3,Table2[[#This Row],[Satification_points]]&lt;4),"AVERAGE",Table2[[#This Row],[Satification_points]]&lt;3,"POOR")</f>
        <v>POOR</v>
      </c>
    </row>
    <row r="1469" spans="1:29" x14ac:dyDescent="0.3">
      <c r="A1469">
        <v>1468</v>
      </c>
      <c r="B1469">
        <v>21294</v>
      </c>
      <c r="C1469" t="s">
        <v>1511</v>
      </c>
      <c r="D1469" t="s">
        <v>34</v>
      </c>
      <c r="E1469" t="s">
        <v>27</v>
      </c>
      <c r="F1469" s="1">
        <v>45628</v>
      </c>
      <c r="G1469" s="1">
        <v>45629</v>
      </c>
      <c r="H1469">
        <v>9</v>
      </c>
      <c r="I1469" t="s">
        <v>42</v>
      </c>
      <c r="J1469" t="s">
        <v>29</v>
      </c>
      <c r="K1469">
        <v>4</v>
      </c>
      <c r="L1469">
        <v>3</v>
      </c>
      <c r="M1469">
        <v>1</v>
      </c>
      <c r="N1469">
        <v>5</v>
      </c>
      <c r="O1469">
        <v>5</v>
      </c>
      <c r="P1469">
        <v>1</v>
      </c>
      <c r="Q1469">
        <v>1</v>
      </c>
      <c r="R1469">
        <v>2</v>
      </c>
      <c r="S1469">
        <v>1</v>
      </c>
      <c r="T1469">
        <v>4</v>
      </c>
      <c r="U1469" t="s">
        <v>30</v>
      </c>
      <c r="V1469" t="s">
        <v>38</v>
      </c>
      <c r="W1469" t="s">
        <v>47</v>
      </c>
      <c r="X1469" t="s">
        <v>40</v>
      </c>
      <c r="Y1469">
        <v>33</v>
      </c>
      <c r="Z1469" s="1">
        <v>45629</v>
      </c>
      <c r="AA1469" t="str" cm="1">
        <f t="array" ref="AA1469">_xlfn.IFS(AND(Table2[[#This Row],[Guest_Age]]&gt;=18,Table2[[#This Row],[Guest_Age]]&lt;=25),"Young Adults",AND(Table2[[#This Row],[Guest_Age]]&gt;=26,Table2[[#This Row],[Guest_Age]]&lt;=35),"Adults",AND(Table2[[#This Row],[Guest_Age]]&gt;=36,Table2[[#This Row],[Guest_Age]]&lt;=50),"Middle Aged Adults",Table2[[#This Row],[Guest_Age]]&gt;50,"Senior")</f>
        <v>Adults</v>
      </c>
      <c r="AB14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69" t="str" cm="1">
        <f t="array" ref="AC1469">_xlfn.IFS(Table2[[#This Row],[Satification_points]]&gt;=4.5,"GREAT",AND(Table2[[#This Row],[Satification_points]]&gt;=4,Table2[[#This Row],[Satification_points]]&lt;4.5),"GOOD",AND(Table2[[#This Row],[Satification_points]]&gt;=3,Table2[[#This Row],[Satification_points]]&lt;4),"AVERAGE",Table2[[#This Row],[Satification_points]]&lt;3,"POOR")</f>
        <v>POOR</v>
      </c>
    </row>
    <row r="1470" spans="1:29" x14ac:dyDescent="0.3">
      <c r="A1470">
        <v>1469</v>
      </c>
      <c r="B1470">
        <v>20059</v>
      </c>
      <c r="C1470" t="s">
        <v>1512</v>
      </c>
      <c r="D1470" t="s">
        <v>26</v>
      </c>
      <c r="E1470" t="s">
        <v>27</v>
      </c>
      <c r="F1470" s="1">
        <v>45483</v>
      </c>
      <c r="G1470" s="1">
        <v>45484</v>
      </c>
      <c r="H1470">
        <v>11</v>
      </c>
      <c r="I1470" t="s">
        <v>42</v>
      </c>
      <c r="J1470" t="s">
        <v>36</v>
      </c>
      <c r="K1470">
        <v>1</v>
      </c>
      <c r="L1470">
        <v>5</v>
      </c>
      <c r="M1470">
        <v>1</v>
      </c>
      <c r="N1470">
        <v>4</v>
      </c>
      <c r="O1470">
        <v>5</v>
      </c>
      <c r="P1470">
        <v>1</v>
      </c>
      <c r="Q1470">
        <v>1</v>
      </c>
      <c r="R1470">
        <v>3</v>
      </c>
      <c r="S1470">
        <v>4</v>
      </c>
      <c r="T1470">
        <v>2</v>
      </c>
      <c r="U1470" t="s">
        <v>37</v>
      </c>
      <c r="V1470" t="s">
        <v>38</v>
      </c>
      <c r="W1470" t="s">
        <v>39</v>
      </c>
      <c r="X1470" t="s">
        <v>40</v>
      </c>
      <c r="Y1470">
        <v>19</v>
      </c>
      <c r="Z1470" s="1">
        <v>45484</v>
      </c>
      <c r="AA1470" t="str" cm="1">
        <f t="array" ref="AA1470">_xlfn.IFS(AND(Table2[[#This Row],[Guest_Age]]&gt;=18,Table2[[#This Row],[Guest_Age]]&lt;=25),"Young Adults",AND(Table2[[#This Row],[Guest_Age]]&gt;=26,Table2[[#This Row],[Guest_Age]]&lt;=35),"Adults",AND(Table2[[#This Row],[Guest_Age]]&gt;=36,Table2[[#This Row],[Guest_Age]]&lt;=50),"Middle Aged Adults",Table2[[#This Row],[Guest_Age]]&gt;50,"Senior")</f>
        <v>Young Adults</v>
      </c>
      <c r="AB14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70" t="str" cm="1">
        <f t="array" ref="AC1470">_xlfn.IFS(Table2[[#This Row],[Satification_points]]&gt;=4.5,"GREAT",AND(Table2[[#This Row],[Satification_points]]&gt;=4,Table2[[#This Row],[Satification_points]]&lt;4.5),"GOOD",AND(Table2[[#This Row],[Satification_points]]&gt;=3,Table2[[#This Row],[Satification_points]]&lt;4),"AVERAGE",Table2[[#This Row],[Satification_points]]&lt;3,"POOR")</f>
        <v>POOR</v>
      </c>
    </row>
    <row r="1471" spans="1:29" x14ac:dyDescent="0.3">
      <c r="A1471">
        <v>1470</v>
      </c>
      <c r="B1471">
        <v>41856</v>
      </c>
      <c r="C1471" t="s">
        <v>1513</v>
      </c>
      <c r="D1471" t="s">
        <v>34</v>
      </c>
      <c r="E1471" t="s">
        <v>27</v>
      </c>
      <c r="F1471" s="1">
        <v>45646</v>
      </c>
      <c r="G1471" s="1">
        <v>45647</v>
      </c>
      <c r="H1471">
        <v>4</v>
      </c>
      <c r="I1471" t="s">
        <v>42</v>
      </c>
      <c r="J1471" t="s">
        <v>40</v>
      </c>
      <c r="K1471">
        <v>4</v>
      </c>
      <c r="L1471">
        <v>4</v>
      </c>
      <c r="M1471">
        <v>3</v>
      </c>
      <c r="N1471">
        <v>4</v>
      </c>
      <c r="O1471">
        <v>5</v>
      </c>
      <c r="P1471">
        <v>2</v>
      </c>
      <c r="Q1471">
        <v>2</v>
      </c>
      <c r="R1471">
        <v>1</v>
      </c>
      <c r="S1471">
        <v>1</v>
      </c>
      <c r="T1471">
        <v>2</v>
      </c>
      <c r="U1471" t="s">
        <v>37</v>
      </c>
      <c r="V1471" t="s">
        <v>31</v>
      </c>
      <c r="W1471" t="s">
        <v>32</v>
      </c>
      <c r="X1471" t="s">
        <v>33</v>
      </c>
      <c r="Y1471">
        <v>48</v>
      </c>
      <c r="Z1471" s="1">
        <v>45647</v>
      </c>
      <c r="AA1471" t="str" cm="1">
        <f t="array" ref="AA147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71" t="str" cm="1">
        <f t="array" ref="AC1471">_xlfn.IFS(Table2[[#This Row],[Satification_points]]&gt;=4.5,"GREAT",AND(Table2[[#This Row],[Satification_points]]&gt;=4,Table2[[#This Row],[Satification_points]]&lt;4.5),"GOOD",AND(Table2[[#This Row],[Satification_points]]&gt;=3,Table2[[#This Row],[Satification_points]]&lt;4),"AVERAGE",Table2[[#This Row],[Satification_points]]&lt;3,"POOR")</f>
        <v>POOR</v>
      </c>
    </row>
    <row r="1472" spans="1:29" x14ac:dyDescent="0.3">
      <c r="A1472">
        <v>1471</v>
      </c>
      <c r="B1472">
        <v>17817</v>
      </c>
      <c r="C1472" t="s">
        <v>1514</v>
      </c>
      <c r="D1472" t="s">
        <v>34</v>
      </c>
      <c r="E1472" t="s">
        <v>27</v>
      </c>
      <c r="F1472" s="1">
        <v>45308</v>
      </c>
      <c r="G1472" s="1">
        <v>45309</v>
      </c>
      <c r="H1472">
        <v>7</v>
      </c>
      <c r="I1472" t="s">
        <v>28</v>
      </c>
      <c r="J1472" t="s">
        <v>40</v>
      </c>
      <c r="K1472">
        <v>5</v>
      </c>
      <c r="L1472">
        <v>4</v>
      </c>
      <c r="M1472">
        <v>2</v>
      </c>
      <c r="N1472">
        <v>2</v>
      </c>
      <c r="O1472">
        <v>3</v>
      </c>
      <c r="P1472">
        <v>5</v>
      </c>
      <c r="Q1472">
        <v>2</v>
      </c>
      <c r="R1472">
        <v>3</v>
      </c>
      <c r="S1472">
        <v>5</v>
      </c>
      <c r="T1472">
        <v>2</v>
      </c>
      <c r="U1472" t="s">
        <v>30</v>
      </c>
      <c r="V1472" t="s">
        <v>31</v>
      </c>
      <c r="W1472" t="s">
        <v>55</v>
      </c>
      <c r="X1472" t="s">
        <v>33</v>
      </c>
      <c r="Y1472">
        <v>64</v>
      </c>
      <c r="Z1472" s="1">
        <v>45408</v>
      </c>
      <c r="AA1472" t="str" cm="1">
        <f t="array" ref="AA1472">_xlfn.IFS(AND(Table2[[#This Row],[Guest_Age]]&gt;=18,Table2[[#This Row],[Guest_Age]]&lt;=25),"Young Adults",AND(Table2[[#This Row],[Guest_Age]]&gt;=26,Table2[[#This Row],[Guest_Age]]&lt;=35),"Adults",AND(Table2[[#This Row],[Guest_Age]]&gt;=36,Table2[[#This Row],[Guest_Age]]&lt;=50),"Middle Aged Adults",Table2[[#This Row],[Guest_Age]]&gt;50,"Senior")</f>
        <v>Senior</v>
      </c>
      <c r="AB14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72" t="str" cm="1">
        <f t="array" ref="AC1472">_xlfn.IFS(Table2[[#This Row],[Satification_points]]&gt;=4.5,"GREAT",AND(Table2[[#This Row],[Satification_points]]&gt;=4,Table2[[#This Row],[Satification_points]]&lt;4.5),"GOOD",AND(Table2[[#This Row],[Satification_points]]&gt;=3,Table2[[#This Row],[Satification_points]]&lt;4),"AVERAGE",Table2[[#This Row],[Satification_points]]&lt;3,"POOR")</f>
        <v>AVERAGE</v>
      </c>
    </row>
    <row r="1473" spans="1:29" x14ac:dyDescent="0.3">
      <c r="A1473">
        <v>1472</v>
      </c>
      <c r="B1473">
        <v>13033</v>
      </c>
      <c r="C1473" t="s">
        <v>1515</v>
      </c>
      <c r="D1473" t="s">
        <v>34</v>
      </c>
      <c r="E1473" t="s">
        <v>45</v>
      </c>
      <c r="F1473" s="1">
        <v>45022</v>
      </c>
      <c r="G1473" s="1">
        <v>45305</v>
      </c>
      <c r="H1473">
        <v>10</v>
      </c>
      <c r="I1473" t="s">
        <v>42</v>
      </c>
      <c r="J1473" t="s">
        <v>53</v>
      </c>
      <c r="K1473">
        <v>4</v>
      </c>
      <c r="L1473">
        <v>4</v>
      </c>
      <c r="M1473">
        <v>3</v>
      </c>
      <c r="N1473">
        <v>4</v>
      </c>
      <c r="O1473">
        <v>3</v>
      </c>
      <c r="P1473">
        <v>5</v>
      </c>
      <c r="Q1473">
        <v>1</v>
      </c>
      <c r="R1473">
        <v>5</v>
      </c>
      <c r="S1473">
        <v>1</v>
      </c>
      <c r="T1473">
        <v>5</v>
      </c>
      <c r="U1473" t="s">
        <v>37</v>
      </c>
      <c r="V1473" t="s">
        <v>31</v>
      </c>
      <c r="W1473" t="s">
        <v>55</v>
      </c>
      <c r="X1473" t="s">
        <v>33</v>
      </c>
      <c r="Y1473">
        <v>36</v>
      </c>
      <c r="Z1473" s="1">
        <v>45582</v>
      </c>
      <c r="AA1473" t="str" cm="1">
        <f t="array" ref="AA147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73" t="str" cm="1">
        <f t="array" ref="AC1473">_xlfn.IFS(Table2[[#This Row],[Satification_points]]&gt;=4.5,"GREAT",AND(Table2[[#This Row],[Satification_points]]&gt;=4,Table2[[#This Row],[Satification_points]]&lt;4.5),"GOOD",AND(Table2[[#This Row],[Satification_points]]&gt;=3,Table2[[#This Row],[Satification_points]]&lt;4),"AVERAGE",Table2[[#This Row],[Satification_points]]&lt;3,"POOR")</f>
        <v>AVERAGE</v>
      </c>
    </row>
    <row r="1474" spans="1:29" x14ac:dyDescent="0.3">
      <c r="A1474">
        <v>1473</v>
      </c>
      <c r="B1474">
        <v>22971</v>
      </c>
      <c r="C1474" t="s">
        <v>1516</v>
      </c>
      <c r="D1474" t="s">
        <v>34</v>
      </c>
      <c r="E1474" t="s">
        <v>45</v>
      </c>
      <c r="F1474" s="1">
        <v>45219</v>
      </c>
      <c r="G1474" s="1">
        <v>45574</v>
      </c>
      <c r="H1474">
        <v>1</v>
      </c>
      <c r="I1474" t="s">
        <v>49</v>
      </c>
      <c r="J1474" t="s">
        <v>29</v>
      </c>
      <c r="K1474">
        <v>5</v>
      </c>
      <c r="L1474">
        <v>2</v>
      </c>
      <c r="M1474">
        <v>4</v>
      </c>
      <c r="N1474">
        <v>2</v>
      </c>
      <c r="O1474">
        <v>5</v>
      </c>
      <c r="P1474">
        <v>5</v>
      </c>
      <c r="Q1474">
        <v>2</v>
      </c>
      <c r="R1474">
        <v>3</v>
      </c>
      <c r="S1474">
        <v>5</v>
      </c>
      <c r="T1474">
        <v>5</v>
      </c>
      <c r="U1474" t="s">
        <v>30</v>
      </c>
      <c r="V1474" t="s">
        <v>54</v>
      </c>
      <c r="W1474" t="s">
        <v>32</v>
      </c>
      <c r="X1474" t="s">
        <v>40</v>
      </c>
      <c r="Y1474">
        <v>28</v>
      </c>
      <c r="Z1474" s="1">
        <v>45574</v>
      </c>
      <c r="AA1474" t="str" cm="1">
        <f t="array" ref="AA1474">_xlfn.IFS(AND(Table2[[#This Row],[Guest_Age]]&gt;=18,Table2[[#This Row],[Guest_Age]]&lt;=25),"Young Adults",AND(Table2[[#This Row],[Guest_Age]]&gt;=26,Table2[[#This Row],[Guest_Age]]&lt;=35),"Adults",AND(Table2[[#This Row],[Guest_Age]]&gt;=36,Table2[[#This Row],[Guest_Age]]&lt;=50),"Middle Aged Adults",Table2[[#This Row],[Guest_Age]]&gt;50,"Senior")</f>
        <v>Adults</v>
      </c>
      <c r="AB14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474" t="str" cm="1">
        <f t="array" ref="AC1474">_xlfn.IFS(Table2[[#This Row],[Satification_points]]&gt;=4.5,"GREAT",AND(Table2[[#This Row],[Satification_points]]&gt;=4,Table2[[#This Row],[Satification_points]]&lt;4.5),"GOOD",AND(Table2[[#This Row],[Satification_points]]&gt;=3,Table2[[#This Row],[Satification_points]]&lt;4),"AVERAGE",Table2[[#This Row],[Satification_points]]&lt;3,"POOR")</f>
        <v>AVERAGE</v>
      </c>
    </row>
    <row r="1475" spans="1:29" x14ac:dyDescent="0.3">
      <c r="A1475">
        <v>1474</v>
      </c>
      <c r="B1475">
        <v>75925</v>
      </c>
      <c r="C1475" t="s">
        <v>1517</v>
      </c>
      <c r="D1475" t="s">
        <v>34</v>
      </c>
      <c r="E1475" t="s">
        <v>27</v>
      </c>
      <c r="F1475" s="1">
        <v>45161</v>
      </c>
      <c r="G1475" s="1">
        <v>45423</v>
      </c>
      <c r="H1475">
        <v>10</v>
      </c>
      <c r="I1475" t="s">
        <v>49</v>
      </c>
      <c r="J1475" t="s">
        <v>40</v>
      </c>
      <c r="K1475">
        <v>2</v>
      </c>
      <c r="L1475">
        <v>2</v>
      </c>
      <c r="M1475">
        <v>3</v>
      </c>
      <c r="N1475">
        <v>2</v>
      </c>
      <c r="O1475">
        <v>3</v>
      </c>
      <c r="P1475">
        <v>5</v>
      </c>
      <c r="Q1475">
        <v>2</v>
      </c>
      <c r="R1475">
        <v>1</v>
      </c>
      <c r="S1475">
        <v>3</v>
      </c>
      <c r="T1475">
        <v>1</v>
      </c>
      <c r="U1475" t="s">
        <v>37</v>
      </c>
      <c r="V1475" t="s">
        <v>31</v>
      </c>
      <c r="W1475" t="s">
        <v>47</v>
      </c>
      <c r="X1475" t="s">
        <v>33</v>
      </c>
      <c r="Y1475">
        <v>39</v>
      </c>
      <c r="Z1475" s="1">
        <v>45423</v>
      </c>
      <c r="AA1475" t="str" cm="1">
        <f t="array" ref="AA147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475" t="str" cm="1">
        <f t="array" ref="AC1475">_xlfn.IFS(Table2[[#This Row],[Satification_points]]&gt;=4.5,"GREAT",AND(Table2[[#This Row],[Satification_points]]&gt;=4,Table2[[#This Row],[Satification_points]]&lt;4.5),"GOOD",AND(Table2[[#This Row],[Satification_points]]&gt;=3,Table2[[#This Row],[Satification_points]]&lt;4),"AVERAGE",Table2[[#This Row],[Satification_points]]&lt;3,"POOR")</f>
        <v>POOR</v>
      </c>
    </row>
    <row r="1476" spans="1:29" x14ac:dyDescent="0.3">
      <c r="A1476">
        <v>1475</v>
      </c>
      <c r="B1476">
        <v>66986</v>
      </c>
      <c r="C1476" t="s">
        <v>1518</v>
      </c>
      <c r="D1476" t="s">
        <v>41</v>
      </c>
      <c r="E1476" t="s">
        <v>35</v>
      </c>
      <c r="F1476" s="1">
        <v>45267</v>
      </c>
      <c r="G1476" s="1">
        <v>45537</v>
      </c>
      <c r="H1476">
        <v>13</v>
      </c>
      <c r="I1476" t="s">
        <v>42</v>
      </c>
      <c r="J1476" t="s">
        <v>40</v>
      </c>
      <c r="K1476">
        <v>5</v>
      </c>
      <c r="L1476">
        <v>4</v>
      </c>
      <c r="M1476">
        <v>5</v>
      </c>
      <c r="N1476">
        <v>4</v>
      </c>
      <c r="O1476">
        <v>4</v>
      </c>
      <c r="P1476">
        <v>4</v>
      </c>
      <c r="Q1476">
        <v>1</v>
      </c>
      <c r="R1476">
        <v>3</v>
      </c>
      <c r="S1476">
        <v>1</v>
      </c>
      <c r="T1476">
        <v>2</v>
      </c>
      <c r="U1476" t="s">
        <v>37</v>
      </c>
      <c r="V1476" t="s">
        <v>54</v>
      </c>
      <c r="W1476" t="s">
        <v>56</v>
      </c>
      <c r="X1476" t="s">
        <v>44</v>
      </c>
      <c r="Y1476">
        <v>46</v>
      </c>
      <c r="Z1476" s="1">
        <v>45549</v>
      </c>
      <c r="AA1476" t="str" cm="1">
        <f t="array" ref="AA14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76" t="str" cm="1">
        <f t="array" ref="AC1476">_xlfn.IFS(Table2[[#This Row],[Satification_points]]&gt;=4.5,"GREAT",AND(Table2[[#This Row],[Satification_points]]&gt;=4,Table2[[#This Row],[Satification_points]]&lt;4.5),"GOOD",AND(Table2[[#This Row],[Satification_points]]&gt;=3,Table2[[#This Row],[Satification_points]]&lt;4),"AVERAGE",Table2[[#This Row],[Satification_points]]&lt;3,"POOR")</f>
        <v>AVERAGE</v>
      </c>
    </row>
    <row r="1477" spans="1:29" x14ac:dyDescent="0.3">
      <c r="A1477">
        <v>1476</v>
      </c>
      <c r="B1477">
        <v>40995</v>
      </c>
      <c r="C1477" t="s">
        <v>1519</v>
      </c>
      <c r="D1477" t="s">
        <v>41</v>
      </c>
      <c r="E1477" t="s">
        <v>57</v>
      </c>
      <c r="F1477" s="1">
        <v>45645</v>
      </c>
      <c r="G1477" s="1">
        <v>45646</v>
      </c>
      <c r="H1477">
        <v>9</v>
      </c>
      <c r="I1477" t="s">
        <v>28</v>
      </c>
      <c r="J1477" t="s">
        <v>29</v>
      </c>
      <c r="K1477">
        <v>5</v>
      </c>
      <c r="L1477">
        <v>5</v>
      </c>
      <c r="M1477">
        <v>5</v>
      </c>
      <c r="N1477">
        <v>3</v>
      </c>
      <c r="O1477">
        <v>5</v>
      </c>
      <c r="P1477">
        <v>2</v>
      </c>
      <c r="Q1477">
        <v>4</v>
      </c>
      <c r="R1477">
        <v>2</v>
      </c>
      <c r="S1477">
        <v>2</v>
      </c>
      <c r="T1477">
        <v>2</v>
      </c>
      <c r="U1477" t="s">
        <v>37</v>
      </c>
      <c r="V1477" t="s">
        <v>46</v>
      </c>
      <c r="W1477" t="s">
        <v>32</v>
      </c>
      <c r="X1477" t="s">
        <v>44</v>
      </c>
      <c r="Y1477">
        <v>48</v>
      </c>
      <c r="Z1477" s="1">
        <v>45646</v>
      </c>
      <c r="AA1477" t="str" cm="1">
        <f t="array" ref="AA147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77" t="str" cm="1">
        <f t="array" ref="AC1477">_xlfn.IFS(Table2[[#This Row],[Satification_points]]&gt;=4.5,"GREAT",AND(Table2[[#This Row],[Satification_points]]&gt;=4,Table2[[#This Row],[Satification_points]]&lt;4.5),"GOOD",AND(Table2[[#This Row],[Satification_points]]&gt;=3,Table2[[#This Row],[Satification_points]]&lt;4),"AVERAGE",Table2[[#This Row],[Satification_points]]&lt;3,"POOR")</f>
        <v>AVERAGE</v>
      </c>
    </row>
    <row r="1478" spans="1:29" x14ac:dyDescent="0.3">
      <c r="A1478">
        <v>1477</v>
      </c>
      <c r="B1478">
        <v>84971</v>
      </c>
      <c r="C1478" t="s">
        <v>1520</v>
      </c>
      <c r="D1478" t="s">
        <v>26</v>
      </c>
      <c r="E1478" t="s">
        <v>57</v>
      </c>
      <c r="F1478" s="1">
        <v>45464</v>
      </c>
      <c r="G1478" s="1">
        <v>45465</v>
      </c>
      <c r="H1478">
        <v>14</v>
      </c>
      <c r="I1478" t="s">
        <v>50</v>
      </c>
      <c r="J1478" t="s">
        <v>29</v>
      </c>
      <c r="K1478">
        <v>5</v>
      </c>
      <c r="L1478">
        <v>2</v>
      </c>
      <c r="M1478">
        <v>2</v>
      </c>
      <c r="N1478">
        <v>5</v>
      </c>
      <c r="O1478">
        <v>3</v>
      </c>
      <c r="P1478">
        <v>2</v>
      </c>
      <c r="Q1478">
        <v>4</v>
      </c>
      <c r="R1478">
        <v>3</v>
      </c>
      <c r="S1478">
        <v>2</v>
      </c>
      <c r="T1478">
        <v>1</v>
      </c>
      <c r="U1478" t="s">
        <v>30</v>
      </c>
      <c r="V1478" t="s">
        <v>46</v>
      </c>
      <c r="W1478" t="s">
        <v>47</v>
      </c>
      <c r="X1478" t="s">
        <v>33</v>
      </c>
      <c r="Y1478">
        <v>25</v>
      </c>
      <c r="Z1478" s="1">
        <v>45465</v>
      </c>
      <c r="AA1478" t="str" cm="1">
        <f t="array" ref="AA1478">_xlfn.IFS(AND(Table2[[#This Row],[Guest_Age]]&gt;=18,Table2[[#This Row],[Guest_Age]]&lt;=25),"Young Adults",AND(Table2[[#This Row],[Guest_Age]]&gt;=26,Table2[[#This Row],[Guest_Age]]&lt;=35),"Adults",AND(Table2[[#This Row],[Guest_Age]]&gt;=36,Table2[[#This Row],[Guest_Age]]&lt;=50),"Middle Aged Adults",Table2[[#This Row],[Guest_Age]]&gt;50,"Senior")</f>
        <v>Young Adults</v>
      </c>
      <c r="AB14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478" t="str" cm="1">
        <f t="array" ref="AC1478">_xlfn.IFS(Table2[[#This Row],[Satification_points]]&gt;=4.5,"GREAT",AND(Table2[[#This Row],[Satification_points]]&gt;=4,Table2[[#This Row],[Satification_points]]&lt;4.5),"GOOD",AND(Table2[[#This Row],[Satification_points]]&gt;=3,Table2[[#This Row],[Satification_points]]&lt;4),"AVERAGE",Table2[[#This Row],[Satification_points]]&lt;3,"POOR")</f>
        <v>POOR</v>
      </c>
    </row>
    <row r="1479" spans="1:29" x14ac:dyDescent="0.3">
      <c r="A1479">
        <v>1478</v>
      </c>
      <c r="B1479">
        <v>29731</v>
      </c>
      <c r="C1479" t="s">
        <v>1521</v>
      </c>
      <c r="D1479" t="s">
        <v>51</v>
      </c>
      <c r="E1479" t="s">
        <v>45</v>
      </c>
      <c r="F1479" s="1">
        <v>45276</v>
      </c>
      <c r="G1479" s="1">
        <v>45277</v>
      </c>
      <c r="H1479">
        <v>1</v>
      </c>
      <c r="I1479" t="s">
        <v>42</v>
      </c>
      <c r="J1479" t="s">
        <v>53</v>
      </c>
      <c r="K1479">
        <v>3</v>
      </c>
      <c r="L1479">
        <v>1</v>
      </c>
      <c r="M1479">
        <v>3</v>
      </c>
      <c r="N1479">
        <v>2</v>
      </c>
      <c r="O1479">
        <v>4</v>
      </c>
      <c r="P1479">
        <v>4</v>
      </c>
      <c r="Q1479">
        <v>5</v>
      </c>
      <c r="R1479">
        <v>5</v>
      </c>
      <c r="S1479">
        <v>5</v>
      </c>
      <c r="T1479">
        <v>3</v>
      </c>
      <c r="U1479" t="s">
        <v>30</v>
      </c>
      <c r="V1479" t="s">
        <v>31</v>
      </c>
      <c r="W1479" t="s">
        <v>39</v>
      </c>
      <c r="X1479" t="s">
        <v>44</v>
      </c>
      <c r="Y1479">
        <v>27</v>
      </c>
      <c r="Z1479" s="1">
        <v>45277</v>
      </c>
      <c r="AA1479" t="str" cm="1">
        <f t="array" ref="AA1479">_xlfn.IFS(AND(Table2[[#This Row],[Guest_Age]]&gt;=18,Table2[[#This Row],[Guest_Age]]&lt;=25),"Young Adults",AND(Table2[[#This Row],[Guest_Age]]&gt;=26,Table2[[#This Row],[Guest_Age]]&lt;=35),"Adults",AND(Table2[[#This Row],[Guest_Age]]&gt;=36,Table2[[#This Row],[Guest_Age]]&lt;=50),"Middle Aged Adults",Table2[[#This Row],[Guest_Age]]&gt;50,"Senior")</f>
        <v>Adults</v>
      </c>
      <c r="AB14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79" t="str" cm="1">
        <f t="array" ref="AC1479">_xlfn.IFS(Table2[[#This Row],[Satification_points]]&gt;=4.5,"GREAT",AND(Table2[[#This Row],[Satification_points]]&gt;=4,Table2[[#This Row],[Satification_points]]&lt;4.5),"GOOD",AND(Table2[[#This Row],[Satification_points]]&gt;=3,Table2[[#This Row],[Satification_points]]&lt;4),"AVERAGE",Table2[[#This Row],[Satification_points]]&lt;3,"POOR")</f>
        <v>AVERAGE</v>
      </c>
    </row>
    <row r="1480" spans="1:29" x14ac:dyDescent="0.3">
      <c r="A1480">
        <v>1479</v>
      </c>
      <c r="B1480">
        <v>10011</v>
      </c>
      <c r="C1480" t="s">
        <v>1522</v>
      </c>
      <c r="D1480" t="s">
        <v>26</v>
      </c>
      <c r="E1480" t="s">
        <v>27</v>
      </c>
      <c r="F1480" s="1">
        <v>45133</v>
      </c>
      <c r="G1480" s="1">
        <v>45333</v>
      </c>
      <c r="H1480">
        <v>14</v>
      </c>
      <c r="I1480" t="s">
        <v>42</v>
      </c>
      <c r="J1480" t="s">
        <v>40</v>
      </c>
      <c r="K1480">
        <v>1</v>
      </c>
      <c r="L1480">
        <v>2</v>
      </c>
      <c r="M1480">
        <v>3</v>
      </c>
      <c r="N1480">
        <v>3</v>
      </c>
      <c r="O1480">
        <v>4</v>
      </c>
      <c r="P1480">
        <v>5</v>
      </c>
      <c r="Q1480">
        <v>4</v>
      </c>
      <c r="R1480">
        <v>5</v>
      </c>
      <c r="S1480">
        <v>3</v>
      </c>
      <c r="T1480">
        <v>4</v>
      </c>
      <c r="U1480" t="s">
        <v>30</v>
      </c>
      <c r="V1480" t="s">
        <v>46</v>
      </c>
      <c r="W1480" t="s">
        <v>39</v>
      </c>
      <c r="X1480" t="s">
        <v>33</v>
      </c>
      <c r="Y1480">
        <v>23</v>
      </c>
      <c r="Z1480" s="1">
        <v>45581</v>
      </c>
      <c r="AA1480" t="str" cm="1">
        <f t="array" ref="AA1480">_xlfn.IFS(AND(Table2[[#This Row],[Guest_Age]]&gt;=18,Table2[[#This Row],[Guest_Age]]&lt;=25),"Young Adults",AND(Table2[[#This Row],[Guest_Age]]&gt;=26,Table2[[#This Row],[Guest_Age]]&lt;=35),"Adults",AND(Table2[[#This Row],[Guest_Age]]&gt;=36,Table2[[#This Row],[Guest_Age]]&lt;=50),"Middle Aged Adults",Table2[[#This Row],[Guest_Age]]&gt;50,"Senior")</f>
        <v>Young Adults</v>
      </c>
      <c r="AB14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80" t="str" cm="1">
        <f t="array" ref="AC1480">_xlfn.IFS(Table2[[#This Row],[Satification_points]]&gt;=4.5,"GREAT",AND(Table2[[#This Row],[Satification_points]]&gt;=4,Table2[[#This Row],[Satification_points]]&lt;4.5),"GOOD",AND(Table2[[#This Row],[Satification_points]]&gt;=3,Table2[[#This Row],[Satification_points]]&lt;4),"AVERAGE",Table2[[#This Row],[Satification_points]]&lt;3,"POOR")</f>
        <v>AVERAGE</v>
      </c>
    </row>
    <row r="1481" spans="1:29" x14ac:dyDescent="0.3">
      <c r="A1481">
        <v>1480</v>
      </c>
      <c r="B1481">
        <v>85244</v>
      </c>
      <c r="C1481" t="s">
        <v>1523</v>
      </c>
      <c r="D1481" t="s">
        <v>48</v>
      </c>
      <c r="E1481" t="s">
        <v>52</v>
      </c>
      <c r="F1481" s="1">
        <v>45417</v>
      </c>
      <c r="G1481" s="1">
        <v>45596</v>
      </c>
      <c r="H1481">
        <v>9</v>
      </c>
      <c r="I1481" t="s">
        <v>42</v>
      </c>
      <c r="J1481" t="s">
        <v>36</v>
      </c>
      <c r="K1481">
        <v>4</v>
      </c>
      <c r="L1481">
        <v>5</v>
      </c>
      <c r="M1481">
        <v>1</v>
      </c>
      <c r="N1481">
        <v>2</v>
      </c>
      <c r="O1481">
        <v>3</v>
      </c>
      <c r="P1481">
        <v>4</v>
      </c>
      <c r="Q1481">
        <v>1</v>
      </c>
      <c r="R1481">
        <v>4</v>
      </c>
      <c r="S1481">
        <v>5</v>
      </c>
      <c r="T1481">
        <v>4</v>
      </c>
      <c r="U1481" t="s">
        <v>37</v>
      </c>
      <c r="V1481" t="s">
        <v>46</v>
      </c>
      <c r="W1481" t="s">
        <v>47</v>
      </c>
      <c r="X1481" t="s">
        <v>40</v>
      </c>
      <c r="Y1481">
        <v>48</v>
      </c>
      <c r="Z1481" s="1">
        <v>45596</v>
      </c>
      <c r="AA1481" t="str" cm="1">
        <f t="array" ref="AA14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81" t="str" cm="1">
        <f t="array" ref="AC1481">_xlfn.IFS(Table2[[#This Row],[Satification_points]]&gt;=4.5,"GREAT",AND(Table2[[#This Row],[Satification_points]]&gt;=4,Table2[[#This Row],[Satification_points]]&lt;4.5),"GOOD",AND(Table2[[#This Row],[Satification_points]]&gt;=3,Table2[[#This Row],[Satification_points]]&lt;4),"AVERAGE",Table2[[#This Row],[Satification_points]]&lt;3,"POOR")</f>
        <v>AVERAGE</v>
      </c>
    </row>
    <row r="1482" spans="1:29" x14ac:dyDescent="0.3">
      <c r="A1482">
        <v>1481</v>
      </c>
      <c r="B1482">
        <v>28004</v>
      </c>
      <c r="C1482" t="s">
        <v>1524</v>
      </c>
      <c r="D1482" t="s">
        <v>26</v>
      </c>
      <c r="E1482" t="s">
        <v>57</v>
      </c>
      <c r="F1482" s="1">
        <v>45307</v>
      </c>
      <c r="G1482" s="1">
        <v>45308</v>
      </c>
      <c r="H1482">
        <v>6</v>
      </c>
      <c r="I1482" t="s">
        <v>49</v>
      </c>
      <c r="J1482" t="s">
        <v>29</v>
      </c>
      <c r="K1482">
        <v>4</v>
      </c>
      <c r="L1482">
        <v>5</v>
      </c>
      <c r="M1482">
        <v>2</v>
      </c>
      <c r="N1482">
        <v>3</v>
      </c>
      <c r="O1482">
        <v>5</v>
      </c>
      <c r="P1482">
        <v>5</v>
      </c>
      <c r="Q1482">
        <v>2</v>
      </c>
      <c r="R1482">
        <v>2</v>
      </c>
      <c r="S1482">
        <v>4</v>
      </c>
      <c r="T1482">
        <v>3</v>
      </c>
      <c r="U1482" t="s">
        <v>37</v>
      </c>
      <c r="V1482" t="s">
        <v>58</v>
      </c>
      <c r="W1482" t="s">
        <v>39</v>
      </c>
      <c r="X1482" t="s">
        <v>44</v>
      </c>
      <c r="Y1482">
        <v>68</v>
      </c>
      <c r="Z1482" s="1">
        <v>45559</v>
      </c>
      <c r="AA1482" t="str" cm="1">
        <f t="array" ref="AA1482">_xlfn.IFS(AND(Table2[[#This Row],[Guest_Age]]&gt;=18,Table2[[#This Row],[Guest_Age]]&lt;=25),"Young Adults",AND(Table2[[#This Row],[Guest_Age]]&gt;=26,Table2[[#This Row],[Guest_Age]]&lt;=35),"Adults",AND(Table2[[#This Row],[Guest_Age]]&gt;=36,Table2[[#This Row],[Guest_Age]]&lt;=50),"Middle Aged Adults",Table2[[#This Row],[Guest_Age]]&gt;50,"Senior")</f>
        <v>Senior</v>
      </c>
      <c r="AB14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482" t="str" cm="1">
        <f t="array" ref="AC1482">_xlfn.IFS(Table2[[#This Row],[Satification_points]]&gt;=4.5,"GREAT",AND(Table2[[#This Row],[Satification_points]]&gt;=4,Table2[[#This Row],[Satification_points]]&lt;4.5),"GOOD",AND(Table2[[#This Row],[Satification_points]]&gt;=3,Table2[[#This Row],[Satification_points]]&lt;4),"AVERAGE",Table2[[#This Row],[Satification_points]]&lt;3,"POOR")</f>
        <v>AVERAGE</v>
      </c>
    </row>
    <row r="1483" spans="1:29" x14ac:dyDescent="0.3">
      <c r="A1483">
        <v>1482</v>
      </c>
      <c r="B1483">
        <v>32537</v>
      </c>
      <c r="C1483" t="s">
        <v>1525</v>
      </c>
      <c r="D1483" t="s">
        <v>26</v>
      </c>
      <c r="E1483" t="s">
        <v>57</v>
      </c>
      <c r="F1483" s="1">
        <v>45067</v>
      </c>
      <c r="G1483" s="1">
        <v>45416</v>
      </c>
      <c r="H1483">
        <v>10</v>
      </c>
      <c r="I1483" t="s">
        <v>49</v>
      </c>
      <c r="J1483" t="s">
        <v>29</v>
      </c>
      <c r="K1483">
        <v>3</v>
      </c>
      <c r="L1483">
        <v>3</v>
      </c>
      <c r="M1483">
        <v>1</v>
      </c>
      <c r="N1483">
        <v>4</v>
      </c>
      <c r="O1483">
        <v>5</v>
      </c>
      <c r="P1483">
        <v>4</v>
      </c>
      <c r="Q1483">
        <v>1</v>
      </c>
      <c r="R1483">
        <v>2</v>
      </c>
      <c r="S1483">
        <v>4</v>
      </c>
      <c r="T1483">
        <v>1</v>
      </c>
      <c r="U1483" t="s">
        <v>30</v>
      </c>
      <c r="V1483" t="s">
        <v>31</v>
      </c>
      <c r="W1483" t="s">
        <v>55</v>
      </c>
      <c r="X1483" t="s">
        <v>44</v>
      </c>
      <c r="Y1483">
        <v>52</v>
      </c>
      <c r="Z1483" s="1">
        <v>45471</v>
      </c>
      <c r="AA1483" t="str" cm="1">
        <f t="array" ref="AA1483">_xlfn.IFS(AND(Table2[[#This Row],[Guest_Age]]&gt;=18,Table2[[#This Row],[Guest_Age]]&lt;=25),"Young Adults",AND(Table2[[#This Row],[Guest_Age]]&gt;=26,Table2[[#This Row],[Guest_Age]]&lt;=35),"Adults",AND(Table2[[#This Row],[Guest_Age]]&gt;=36,Table2[[#This Row],[Guest_Age]]&lt;=50),"Middle Aged Adults",Table2[[#This Row],[Guest_Age]]&gt;50,"Senior")</f>
        <v>Senior</v>
      </c>
      <c r="AB14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83" t="str" cm="1">
        <f t="array" ref="AC1483">_xlfn.IFS(Table2[[#This Row],[Satification_points]]&gt;=4.5,"GREAT",AND(Table2[[#This Row],[Satification_points]]&gt;=4,Table2[[#This Row],[Satification_points]]&lt;4.5),"GOOD",AND(Table2[[#This Row],[Satification_points]]&gt;=3,Table2[[#This Row],[Satification_points]]&lt;4),"AVERAGE",Table2[[#This Row],[Satification_points]]&lt;3,"POOR")</f>
        <v>POOR</v>
      </c>
    </row>
    <row r="1484" spans="1:29" x14ac:dyDescent="0.3">
      <c r="A1484">
        <v>1483</v>
      </c>
      <c r="B1484">
        <v>34836</v>
      </c>
      <c r="C1484" t="s">
        <v>1526</v>
      </c>
      <c r="D1484" t="s">
        <v>34</v>
      </c>
      <c r="E1484" t="s">
        <v>35</v>
      </c>
      <c r="F1484" s="1">
        <v>45525</v>
      </c>
      <c r="G1484" s="1">
        <v>45526</v>
      </c>
      <c r="H1484">
        <v>11</v>
      </c>
      <c r="I1484" t="s">
        <v>50</v>
      </c>
      <c r="J1484" t="s">
        <v>29</v>
      </c>
      <c r="K1484">
        <v>2</v>
      </c>
      <c r="L1484">
        <v>5</v>
      </c>
      <c r="M1484">
        <v>2</v>
      </c>
      <c r="N1484">
        <v>5</v>
      </c>
      <c r="O1484">
        <v>3</v>
      </c>
      <c r="P1484">
        <v>2</v>
      </c>
      <c r="Q1484">
        <v>3</v>
      </c>
      <c r="R1484">
        <v>3</v>
      </c>
      <c r="S1484">
        <v>4</v>
      </c>
      <c r="T1484">
        <v>3</v>
      </c>
      <c r="U1484" t="s">
        <v>30</v>
      </c>
      <c r="V1484" t="s">
        <v>31</v>
      </c>
      <c r="W1484" t="s">
        <v>32</v>
      </c>
      <c r="X1484" t="s">
        <v>44</v>
      </c>
      <c r="Y1484">
        <v>67</v>
      </c>
      <c r="Z1484" s="1">
        <v>45526</v>
      </c>
      <c r="AA1484" t="str" cm="1">
        <f t="array" ref="AA1484">_xlfn.IFS(AND(Table2[[#This Row],[Guest_Age]]&gt;=18,Table2[[#This Row],[Guest_Age]]&lt;=25),"Young Adults",AND(Table2[[#This Row],[Guest_Age]]&gt;=26,Table2[[#This Row],[Guest_Age]]&lt;=35),"Adults",AND(Table2[[#This Row],[Guest_Age]]&gt;=36,Table2[[#This Row],[Guest_Age]]&lt;=50),"Middle Aged Adults",Table2[[#This Row],[Guest_Age]]&gt;50,"Senior")</f>
        <v>Senior</v>
      </c>
      <c r="AB14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484" t="str" cm="1">
        <f t="array" ref="AC1484">_xlfn.IFS(Table2[[#This Row],[Satification_points]]&gt;=4.5,"GREAT",AND(Table2[[#This Row],[Satification_points]]&gt;=4,Table2[[#This Row],[Satification_points]]&lt;4.5),"GOOD",AND(Table2[[#This Row],[Satification_points]]&gt;=3,Table2[[#This Row],[Satification_points]]&lt;4),"AVERAGE",Table2[[#This Row],[Satification_points]]&lt;3,"POOR")</f>
        <v>AVERAGE</v>
      </c>
    </row>
    <row r="1485" spans="1:29" x14ac:dyDescent="0.3">
      <c r="A1485">
        <v>1484</v>
      </c>
      <c r="B1485">
        <v>18511</v>
      </c>
      <c r="C1485" t="s">
        <v>1527</v>
      </c>
      <c r="D1485" t="s">
        <v>34</v>
      </c>
      <c r="E1485" t="s">
        <v>57</v>
      </c>
      <c r="F1485" s="1">
        <v>45536</v>
      </c>
      <c r="G1485" s="1">
        <v>45537</v>
      </c>
      <c r="H1485">
        <v>7</v>
      </c>
      <c r="I1485" t="s">
        <v>28</v>
      </c>
      <c r="J1485" t="s">
        <v>29</v>
      </c>
      <c r="K1485">
        <v>1</v>
      </c>
      <c r="L1485">
        <v>4</v>
      </c>
      <c r="M1485">
        <v>2</v>
      </c>
      <c r="N1485">
        <v>3</v>
      </c>
      <c r="O1485">
        <v>3</v>
      </c>
      <c r="P1485">
        <v>4</v>
      </c>
      <c r="Q1485">
        <v>2</v>
      </c>
      <c r="R1485">
        <v>3</v>
      </c>
      <c r="S1485">
        <v>2</v>
      </c>
      <c r="T1485">
        <v>4</v>
      </c>
      <c r="U1485" t="s">
        <v>30</v>
      </c>
      <c r="V1485" t="s">
        <v>38</v>
      </c>
      <c r="W1485" t="s">
        <v>55</v>
      </c>
      <c r="X1485" t="s">
        <v>44</v>
      </c>
      <c r="Y1485">
        <v>57</v>
      </c>
      <c r="Z1485" s="1">
        <v>45653</v>
      </c>
      <c r="AA1485" t="str" cm="1">
        <f t="array" ref="AA1485">_xlfn.IFS(AND(Table2[[#This Row],[Guest_Age]]&gt;=18,Table2[[#This Row],[Guest_Age]]&lt;=25),"Young Adults",AND(Table2[[#This Row],[Guest_Age]]&gt;=26,Table2[[#This Row],[Guest_Age]]&lt;=35),"Adults",AND(Table2[[#This Row],[Guest_Age]]&gt;=36,Table2[[#This Row],[Guest_Age]]&lt;=50),"Middle Aged Adults",Table2[[#This Row],[Guest_Age]]&gt;50,"Senior")</f>
        <v>Senior</v>
      </c>
      <c r="AB14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485" t="str" cm="1">
        <f t="array" ref="AC1485">_xlfn.IFS(Table2[[#This Row],[Satification_points]]&gt;=4.5,"GREAT",AND(Table2[[#This Row],[Satification_points]]&gt;=4,Table2[[#This Row],[Satification_points]]&lt;4.5),"GOOD",AND(Table2[[#This Row],[Satification_points]]&gt;=3,Table2[[#This Row],[Satification_points]]&lt;4),"AVERAGE",Table2[[#This Row],[Satification_points]]&lt;3,"POOR")</f>
        <v>POOR</v>
      </c>
    </row>
    <row r="1486" spans="1:29" x14ac:dyDescent="0.3">
      <c r="A1486">
        <v>1485</v>
      </c>
      <c r="B1486">
        <v>22473</v>
      </c>
      <c r="C1486" t="s">
        <v>1528</v>
      </c>
      <c r="D1486" t="s">
        <v>34</v>
      </c>
      <c r="E1486" t="s">
        <v>45</v>
      </c>
      <c r="F1486" s="1">
        <v>44949</v>
      </c>
      <c r="G1486" s="1">
        <v>44950</v>
      </c>
      <c r="H1486">
        <v>4</v>
      </c>
      <c r="I1486" t="s">
        <v>42</v>
      </c>
      <c r="J1486" t="s">
        <v>40</v>
      </c>
      <c r="K1486">
        <v>1</v>
      </c>
      <c r="L1486">
        <v>5</v>
      </c>
      <c r="M1486">
        <v>3</v>
      </c>
      <c r="N1486">
        <v>1</v>
      </c>
      <c r="O1486">
        <v>1</v>
      </c>
      <c r="P1486">
        <v>3</v>
      </c>
      <c r="Q1486">
        <v>1</v>
      </c>
      <c r="R1486">
        <v>5</v>
      </c>
      <c r="S1486">
        <v>4</v>
      </c>
      <c r="T1486">
        <v>3</v>
      </c>
      <c r="U1486" t="s">
        <v>37</v>
      </c>
      <c r="V1486" t="s">
        <v>38</v>
      </c>
      <c r="W1486" t="s">
        <v>47</v>
      </c>
      <c r="X1486" t="s">
        <v>44</v>
      </c>
      <c r="Y1486">
        <v>46</v>
      </c>
      <c r="Z1486" s="1">
        <v>45282</v>
      </c>
      <c r="AA1486" t="str" cm="1">
        <f t="array" ref="AA14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86" t="str" cm="1">
        <f t="array" ref="AC1486">_xlfn.IFS(Table2[[#This Row],[Satification_points]]&gt;=4.5,"GREAT",AND(Table2[[#This Row],[Satification_points]]&gt;=4,Table2[[#This Row],[Satification_points]]&lt;4.5),"GOOD",AND(Table2[[#This Row],[Satification_points]]&gt;=3,Table2[[#This Row],[Satification_points]]&lt;4),"AVERAGE",Table2[[#This Row],[Satification_points]]&lt;3,"POOR")</f>
        <v>POOR</v>
      </c>
    </row>
    <row r="1487" spans="1:29" x14ac:dyDescent="0.3">
      <c r="A1487">
        <v>1486</v>
      </c>
      <c r="B1487">
        <v>20468</v>
      </c>
      <c r="C1487" t="s">
        <v>1529</v>
      </c>
      <c r="D1487" t="s">
        <v>51</v>
      </c>
      <c r="E1487" t="s">
        <v>27</v>
      </c>
      <c r="F1487" s="1">
        <v>45290</v>
      </c>
      <c r="G1487" s="1">
        <v>45523</v>
      </c>
      <c r="H1487">
        <v>9</v>
      </c>
      <c r="I1487" t="s">
        <v>42</v>
      </c>
      <c r="J1487" t="s">
        <v>36</v>
      </c>
      <c r="K1487">
        <v>1</v>
      </c>
      <c r="L1487">
        <v>2</v>
      </c>
      <c r="M1487">
        <v>1</v>
      </c>
      <c r="N1487">
        <v>2</v>
      </c>
      <c r="O1487">
        <v>4</v>
      </c>
      <c r="P1487">
        <v>5</v>
      </c>
      <c r="Q1487">
        <v>5</v>
      </c>
      <c r="R1487">
        <v>4</v>
      </c>
      <c r="S1487">
        <v>1</v>
      </c>
      <c r="T1487">
        <v>2</v>
      </c>
      <c r="U1487" t="s">
        <v>37</v>
      </c>
      <c r="V1487" t="s">
        <v>46</v>
      </c>
      <c r="W1487" t="s">
        <v>32</v>
      </c>
      <c r="X1487" t="s">
        <v>40</v>
      </c>
      <c r="Y1487">
        <v>38</v>
      </c>
      <c r="Z1487" s="1">
        <v>45523</v>
      </c>
      <c r="AA1487" t="str" cm="1">
        <f t="array" ref="AA14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87" t="str" cm="1">
        <f t="array" ref="AC1487">_xlfn.IFS(Table2[[#This Row],[Satification_points]]&gt;=4.5,"GREAT",AND(Table2[[#This Row],[Satification_points]]&gt;=4,Table2[[#This Row],[Satification_points]]&lt;4.5),"GOOD",AND(Table2[[#This Row],[Satification_points]]&gt;=3,Table2[[#This Row],[Satification_points]]&lt;4),"AVERAGE",Table2[[#This Row],[Satification_points]]&lt;3,"POOR")</f>
        <v>POOR</v>
      </c>
    </row>
    <row r="1488" spans="1:29" x14ac:dyDescent="0.3">
      <c r="A1488">
        <v>1487</v>
      </c>
      <c r="B1488">
        <v>65965</v>
      </c>
      <c r="C1488" t="s">
        <v>1530</v>
      </c>
      <c r="D1488" t="s">
        <v>34</v>
      </c>
      <c r="E1488" t="s">
        <v>27</v>
      </c>
      <c r="F1488" s="1">
        <v>45074</v>
      </c>
      <c r="G1488" s="1">
        <v>45528</v>
      </c>
      <c r="H1488">
        <v>12</v>
      </c>
      <c r="I1488" t="s">
        <v>42</v>
      </c>
      <c r="J1488" t="s">
        <v>53</v>
      </c>
      <c r="K1488">
        <v>1</v>
      </c>
      <c r="L1488">
        <v>2</v>
      </c>
      <c r="M1488">
        <v>4</v>
      </c>
      <c r="N1488">
        <v>3</v>
      </c>
      <c r="O1488">
        <v>5</v>
      </c>
      <c r="P1488">
        <v>4</v>
      </c>
      <c r="Q1488">
        <v>5</v>
      </c>
      <c r="R1488">
        <v>1</v>
      </c>
      <c r="S1488">
        <v>4</v>
      </c>
      <c r="T1488">
        <v>5</v>
      </c>
      <c r="U1488" t="s">
        <v>37</v>
      </c>
      <c r="V1488" t="s">
        <v>38</v>
      </c>
      <c r="W1488" t="s">
        <v>39</v>
      </c>
      <c r="X1488" t="s">
        <v>44</v>
      </c>
      <c r="Y1488">
        <v>58</v>
      </c>
      <c r="Z1488" s="1">
        <v>45528</v>
      </c>
      <c r="AA1488" t="str" cm="1">
        <f t="array" ref="AA1488">_xlfn.IFS(AND(Table2[[#This Row],[Guest_Age]]&gt;=18,Table2[[#This Row],[Guest_Age]]&lt;=25),"Young Adults",AND(Table2[[#This Row],[Guest_Age]]&gt;=26,Table2[[#This Row],[Guest_Age]]&lt;=35),"Adults",AND(Table2[[#This Row],[Guest_Age]]&gt;=36,Table2[[#This Row],[Guest_Age]]&lt;=50),"Middle Aged Adults",Table2[[#This Row],[Guest_Age]]&gt;50,"Senior")</f>
        <v>Senior</v>
      </c>
      <c r="AB14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88" t="str" cm="1">
        <f t="array" ref="AC1488">_xlfn.IFS(Table2[[#This Row],[Satification_points]]&gt;=4.5,"GREAT",AND(Table2[[#This Row],[Satification_points]]&gt;=4,Table2[[#This Row],[Satification_points]]&lt;4.5),"GOOD",AND(Table2[[#This Row],[Satification_points]]&gt;=3,Table2[[#This Row],[Satification_points]]&lt;4),"AVERAGE",Table2[[#This Row],[Satification_points]]&lt;3,"POOR")</f>
        <v>AVERAGE</v>
      </c>
    </row>
    <row r="1489" spans="1:29" x14ac:dyDescent="0.3">
      <c r="A1489">
        <v>1488</v>
      </c>
      <c r="B1489">
        <v>78368</v>
      </c>
      <c r="C1489" t="s">
        <v>1531</v>
      </c>
      <c r="D1489" t="s">
        <v>48</v>
      </c>
      <c r="E1489" t="s">
        <v>57</v>
      </c>
      <c r="F1489" s="1">
        <v>45492</v>
      </c>
      <c r="G1489" s="1">
        <v>45493</v>
      </c>
      <c r="H1489">
        <v>6</v>
      </c>
      <c r="I1489" t="s">
        <v>50</v>
      </c>
      <c r="J1489" t="s">
        <v>43</v>
      </c>
      <c r="K1489">
        <v>3</v>
      </c>
      <c r="L1489">
        <v>2</v>
      </c>
      <c r="M1489">
        <v>1</v>
      </c>
      <c r="N1489">
        <v>5</v>
      </c>
      <c r="O1489">
        <v>2</v>
      </c>
      <c r="P1489">
        <v>5</v>
      </c>
      <c r="Q1489">
        <v>2</v>
      </c>
      <c r="R1489">
        <v>3</v>
      </c>
      <c r="S1489">
        <v>2</v>
      </c>
      <c r="T1489">
        <v>2</v>
      </c>
      <c r="U1489" t="s">
        <v>37</v>
      </c>
      <c r="V1489" t="s">
        <v>58</v>
      </c>
      <c r="W1489" t="s">
        <v>32</v>
      </c>
      <c r="X1489" t="s">
        <v>33</v>
      </c>
      <c r="Y1489">
        <v>22</v>
      </c>
      <c r="Z1489" s="1">
        <v>45493</v>
      </c>
      <c r="AA1489" t="str" cm="1">
        <f t="array" ref="AA1489">_xlfn.IFS(AND(Table2[[#This Row],[Guest_Age]]&gt;=18,Table2[[#This Row],[Guest_Age]]&lt;=25),"Young Adults",AND(Table2[[#This Row],[Guest_Age]]&gt;=26,Table2[[#This Row],[Guest_Age]]&lt;=35),"Adults",AND(Table2[[#This Row],[Guest_Age]]&gt;=36,Table2[[#This Row],[Guest_Age]]&lt;=50),"Middle Aged Adults",Table2[[#This Row],[Guest_Age]]&gt;50,"Senior")</f>
        <v>Young Adults</v>
      </c>
      <c r="AB14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89" t="str" cm="1">
        <f t="array" ref="AC1489">_xlfn.IFS(Table2[[#This Row],[Satification_points]]&gt;=4.5,"GREAT",AND(Table2[[#This Row],[Satification_points]]&gt;=4,Table2[[#This Row],[Satification_points]]&lt;4.5),"GOOD",AND(Table2[[#This Row],[Satification_points]]&gt;=3,Table2[[#This Row],[Satification_points]]&lt;4),"AVERAGE",Table2[[#This Row],[Satification_points]]&lt;3,"POOR")</f>
        <v>POOR</v>
      </c>
    </row>
    <row r="1490" spans="1:29" x14ac:dyDescent="0.3">
      <c r="A1490">
        <v>1489</v>
      </c>
      <c r="B1490">
        <v>98898</v>
      </c>
      <c r="C1490" t="s">
        <v>1532</v>
      </c>
      <c r="D1490" t="s">
        <v>41</v>
      </c>
      <c r="E1490" t="s">
        <v>52</v>
      </c>
      <c r="F1490" s="1">
        <v>45477</v>
      </c>
      <c r="G1490" s="1">
        <v>45478</v>
      </c>
      <c r="H1490">
        <v>12</v>
      </c>
      <c r="I1490" t="s">
        <v>42</v>
      </c>
      <c r="J1490" t="s">
        <v>40</v>
      </c>
      <c r="K1490">
        <v>4</v>
      </c>
      <c r="L1490">
        <v>5</v>
      </c>
      <c r="M1490">
        <v>4</v>
      </c>
      <c r="N1490">
        <v>5</v>
      </c>
      <c r="O1490">
        <v>4</v>
      </c>
      <c r="P1490">
        <v>1</v>
      </c>
      <c r="Q1490">
        <v>4</v>
      </c>
      <c r="R1490">
        <v>2</v>
      </c>
      <c r="S1490">
        <v>1</v>
      </c>
      <c r="T1490">
        <v>4</v>
      </c>
      <c r="U1490" t="s">
        <v>30</v>
      </c>
      <c r="V1490" t="s">
        <v>31</v>
      </c>
      <c r="W1490" t="s">
        <v>32</v>
      </c>
      <c r="X1490" t="s">
        <v>44</v>
      </c>
      <c r="Y1490">
        <v>22</v>
      </c>
      <c r="Z1490" s="1">
        <v>45578</v>
      </c>
      <c r="AA1490" t="str" cm="1">
        <f t="array" ref="AA1490">_xlfn.IFS(AND(Table2[[#This Row],[Guest_Age]]&gt;=18,Table2[[#This Row],[Guest_Age]]&lt;=25),"Young Adults",AND(Table2[[#This Row],[Guest_Age]]&gt;=26,Table2[[#This Row],[Guest_Age]]&lt;=35),"Adults",AND(Table2[[#This Row],[Guest_Age]]&gt;=36,Table2[[#This Row],[Guest_Age]]&lt;=50),"Middle Aged Adults",Table2[[#This Row],[Guest_Age]]&gt;50,"Senior")</f>
        <v>Young Adults</v>
      </c>
      <c r="AB14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490" t="str" cm="1">
        <f t="array" ref="AC1490">_xlfn.IFS(Table2[[#This Row],[Satification_points]]&gt;=4.5,"GREAT",AND(Table2[[#This Row],[Satification_points]]&gt;=4,Table2[[#This Row],[Satification_points]]&lt;4.5),"GOOD",AND(Table2[[#This Row],[Satification_points]]&gt;=3,Table2[[#This Row],[Satification_points]]&lt;4),"AVERAGE",Table2[[#This Row],[Satification_points]]&lt;3,"POOR")</f>
        <v>AVERAGE</v>
      </c>
    </row>
    <row r="1491" spans="1:29" x14ac:dyDescent="0.3">
      <c r="A1491">
        <v>1490</v>
      </c>
      <c r="B1491">
        <v>96036</v>
      </c>
      <c r="C1491" t="s">
        <v>1533</v>
      </c>
      <c r="D1491" t="s">
        <v>48</v>
      </c>
      <c r="E1491" t="s">
        <v>45</v>
      </c>
      <c r="F1491" s="1">
        <v>45431</v>
      </c>
      <c r="G1491" s="1">
        <v>45432</v>
      </c>
      <c r="H1491">
        <v>6</v>
      </c>
      <c r="I1491" t="s">
        <v>49</v>
      </c>
      <c r="J1491" t="s">
        <v>40</v>
      </c>
      <c r="K1491">
        <v>2</v>
      </c>
      <c r="L1491">
        <v>4</v>
      </c>
      <c r="M1491">
        <v>5</v>
      </c>
      <c r="N1491">
        <v>5</v>
      </c>
      <c r="O1491">
        <v>5</v>
      </c>
      <c r="P1491">
        <v>5</v>
      </c>
      <c r="Q1491">
        <v>5</v>
      </c>
      <c r="R1491">
        <v>3</v>
      </c>
      <c r="S1491">
        <v>3</v>
      </c>
      <c r="T1491">
        <v>5</v>
      </c>
      <c r="U1491" t="s">
        <v>37</v>
      </c>
      <c r="V1491" t="s">
        <v>58</v>
      </c>
      <c r="W1491" t="s">
        <v>39</v>
      </c>
      <c r="X1491" t="s">
        <v>33</v>
      </c>
      <c r="Y1491">
        <v>41</v>
      </c>
      <c r="Z1491" s="1">
        <v>45432</v>
      </c>
      <c r="AA1491" t="str" cm="1">
        <f t="array" ref="AA149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1491" t="str" cm="1">
        <f t="array" ref="AC1491">_xlfn.IFS(Table2[[#This Row],[Satification_points]]&gt;=4.5,"GREAT",AND(Table2[[#This Row],[Satification_points]]&gt;=4,Table2[[#This Row],[Satification_points]]&lt;4.5),"GOOD",AND(Table2[[#This Row],[Satification_points]]&gt;=3,Table2[[#This Row],[Satification_points]]&lt;4),"AVERAGE",Table2[[#This Row],[Satification_points]]&lt;3,"POOR")</f>
        <v>GOOD</v>
      </c>
    </row>
    <row r="1492" spans="1:29" x14ac:dyDescent="0.3">
      <c r="A1492">
        <v>1491</v>
      </c>
      <c r="B1492">
        <v>10015</v>
      </c>
      <c r="C1492" t="s">
        <v>1534</v>
      </c>
      <c r="D1492" t="s">
        <v>51</v>
      </c>
      <c r="E1492" t="s">
        <v>57</v>
      </c>
      <c r="F1492" s="1">
        <v>45144</v>
      </c>
      <c r="G1492" s="1">
        <v>45145</v>
      </c>
      <c r="H1492">
        <v>12</v>
      </c>
      <c r="I1492" t="s">
        <v>28</v>
      </c>
      <c r="J1492" t="s">
        <v>43</v>
      </c>
      <c r="K1492">
        <v>2</v>
      </c>
      <c r="L1492">
        <v>4</v>
      </c>
      <c r="M1492">
        <v>2</v>
      </c>
      <c r="N1492">
        <v>3</v>
      </c>
      <c r="O1492">
        <v>1</v>
      </c>
      <c r="P1492">
        <v>4</v>
      </c>
      <c r="Q1492">
        <v>3</v>
      </c>
      <c r="R1492">
        <v>4</v>
      </c>
      <c r="S1492">
        <v>5</v>
      </c>
      <c r="T1492">
        <v>5</v>
      </c>
      <c r="U1492" t="s">
        <v>30</v>
      </c>
      <c r="V1492" t="s">
        <v>31</v>
      </c>
      <c r="W1492" t="s">
        <v>56</v>
      </c>
      <c r="X1492" t="s">
        <v>33</v>
      </c>
      <c r="Y1492">
        <v>32</v>
      </c>
      <c r="Z1492" s="1">
        <v>45395</v>
      </c>
      <c r="AA1492" t="str" cm="1">
        <f t="array" ref="AA1492">_xlfn.IFS(AND(Table2[[#This Row],[Guest_Age]]&gt;=18,Table2[[#This Row],[Guest_Age]]&lt;=25),"Young Adults",AND(Table2[[#This Row],[Guest_Age]]&gt;=26,Table2[[#This Row],[Guest_Age]]&lt;=35),"Adults",AND(Table2[[#This Row],[Guest_Age]]&gt;=36,Table2[[#This Row],[Guest_Age]]&lt;=50),"Middle Aged Adults",Table2[[#This Row],[Guest_Age]]&gt;50,"Senior")</f>
        <v>Adults</v>
      </c>
      <c r="AB14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92" t="str" cm="1">
        <f t="array" ref="AC1492">_xlfn.IFS(Table2[[#This Row],[Satification_points]]&gt;=4.5,"GREAT",AND(Table2[[#This Row],[Satification_points]]&gt;=4,Table2[[#This Row],[Satification_points]]&lt;4.5),"GOOD",AND(Table2[[#This Row],[Satification_points]]&gt;=3,Table2[[#This Row],[Satification_points]]&lt;4),"AVERAGE",Table2[[#This Row],[Satification_points]]&lt;3,"POOR")</f>
        <v>AVERAGE</v>
      </c>
    </row>
    <row r="1493" spans="1:29" x14ac:dyDescent="0.3">
      <c r="A1493">
        <v>1492</v>
      </c>
      <c r="B1493">
        <v>86255</v>
      </c>
      <c r="C1493" t="s">
        <v>1535</v>
      </c>
      <c r="D1493" t="s">
        <v>34</v>
      </c>
      <c r="E1493" t="s">
        <v>45</v>
      </c>
      <c r="F1493" s="1">
        <v>45408</v>
      </c>
      <c r="G1493" s="1">
        <v>45409</v>
      </c>
      <c r="H1493">
        <v>14</v>
      </c>
      <c r="I1493" t="s">
        <v>49</v>
      </c>
      <c r="J1493" t="s">
        <v>43</v>
      </c>
      <c r="K1493">
        <v>2</v>
      </c>
      <c r="L1493">
        <v>3</v>
      </c>
      <c r="M1493">
        <v>1</v>
      </c>
      <c r="N1493">
        <v>3</v>
      </c>
      <c r="O1493">
        <v>4</v>
      </c>
      <c r="P1493">
        <v>5</v>
      </c>
      <c r="Q1493">
        <v>2</v>
      </c>
      <c r="R1493">
        <v>2</v>
      </c>
      <c r="S1493">
        <v>5</v>
      </c>
      <c r="T1493">
        <v>3</v>
      </c>
      <c r="U1493" t="s">
        <v>37</v>
      </c>
      <c r="V1493" t="s">
        <v>54</v>
      </c>
      <c r="W1493" t="s">
        <v>39</v>
      </c>
      <c r="X1493" t="s">
        <v>40</v>
      </c>
      <c r="Y1493">
        <v>45</v>
      </c>
      <c r="Z1493" s="1">
        <v>45409</v>
      </c>
      <c r="AA1493" t="str" cm="1">
        <f t="array" ref="AA14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493" t="str" cm="1">
        <f t="array" ref="AC1493">_xlfn.IFS(Table2[[#This Row],[Satification_points]]&gt;=4.5,"GREAT",AND(Table2[[#This Row],[Satification_points]]&gt;=4,Table2[[#This Row],[Satification_points]]&lt;4.5),"GOOD",AND(Table2[[#This Row],[Satification_points]]&gt;=3,Table2[[#This Row],[Satification_points]]&lt;4),"AVERAGE",Table2[[#This Row],[Satification_points]]&lt;3,"POOR")</f>
        <v>AVERAGE</v>
      </c>
    </row>
    <row r="1494" spans="1:29" x14ac:dyDescent="0.3">
      <c r="A1494">
        <v>1493</v>
      </c>
      <c r="B1494">
        <v>79402</v>
      </c>
      <c r="C1494" t="s">
        <v>1536</v>
      </c>
      <c r="D1494" t="s">
        <v>26</v>
      </c>
      <c r="E1494" t="s">
        <v>52</v>
      </c>
      <c r="F1494" s="1">
        <v>45342</v>
      </c>
      <c r="G1494" s="1">
        <v>45343</v>
      </c>
      <c r="H1494">
        <v>10</v>
      </c>
      <c r="I1494" t="s">
        <v>42</v>
      </c>
      <c r="J1494" t="s">
        <v>29</v>
      </c>
      <c r="K1494">
        <v>3</v>
      </c>
      <c r="L1494">
        <v>1</v>
      </c>
      <c r="M1494">
        <v>2</v>
      </c>
      <c r="N1494">
        <v>4</v>
      </c>
      <c r="O1494">
        <v>4</v>
      </c>
      <c r="P1494">
        <v>3</v>
      </c>
      <c r="Q1494">
        <v>3</v>
      </c>
      <c r="R1494">
        <v>4</v>
      </c>
      <c r="S1494">
        <v>1</v>
      </c>
      <c r="T1494">
        <v>2</v>
      </c>
      <c r="U1494" t="s">
        <v>30</v>
      </c>
      <c r="V1494" t="s">
        <v>31</v>
      </c>
      <c r="W1494" t="s">
        <v>55</v>
      </c>
      <c r="X1494" t="s">
        <v>44</v>
      </c>
      <c r="Y1494">
        <v>51</v>
      </c>
      <c r="Z1494" s="1">
        <v>45387</v>
      </c>
      <c r="AA1494" t="str" cm="1">
        <f t="array" ref="AA1494">_xlfn.IFS(AND(Table2[[#This Row],[Guest_Age]]&gt;=18,Table2[[#This Row],[Guest_Age]]&lt;=25),"Young Adults",AND(Table2[[#This Row],[Guest_Age]]&gt;=26,Table2[[#This Row],[Guest_Age]]&lt;=35),"Adults",AND(Table2[[#This Row],[Guest_Age]]&gt;=36,Table2[[#This Row],[Guest_Age]]&lt;=50),"Middle Aged Adults",Table2[[#This Row],[Guest_Age]]&gt;50,"Senior")</f>
        <v>Senior</v>
      </c>
      <c r="AB14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94" t="str" cm="1">
        <f t="array" ref="AC1494">_xlfn.IFS(Table2[[#This Row],[Satification_points]]&gt;=4.5,"GREAT",AND(Table2[[#This Row],[Satification_points]]&gt;=4,Table2[[#This Row],[Satification_points]]&lt;4.5),"GOOD",AND(Table2[[#This Row],[Satification_points]]&gt;=3,Table2[[#This Row],[Satification_points]]&lt;4),"AVERAGE",Table2[[#This Row],[Satification_points]]&lt;3,"POOR")</f>
        <v>POOR</v>
      </c>
    </row>
    <row r="1495" spans="1:29" x14ac:dyDescent="0.3">
      <c r="A1495">
        <v>1494</v>
      </c>
      <c r="B1495">
        <v>25986</v>
      </c>
      <c r="C1495" t="s">
        <v>1537</v>
      </c>
      <c r="D1495" t="s">
        <v>41</v>
      </c>
      <c r="E1495" t="s">
        <v>45</v>
      </c>
      <c r="F1495" s="1">
        <v>45251</v>
      </c>
      <c r="G1495" s="1">
        <v>45252</v>
      </c>
      <c r="H1495">
        <v>6</v>
      </c>
      <c r="I1495" t="s">
        <v>50</v>
      </c>
      <c r="J1495" t="s">
        <v>36</v>
      </c>
      <c r="K1495">
        <v>3</v>
      </c>
      <c r="L1495">
        <v>4</v>
      </c>
      <c r="M1495">
        <v>1</v>
      </c>
      <c r="N1495">
        <v>1</v>
      </c>
      <c r="O1495">
        <v>5</v>
      </c>
      <c r="P1495">
        <v>3</v>
      </c>
      <c r="Q1495">
        <v>2</v>
      </c>
      <c r="R1495">
        <v>2</v>
      </c>
      <c r="S1495">
        <v>1</v>
      </c>
      <c r="T1495">
        <v>3</v>
      </c>
      <c r="U1495" t="s">
        <v>30</v>
      </c>
      <c r="V1495" t="s">
        <v>58</v>
      </c>
      <c r="W1495" t="s">
        <v>56</v>
      </c>
      <c r="X1495" t="s">
        <v>40</v>
      </c>
      <c r="Y1495">
        <v>30</v>
      </c>
      <c r="Z1495" s="1">
        <v>45252</v>
      </c>
      <c r="AA1495" t="str" cm="1">
        <f t="array" ref="AA1495">_xlfn.IFS(AND(Table2[[#This Row],[Guest_Age]]&gt;=18,Table2[[#This Row],[Guest_Age]]&lt;=25),"Young Adults",AND(Table2[[#This Row],[Guest_Age]]&gt;=26,Table2[[#This Row],[Guest_Age]]&lt;=35),"Adults",AND(Table2[[#This Row],[Guest_Age]]&gt;=36,Table2[[#This Row],[Guest_Age]]&lt;=50),"Middle Aged Adults",Table2[[#This Row],[Guest_Age]]&gt;50,"Senior")</f>
        <v>Adults</v>
      </c>
      <c r="AB14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495" t="str" cm="1">
        <f t="array" ref="AC1495">_xlfn.IFS(Table2[[#This Row],[Satification_points]]&gt;=4.5,"GREAT",AND(Table2[[#This Row],[Satification_points]]&gt;=4,Table2[[#This Row],[Satification_points]]&lt;4.5),"GOOD",AND(Table2[[#This Row],[Satification_points]]&gt;=3,Table2[[#This Row],[Satification_points]]&lt;4),"AVERAGE",Table2[[#This Row],[Satification_points]]&lt;3,"POOR")</f>
        <v>POOR</v>
      </c>
    </row>
    <row r="1496" spans="1:29" x14ac:dyDescent="0.3">
      <c r="A1496">
        <v>1495</v>
      </c>
      <c r="B1496">
        <v>12345</v>
      </c>
      <c r="C1496" t="s">
        <v>1538</v>
      </c>
      <c r="D1496" t="s">
        <v>51</v>
      </c>
      <c r="E1496" t="s">
        <v>45</v>
      </c>
      <c r="F1496" s="1">
        <v>45415</v>
      </c>
      <c r="G1496" s="1">
        <v>45450</v>
      </c>
      <c r="H1496">
        <v>4</v>
      </c>
      <c r="I1496" t="s">
        <v>49</v>
      </c>
      <c r="J1496" t="s">
        <v>40</v>
      </c>
      <c r="K1496">
        <v>5</v>
      </c>
      <c r="L1496">
        <v>2</v>
      </c>
      <c r="M1496">
        <v>5</v>
      </c>
      <c r="N1496">
        <v>3</v>
      </c>
      <c r="O1496">
        <v>2</v>
      </c>
      <c r="P1496">
        <v>4</v>
      </c>
      <c r="Q1496">
        <v>4</v>
      </c>
      <c r="R1496">
        <v>3</v>
      </c>
      <c r="S1496">
        <v>5</v>
      </c>
      <c r="T1496">
        <v>4</v>
      </c>
      <c r="U1496" t="s">
        <v>37</v>
      </c>
      <c r="V1496" t="s">
        <v>46</v>
      </c>
      <c r="W1496" t="s">
        <v>55</v>
      </c>
      <c r="X1496" t="s">
        <v>44</v>
      </c>
      <c r="Y1496">
        <v>61</v>
      </c>
      <c r="Z1496" s="1">
        <v>45471</v>
      </c>
      <c r="AA1496" t="str" cm="1">
        <f t="array" ref="AA1496">_xlfn.IFS(AND(Table2[[#This Row],[Guest_Age]]&gt;=18,Table2[[#This Row],[Guest_Age]]&lt;=25),"Young Adults",AND(Table2[[#This Row],[Guest_Age]]&gt;=26,Table2[[#This Row],[Guest_Age]]&lt;=35),"Adults",AND(Table2[[#This Row],[Guest_Age]]&gt;=36,Table2[[#This Row],[Guest_Age]]&lt;=50),"Middle Aged Adults",Table2[[#This Row],[Guest_Age]]&gt;50,"Senior")</f>
        <v>Senior</v>
      </c>
      <c r="AB14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496" t="str" cm="1">
        <f t="array" ref="AC1496">_xlfn.IFS(Table2[[#This Row],[Satification_points]]&gt;=4.5,"GREAT",AND(Table2[[#This Row],[Satification_points]]&gt;=4,Table2[[#This Row],[Satification_points]]&lt;4.5),"GOOD",AND(Table2[[#This Row],[Satification_points]]&gt;=3,Table2[[#This Row],[Satification_points]]&lt;4),"AVERAGE",Table2[[#This Row],[Satification_points]]&lt;3,"POOR")</f>
        <v>AVERAGE</v>
      </c>
    </row>
    <row r="1497" spans="1:29" x14ac:dyDescent="0.3">
      <c r="A1497">
        <v>1496</v>
      </c>
      <c r="B1497">
        <v>18450</v>
      </c>
      <c r="C1497" t="s">
        <v>1539</v>
      </c>
      <c r="D1497" t="s">
        <v>48</v>
      </c>
      <c r="E1497" t="s">
        <v>45</v>
      </c>
      <c r="F1497" s="1">
        <v>45334</v>
      </c>
      <c r="G1497" s="1">
        <v>45575</v>
      </c>
      <c r="H1497">
        <v>13</v>
      </c>
      <c r="I1497" t="s">
        <v>28</v>
      </c>
      <c r="J1497" t="s">
        <v>40</v>
      </c>
      <c r="K1497">
        <v>3</v>
      </c>
      <c r="L1497">
        <v>3</v>
      </c>
      <c r="M1497">
        <v>1</v>
      </c>
      <c r="N1497">
        <v>4</v>
      </c>
      <c r="O1497">
        <v>3</v>
      </c>
      <c r="P1497">
        <v>4</v>
      </c>
      <c r="Q1497">
        <v>1</v>
      </c>
      <c r="R1497">
        <v>4</v>
      </c>
      <c r="S1497">
        <v>5</v>
      </c>
      <c r="T1497">
        <v>5</v>
      </c>
      <c r="U1497" t="s">
        <v>37</v>
      </c>
      <c r="V1497" t="s">
        <v>38</v>
      </c>
      <c r="W1497" t="s">
        <v>47</v>
      </c>
      <c r="X1497" t="s">
        <v>44</v>
      </c>
      <c r="Y1497">
        <v>49</v>
      </c>
      <c r="Z1497" s="1">
        <v>45575</v>
      </c>
      <c r="AA1497" t="str" cm="1">
        <f t="array" ref="AA14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497" t="str" cm="1">
        <f t="array" ref="AC1497">_xlfn.IFS(Table2[[#This Row],[Satification_points]]&gt;=4.5,"GREAT",AND(Table2[[#This Row],[Satification_points]]&gt;=4,Table2[[#This Row],[Satification_points]]&lt;4.5),"GOOD",AND(Table2[[#This Row],[Satification_points]]&gt;=3,Table2[[#This Row],[Satification_points]]&lt;4),"AVERAGE",Table2[[#This Row],[Satification_points]]&lt;3,"POOR")</f>
        <v>AVERAGE</v>
      </c>
    </row>
    <row r="1498" spans="1:29" x14ac:dyDescent="0.3">
      <c r="A1498">
        <v>1497</v>
      </c>
      <c r="B1498">
        <v>25349</v>
      </c>
      <c r="C1498" t="s">
        <v>1540</v>
      </c>
      <c r="D1498" t="s">
        <v>34</v>
      </c>
      <c r="E1498" t="s">
        <v>27</v>
      </c>
      <c r="F1498" s="1">
        <v>45070</v>
      </c>
      <c r="G1498" s="1">
        <v>45071</v>
      </c>
      <c r="H1498">
        <v>7</v>
      </c>
      <c r="I1498" t="s">
        <v>50</v>
      </c>
      <c r="J1498" t="s">
        <v>53</v>
      </c>
      <c r="K1498">
        <v>1</v>
      </c>
      <c r="L1498">
        <v>4</v>
      </c>
      <c r="M1498">
        <v>5</v>
      </c>
      <c r="N1498">
        <v>2</v>
      </c>
      <c r="O1498">
        <v>2</v>
      </c>
      <c r="P1498">
        <v>5</v>
      </c>
      <c r="Q1498">
        <v>2</v>
      </c>
      <c r="R1498">
        <v>5</v>
      </c>
      <c r="S1498">
        <v>1</v>
      </c>
      <c r="T1498">
        <v>3</v>
      </c>
      <c r="U1498" t="s">
        <v>37</v>
      </c>
      <c r="V1498" t="s">
        <v>38</v>
      </c>
      <c r="W1498" t="s">
        <v>55</v>
      </c>
      <c r="X1498" t="s">
        <v>40</v>
      </c>
      <c r="Y1498">
        <v>39</v>
      </c>
      <c r="Z1498" s="1">
        <v>45120</v>
      </c>
      <c r="AA1498" t="str" cm="1">
        <f t="array" ref="AA14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498" t="str" cm="1">
        <f t="array" ref="AC1498">_xlfn.IFS(Table2[[#This Row],[Satification_points]]&gt;=4.5,"GREAT",AND(Table2[[#This Row],[Satification_points]]&gt;=4,Table2[[#This Row],[Satification_points]]&lt;4.5),"GOOD",AND(Table2[[#This Row],[Satification_points]]&gt;=3,Table2[[#This Row],[Satification_points]]&lt;4),"AVERAGE",Table2[[#This Row],[Satification_points]]&lt;3,"POOR")</f>
        <v>AVERAGE</v>
      </c>
    </row>
    <row r="1499" spans="1:29" x14ac:dyDescent="0.3">
      <c r="A1499">
        <v>1498</v>
      </c>
      <c r="B1499">
        <v>76599</v>
      </c>
      <c r="C1499" t="s">
        <v>1541</v>
      </c>
      <c r="D1499" t="s">
        <v>51</v>
      </c>
      <c r="E1499" t="s">
        <v>52</v>
      </c>
      <c r="F1499" s="1">
        <v>45137</v>
      </c>
      <c r="G1499" s="1">
        <v>45138</v>
      </c>
      <c r="H1499">
        <v>14</v>
      </c>
      <c r="I1499" t="s">
        <v>42</v>
      </c>
      <c r="J1499" t="s">
        <v>43</v>
      </c>
      <c r="K1499">
        <v>4</v>
      </c>
      <c r="L1499">
        <v>4</v>
      </c>
      <c r="M1499">
        <v>2</v>
      </c>
      <c r="N1499">
        <v>1</v>
      </c>
      <c r="O1499">
        <v>1</v>
      </c>
      <c r="P1499">
        <v>2</v>
      </c>
      <c r="Q1499">
        <v>1</v>
      </c>
      <c r="R1499">
        <v>2</v>
      </c>
      <c r="S1499">
        <v>5</v>
      </c>
      <c r="T1499">
        <v>5</v>
      </c>
      <c r="U1499" t="s">
        <v>37</v>
      </c>
      <c r="V1499" t="s">
        <v>58</v>
      </c>
      <c r="W1499" t="s">
        <v>32</v>
      </c>
      <c r="X1499" t="s">
        <v>40</v>
      </c>
      <c r="Y1499">
        <v>46</v>
      </c>
      <c r="Z1499" s="1">
        <v>45319</v>
      </c>
      <c r="AA1499" t="str" cm="1">
        <f t="array" ref="AA149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4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499" t="str" cm="1">
        <f t="array" ref="AC1499">_xlfn.IFS(Table2[[#This Row],[Satification_points]]&gt;=4.5,"GREAT",AND(Table2[[#This Row],[Satification_points]]&gt;=4,Table2[[#This Row],[Satification_points]]&lt;4.5),"GOOD",AND(Table2[[#This Row],[Satification_points]]&gt;=3,Table2[[#This Row],[Satification_points]]&lt;4),"AVERAGE",Table2[[#This Row],[Satification_points]]&lt;3,"POOR")</f>
        <v>POOR</v>
      </c>
    </row>
    <row r="1500" spans="1:29" x14ac:dyDescent="0.3">
      <c r="A1500">
        <v>1499</v>
      </c>
      <c r="B1500">
        <v>26659</v>
      </c>
      <c r="C1500" t="s">
        <v>1542</v>
      </c>
      <c r="D1500" t="s">
        <v>51</v>
      </c>
      <c r="E1500" t="s">
        <v>27</v>
      </c>
      <c r="F1500" s="1">
        <v>45592</v>
      </c>
      <c r="G1500" s="1">
        <v>45593</v>
      </c>
      <c r="H1500">
        <v>2</v>
      </c>
      <c r="I1500" t="s">
        <v>42</v>
      </c>
      <c r="J1500" t="s">
        <v>43</v>
      </c>
      <c r="K1500">
        <v>2</v>
      </c>
      <c r="L1500">
        <v>1</v>
      </c>
      <c r="M1500">
        <v>3</v>
      </c>
      <c r="N1500">
        <v>5</v>
      </c>
      <c r="O1500">
        <v>4</v>
      </c>
      <c r="P1500">
        <v>3</v>
      </c>
      <c r="Q1500">
        <v>2</v>
      </c>
      <c r="R1500">
        <v>4</v>
      </c>
      <c r="S1500">
        <v>3</v>
      </c>
      <c r="T1500">
        <v>2</v>
      </c>
      <c r="U1500" t="s">
        <v>30</v>
      </c>
      <c r="V1500" t="s">
        <v>38</v>
      </c>
      <c r="W1500" t="s">
        <v>47</v>
      </c>
      <c r="X1500" t="s">
        <v>33</v>
      </c>
      <c r="Y1500">
        <v>20</v>
      </c>
      <c r="Z1500" s="1">
        <v>45593</v>
      </c>
      <c r="AA1500" t="str" cm="1">
        <f t="array" ref="AA1500">_xlfn.IFS(AND(Table2[[#This Row],[Guest_Age]]&gt;=18,Table2[[#This Row],[Guest_Age]]&lt;=25),"Young Adults",AND(Table2[[#This Row],[Guest_Age]]&gt;=26,Table2[[#This Row],[Guest_Age]]&lt;=35),"Adults",AND(Table2[[#This Row],[Guest_Age]]&gt;=36,Table2[[#This Row],[Guest_Age]]&lt;=50),"Middle Aged Adults",Table2[[#This Row],[Guest_Age]]&gt;50,"Senior")</f>
        <v>Young Adults</v>
      </c>
      <c r="AB15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00" t="str" cm="1">
        <f t="array" ref="AC1500">_xlfn.IFS(Table2[[#This Row],[Satification_points]]&gt;=4.5,"GREAT",AND(Table2[[#This Row],[Satification_points]]&gt;=4,Table2[[#This Row],[Satification_points]]&lt;4.5),"GOOD",AND(Table2[[#This Row],[Satification_points]]&gt;=3,Table2[[#This Row],[Satification_points]]&lt;4),"AVERAGE",Table2[[#This Row],[Satification_points]]&lt;3,"POOR")</f>
        <v>POOR</v>
      </c>
    </row>
    <row r="1501" spans="1:29" x14ac:dyDescent="0.3">
      <c r="A1501">
        <v>1500</v>
      </c>
      <c r="B1501">
        <v>53751</v>
      </c>
      <c r="C1501" t="s">
        <v>1543</v>
      </c>
      <c r="D1501" t="s">
        <v>26</v>
      </c>
      <c r="E1501" t="s">
        <v>35</v>
      </c>
      <c r="F1501" s="1">
        <v>45185</v>
      </c>
      <c r="G1501" s="1">
        <v>45281</v>
      </c>
      <c r="H1501">
        <v>2</v>
      </c>
      <c r="I1501" t="s">
        <v>50</v>
      </c>
      <c r="J1501" t="s">
        <v>40</v>
      </c>
      <c r="K1501">
        <v>3</v>
      </c>
      <c r="L1501">
        <v>1</v>
      </c>
      <c r="M1501">
        <v>4</v>
      </c>
      <c r="N1501">
        <v>1</v>
      </c>
      <c r="O1501">
        <v>5</v>
      </c>
      <c r="P1501">
        <v>3</v>
      </c>
      <c r="Q1501">
        <v>4</v>
      </c>
      <c r="R1501">
        <v>4</v>
      </c>
      <c r="S1501">
        <v>4</v>
      </c>
      <c r="T1501">
        <v>4</v>
      </c>
      <c r="U1501" t="s">
        <v>37</v>
      </c>
      <c r="V1501" t="s">
        <v>46</v>
      </c>
      <c r="W1501" t="s">
        <v>56</v>
      </c>
      <c r="X1501" t="s">
        <v>33</v>
      </c>
      <c r="Y1501">
        <v>22</v>
      </c>
      <c r="Z1501" s="1">
        <v>45281</v>
      </c>
      <c r="AA1501" t="str" cm="1">
        <f t="array" ref="AA1501">_xlfn.IFS(AND(Table2[[#This Row],[Guest_Age]]&gt;=18,Table2[[#This Row],[Guest_Age]]&lt;=25),"Young Adults",AND(Table2[[#This Row],[Guest_Age]]&gt;=26,Table2[[#This Row],[Guest_Age]]&lt;=35),"Adults",AND(Table2[[#This Row],[Guest_Age]]&gt;=36,Table2[[#This Row],[Guest_Age]]&lt;=50),"Middle Aged Adults",Table2[[#This Row],[Guest_Age]]&gt;50,"Senior")</f>
        <v>Young Adults</v>
      </c>
      <c r="AB15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01" t="str" cm="1">
        <f t="array" ref="AC1501">_xlfn.IFS(Table2[[#This Row],[Satification_points]]&gt;=4.5,"GREAT",AND(Table2[[#This Row],[Satification_points]]&gt;=4,Table2[[#This Row],[Satification_points]]&lt;4.5),"GOOD",AND(Table2[[#This Row],[Satification_points]]&gt;=3,Table2[[#This Row],[Satification_points]]&lt;4),"AVERAGE",Table2[[#This Row],[Satification_points]]&lt;3,"POOR")</f>
        <v>AVERAGE</v>
      </c>
    </row>
    <row r="1502" spans="1:29" x14ac:dyDescent="0.3">
      <c r="A1502">
        <v>1501</v>
      </c>
      <c r="B1502">
        <v>31306</v>
      </c>
      <c r="C1502" t="s">
        <v>1544</v>
      </c>
      <c r="D1502" t="s">
        <v>26</v>
      </c>
      <c r="E1502" t="s">
        <v>57</v>
      </c>
      <c r="F1502" s="1">
        <v>45153</v>
      </c>
      <c r="G1502" s="1">
        <v>45535</v>
      </c>
      <c r="H1502">
        <v>13</v>
      </c>
      <c r="I1502" t="s">
        <v>49</v>
      </c>
      <c r="J1502" t="s">
        <v>43</v>
      </c>
      <c r="K1502">
        <v>4</v>
      </c>
      <c r="L1502">
        <v>1</v>
      </c>
      <c r="M1502">
        <v>2</v>
      </c>
      <c r="N1502">
        <v>2</v>
      </c>
      <c r="O1502">
        <v>4</v>
      </c>
      <c r="P1502">
        <v>1</v>
      </c>
      <c r="Q1502">
        <v>3</v>
      </c>
      <c r="R1502">
        <v>1</v>
      </c>
      <c r="S1502">
        <v>4</v>
      </c>
      <c r="T1502">
        <v>2</v>
      </c>
      <c r="U1502" t="s">
        <v>37</v>
      </c>
      <c r="V1502" t="s">
        <v>38</v>
      </c>
      <c r="W1502" t="s">
        <v>55</v>
      </c>
      <c r="X1502" t="s">
        <v>33</v>
      </c>
      <c r="Y1502">
        <v>67</v>
      </c>
      <c r="Z1502" s="1">
        <v>45611</v>
      </c>
      <c r="AA1502" t="str" cm="1">
        <f t="array" ref="AA1502">_xlfn.IFS(AND(Table2[[#This Row],[Guest_Age]]&gt;=18,Table2[[#This Row],[Guest_Age]]&lt;=25),"Young Adults",AND(Table2[[#This Row],[Guest_Age]]&gt;=26,Table2[[#This Row],[Guest_Age]]&lt;=35),"Adults",AND(Table2[[#This Row],[Guest_Age]]&gt;=36,Table2[[#This Row],[Guest_Age]]&lt;=50),"Middle Aged Adults",Table2[[#This Row],[Guest_Age]]&gt;50,"Senior")</f>
        <v>Senior</v>
      </c>
      <c r="AB15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502" t="str" cm="1">
        <f t="array" ref="AC1502">_xlfn.IFS(Table2[[#This Row],[Satification_points]]&gt;=4.5,"GREAT",AND(Table2[[#This Row],[Satification_points]]&gt;=4,Table2[[#This Row],[Satification_points]]&lt;4.5),"GOOD",AND(Table2[[#This Row],[Satification_points]]&gt;=3,Table2[[#This Row],[Satification_points]]&lt;4),"AVERAGE",Table2[[#This Row],[Satification_points]]&lt;3,"POOR")</f>
        <v>POOR</v>
      </c>
    </row>
    <row r="1503" spans="1:29" x14ac:dyDescent="0.3">
      <c r="A1503">
        <v>1502</v>
      </c>
      <c r="B1503">
        <v>90476</v>
      </c>
      <c r="C1503" t="s">
        <v>1545</v>
      </c>
      <c r="D1503" t="s">
        <v>26</v>
      </c>
      <c r="E1503" t="s">
        <v>27</v>
      </c>
      <c r="F1503" s="1">
        <v>45520</v>
      </c>
      <c r="G1503" s="1">
        <v>45521</v>
      </c>
      <c r="H1503">
        <v>11</v>
      </c>
      <c r="I1503" t="s">
        <v>49</v>
      </c>
      <c r="J1503" t="s">
        <v>29</v>
      </c>
      <c r="K1503">
        <v>1</v>
      </c>
      <c r="L1503">
        <v>4</v>
      </c>
      <c r="M1503">
        <v>3</v>
      </c>
      <c r="N1503">
        <v>3</v>
      </c>
      <c r="O1503">
        <v>3</v>
      </c>
      <c r="P1503">
        <v>1</v>
      </c>
      <c r="Q1503">
        <v>1</v>
      </c>
      <c r="R1503">
        <v>1</v>
      </c>
      <c r="S1503">
        <v>3</v>
      </c>
      <c r="T1503">
        <v>3</v>
      </c>
      <c r="U1503" t="s">
        <v>37</v>
      </c>
      <c r="V1503" t="s">
        <v>54</v>
      </c>
      <c r="W1503" t="s">
        <v>47</v>
      </c>
      <c r="X1503" t="s">
        <v>40</v>
      </c>
      <c r="Y1503">
        <v>28</v>
      </c>
      <c r="Z1503" s="1">
        <v>45521</v>
      </c>
      <c r="AA1503" t="str" cm="1">
        <f t="array" ref="AA1503">_xlfn.IFS(AND(Table2[[#This Row],[Guest_Age]]&gt;=18,Table2[[#This Row],[Guest_Age]]&lt;=25),"Young Adults",AND(Table2[[#This Row],[Guest_Age]]&gt;=26,Table2[[#This Row],[Guest_Age]]&lt;=35),"Adults",AND(Table2[[#This Row],[Guest_Age]]&gt;=36,Table2[[#This Row],[Guest_Age]]&lt;=50),"Middle Aged Adults",Table2[[#This Row],[Guest_Age]]&gt;50,"Senior")</f>
        <v>Adults</v>
      </c>
      <c r="AB15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503" t="str" cm="1">
        <f t="array" ref="AC1503">_xlfn.IFS(Table2[[#This Row],[Satification_points]]&gt;=4.5,"GREAT",AND(Table2[[#This Row],[Satification_points]]&gt;=4,Table2[[#This Row],[Satification_points]]&lt;4.5),"GOOD",AND(Table2[[#This Row],[Satification_points]]&gt;=3,Table2[[#This Row],[Satification_points]]&lt;4),"AVERAGE",Table2[[#This Row],[Satification_points]]&lt;3,"POOR")</f>
        <v>POOR</v>
      </c>
    </row>
    <row r="1504" spans="1:29" x14ac:dyDescent="0.3">
      <c r="A1504">
        <v>1503</v>
      </c>
      <c r="B1504">
        <v>79118</v>
      </c>
      <c r="C1504" t="s">
        <v>1546</v>
      </c>
      <c r="D1504" t="s">
        <v>48</v>
      </c>
      <c r="E1504" t="s">
        <v>45</v>
      </c>
      <c r="F1504" s="1">
        <v>45298</v>
      </c>
      <c r="G1504" s="1">
        <v>45336</v>
      </c>
      <c r="H1504">
        <v>11</v>
      </c>
      <c r="I1504" t="s">
        <v>50</v>
      </c>
      <c r="J1504" t="s">
        <v>53</v>
      </c>
      <c r="K1504">
        <v>3</v>
      </c>
      <c r="L1504">
        <v>4</v>
      </c>
      <c r="M1504">
        <v>2</v>
      </c>
      <c r="N1504">
        <v>3</v>
      </c>
      <c r="O1504">
        <v>2</v>
      </c>
      <c r="P1504">
        <v>2</v>
      </c>
      <c r="Q1504">
        <v>3</v>
      </c>
      <c r="R1504">
        <v>3</v>
      </c>
      <c r="S1504">
        <v>4</v>
      </c>
      <c r="T1504">
        <v>3</v>
      </c>
      <c r="U1504" t="s">
        <v>37</v>
      </c>
      <c r="V1504" t="s">
        <v>31</v>
      </c>
      <c r="W1504" t="s">
        <v>55</v>
      </c>
      <c r="X1504" t="s">
        <v>44</v>
      </c>
      <c r="Y1504">
        <v>65</v>
      </c>
      <c r="Z1504" s="1">
        <v>45336</v>
      </c>
      <c r="AA1504" t="str" cm="1">
        <f t="array" ref="AA1504">_xlfn.IFS(AND(Table2[[#This Row],[Guest_Age]]&gt;=18,Table2[[#This Row],[Guest_Age]]&lt;=25),"Young Adults",AND(Table2[[#This Row],[Guest_Age]]&gt;=26,Table2[[#This Row],[Guest_Age]]&lt;=35),"Adults",AND(Table2[[#This Row],[Guest_Age]]&gt;=36,Table2[[#This Row],[Guest_Age]]&lt;=50),"Middle Aged Adults",Table2[[#This Row],[Guest_Age]]&gt;50,"Senior")</f>
        <v>Senior</v>
      </c>
      <c r="AB15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04" t="str" cm="1">
        <f t="array" ref="AC1504">_xlfn.IFS(Table2[[#This Row],[Satification_points]]&gt;=4.5,"GREAT",AND(Table2[[#This Row],[Satification_points]]&gt;=4,Table2[[#This Row],[Satification_points]]&lt;4.5),"GOOD",AND(Table2[[#This Row],[Satification_points]]&gt;=3,Table2[[#This Row],[Satification_points]]&lt;4),"AVERAGE",Table2[[#This Row],[Satification_points]]&lt;3,"POOR")</f>
        <v>POOR</v>
      </c>
    </row>
    <row r="1505" spans="1:29" x14ac:dyDescent="0.3">
      <c r="A1505">
        <v>1504</v>
      </c>
      <c r="B1505">
        <v>76867</v>
      </c>
      <c r="C1505" t="s">
        <v>1547</v>
      </c>
      <c r="D1505" t="s">
        <v>26</v>
      </c>
      <c r="E1505" t="s">
        <v>35</v>
      </c>
      <c r="F1505" s="1">
        <v>45317</v>
      </c>
      <c r="G1505" s="1">
        <v>45318</v>
      </c>
      <c r="H1505">
        <v>6</v>
      </c>
      <c r="I1505" t="s">
        <v>49</v>
      </c>
      <c r="J1505" t="s">
        <v>40</v>
      </c>
      <c r="K1505">
        <v>3</v>
      </c>
      <c r="L1505">
        <v>2</v>
      </c>
      <c r="M1505">
        <v>2</v>
      </c>
      <c r="N1505">
        <v>4</v>
      </c>
      <c r="O1505">
        <v>2</v>
      </c>
      <c r="P1505">
        <v>3</v>
      </c>
      <c r="Q1505">
        <v>2</v>
      </c>
      <c r="R1505">
        <v>5</v>
      </c>
      <c r="S1505">
        <v>4</v>
      </c>
      <c r="T1505">
        <v>1</v>
      </c>
      <c r="U1505" t="s">
        <v>37</v>
      </c>
      <c r="V1505" t="s">
        <v>54</v>
      </c>
      <c r="W1505" t="s">
        <v>32</v>
      </c>
      <c r="X1505" t="s">
        <v>33</v>
      </c>
      <c r="Y1505">
        <v>58</v>
      </c>
      <c r="Z1505" s="1">
        <v>45318</v>
      </c>
      <c r="AA1505" t="str" cm="1">
        <f t="array" ref="AA1505">_xlfn.IFS(AND(Table2[[#This Row],[Guest_Age]]&gt;=18,Table2[[#This Row],[Guest_Age]]&lt;=25),"Young Adults",AND(Table2[[#This Row],[Guest_Age]]&gt;=26,Table2[[#This Row],[Guest_Age]]&lt;=35),"Adults",AND(Table2[[#This Row],[Guest_Age]]&gt;=36,Table2[[#This Row],[Guest_Age]]&lt;=50),"Middle Aged Adults",Table2[[#This Row],[Guest_Age]]&gt;50,"Senior")</f>
        <v>Senior</v>
      </c>
      <c r="AB15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05" t="str" cm="1">
        <f t="array" ref="AC1505">_xlfn.IFS(Table2[[#This Row],[Satification_points]]&gt;=4.5,"GREAT",AND(Table2[[#This Row],[Satification_points]]&gt;=4,Table2[[#This Row],[Satification_points]]&lt;4.5),"GOOD",AND(Table2[[#This Row],[Satification_points]]&gt;=3,Table2[[#This Row],[Satification_points]]&lt;4),"AVERAGE",Table2[[#This Row],[Satification_points]]&lt;3,"POOR")</f>
        <v>POOR</v>
      </c>
    </row>
    <row r="1506" spans="1:29" x14ac:dyDescent="0.3">
      <c r="A1506">
        <v>1505</v>
      </c>
      <c r="B1506">
        <v>18066</v>
      </c>
      <c r="C1506" t="s">
        <v>1548</v>
      </c>
      <c r="D1506" t="s">
        <v>51</v>
      </c>
      <c r="E1506" t="s">
        <v>52</v>
      </c>
      <c r="F1506" s="1">
        <v>45014</v>
      </c>
      <c r="G1506" s="1">
        <v>45138</v>
      </c>
      <c r="H1506">
        <v>9</v>
      </c>
      <c r="I1506" t="s">
        <v>28</v>
      </c>
      <c r="J1506" t="s">
        <v>53</v>
      </c>
      <c r="K1506">
        <v>4</v>
      </c>
      <c r="L1506">
        <v>5</v>
      </c>
      <c r="M1506">
        <v>1</v>
      </c>
      <c r="N1506">
        <v>3</v>
      </c>
      <c r="O1506">
        <v>1</v>
      </c>
      <c r="P1506">
        <v>4</v>
      </c>
      <c r="Q1506">
        <v>2</v>
      </c>
      <c r="R1506">
        <v>5</v>
      </c>
      <c r="S1506">
        <v>4</v>
      </c>
      <c r="T1506">
        <v>2</v>
      </c>
      <c r="U1506" t="s">
        <v>37</v>
      </c>
      <c r="V1506" t="s">
        <v>31</v>
      </c>
      <c r="W1506" t="s">
        <v>32</v>
      </c>
      <c r="X1506" t="s">
        <v>40</v>
      </c>
      <c r="Y1506">
        <v>43</v>
      </c>
      <c r="Z1506" s="1">
        <v>45319</v>
      </c>
      <c r="AA1506" t="str" cm="1">
        <f t="array" ref="AA150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06" t="str" cm="1">
        <f t="array" ref="AC1506">_xlfn.IFS(Table2[[#This Row],[Satification_points]]&gt;=4.5,"GREAT",AND(Table2[[#This Row],[Satification_points]]&gt;=4,Table2[[#This Row],[Satification_points]]&lt;4.5),"GOOD",AND(Table2[[#This Row],[Satification_points]]&gt;=3,Table2[[#This Row],[Satification_points]]&lt;4),"AVERAGE",Table2[[#This Row],[Satification_points]]&lt;3,"POOR")</f>
        <v>AVERAGE</v>
      </c>
    </row>
    <row r="1507" spans="1:29" x14ac:dyDescent="0.3">
      <c r="A1507">
        <v>1506</v>
      </c>
      <c r="B1507">
        <v>36132</v>
      </c>
      <c r="C1507" t="s">
        <v>1549</v>
      </c>
      <c r="D1507" t="s">
        <v>51</v>
      </c>
      <c r="E1507" t="s">
        <v>52</v>
      </c>
      <c r="F1507" s="1">
        <v>45326</v>
      </c>
      <c r="G1507" s="1">
        <v>45327</v>
      </c>
      <c r="H1507">
        <v>3</v>
      </c>
      <c r="I1507" t="s">
        <v>50</v>
      </c>
      <c r="J1507" t="s">
        <v>29</v>
      </c>
      <c r="K1507">
        <v>1</v>
      </c>
      <c r="L1507">
        <v>1</v>
      </c>
      <c r="M1507">
        <v>5</v>
      </c>
      <c r="N1507">
        <v>3</v>
      </c>
      <c r="O1507">
        <v>5</v>
      </c>
      <c r="P1507">
        <v>3</v>
      </c>
      <c r="Q1507">
        <v>4</v>
      </c>
      <c r="R1507">
        <v>4</v>
      </c>
      <c r="S1507">
        <v>2</v>
      </c>
      <c r="T1507">
        <v>4</v>
      </c>
      <c r="U1507" t="s">
        <v>30</v>
      </c>
      <c r="V1507" t="s">
        <v>54</v>
      </c>
      <c r="W1507" t="s">
        <v>56</v>
      </c>
      <c r="X1507" t="s">
        <v>33</v>
      </c>
      <c r="Y1507">
        <v>26</v>
      </c>
      <c r="Z1507" s="1">
        <v>45327</v>
      </c>
      <c r="AA1507" t="str" cm="1">
        <f t="array" ref="AA1507">_xlfn.IFS(AND(Table2[[#This Row],[Guest_Age]]&gt;=18,Table2[[#This Row],[Guest_Age]]&lt;=25),"Young Adults",AND(Table2[[#This Row],[Guest_Age]]&gt;=26,Table2[[#This Row],[Guest_Age]]&lt;=35),"Adults",AND(Table2[[#This Row],[Guest_Age]]&gt;=36,Table2[[#This Row],[Guest_Age]]&lt;=50),"Middle Aged Adults",Table2[[#This Row],[Guest_Age]]&gt;50,"Senior")</f>
        <v>Adults</v>
      </c>
      <c r="AB15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507" t="str" cm="1">
        <f t="array" ref="AC1507">_xlfn.IFS(Table2[[#This Row],[Satification_points]]&gt;=4.5,"GREAT",AND(Table2[[#This Row],[Satification_points]]&gt;=4,Table2[[#This Row],[Satification_points]]&lt;4.5),"GOOD",AND(Table2[[#This Row],[Satification_points]]&gt;=3,Table2[[#This Row],[Satification_points]]&lt;4),"AVERAGE",Table2[[#This Row],[Satification_points]]&lt;3,"POOR")</f>
        <v>AVERAGE</v>
      </c>
    </row>
    <row r="1508" spans="1:29" x14ac:dyDescent="0.3">
      <c r="A1508">
        <v>1507</v>
      </c>
      <c r="B1508">
        <v>88772</v>
      </c>
      <c r="C1508" t="s">
        <v>1550</v>
      </c>
      <c r="D1508" t="s">
        <v>51</v>
      </c>
      <c r="E1508" t="s">
        <v>27</v>
      </c>
      <c r="F1508" s="1">
        <v>45235</v>
      </c>
      <c r="G1508" s="1">
        <v>45522</v>
      </c>
      <c r="H1508">
        <v>7</v>
      </c>
      <c r="I1508" t="s">
        <v>28</v>
      </c>
      <c r="J1508" t="s">
        <v>53</v>
      </c>
      <c r="K1508">
        <v>3</v>
      </c>
      <c r="L1508">
        <v>2</v>
      </c>
      <c r="M1508">
        <v>5</v>
      </c>
      <c r="N1508">
        <v>1</v>
      </c>
      <c r="O1508">
        <v>3</v>
      </c>
      <c r="P1508">
        <v>4</v>
      </c>
      <c r="Q1508">
        <v>2</v>
      </c>
      <c r="R1508">
        <v>4</v>
      </c>
      <c r="S1508">
        <v>3</v>
      </c>
      <c r="T1508">
        <v>5</v>
      </c>
      <c r="U1508" t="s">
        <v>30</v>
      </c>
      <c r="V1508" t="s">
        <v>38</v>
      </c>
      <c r="W1508" t="s">
        <v>39</v>
      </c>
      <c r="X1508" t="s">
        <v>44</v>
      </c>
      <c r="Y1508">
        <v>61</v>
      </c>
      <c r="Z1508" s="1">
        <v>45522</v>
      </c>
      <c r="AA1508" t="str" cm="1">
        <f t="array" ref="AA1508">_xlfn.IFS(AND(Table2[[#This Row],[Guest_Age]]&gt;=18,Table2[[#This Row],[Guest_Age]]&lt;=25),"Young Adults",AND(Table2[[#This Row],[Guest_Age]]&gt;=26,Table2[[#This Row],[Guest_Age]]&lt;=35),"Adults",AND(Table2[[#This Row],[Guest_Age]]&gt;=36,Table2[[#This Row],[Guest_Age]]&lt;=50),"Middle Aged Adults",Table2[[#This Row],[Guest_Age]]&gt;50,"Senior")</f>
        <v>Senior</v>
      </c>
      <c r="AB15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508" t="str" cm="1">
        <f t="array" ref="AC1508">_xlfn.IFS(Table2[[#This Row],[Satification_points]]&gt;=4.5,"GREAT",AND(Table2[[#This Row],[Satification_points]]&gt;=4,Table2[[#This Row],[Satification_points]]&lt;4.5),"GOOD",AND(Table2[[#This Row],[Satification_points]]&gt;=3,Table2[[#This Row],[Satification_points]]&lt;4),"AVERAGE",Table2[[#This Row],[Satification_points]]&lt;3,"POOR")</f>
        <v>AVERAGE</v>
      </c>
    </row>
    <row r="1509" spans="1:29" x14ac:dyDescent="0.3">
      <c r="A1509">
        <v>1508</v>
      </c>
      <c r="B1509">
        <v>76015</v>
      </c>
      <c r="C1509" t="s">
        <v>1551</v>
      </c>
      <c r="D1509" t="s">
        <v>41</v>
      </c>
      <c r="E1509" t="s">
        <v>45</v>
      </c>
      <c r="F1509" s="1">
        <v>44930</v>
      </c>
      <c r="G1509" s="1">
        <v>45666</v>
      </c>
      <c r="H1509">
        <v>9</v>
      </c>
      <c r="I1509" t="s">
        <v>50</v>
      </c>
      <c r="J1509" t="s">
        <v>43</v>
      </c>
      <c r="K1509">
        <v>4</v>
      </c>
      <c r="L1509">
        <v>2</v>
      </c>
      <c r="M1509">
        <v>1</v>
      </c>
      <c r="N1509">
        <v>2</v>
      </c>
      <c r="O1509">
        <v>3</v>
      </c>
      <c r="P1509">
        <v>4</v>
      </c>
      <c r="Q1509">
        <v>4</v>
      </c>
      <c r="R1509">
        <v>4</v>
      </c>
      <c r="S1509">
        <v>5</v>
      </c>
      <c r="T1509">
        <v>1</v>
      </c>
      <c r="U1509" t="s">
        <v>30</v>
      </c>
      <c r="V1509" t="s">
        <v>38</v>
      </c>
      <c r="W1509" t="s">
        <v>39</v>
      </c>
      <c r="X1509" t="s">
        <v>40</v>
      </c>
      <c r="Y1509">
        <v>28</v>
      </c>
      <c r="Z1509" s="1">
        <v>45666</v>
      </c>
      <c r="AA1509" t="str" cm="1">
        <f t="array" ref="AA1509">_xlfn.IFS(AND(Table2[[#This Row],[Guest_Age]]&gt;=18,Table2[[#This Row],[Guest_Age]]&lt;=25),"Young Adults",AND(Table2[[#This Row],[Guest_Age]]&gt;=26,Table2[[#This Row],[Guest_Age]]&lt;=35),"Adults",AND(Table2[[#This Row],[Guest_Age]]&gt;=36,Table2[[#This Row],[Guest_Age]]&lt;=50),"Middle Aged Adults",Table2[[#This Row],[Guest_Age]]&gt;50,"Senior")</f>
        <v>Adults</v>
      </c>
      <c r="AB15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09" t="str" cm="1">
        <f t="array" ref="AC1509">_xlfn.IFS(Table2[[#This Row],[Satification_points]]&gt;=4.5,"GREAT",AND(Table2[[#This Row],[Satification_points]]&gt;=4,Table2[[#This Row],[Satification_points]]&lt;4.5),"GOOD",AND(Table2[[#This Row],[Satification_points]]&gt;=3,Table2[[#This Row],[Satification_points]]&lt;4),"AVERAGE",Table2[[#This Row],[Satification_points]]&lt;3,"POOR")</f>
        <v>AVERAGE</v>
      </c>
    </row>
    <row r="1510" spans="1:29" x14ac:dyDescent="0.3">
      <c r="A1510">
        <v>1509</v>
      </c>
      <c r="B1510">
        <v>30893</v>
      </c>
      <c r="C1510" t="s">
        <v>1552</v>
      </c>
      <c r="D1510" t="s">
        <v>41</v>
      </c>
      <c r="E1510" t="s">
        <v>45</v>
      </c>
      <c r="F1510" s="1">
        <v>45099</v>
      </c>
      <c r="G1510" s="1">
        <v>45451</v>
      </c>
      <c r="H1510">
        <v>12</v>
      </c>
      <c r="I1510" t="s">
        <v>28</v>
      </c>
      <c r="J1510" t="s">
        <v>40</v>
      </c>
      <c r="K1510">
        <v>1</v>
      </c>
      <c r="L1510">
        <v>3</v>
      </c>
      <c r="M1510">
        <v>1</v>
      </c>
      <c r="N1510">
        <v>5</v>
      </c>
      <c r="O1510">
        <v>5</v>
      </c>
      <c r="P1510">
        <v>2</v>
      </c>
      <c r="Q1510">
        <v>2</v>
      </c>
      <c r="R1510">
        <v>2</v>
      </c>
      <c r="S1510">
        <v>1</v>
      </c>
      <c r="T1510">
        <v>4</v>
      </c>
      <c r="U1510" t="s">
        <v>37</v>
      </c>
      <c r="V1510" t="s">
        <v>46</v>
      </c>
      <c r="W1510" t="s">
        <v>32</v>
      </c>
      <c r="X1510" t="s">
        <v>40</v>
      </c>
      <c r="Y1510">
        <v>18</v>
      </c>
      <c r="Z1510" s="1">
        <v>45451</v>
      </c>
      <c r="AA1510" t="str" cm="1">
        <f t="array" ref="AA1510">_xlfn.IFS(AND(Table2[[#This Row],[Guest_Age]]&gt;=18,Table2[[#This Row],[Guest_Age]]&lt;=25),"Young Adults",AND(Table2[[#This Row],[Guest_Age]]&gt;=26,Table2[[#This Row],[Guest_Age]]&lt;=35),"Adults",AND(Table2[[#This Row],[Guest_Age]]&gt;=36,Table2[[#This Row],[Guest_Age]]&lt;=50),"Middle Aged Adults",Table2[[#This Row],[Guest_Age]]&gt;50,"Senior")</f>
        <v>Young Adults</v>
      </c>
      <c r="AB15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10" t="str" cm="1">
        <f t="array" ref="AC1510">_xlfn.IFS(Table2[[#This Row],[Satification_points]]&gt;=4.5,"GREAT",AND(Table2[[#This Row],[Satification_points]]&gt;=4,Table2[[#This Row],[Satification_points]]&lt;4.5),"GOOD",AND(Table2[[#This Row],[Satification_points]]&gt;=3,Table2[[#This Row],[Satification_points]]&lt;4),"AVERAGE",Table2[[#This Row],[Satification_points]]&lt;3,"POOR")</f>
        <v>POOR</v>
      </c>
    </row>
    <row r="1511" spans="1:29" x14ac:dyDescent="0.3">
      <c r="A1511">
        <v>1510</v>
      </c>
      <c r="B1511">
        <v>78582</v>
      </c>
      <c r="C1511" t="s">
        <v>1553</v>
      </c>
      <c r="D1511" t="s">
        <v>48</v>
      </c>
      <c r="E1511" t="s">
        <v>52</v>
      </c>
      <c r="F1511" s="1">
        <v>45470</v>
      </c>
      <c r="G1511" s="1">
        <v>45471</v>
      </c>
      <c r="H1511">
        <v>9</v>
      </c>
      <c r="I1511" t="s">
        <v>42</v>
      </c>
      <c r="J1511" t="s">
        <v>53</v>
      </c>
      <c r="K1511">
        <v>3</v>
      </c>
      <c r="L1511">
        <v>2</v>
      </c>
      <c r="M1511">
        <v>2</v>
      </c>
      <c r="N1511">
        <v>5</v>
      </c>
      <c r="O1511">
        <v>1</v>
      </c>
      <c r="P1511">
        <v>3</v>
      </c>
      <c r="Q1511">
        <v>3</v>
      </c>
      <c r="R1511">
        <v>3</v>
      </c>
      <c r="S1511">
        <v>3</v>
      </c>
      <c r="T1511">
        <v>2</v>
      </c>
      <c r="U1511" t="s">
        <v>30</v>
      </c>
      <c r="V1511" t="s">
        <v>54</v>
      </c>
      <c r="W1511" t="s">
        <v>47</v>
      </c>
      <c r="X1511" t="s">
        <v>44</v>
      </c>
      <c r="Y1511">
        <v>55</v>
      </c>
      <c r="Z1511" s="1">
        <v>45471</v>
      </c>
      <c r="AA1511" t="str" cm="1">
        <f t="array" ref="AA1511">_xlfn.IFS(AND(Table2[[#This Row],[Guest_Age]]&gt;=18,Table2[[#This Row],[Guest_Age]]&lt;=25),"Young Adults",AND(Table2[[#This Row],[Guest_Age]]&gt;=26,Table2[[#This Row],[Guest_Age]]&lt;=35),"Adults",AND(Table2[[#This Row],[Guest_Age]]&gt;=36,Table2[[#This Row],[Guest_Age]]&lt;=50),"Middle Aged Adults",Table2[[#This Row],[Guest_Age]]&gt;50,"Senior")</f>
        <v>Senior</v>
      </c>
      <c r="AB15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11" t="str" cm="1">
        <f t="array" ref="AC1511">_xlfn.IFS(Table2[[#This Row],[Satification_points]]&gt;=4.5,"GREAT",AND(Table2[[#This Row],[Satification_points]]&gt;=4,Table2[[#This Row],[Satification_points]]&lt;4.5),"GOOD",AND(Table2[[#This Row],[Satification_points]]&gt;=3,Table2[[#This Row],[Satification_points]]&lt;4),"AVERAGE",Table2[[#This Row],[Satification_points]]&lt;3,"POOR")</f>
        <v>POOR</v>
      </c>
    </row>
    <row r="1512" spans="1:29" x14ac:dyDescent="0.3">
      <c r="A1512">
        <v>1511</v>
      </c>
      <c r="B1512">
        <v>77024</v>
      </c>
      <c r="C1512" t="s">
        <v>1554</v>
      </c>
      <c r="D1512" t="s">
        <v>26</v>
      </c>
      <c r="E1512" t="s">
        <v>45</v>
      </c>
      <c r="F1512" s="1">
        <v>45152</v>
      </c>
      <c r="G1512" s="1">
        <v>45153</v>
      </c>
      <c r="H1512">
        <v>3</v>
      </c>
      <c r="I1512" t="s">
        <v>42</v>
      </c>
      <c r="J1512" t="s">
        <v>36</v>
      </c>
      <c r="K1512">
        <v>3</v>
      </c>
      <c r="L1512">
        <v>1</v>
      </c>
      <c r="M1512">
        <v>5</v>
      </c>
      <c r="N1512">
        <v>4</v>
      </c>
      <c r="O1512">
        <v>3</v>
      </c>
      <c r="P1512">
        <v>5</v>
      </c>
      <c r="Q1512">
        <v>2</v>
      </c>
      <c r="R1512">
        <v>3</v>
      </c>
      <c r="S1512">
        <v>3</v>
      </c>
      <c r="T1512">
        <v>5</v>
      </c>
      <c r="U1512" t="s">
        <v>37</v>
      </c>
      <c r="V1512" t="s">
        <v>31</v>
      </c>
      <c r="W1512" t="s">
        <v>56</v>
      </c>
      <c r="X1512" t="s">
        <v>40</v>
      </c>
      <c r="Y1512">
        <v>62</v>
      </c>
      <c r="Z1512" s="1">
        <v>45153</v>
      </c>
      <c r="AA1512" t="str" cm="1">
        <f t="array" ref="AA1512">_xlfn.IFS(AND(Table2[[#This Row],[Guest_Age]]&gt;=18,Table2[[#This Row],[Guest_Age]]&lt;=25),"Young Adults",AND(Table2[[#This Row],[Guest_Age]]&gt;=26,Table2[[#This Row],[Guest_Age]]&lt;=35),"Adults",AND(Table2[[#This Row],[Guest_Age]]&gt;=36,Table2[[#This Row],[Guest_Age]]&lt;=50),"Middle Aged Adults",Table2[[#This Row],[Guest_Age]]&gt;50,"Senior")</f>
        <v>Senior</v>
      </c>
      <c r="AB15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512" t="str" cm="1">
        <f t="array" ref="AC1512">_xlfn.IFS(Table2[[#This Row],[Satification_points]]&gt;=4.5,"GREAT",AND(Table2[[#This Row],[Satification_points]]&gt;=4,Table2[[#This Row],[Satification_points]]&lt;4.5),"GOOD",AND(Table2[[#This Row],[Satification_points]]&gt;=3,Table2[[#This Row],[Satification_points]]&lt;4),"AVERAGE",Table2[[#This Row],[Satification_points]]&lt;3,"POOR")</f>
        <v>AVERAGE</v>
      </c>
    </row>
    <row r="1513" spans="1:29" x14ac:dyDescent="0.3">
      <c r="A1513">
        <v>1512</v>
      </c>
      <c r="B1513">
        <v>23722</v>
      </c>
      <c r="C1513" t="s">
        <v>1555</v>
      </c>
      <c r="D1513" t="s">
        <v>51</v>
      </c>
      <c r="E1513" t="s">
        <v>57</v>
      </c>
      <c r="F1513" s="1">
        <v>45265</v>
      </c>
      <c r="G1513" s="1">
        <v>45266</v>
      </c>
      <c r="H1513">
        <v>1</v>
      </c>
      <c r="I1513" t="s">
        <v>49</v>
      </c>
      <c r="J1513" t="s">
        <v>40</v>
      </c>
      <c r="K1513">
        <v>2</v>
      </c>
      <c r="L1513">
        <v>5</v>
      </c>
      <c r="M1513">
        <v>2</v>
      </c>
      <c r="N1513">
        <v>2</v>
      </c>
      <c r="O1513">
        <v>1</v>
      </c>
      <c r="P1513">
        <v>3</v>
      </c>
      <c r="Q1513">
        <v>1</v>
      </c>
      <c r="R1513">
        <v>1</v>
      </c>
      <c r="S1513">
        <v>2</v>
      </c>
      <c r="T1513">
        <v>4</v>
      </c>
      <c r="U1513" t="s">
        <v>30</v>
      </c>
      <c r="V1513" t="s">
        <v>31</v>
      </c>
      <c r="W1513" t="s">
        <v>55</v>
      </c>
      <c r="X1513" t="s">
        <v>40</v>
      </c>
      <c r="Y1513">
        <v>45</v>
      </c>
      <c r="Z1513" s="1">
        <v>45266</v>
      </c>
      <c r="AA1513" t="str" cm="1">
        <f t="array" ref="AA15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513" t="str" cm="1">
        <f t="array" ref="AC1513">_xlfn.IFS(Table2[[#This Row],[Satification_points]]&gt;=4.5,"GREAT",AND(Table2[[#This Row],[Satification_points]]&gt;=4,Table2[[#This Row],[Satification_points]]&lt;4.5),"GOOD",AND(Table2[[#This Row],[Satification_points]]&gt;=3,Table2[[#This Row],[Satification_points]]&lt;4),"AVERAGE",Table2[[#This Row],[Satification_points]]&lt;3,"POOR")</f>
        <v>POOR</v>
      </c>
    </row>
    <row r="1514" spans="1:29" x14ac:dyDescent="0.3">
      <c r="A1514">
        <v>1513</v>
      </c>
      <c r="B1514">
        <v>37400</v>
      </c>
      <c r="C1514" t="s">
        <v>1556</v>
      </c>
      <c r="D1514" t="s">
        <v>26</v>
      </c>
      <c r="E1514" t="s">
        <v>27</v>
      </c>
      <c r="F1514" s="1">
        <v>45132</v>
      </c>
      <c r="G1514" s="1">
        <v>45338</v>
      </c>
      <c r="H1514">
        <v>2</v>
      </c>
      <c r="I1514" t="s">
        <v>50</v>
      </c>
      <c r="J1514" t="s">
        <v>53</v>
      </c>
      <c r="K1514">
        <v>5</v>
      </c>
      <c r="L1514">
        <v>2</v>
      </c>
      <c r="M1514">
        <v>3</v>
      </c>
      <c r="N1514">
        <v>1</v>
      </c>
      <c r="O1514">
        <v>5</v>
      </c>
      <c r="P1514">
        <v>3</v>
      </c>
      <c r="Q1514">
        <v>5</v>
      </c>
      <c r="R1514">
        <v>4</v>
      </c>
      <c r="S1514">
        <v>2</v>
      </c>
      <c r="T1514">
        <v>1</v>
      </c>
      <c r="U1514" t="s">
        <v>30</v>
      </c>
      <c r="V1514" t="s">
        <v>38</v>
      </c>
      <c r="W1514" t="s">
        <v>55</v>
      </c>
      <c r="X1514" t="s">
        <v>40</v>
      </c>
      <c r="Y1514">
        <v>40</v>
      </c>
      <c r="Z1514" s="1">
        <v>45489</v>
      </c>
      <c r="AA1514" t="str" cm="1">
        <f t="array" ref="AA151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14" t="str" cm="1">
        <f t="array" ref="AC1514">_xlfn.IFS(Table2[[#This Row],[Satification_points]]&gt;=4.5,"GREAT",AND(Table2[[#This Row],[Satification_points]]&gt;=4,Table2[[#This Row],[Satification_points]]&lt;4.5),"GOOD",AND(Table2[[#This Row],[Satification_points]]&gt;=3,Table2[[#This Row],[Satification_points]]&lt;4),"AVERAGE",Table2[[#This Row],[Satification_points]]&lt;3,"POOR")</f>
        <v>AVERAGE</v>
      </c>
    </row>
    <row r="1515" spans="1:29" x14ac:dyDescent="0.3">
      <c r="A1515">
        <v>1514</v>
      </c>
      <c r="B1515">
        <v>94012</v>
      </c>
      <c r="C1515" t="s">
        <v>1557</v>
      </c>
      <c r="D1515" t="s">
        <v>51</v>
      </c>
      <c r="E1515" t="s">
        <v>27</v>
      </c>
      <c r="F1515" s="1">
        <v>45028</v>
      </c>
      <c r="G1515" s="1">
        <v>45029</v>
      </c>
      <c r="H1515">
        <v>11</v>
      </c>
      <c r="I1515" t="s">
        <v>42</v>
      </c>
      <c r="J1515" t="s">
        <v>40</v>
      </c>
      <c r="K1515">
        <v>1</v>
      </c>
      <c r="L1515">
        <v>4</v>
      </c>
      <c r="M1515">
        <v>3</v>
      </c>
      <c r="N1515">
        <v>5</v>
      </c>
      <c r="O1515">
        <v>5</v>
      </c>
      <c r="P1515">
        <v>1</v>
      </c>
      <c r="Q1515">
        <v>1</v>
      </c>
      <c r="R1515">
        <v>4</v>
      </c>
      <c r="S1515">
        <v>4</v>
      </c>
      <c r="T1515">
        <v>5</v>
      </c>
      <c r="U1515" t="s">
        <v>37</v>
      </c>
      <c r="V1515" t="s">
        <v>38</v>
      </c>
      <c r="W1515" t="s">
        <v>47</v>
      </c>
      <c r="X1515" t="s">
        <v>33</v>
      </c>
      <c r="Y1515">
        <v>48</v>
      </c>
      <c r="Z1515" s="1">
        <v>45229</v>
      </c>
      <c r="AA1515" t="str" cm="1">
        <f t="array" ref="AA151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15" t="str" cm="1">
        <f t="array" ref="AC1515">_xlfn.IFS(Table2[[#This Row],[Satification_points]]&gt;=4.5,"GREAT",AND(Table2[[#This Row],[Satification_points]]&gt;=4,Table2[[#This Row],[Satification_points]]&lt;4.5),"GOOD",AND(Table2[[#This Row],[Satification_points]]&gt;=3,Table2[[#This Row],[Satification_points]]&lt;4),"AVERAGE",Table2[[#This Row],[Satification_points]]&lt;3,"POOR")</f>
        <v>AVERAGE</v>
      </c>
    </row>
    <row r="1516" spans="1:29" x14ac:dyDescent="0.3">
      <c r="A1516">
        <v>1515</v>
      </c>
      <c r="B1516">
        <v>38946</v>
      </c>
      <c r="C1516" t="s">
        <v>1558</v>
      </c>
      <c r="D1516" t="s">
        <v>41</v>
      </c>
      <c r="E1516" t="s">
        <v>45</v>
      </c>
      <c r="F1516" s="1">
        <v>44984</v>
      </c>
      <c r="G1516" s="1">
        <v>45299</v>
      </c>
      <c r="H1516">
        <v>8</v>
      </c>
      <c r="I1516" t="s">
        <v>50</v>
      </c>
      <c r="J1516" t="s">
        <v>53</v>
      </c>
      <c r="K1516">
        <v>4</v>
      </c>
      <c r="L1516">
        <v>4</v>
      </c>
      <c r="M1516">
        <v>1</v>
      </c>
      <c r="N1516">
        <v>4</v>
      </c>
      <c r="O1516">
        <v>5</v>
      </c>
      <c r="P1516">
        <v>2</v>
      </c>
      <c r="Q1516">
        <v>1</v>
      </c>
      <c r="R1516">
        <v>2</v>
      </c>
      <c r="S1516">
        <v>2</v>
      </c>
      <c r="T1516">
        <v>2</v>
      </c>
      <c r="U1516" t="s">
        <v>30</v>
      </c>
      <c r="V1516" t="s">
        <v>38</v>
      </c>
      <c r="W1516" t="s">
        <v>39</v>
      </c>
      <c r="X1516" t="s">
        <v>44</v>
      </c>
      <c r="Y1516">
        <v>19</v>
      </c>
      <c r="Z1516" s="1">
        <v>45299</v>
      </c>
      <c r="AA1516" t="str" cm="1">
        <f t="array" ref="AA1516">_xlfn.IFS(AND(Table2[[#This Row],[Guest_Age]]&gt;=18,Table2[[#This Row],[Guest_Age]]&lt;=25),"Young Adults",AND(Table2[[#This Row],[Guest_Age]]&gt;=26,Table2[[#This Row],[Guest_Age]]&lt;=35),"Adults",AND(Table2[[#This Row],[Guest_Age]]&gt;=36,Table2[[#This Row],[Guest_Age]]&lt;=50),"Middle Aged Adults",Table2[[#This Row],[Guest_Age]]&gt;50,"Senior")</f>
        <v>Young Adults</v>
      </c>
      <c r="AB15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16" t="str" cm="1">
        <f t="array" ref="AC1516">_xlfn.IFS(Table2[[#This Row],[Satification_points]]&gt;=4.5,"GREAT",AND(Table2[[#This Row],[Satification_points]]&gt;=4,Table2[[#This Row],[Satification_points]]&lt;4.5),"GOOD",AND(Table2[[#This Row],[Satification_points]]&gt;=3,Table2[[#This Row],[Satification_points]]&lt;4),"AVERAGE",Table2[[#This Row],[Satification_points]]&lt;3,"POOR")</f>
        <v>POOR</v>
      </c>
    </row>
    <row r="1517" spans="1:29" x14ac:dyDescent="0.3">
      <c r="A1517">
        <v>1516</v>
      </c>
      <c r="B1517">
        <v>36510</v>
      </c>
      <c r="C1517" t="s">
        <v>1559</v>
      </c>
      <c r="D1517" t="s">
        <v>51</v>
      </c>
      <c r="E1517" t="s">
        <v>52</v>
      </c>
      <c r="F1517" s="1">
        <v>45076</v>
      </c>
      <c r="G1517" s="1">
        <v>45077</v>
      </c>
      <c r="H1517">
        <v>7</v>
      </c>
      <c r="I1517" t="s">
        <v>50</v>
      </c>
      <c r="J1517" t="s">
        <v>53</v>
      </c>
      <c r="K1517">
        <v>2</v>
      </c>
      <c r="L1517">
        <v>2</v>
      </c>
      <c r="M1517">
        <v>5</v>
      </c>
      <c r="N1517">
        <v>3</v>
      </c>
      <c r="O1517">
        <v>3</v>
      </c>
      <c r="P1517">
        <v>5</v>
      </c>
      <c r="Q1517">
        <v>4</v>
      </c>
      <c r="R1517">
        <v>4</v>
      </c>
      <c r="S1517">
        <v>5</v>
      </c>
      <c r="T1517">
        <v>5</v>
      </c>
      <c r="U1517" t="s">
        <v>37</v>
      </c>
      <c r="V1517" t="s">
        <v>54</v>
      </c>
      <c r="W1517" t="s">
        <v>32</v>
      </c>
      <c r="X1517" t="s">
        <v>33</v>
      </c>
      <c r="Y1517">
        <v>35</v>
      </c>
      <c r="Z1517" s="1">
        <v>45364</v>
      </c>
      <c r="AA1517" t="str" cm="1">
        <f t="array" ref="AA1517">_xlfn.IFS(AND(Table2[[#This Row],[Guest_Age]]&gt;=18,Table2[[#This Row],[Guest_Age]]&lt;=25),"Young Adults",AND(Table2[[#This Row],[Guest_Age]]&gt;=26,Table2[[#This Row],[Guest_Age]]&lt;=35),"Adults",AND(Table2[[#This Row],[Guest_Age]]&gt;=36,Table2[[#This Row],[Guest_Age]]&lt;=50),"Middle Aged Adults",Table2[[#This Row],[Guest_Age]]&gt;50,"Senior")</f>
        <v>Adults</v>
      </c>
      <c r="AB15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517" t="str" cm="1">
        <f t="array" ref="AC1517">_xlfn.IFS(Table2[[#This Row],[Satification_points]]&gt;=4.5,"GREAT",AND(Table2[[#This Row],[Satification_points]]&gt;=4,Table2[[#This Row],[Satification_points]]&lt;4.5),"GOOD",AND(Table2[[#This Row],[Satification_points]]&gt;=3,Table2[[#This Row],[Satification_points]]&lt;4),"AVERAGE",Table2[[#This Row],[Satification_points]]&lt;3,"POOR")</f>
        <v>AVERAGE</v>
      </c>
    </row>
    <row r="1518" spans="1:29" x14ac:dyDescent="0.3">
      <c r="A1518">
        <v>1517</v>
      </c>
      <c r="B1518">
        <v>58162</v>
      </c>
      <c r="C1518" t="s">
        <v>1560</v>
      </c>
      <c r="D1518" t="s">
        <v>48</v>
      </c>
      <c r="E1518" t="s">
        <v>57</v>
      </c>
      <c r="F1518" s="1">
        <v>45178</v>
      </c>
      <c r="G1518" s="1">
        <v>45358</v>
      </c>
      <c r="H1518">
        <v>1</v>
      </c>
      <c r="I1518" t="s">
        <v>28</v>
      </c>
      <c r="J1518" t="s">
        <v>43</v>
      </c>
      <c r="K1518">
        <v>3</v>
      </c>
      <c r="L1518">
        <v>1</v>
      </c>
      <c r="M1518">
        <v>3</v>
      </c>
      <c r="N1518">
        <v>3</v>
      </c>
      <c r="O1518">
        <v>5</v>
      </c>
      <c r="P1518">
        <v>5</v>
      </c>
      <c r="Q1518">
        <v>2</v>
      </c>
      <c r="R1518">
        <v>4</v>
      </c>
      <c r="S1518">
        <v>5</v>
      </c>
      <c r="T1518">
        <v>2</v>
      </c>
      <c r="U1518" t="s">
        <v>37</v>
      </c>
      <c r="V1518" t="s">
        <v>31</v>
      </c>
      <c r="W1518" t="s">
        <v>32</v>
      </c>
      <c r="X1518" t="s">
        <v>44</v>
      </c>
      <c r="Y1518">
        <v>33</v>
      </c>
      <c r="Z1518" s="1">
        <v>45589</v>
      </c>
      <c r="AA1518" t="str" cm="1">
        <f t="array" ref="AA1518">_xlfn.IFS(AND(Table2[[#This Row],[Guest_Age]]&gt;=18,Table2[[#This Row],[Guest_Age]]&lt;=25),"Young Adults",AND(Table2[[#This Row],[Guest_Age]]&gt;=26,Table2[[#This Row],[Guest_Age]]&lt;=35),"Adults",AND(Table2[[#This Row],[Guest_Age]]&gt;=36,Table2[[#This Row],[Guest_Age]]&lt;=50),"Middle Aged Adults",Table2[[#This Row],[Guest_Age]]&gt;50,"Senior")</f>
        <v>Adults</v>
      </c>
      <c r="AB15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18" t="str" cm="1">
        <f t="array" ref="AC1518">_xlfn.IFS(Table2[[#This Row],[Satification_points]]&gt;=4.5,"GREAT",AND(Table2[[#This Row],[Satification_points]]&gt;=4,Table2[[#This Row],[Satification_points]]&lt;4.5),"GOOD",AND(Table2[[#This Row],[Satification_points]]&gt;=3,Table2[[#This Row],[Satification_points]]&lt;4),"AVERAGE",Table2[[#This Row],[Satification_points]]&lt;3,"POOR")</f>
        <v>AVERAGE</v>
      </c>
    </row>
    <row r="1519" spans="1:29" x14ac:dyDescent="0.3">
      <c r="A1519">
        <v>1518</v>
      </c>
      <c r="B1519">
        <v>40199</v>
      </c>
      <c r="C1519" t="s">
        <v>1561</v>
      </c>
      <c r="D1519" t="s">
        <v>34</v>
      </c>
      <c r="E1519" t="s">
        <v>57</v>
      </c>
      <c r="F1519" s="1">
        <v>45405</v>
      </c>
      <c r="G1519" s="1">
        <v>45406</v>
      </c>
      <c r="H1519">
        <v>3</v>
      </c>
      <c r="I1519" t="s">
        <v>42</v>
      </c>
      <c r="J1519" t="s">
        <v>53</v>
      </c>
      <c r="K1519">
        <v>4</v>
      </c>
      <c r="L1519">
        <v>5</v>
      </c>
      <c r="M1519">
        <v>5</v>
      </c>
      <c r="N1519">
        <v>1</v>
      </c>
      <c r="O1519">
        <v>3</v>
      </c>
      <c r="P1519">
        <v>5</v>
      </c>
      <c r="Q1519">
        <v>3</v>
      </c>
      <c r="R1519">
        <v>3</v>
      </c>
      <c r="S1519">
        <v>4</v>
      </c>
      <c r="T1519">
        <v>3</v>
      </c>
      <c r="U1519" t="s">
        <v>30</v>
      </c>
      <c r="V1519" t="s">
        <v>54</v>
      </c>
      <c r="W1519" t="s">
        <v>56</v>
      </c>
      <c r="X1519" t="s">
        <v>40</v>
      </c>
      <c r="Y1519">
        <v>59</v>
      </c>
      <c r="Z1519" s="1">
        <v>45406</v>
      </c>
      <c r="AA1519" t="str" cm="1">
        <f t="array" ref="AA1519">_xlfn.IFS(AND(Table2[[#This Row],[Guest_Age]]&gt;=18,Table2[[#This Row],[Guest_Age]]&lt;=25),"Young Adults",AND(Table2[[#This Row],[Guest_Age]]&gt;=26,Table2[[#This Row],[Guest_Age]]&lt;=35),"Adults",AND(Table2[[#This Row],[Guest_Age]]&gt;=36,Table2[[#This Row],[Guest_Age]]&lt;=50),"Middle Aged Adults",Table2[[#This Row],[Guest_Age]]&gt;50,"Senior")</f>
        <v>Senior</v>
      </c>
      <c r="AB15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519" t="str" cm="1">
        <f t="array" ref="AC1519">_xlfn.IFS(Table2[[#This Row],[Satification_points]]&gt;=4.5,"GREAT",AND(Table2[[#This Row],[Satification_points]]&gt;=4,Table2[[#This Row],[Satification_points]]&lt;4.5),"GOOD",AND(Table2[[#This Row],[Satification_points]]&gt;=3,Table2[[#This Row],[Satification_points]]&lt;4),"AVERAGE",Table2[[#This Row],[Satification_points]]&lt;3,"POOR")</f>
        <v>AVERAGE</v>
      </c>
    </row>
    <row r="1520" spans="1:29" x14ac:dyDescent="0.3">
      <c r="A1520">
        <v>1519</v>
      </c>
      <c r="B1520">
        <v>34039</v>
      </c>
      <c r="C1520" t="s">
        <v>1562</v>
      </c>
      <c r="D1520" t="s">
        <v>51</v>
      </c>
      <c r="E1520" t="s">
        <v>57</v>
      </c>
      <c r="F1520" s="1">
        <v>45482</v>
      </c>
      <c r="G1520" s="1">
        <v>45483</v>
      </c>
      <c r="H1520">
        <v>8</v>
      </c>
      <c r="I1520" t="s">
        <v>49</v>
      </c>
      <c r="J1520" t="s">
        <v>36</v>
      </c>
      <c r="K1520">
        <v>2</v>
      </c>
      <c r="L1520">
        <v>5</v>
      </c>
      <c r="M1520">
        <v>5</v>
      </c>
      <c r="N1520">
        <v>5</v>
      </c>
      <c r="O1520">
        <v>1</v>
      </c>
      <c r="P1520">
        <v>4</v>
      </c>
      <c r="Q1520">
        <v>2</v>
      </c>
      <c r="R1520">
        <v>4</v>
      </c>
      <c r="S1520">
        <v>2</v>
      </c>
      <c r="T1520">
        <v>3</v>
      </c>
      <c r="U1520" t="s">
        <v>30</v>
      </c>
      <c r="V1520" t="s">
        <v>31</v>
      </c>
      <c r="W1520" t="s">
        <v>32</v>
      </c>
      <c r="X1520" t="s">
        <v>44</v>
      </c>
      <c r="Y1520">
        <v>34</v>
      </c>
      <c r="Z1520" s="1">
        <v>45624</v>
      </c>
      <c r="AA1520" t="str" cm="1">
        <f t="array" ref="AA1520">_xlfn.IFS(AND(Table2[[#This Row],[Guest_Age]]&gt;=18,Table2[[#This Row],[Guest_Age]]&lt;=25),"Young Adults",AND(Table2[[#This Row],[Guest_Age]]&gt;=26,Table2[[#This Row],[Guest_Age]]&lt;=35),"Adults",AND(Table2[[#This Row],[Guest_Age]]&gt;=36,Table2[[#This Row],[Guest_Age]]&lt;=50),"Middle Aged Adults",Table2[[#This Row],[Guest_Age]]&gt;50,"Senior")</f>
        <v>Adults</v>
      </c>
      <c r="AB15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20" t="str" cm="1">
        <f t="array" ref="AC1520">_xlfn.IFS(Table2[[#This Row],[Satification_points]]&gt;=4.5,"GREAT",AND(Table2[[#This Row],[Satification_points]]&gt;=4,Table2[[#This Row],[Satification_points]]&lt;4.5),"GOOD",AND(Table2[[#This Row],[Satification_points]]&gt;=3,Table2[[#This Row],[Satification_points]]&lt;4),"AVERAGE",Table2[[#This Row],[Satification_points]]&lt;3,"POOR")</f>
        <v>AVERAGE</v>
      </c>
    </row>
    <row r="1521" spans="1:29" x14ac:dyDescent="0.3">
      <c r="A1521">
        <v>1520</v>
      </c>
      <c r="B1521">
        <v>29188</v>
      </c>
      <c r="C1521" t="s">
        <v>1563</v>
      </c>
      <c r="D1521" t="s">
        <v>48</v>
      </c>
      <c r="E1521" t="s">
        <v>35</v>
      </c>
      <c r="F1521" s="1">
        <v>45354</v>
      </c>
      <c r="G1521" s="1">
        <v>45355</v>
      </c>
      <c r="H1521">
        <v>7</v>
      </c>
      <c r="I1521" t="s">
        <v>49</v>
      </c>
      <c r="J1521" t="s">
        <v>43</v>
      </c>
      <c r="K1521">
        <v>2</v>
      </c>
      <c r="L1521">
        <v>1</v>
      </c>
      <c r="M1521">
        <v>4</v>
      </c>
      <c r="N1521">
        <v>3</v>
      </c>
      <c r="O1521">
        <v>4</v>
      </c>
      <c r="P1521">
        <v>2</v>
      </c>
      <c r="Q1521">
        <v>5</v>
      </c>
      <c r="R1521">
        <v>2</v>
      </c>
      <c r="S1521">
        <v>4</v>
      </c>
      <c r="T1521">
        <v>2</v>
      </c>
      <c r="U1521" t="s">
        <v>30</v>
      </c>
      <c r="V1521" t="s">
        <v>31</v>
      </c>
      <c r="W1521" t="s">
        <v>39</v>
      </c>
      <c r="X1521" t="s">
        <v>40</v>
      </c>
      <c r="Y1521">
        <v>65</v>
      </c>
      <c r="Z1521" s="1">
        <v>45355</v>
      </c>
      <c r="AA1521" t="str" cm="1">
        <f t="array" ref="AA1521">_xlfn.IFS(AND(Table2[[#This Row],[Guest_Age]]&gt;=18,Table2[[#This Row],[Guest_Age]]&lt;=25),"Young Adults",AND(Table2[[#This Row],[Guest_Age]]&gt;=26,Table2[[#This Row],[Guest_Age]]&lt;=35),"Adults",AND(Table2[[#This Row],[Guest_Age]]&gt;=36,Table2[[#This Row],[Guest_Age]]&lt;=50),"Middle Aged Adults",Table2[[#This Row],[Guest_Age]]&gt;50,"Senior")</f>
        <v>Senior</v>
      </c>
      <c r="AB15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21" t="str" cm="1">
        <f t="array" ref="AC1521">_xlfn.IFS(Table2[[#This Row],[Satification_points]]&gt;=4.5,"GREAT",AND(Table2[[#This Row],[Satification_points]]&gt;=4,Table2[[#This Row],[Satification_points]]&lt;4.5),"GOOD",AND(Table2[[#This Row],[Satification_points]]&gt;=3,Table2[[#This Row],[Satification_points]]&lt;4),"AVERAGE",Table2[[#This Row],[Satification_points]]&lt;3,"POOR")</f>
        <v>POOR</v>
      </c>
    </row>
    <row r="1522" spans="1:29" x14ac:dyDescent="0.3">
      <c r="A1522">
        <v>1521</v>
      </c>
      <c r="B1522">
        <v>17990</v>
      </c>
      <c r="C1522" t="s">
        <v>1564</v>
      </c>
      <c r="D1522" t="s">
        <v>41</v>
      </c>
      <c r="E1522" t="s">
        <v>45</v>
      </c>
      <c r="F1522" s="1">
        <v>45468</v>
      </c>
      <c r="G1522" s="1">
        <v>45469</v>
      </c>
      <c r="H1522">
        <v>5</v>
      </c>
      <c r="I1522" t="s">
        <v>49</v>
      </c>
      <c r="J1522" t="s">
        <v>36</v>
      </c>
      <c r="K1522">
        <v>5</v>
      </c>
      <c r="L1522">
        <v>4</v>
      </c>
      <c r="M1522">
        <v>3</v>
      </c>
      <c r="N1522">
        <v>4</v>
      </c>
      <c r="O1522">
        <v>1</v>
      </c>
      <c r="P1522">
        <v>1</v>
      </c>
      <c r="Q1522">
        <v>2</v>
      </c>
      <c r="R1522">
        <v>2</v>
      </c>
      <c r="S1522">
        <v>1</v>
      </c>
      <c r="T1522">
        <v>4</v>
      </c>
      <c r="U1522" t="s">
        <v>30</v>
      </c>
      <c r="V1522" t="s">
        <v>46</v>
      </c>
      <c r="W1522" t="s">
        <v>39</v>
      </c>
      <c r="X1522" t="s">
        <v>40</v>
      </c>
      <c r="Y1522">
        <v>34</v>
      </c>
      <c r="Z1522" s="1">
        <v>45469</v>
      </c>
      <c r="AA1522" t="str" cm="1">
        <f t="array" ref="AA1522">_xlfn.IFS(AND(Table2[[#This Row],[Guest_Age]]&gt;=18,Table2[[#This Row],[Guest_Age]]&lt;=25),"Young Adults",AND(Table2[[#This Row],[Guest_Age]]&gt;=26,Table2[[#This Row],[Guest_Age]]&lt;=35),"Adults",AND(Table2[[#This Row],[Guest_Age]]&gt;=36,Table2[[#This Row],[Guest_Age]]&lt;=50),"Middle Aged Adults",Table2[[#This Row],[Guest_Age]]&gt;50,"Senior")</f>
        <v>Adults</v>
      </c>
      <c r="AB15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22" t="str" cm="1">
        <f t="array" ref="AC1522">_xlfn.IFS(Table2[[#This Row],[Satification_points]]&gt;=4.5,"GREAT",AND(Table2[[#This Row],[Satification_points]]&gt;=4,Table2[[#This Row],[Satification_points]]&lt;4.5),"GOOD",AND(Table2[[#This Row],[Satification_points]]&gt;=3,Table2[[#This Row],[Satification_points]]&lt;4),"AVERAGE",Table2[[#This Row],[Satification_points]]&lt;3,"POOR")</f>
        <v>POOR</v>
      </c>
    </row>
    <row r="1523" spans="1:29" x14ac:dyDescent="0.3">
      <c r="A1523">
        <v>1522</v>
      </c>
      <c r="B1523">
        <v>18975</v>
      </c>
      <c r="C1523" t="s">
        <v>1565</v>
      </c>
      <c r="D1523" t="s">
        <v>41</v>
      </c>
      <c r="E1523" t="s">
        <v>57</v>
      </c>
      <c r="F1523" s="1">
        <v>45450</v>
      </c>
      <c r="G1523" s="1">
        <v>45451</v>
      </c>
      <c r="H1523">
        <v>3</v>
      </c>
      <c r="I1523" t="s">
        <v>50</v>
      </c>
      <c r="J1523" t="s">
        <v>36</v>
      </c>
      <c r="K1523">
        <v>2</v>
      </c>
      <c r="L1523">
        <v>4</v>
      </c>
      <c r="M1523">
        <v>3</v>
      </c>
      <c r="N1523">
        <v>4</v>
      </c>
      <c r="O1523">
        <v>3</v>
      </c>
      <c r="P1523">
        <v>4</v>
      </c>
      <c r="Q1523">
        <v>5</v>
      </c>
      <c r="R1523">
        <v>5</v>
      </c>
      <c r="S1523">
        <v>2</v>
      </c>
      <c r="T1523">
        <v>1</v>
      </c>
      <c r="U1523" t="s">
        <v>30</v>
      </c>
      <c r="V1523" t="s">
        <v>38</v>
      </c>
      <c r="W1523" t="s">
        <v>47</v>
      </c>
      <c r="X1523" t="s">
        <v>44</v>
      </c>
      <c r="Y1523">
        <v>64</v>
      </c>
      <c r="Z1523" s="1">
        <v>45451</v>
      </c>
      <c r="AA1523" t="str" cm="1">
        <f t="array" ref="AA1523">_xlfn.IFS(AND(Table2[[#This Row],[Guest_Age]]&gt;=18,Table2[[#This Row],[Guest_Age]]&lt;=25),"Young Adults",AND(Table2[[#This Row],[Guest_Age]]&gt;=26,Table2[[#This Row],[Guest_Age]]&lt;=35),"Adults",AND(Table2[[#This Row],[Guest_Age]]&gt;=36,Table2[[#This Row],[Guest_Age]]&lt;=50),"Middle Aged Adults",Table2[[#This Row],[Guest_Age]]&gt;50,"Senior")</f>
        <v>Senior</v>
      </c>
      <c r="AB15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23" t="str" cm="1">
        <f t="array" ref="AC1523">_xlfn.IFS(Table2[[#This Row],[Satification_points]]&gt;=4.5,"GREAT",AND(Table2[[#This Row],[Satification_points]]&gt;=4,Table2[[#This Row],[Satification_points]]&lt;4.5),"GOOD",AND(Table2[[#This Row],[Satification_points]]&gt;=3,Table2[[#This Row],[Satification_points]]&lt;4),"AVERAGE",Table2[[#This Row],[Satification_points]]&lt;3,"POOR")</f>
        <v>AVERAGE</v>
      </c>
    </row>
    <row r="1524" spans="1:29" x14ac:dyDescent="0.3">
      <c r="A1524">
        <v>1523</v>
      </c>
      <c r="B1524">
        <v>14273</v>
      </c>
      <c r="C1524" t="s">
        <v>1566</v>
      </c>
      <c r="D1524" t="s">
        <v>34</v>
      </c>
      <c r="E1524" t="s">
        <v>45</v>
      </c>
      <c r="F1524" s="1">
        <v>45417</v>
      </c>
      <c r="G1524" s="1">
        <v>45583</v>
      </c>
      <c r="H1524">
        <v>7</v>
      </c>
      <c r="I1524" t="s">
        <v>49</v>
      </c>
      <c r="J1524" t="s">
        <v>29</v>
      </c>
      <c r="K1524">
        <v>1</v>
      </c>
      <c r="L1524">
        <v>3</v>
      </c>
      <c r="M1524">
        <v>2</v>
      </c>
      <c r="N1524">
        <v>5</v>
      </c>
      <c r="O1524">
        <v>2</v>
      </c>
      <c r="P1524">
        <v>5</v>
      </c>
      <c r="Q1524">
        <v>5</v>
      </c>
      <c r="R1524">
        <v>5</v>
      </c>
      <c r="S1524">
        <v>2</v>
      </c>
      <c r="T1524">
        <v>3</v>
      </c>
      <c r="U1524" t="s">
        <v>37</v>
      </c>
      <c r="V1524" t="s">
        <v>54</v>
      </c>
      <c r="W1524" t="s">
        <v>56</v>
      </c>
      <c r="X1524" t="s">
        <v>40</v>
      </c>
      <c r="Y1524">
        <v>52</v>
      </c>
      <c r="Z1524" s="1">
        <v>45583</v>
      </c>
      <c r="AA1524" t="str" cm="1">
        <f t="array" ref="AA1524">_xlfn.IFS(AND(Table2[[#This Row],[Guest_Age]]&gt;=18,Table2[[#This Row],[Guest_Age]]&lt;=25),"Young Adults",AND(Table2[[#This Row],[Guest_Age]]&gt;=26,Table2[[#This Row],[Guest_Age]]&lt;=35),"Adults",AND(Table2[[#This Row],[Guest_Age]]&gt;=36,Table2[[#This Row],[Guest_Age]]&lt;=50),"Middle Aged Adults",Table2[[#This Row],[Guest_Age]]&gt;50,"Senior")</f>
        <v>Senior</v>
      </c>
      <c r="AB15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24" t="str" cm="1">
        <f t="array" ref="AC1524">_xlfn.IFS(Table2[[#This Row],[Satification_points]]&gt;=4.5,"GREAT",AND(Table2[[#This Row],[Satification_points]]&gt;=4,Table2[[#This Row],[Satification_points]]&lt;4.5),"GOOD",AND(Table2[[#This Row],[Satification_points]]&gt;=3,Table2[[#This Row],[Satification_points]]&lt;4),"AVERAGE",Table2[[#This Row],[Satification_points]]&lt;3,"POOR")</f>
        <v>AVERAGE</v>
      </c>
    </row>
    <row r="1525" spans="1:29" x14ac:dyDescent="0.3">
      <c r="A1525">
        <v>1524</v>
      </c>
      <c r="B1525">
        <v>81997</v>
      </c>
      <c r="C1525" t="s">
        <v>1567</v>
      </c>
      <c r="D1525" t="s">
        <v>26</v>
      </c>
      <c r="E1525" t="s">
        <v>52</v>
      </c>
      <c r="F1525" s="1">
        <v>45452</v>
      </c>
      <c r="G1525" s="1">
        <v>45453</v>
      </c>
      <c r="H1525">
        <v>5</v>
      </c>
      <c r="I1525" t="s">
        <v>50</v>
      </c>
      <c r="J1525" t="s">
        <v>36</v>
      </c>
      <c r="K1525">
        <v>5</v>
      </c>
      <c r="L1525">
        <v>2</v>
      </c>
      <c r="M1525">
        <v>2</v>
      </c>
      <c r="N1525">
        <v>1</v>
      </c>
      <c r="O1525">
        <v>2</v>
      </c>
      <c r="P1525">
        <v>4</v>
      </c>
      <c r="Q1525">
        <v>1</v>
      </c>
      <c r="R1525">
        <v>1</v>
      </c>
      <c r="S1525">
        <v>2</v>
      </c>
      <c r="T1525">
        <v>4</v>
      </c>
      <c r="U1525" t="s">
        <v>30</v>
      </c>
      <c r="V1525" t="s">
        <v>54</v>
      </c>
      <c r="W1525" t="s">
        <v>56</v>
      </c>
      <c r="X1525" t="s">
        <v>33</v>
      </c>
      <c r="Y1525">
        <v>48</v>
      </c>
      <c r="Z1525" s="1">
        <v>45553</v>
      </c>
      <c r="AA1525" t="str" cm="1">
        <f t="array" ref="AA152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525" t="str" cm="1">
        <f t="array" ref="AC1525">_xlfn.IFS(Table2[[#This Row],[Satification_points]]&gt;=4.5,"GREAT",AND(Table2[[#This Row],[Satification_points]]&gt;=4,Table2[[#This Row],[Satification_points]]&lt;4.5),"GOOD",AND(Table2[[#This Row],[Satification_points]]&gt;=3,Table2[[#This Row],[Satification_points]]&lt;4),"AVERAGE",Table2[[#This Row],[Satification_points]]&lt;3,"POOR")</f>
        <v>POOR</v>
      </c>
    </row>
    <row r="1526" spans="1:29" x14ac:dyDescent="0.3">
      <c r="A1526">
        <v>1525</v>
      </c>
      <c r="B1526">
        <v>50326</v>
      </c>
      <c r="C1526" t="s">
        <v>1568</v>
      </c>
      <c r="D1526" t="s">
        <v>26</v>
      </c>
      <c r="E1526" t="s">
        <v>52</v>
      </c>
      <c r="F1526" s="1">
        <v>45218</v>
      </c>
      <c r="G1526" s="1">
        <v>45219</v>
      </c>
      <c r="H1526">
        <v>1</v>
      </c>
      <c r="I1526" t="s">
        <v>42</v>
      </c>
      <c r="J1526" t="s">
        <v>53</v>
      </c>
      <c r="K1526">
        <v>5</v>
      </c>
      <c r="L1526">
        <v>2</v>
      </c>
      <c r="M1526">
        <v>5</v>
      </c>
      <c r="N1526">
        <v>4</v>
      </c>
      <c r="O1526">
        <v>4</v>
      </c>
      <c r="P1526">
        <v>4</v>
      </c>
      <c r="Q1526">
        <v>5</v>
      </c>
      <c r="R1526">
        <v>2</v>
      </c>
      <c r="S1526">
        <v>2</v>
      </c>
      <c r="T1526">
        <v>5</v>
      </c>
      <c r="U1526" t="s">
        <v>37</v>
      </c>
      <c r="V1526" t="s">
        <v>38</v>
      </c>
      <c r="W1526" t="s">
        <v>32</v>
      </c>
      <c r="X1526" t="s">
        <v>44</v>
      </c>
      <c r="Y1526">
        <v>52</v>
      </c>
      <c r="Z1526" s="1">
        <v>45498</v>
      </c>
      <c r="AA1526" t="str" cm="1">
        <f t="array" ref="AA1526">_xlfn.IFS(AND(Table2[[#This Row],[Guest_Age]]&gt;=18,Table2[[#This Row],[Guest_Age]]&lt;=25),"Young Adults",AND(Table2[[#This Row],[Guest_Age]]&gt;=26,Table2[[#This Row],[Guest_Age]]&lt;=35),"Adults",AND(Table2[[#This Row],[Guest_Age]]&gt;=36,Table2[[#This Row],[Guest_Age]]&lt;=50),"Middle Aged Adults",Table2[[#This Row],[Guest_Age]]&gt;50,"Senior")</f>
        <v>Senior</v>
      </c>
      <c r="AB15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526" t="str" cm="1">
        <f t="array" ref="AC1526">_xlfn.IFS(Table2[[#This Row],[Satification_points]]&gt;=4.5,"GREAT",AND(Table2[[#This Row],[Satification_points]]&gt;=4,Table2[[#This Row],[Satification_points]]&lt;4.5),"GOOD",AND(Table2[[#This Row],[Satification_points]]&gt;=3,Table2[[#This Row],[Satification_points]]&lt;4),"AVERAGE",Table2[[#This Row],[Satification_points]]&lt;3,"POOR")</f>
        <v>AVERAGE</v>
      </c>
    </row>
    <row r="1527" spans="1:29" x14ac:dyDescent="0.3">
      <c r="A1527">
        <v>1526</v>
      </c>
      <c r="B1527">
        <v>61350</v>
      </c>
      <c r="C1527" t="s">
        <v>1569</v>
      </c>
      <c r="D1527" t="s">
        <v>51</v>
      </c>
      <c r="E1527" t="s">
        <v>52</v>
      </c>
      <c r="F1527" s="1">
        <v>44971</v>
      </c>
      <c r="G1527" s="1">
        <v>45211</v>
      </c>
      <c r="H1527">
        <v>5</v>
      </c>
      <c r="I1527" t="s">
        <v>50</v>
      </c>
      <c r="J1527" t="s">
        <v>40</v>
      </c>
      <c r="K1527">
        <v>3</v>
      </c>
      <c r="L1527">
        <v>4</v>
      </c>
      <c r="M1527">
        <v>1</v>
      </c>
      <c r="N1527">
        <v>2</v>
      </c>
      <c r="O1527">
        <v>5</v>
      </c>
      <c r="P1527">
        <v>5</v>
      </c>
      <c r="Q1527">
        <v>5</v>
      </c>
      <c r="R1527">
        <v>2</v>
      </c>
      <c r="S1527">
        <v>5</v>
      </c>
      <c r="T1527">
        <v>3</v>
      </c>
      <c r="U1527" t="s">
        <v>37</v>
      </c>
      <c r="V1527" t="s">
        <v>54</v>
      </c>
      <c r="W1527" t="s">
        <v>55</v>
      </c>
      <c r="X1527" t="s">
        <v>44</v>
      </c>
      <c r="Y1527">
        <v>41</v>
      </c>
      <c r="Z1527" s="1">
        <v>45347</v>
      </c>
      <c r="AA1527" t="str" cm="1">
        <f t="array" ref="AA15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527" t="str" cm="1">
        <f t="array" ref="AC1527">_xlfn.IFS(Table2[[#This Row],[Satification_points]]&gt;=4.5,"GREAT",AND(Table2[[#This Row],[Satification_points]]&gt;=4,Table2[[#This Row],[Satification_points]]&lt;4.5),"GOOD",AND(Table2[[#This Row],[Satification_points]]&gt;=3,Table2[[#This Row],[Satification_points]]&lt;4),"AVERAGE",Table2[[#This Row],[Satification_points]]&lt;3,"POOR")</f>
        <v>AVERAGE</v>
      </c>
    </row>
    <row r="1528" spans="1:29" x14ac:dyDescent="0.3">
      <c r="A1528">
        <v>1527</v>
      </c>
      <c r="B1528">
        <v>18732</v>
      </c>
      <c r="C1528" t="s">
        <v>1570</v>
      </c>
      <c r="D1528" t="s">
        <v>41</v>
      </c>
      <c r="E1528" t="s">
        <v>35</v>
      </c>
      <c r="F1528" s="1">
        <v>45126</v>
      </c>
      <c r="G1528" s="1">
        <v>45654</v>
      </c>
      <c r="H1528">
        <v>3</v>
      </c>
      <c r="I1528" t="s">
        <v>49</v>
      </c>
      <c r="J1528" t="s">
        <v>43</v>
      </c>
      <c r="K1528">
        <v>3</v>
      </c>
      <c r="L1528">
        <v>2</v>
      </c>
      <c r="M1528">
        <v>2</v>
      </c>
      <c r="N1528">
        <v>4</v>
      </c>
      <c r="O1528">
        <v>1</v>
      </c>
      <c r="P1528">
        <v>5</v>
      </c>
      <c r="Q1528">
        <v>3</v>
      </c>
      <c r="R1528">
        <v>3</v>
      </c>
      <c r="S1528">
        <v>4</v>
      </c>
      <c r="T1528">
        <v>4</v>
      </c>
      <c r="U1528" t="s">
        <v>37</v>
      </c>
      <c r="V1528" t="s">
        <v>46</v>
      </c>
      <c r="W1528" t="s">
        <v>56</v>
      </c>
      <c r="X1528" t="s">
        <v>44</v>
      </c>
      <c r="Y1528">
        <v>58</v>
      </c>
      <c r="Z1528" s="1">
        <v>45654</v>
      </c>
      <c r="AA1528" t="str" cm="1">
        <f t="array" ref="AA1528">_xlfn.IFS(AND(Table2[[#This Row],[Guest_Age]]&gt;=18,Table2[[#This Row],[Guest_Age]]&lt;=25),"Young Adults",AND(Table2[[#This Row],[Guest_Age]]&gt;=26,Table2[[#This Row],[Guest_Age]]&lt;=35),"Adults",AND(Table2[[#This Row],[Guest_Age]]&gt;=36,Table2[[#This Row],[Guest_Age]]&lt;=50),"Middle Aged Adults",Table2[[#This Row],[Guest_Age]]&gt;50,"Senior")</f>
        <v>Senior</v>
      </c>
      <c r="AB15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28" t="str" cm="1">
        <f t="array" ref="AC1528">_xlfn.IFS(Table2[[#This Row],[Satification_points]]&gt;=4.5,"GREAT",AND(Table2[[#This Row],[Satification_points]]&gt;=4,Table2[[#This Row],[Satification_points]]&lt;4.5),"GOOD",AND(Table2[[#This Row],[Satification_points]]&gt;=3,Table2[[#This Row],[Satification_points]]&lt;4),"AVERAGE",Table2[[#This Row],[Satification_points]]&lt;3,"POOR")</f>
        <v>AVERAGE</v>
      </c>
    </row>
    <row r="1529" spans="1:29" x14ac:dyDescent="0.3">
      <c r="A1529">
        <v>1528</v>
      </c>
      <c r="B1529">
        <v>82911</v>
      </c>
      <c r="C1529" t="s">
        <v>1571</v>
      </c>
      <c r="D1529" t="s">
        <v>48</v>
      </c>
      <c r="E1529" t="s">
        <v>52</v>
      </c>
      <c r="F1529" s="1">
        <v>44950</v>
      </c>
      <c r="G1529" s="1">
        <v>45165</v>
      </c>
      <c r="H1529">
        <v>2</v>
      </c>
      <c r="I1529" t="s">
        <v>42</v>
      </c>
      <c r="J1529" t="s">
        <v>43</v>
      </c>
      <c r="K1529">
        <v>1</v>
      </c>
      <c r="L1529">
        <v>1</v>
      </c>
      <c r="M1529">
        <v>2</v>
      </c>
      <c r="N1529">
        <v>1</v>
      </c>
      <c r="O1529">
        <v>1</v>
      </c>
      <c r="P1529">
        <v>1</v>
      </c>
      <c r="Q1529">
        <v>4</v>
      </c>
      <c r="R1529">
        <v>5</v>
      </c>
      <c r="S1529">
        <v>5</v>
      </c>
      <c r="T1529">
        <v>1</v>
      </c>
      <c r="U1529" t="s">
        <v>30</v>
      </c>
      <c r="V1529" t="s">
        <v>54</v>
      </c>
      <c r="W1529" t="s">
        <v>32</v>
      </c>
      <c r="X1529" t="s">
        <v>40</v>
      </c>
      <c r="Y1529">
        <v>54</v>
      </c>
      <c r="Z1529" s="1">
        <v>45223</v>
      </c>
      <c r="AA1529" t="str" cm="1">
        <f t="array" ref="AA1529">_xlfn.IFS(AND(Table2[[#This Row],[Guest_Age]]&gt;=18,Table2[[#This Row],[Guest_Age]]&lt;=25),"Young Adults",AND(Table2[[#This Row],[Guest_Age]]&gt;=26,Table2[[#This Row],[Guest_Age]]&lt;=35),"Adults",AND(Table2[[#This Row],[Guest_Age]]&gt;=36,Table2[[#This Row],[Guest_Age]]&lt;=50),"Middle Aged Adults",Table2[[#This Row],[Guest_Age]]&gt;50,"Senior")</f>
        <v>Senior</v>
      </c>
      <c r="AB15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529" t="str" cm="1">
        <f t="array" ref="AC1529">_xlfn.IFS(Table2[[#This Row],[Satification_points]]&gt;=4.5,"GREAT",AND(Table2[[#This Row],[Satification_points]]&gt;=4,Table2[[#This Row],[Satification_points]]&lt;4.5),"GOOD",AND(Table2[[#This Row],[Satification_points]]&gt;=3,Table2[[#This Row],[Satification_points]]&lt;4),"AVERAGE",Table2[[#This Row],[Satification_points]]&lt;3,"POOR")</f>
        <v>POOR</v>
      </c>
    </row>
    <row r="1530" spans="1:29" x14ac:dyDescent="0.3">
      <c r="A1530">
        <v>1529</v>
      </c>
      <c r="B1530">
        <v>23660</v>
      </c>
      <c r="C1530" t="s">
        <v>1572</v>
      </c>
      <c r="D1530" t="s">
        <v>34</v>
      </c>
      <c r="E1530" t="s">
        <v>45</v>
      </c>
      <c r="F1530" s="1">
        <v>45557</v>
      </c>
      <c r="G1530" s="1">
        <v>45558</v>
      </c>
      <c r="H1530">
        <v>13</v>
      </c>
      <c r="I1530" t="s">
        <v>49</v>
      </c>
      <c r="J1530" t="s">
        <v>43</v>
      </c>
      <c r="K1530">
        <v>4</v>
      </c>
      <c r="L1530">
        <v>5</v>
      </c>
      <c r="M1530">
        <v>5</v>
      </c>
      <c r="N1530">
        <v>4</v>
      </c>
      <c r="O1530">
        <v>3</v>
      </c>
      <c r="P1530">
        <v>2</v>
      </c>
      <c r="Q1530">
        <v>2</v>
      </c>
      <c r="R1530">
        <v>1</v>
      </c>
      <c r="S1530">
        <v>4</v>
      </c>
      <c r="T1530">
        <v>5</v>
      </c>
      <c r="U1530" t="s">
        <v>30</v>
      </c>
      <c r="V1530" t="s">
        <v>31</v>
      </c>
      <c r="W1530" t="s">
        <v>55</v>
      </c>
      <c r="X1530" t="s">
        <v>33</v>
      </c>
      <c r="Y1530">
        <v>66</v>
      </c>
      <c r="Z1530" s="1">
        <v>45558</v>
      </c>
      <c r="AA1530" t="str" cm="1">
        <f t="array" ref="AA1530">_xlfn.IFS(AND(Table2[[#This Row],[Guest_Age]]&gt;=18,Table2[[#This Row],[Guest_Age]]&lt;=25),"Young Adults",AND(Table2[[#This Row],[Guest_Age]]&gt;=26,Table2[[#This Row],[Guest_Age]]&lt;=35),"Adults",AND(Table2[[#This Row],[Guest_Age]]&gt;=36,Table2[[#This Row],[Guest_Age]]&lt;=50),"Middle Aged Adults",Table2[[#This Row],[Guest_Age]]&gt;50,"Senior")</f>
        <v>Senior</v>
      </c>
      <c r="AB15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530" t="str" cm="1">
        <f t="array" ref="AC1530">_xlfn.IFS(Table2[[#This Row],[Satification_points]]&gt;=4.5,"GREAT",AND(Table2[[#This Row],[Satification_points]]&gt;=4,Table2[[#This Row],[Satification_points]]&lt;4.5),"GOOD",AND(Table2[[#This Row],[Satification_points]]&gt;=3,Table2[[#This Row],[Satification_points]]&lt;4),"AVERAGE",Table2[[#This Row],[Satification_points]]&lt;3,"POOR")</f>
        <v>AVERAGE</v>
      </c>
    </row>
    <row r="1531" spans="1:29" x14ac:dyDescent="0.3">
      <c r="A1531">
        <v>1530</v>
      </c>
      <c r="B1531">
        <v>34273</v>
      </c>
      <c r="C1531" t="s">
        <v>1573</v>
      </c>
      <c r="D1531" t="s">
        <v>26</v>
      </c>
      <c r="E1531" t="s">
        <v>27</v>
      </c>
      <c r="F1531" s="1">
        <v>45313</v>
      </c>
      <c r="G1531" s="1">
        <v>45458</v>
      </c>
      <c r="H1531">
        <v>3</v>
      </c>
      <c r="I1531" t="s">
        <v>50</v>
      </c>
      <c r="J1531" t="s">
        <v>40</v>
      </c>
      <c r="K1531">
        <v>1</v>
      </c>
      <c r="L1531">
        <v>3</v>
      </c>
      <c r="M1531">
        <v>3</v>
      </c>
      <c r="N1531">
        <v>3</v>
      </c>
      <c r="O1531">
        <v>4</v>
      </c>
      <c r="P1531">
        <v>3</v>
      </c>
      <c r="Q1531">
        <v>3</v>
      </c>
      <c r="R1531">
        <v>3</v>
      </c>
      <c r="S1531">
        <v>1</v>
      </c>
      <c r="T1531">
        <v>3</v>
      </c>
      <c r="U1531" t="s">
        <v>30</v>
      </c>
      <c r="V1531" t="s">
        <v>38</v>
      </c>
      <c r="W1531" t="s">
        <v>32</v>
      </c>
      <c r="X1531" t="s">
        <v>44</v>
      </c>
      <c r="Y1531">
        <v>47</v>
      </c>
      <c r="Z1531" s="1">
        <v>45458</v>
      </c>
      <c r="AA1531" t="str" cm="1">
        <f t="array" ref="AA15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31" t="str" cm="1">
        <f t="array" ref="AC1531">_xlfn.IFS(Table2[[#This Row],[Satification_points]]&gt;=4.5,"GREAT",AND(Table2[[#This Row],[Satification_points]]&gt;=4,Table2[[#This Row],[Satification_points]]&lt;4.5),"GOOD",AND(Table2[[#This Row],[Satification_points]]&gt;=3,Table2[[#This Row],[Satification_points]]&lt;4),"AVERAGE",Table2[[#This Row],[Satification_points]]&lt;3,"POOR")</f>
        <v>POOR</v>
      </c>
    </row>
    <row r="1532" spans="1:29" x14ac:dyDescent="0.3">
      <c r="A1532">
        <v>1531</v>
      </c>
      <c r="B1532">
        <v>75948</v>
      </c>
      <c r="C1532" t="s">
        <v>1574</v>
      </c>
      <c r="D1532" t="s">
        <v>51</v>
      </c>
      <c r="E1532" t="s">
        <v>27</v>
      </c>
      <c r="F1532" s="1">
        <v>45516</v>
      </c>
      <c r="G1532" s="1">
        <v>45517</v>
      </c>
      <c r="H1532">
        <v>10</v>
      </c>
      <c r="I1532" t="s">
        <v>50</v>
      </c>
      <c r="J1532" t="s">
        <v>36</v>
      </c>
      <c r="K1532">
        <v>5</v>
      </c>
      <c r="L1532">
        <v>1</v>
      </c>
      <c r="M1532">
        <v>2</v>
      </c>
      <c r="N1532">
        <v>1</v>
      </c>
      <c r="O1532">
        <v>5</v>
      </c>
      <c r="P1532">
        <v>3</v>
      </c>
      <c r="Q1532">
        <v>4</v>
      </c>
      <c r="R1532">
        <v>3</v>
      </c>
      <c r="S1532">
        <v>2</v>
      </c>
      <c r="T1532">
        <v>3</v>
      </c>
      <c r="U1532" t="s">
        <v>37</v>
      </c>
      <c r="V1532" t="s">
        <v>38</v>
      </c>
      <c r="W1532" t="s">
        <v>47</v>
      </c>
      <c r="X1532" t="s">
        <v>40</v>
      </c>
      <c r="Y1532">
        <v>35</v>
      </c>
      <c r="Z1532" s="1">
        <v>45517</v>
      </c>
      <c r="AA1532" t="str" cm="1">
        <f t="array" ref="AA1532">_xlfn.IFS(AND(Table2[[#This Row],[Guest_Age]]&gt;=18,Table2[[#This Row],[Guest_Age]]&lt;=25),"Young Adults",AND(Table2[[#This Row],[Guest_Age]]&gt;=26,Table2[[#This Row],[Guest_Age]]&lt;=35),"Adults",AND(Table2[[#This Row],[Guest_Age]]&gt;=36,Table2[[#This Row],[Guest_Age]]&lt;=50),"Middle Aged Adults",Table2[[#This Row],[Guest_Age]]&gt;50,"Senior")</f>
        <v>Adults</v>
      </c>
      <c r="AB15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32" t="str" cm="1">
        <f t="array" ref="AC1532">_xlfn.IFS(Table2[[#This Row],[Satification_points]]&gt;=4.5,"GREAT",AND(Table2[[#This Row],[Satification_points]]&gt;=4,Table2[[#This Row],[Satification_points]]&lt;4.5),"GOOD",AND(Table2[[#This Row],[Satification_points]]&gt;=3,Table2[[#This Row],[Satification_points]]&lt;4),"AVERAGE",Table2[[#This Row],[Satification_points]]&lt;3,"POOR")</f>
        <v>POOR</v>
      </c>
    </row>
    <row r="1533" spans="1:29" x14ac:dyDescent="0.3">
      <c r="A1533">
        <v>1532</v>
      </c>
      <c r="B1533">
        <v>65020</v>
      </c>
      <c r="C1533" t="s">
        <v>1575</v>
      </c>
      <c r="D1533" t="s">
        <v>51</v>
      </c>
      <c r="E1533" t="s">
        <v>45</v>
      </c>
      <c r="F1533" s="1">
        <v>45361</v>
      </c>
      <c r="G1533" s="1">
        <v>45494</v>
      </c>
      <c r="H1533">
        <v>4</v>
      </c>
      <c r="I1533" t="s">
        <v>49</v>
      </c>
      <c r="J1533" t="s">
        <v>29</v>
      </c>
      <c r="K1533">
        <v>3</v>
      </c>
      <c r="L1533">
        <v>1</v>
      </c>
      <c r="M1533">
        <v>1</v>
      </c>
      <c r="N1533">
        <v>3</v>
      </c>
      <c r="O1533">
        <v>4</v>
      </c>
      <c r="P1533">
        <v>3</v>
      </c>
      <c r="Q1533">
        <v>1</v>
      </c>
      <c r="R1533">
        <v>5</v>
      </c>
      <c r="S1533">
        <v>3</v>
      </c>
      <c r="T1533">
        <v>1</v>
      </c>
      <c r="U1533" t="s">
        <v>30</v>
      </c>
      <c r="V1533" t="s">
        <v>46</v>
      </c>
      <c r="W1533" t="s">
        <v>56</v>
      </c>
      <c r="X1533" t="s">
        <v>33</v>
      </c>
      <c r="Y1533">
        <v>44</v>
      </c>
      <c r="Z1533" s="1">
        <v>45587</v>
      </c>
      <c r="AA1533" t="str" cm="1">
        <f t="array" ref="AA15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533" t="str" cm="1">
        <f t="array" ref="AC1533">_xlfn.IFS(Table2[[#This Row],[Satification_points]]&gt;=4.5,"GREAT",AND(Table2[[#This Row],[Satification_points]]&gt;=4,Table2[[#This Row],[Satification_points]]&lt;4.5),"GOOD",AND(Table2[[#This Row],[Satification_points]]&gt;=3,Table2[[#This Row],[Satification_points]]&lt;4),"AVERAGE",Table2[[#This Row],[Satification_points]]&lt;3,"POOR")</f>
        <v>POOR</v>
      </c>
    </row>
    <row r="1534" spans="1:29" x14ac:dyDescent="0.3">
      <c r="A1534">
        <v>1533</v>
      </c>
      <c r="B1534">
        <v>36359</v>
      </c>
      <c r="C1534" t="s">
        <v>1576</v>
      </c>
      <c r="D1534" t="s">
        <v>41</v>
      </c>
      <c r="E1534" t="s">
        <v>27</v>
      </c>
      <c r="F1534" s="1">
        <v>45168</v>
      </c>
      <c r="G1534" s="1">
        <v>45169</v>
      </c>
      <c r="H1534">
        <v>14</v>
      </c>
      <c r="I1534" t="s">
        <v>42</v>
      </c>
      <c r="J1534" t="s">
        <v>53</v>
      </c>
      <c r="K1534">
        <v>1</v>
      </c>
      <c r="L1534">
        <v>1</v>
      </c>
      <c r="M1534">
        <v>5</v>
      </c>
      <c r="N1534">
        <v>3</v>
      </c>
      <c r="O1534">
        <v>2</v>
      </c>
      <c r="P1534">
        <v>1</v>
      </c>
      <c r="Q1534">
        <v>3</v>
      </c>
      <c r="R1534">
        <v>3</v>
      </c>
      <c r="S1534">
        <v>5</v>
      </c>
      <c r="T1534">
        <v>2</v>
      </c>
      <c r="U1534" t="s">
        <v>30</v>
      </c>
      <c r="V1534" t="s">
        <v>54</v>
      </c>
      <c r="W1534" t="s">
        <v>32</v>
      </c>
      <c r="X1534" t="s">
        <v>40</v>
      </c>
      <c r="Y1534">
        <v>33</v>
      </c>
      <c r="Z1534" s="1">
        <v>45169</v>
      </c>
      <c r="AA1534" t="str" cm="1">
        <f t="array" ref="AA1534">_xlfn.IFS(AND(Table2[[#This Row],[Guest_Age]]&gt;=18,Table2[[#This Row],[Guest_Age]]&lt;=25),"Young Adults",AND(Table2[[#This Row],[Guest_Age]]&gt;=26,Table2[[#This Row],[Guest_Age]]&lt;=35),"Adults",AND(Table2[[#This Row],[Guest_Age]]&gt;=36,Table2[[#This Row],[Guest_Age]]&lt;=50),"Middle Aged Adults",Table2[[#This Row],[Guest_Age]]&gt;50,"Senior")</f>
        <v>Adults</v>
      </c>
      <c r="AB15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34" t="str" cm="1">
        <f t="array" ref="AC1534">_xlfn.IFS(Table2[[#This Row],[Satification_points]]&gt;=4.5,"GREAT",AND(Table2[[#This Row],[Satification_points]]&gt;=4,Table2[[#This Row],[Satification_points]]&lt;4.5),"GOOD",AND(Table2[[#This Row],[Satification_points]]&gt;=3,Table2[[#This Row],[Satification_points]]&lt;4),"AVERAGE",Table2[[#This Row],[Satification_points]]&lt;3,"POOR")</f>
        <v>POOR</v>
      </c>
    </row>
    <row r="1535" spans="1:29" x14ac:dyDescent="0.3">
      <c r="A1535">
        <v>1534</v>
      </c>
      <c r="B1535">
        <v>81263</v>
      </c>
      <c r="C1535" t="s">
        <v>1577</v>
      </c>
      <c r="D1535" t="s">
        <v>48</v>
      </c>
      <c r="E1535" t="s">
        <v>57</v>
      </c>
      <c r="F1535" s="1">
        <v>45129</v>
      </c>
      <c r="G1535" s="1">
        <v>45603</v>
      </c>
      <c r="H1535">
        <v>13</v>
      </c>
      <c r="I1535" t="s">
        <v>50</v>
      </c>
      <c r="J1535" t="s">
        <v>43</v>
      </c>
      <c r="K1535">
        <v>3</v>
      </c>
      <c r="L1535">
        <v>2</v>
      </c>
      <c r="M1535">
        <v>3</v>
      </c>
      <c r="N1535">
        <v>5</v>
      </c>
      <c r="O1535">
        <v>4</v>
      </c>
      <c r="P1535">
        <v>4</v>
      </c>
      <c r="Q1535">
        <v>3</v>
      </c>
      <c r="R1535">
        <v>5</v>
      </c>
      <c r="S1535">
        <v>3</v>
      </c>
      <c r="T1535">
        <v>3</v>
      </c>
      <c r="U1535" t="s">
        <v>30</v>
      </c>
      <c r="V1535" t="s">
        <v>31</v>
      </c>
      <c r="W1535" t="s">
        <v>47</v>
      </c>
      <c r="X1535" t="s">
        <v>40</v>
      </c>
      <c r="Y1535">
        <v>37</v>
      </c>
      <c r="Z1535" s="1">
        <v>45603</v>
      </c>
      <c r="AA1535" t="str" cm="1">
        <f t="array" ref="AA153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535" t="str" cm="1">
        <f t="array" ref="AC1535">_xlfn.IFS(Table2[[#This Row],[Satification_points]]&gt;=4.5,"GREAT",AND(Table2[[#This Row],[Satification_points]]&gt;=4,Table2[[#This Row],[Satification_points]]&lt;4.5),"GOOD",AND(Table2[[#This Row],[Satification_points]]&gt;=3,Table2[[#This Row],[Satification_points]]&lt;4),"AVERAGE",Table2[[#This Row],[Satification_points]]&lt;3,"POOR")</f>
        <v>AVERAGE</v>
      </c>
    </row>
    <row r="1536" spans="1:29" x14ac:dyDescent="0.3">
      <c r="A1536">
        <v>1535</v>
      </c>
      <c r="B1536">
        <v>25907</v>
      </c>
      <c r="C1536" t="s">
        <v>1578</v>
      </c>
      <c r="D1536" t="s">
        <v>48</v>
      </c>
      <c r="E1536" t="s">
        <v>27</v>
      </c>
      <c r="F1536" s="1">
        <v>45163</v>
      </c>
      <c r="G1536" s="1">
        <v>45245</v>
      </c>
      <c r="H1536">
        <v>13</v>
      </c>
      <c r="I1536" t="s">
        <v>28</v>
      </c>
      <c r="J1536" t="s">
        <v>53</v>
      </c>
      <c r="K1536">
        <v>1</v>
      </c>
      <c r="L1536">
        <v>5</v>
      </c>
      <c r="M1536">
        <v>4</v>
      </c>
      <c r="N1536">
        <v>1</v>
      </c>
      <c r="O1536">
        <v>5</v>
      </c>
      <c r="P1536">
        <v>5</v>
      </c>
      <c r="Q1536">
        <v>1</v>
      </c>
      <c r="R1536">
        <v>2</v>
      </c>
      <c r="S1536">
        <v>1</v>
      </c>
      <c r="T1536">
        <v>2</v>
      </c>
      <c r="U1536" t="s">
        <v>37</v>
      </c>
      <c r="V1536" t="s">
        <v>58</v>
      </c>
      <c r="W1536" t="s">
        <v>32</v>
      </c>
      <c r="X1536" t="s">
        <v>33</v>
      </c>
      <c r="Y1536">
        <v>58</v>
      </c>
      <c r="Z1536" s="1">
        <v>45245</v>
      </c>
      <c r="AA1536" t="str" cm="1">
        <f t="array" ref="AA1536">_xlfn.IFS(AND(Table2[[#This Row],[Guest_Age]]&gt;=18,Table2[[#This Row],[Guest_Age]]&lt;=25),"Young Adults",AND(Table2[[#This Row],[Guest_Age]]&gt;=26,Table2[[#This Row],[Guest_Age]]&lt;=35),"Adults",AND(Table2[[#This Row],[Guest_Age]]&gt;=36,Table2[[#This Row],[Guest_Age]]&lt;=50),"Middle Aged Adults",Table2[[#This Row],[Guest_Age]]&gt;50,"Senior")</f>
        <v>Senior</v>
      </c>
      <c r="AB15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36" t="str" cm="1">
        <f t="array" ref="AC1536">_xlfn.IFS(Table2[[#This Row],[Satification_points]]&gt;=4.5,"GREAT",AND(Table2[[#This Row],[Satification_points]]&gt;=4,Table2[[#This Row],[Satification_points]]&lt;4.5),"GOOD",AND(Table2[[#This Row],[Satification_points]]&gt;=3,Table2[[#This Row],[Satification_points]]&lt;4),"AVERAGE",Table2[[#This Row],[Satification_points]]&lt;3,"POOR")</f>
        <v>POOR</v>
      </c>
    </row>
    <row r="1537" spans="1:29" x14ac:dyDescent="0.3">
      <c r="A1537">
        <v>1536</v>
      </c>
      <c r="B1537">
        <v>88824</v>
      </c>
      <c r="C1537" t="s">
        <v>1579</v>
      </c>
      <c r="D1537" t="s">
        <v>26</v>
      </c>
      <c r="E1537" t="s">
        <v>35</v>
      </c>
      <c r="F1537" s="1">
        <v>45220</v>
      </c>
      <c r="G1537" s="1">
        <v>45606</v>
      </c>
      <c r="H1537">
        <v>1</v>
      </c>
      <c r="I1537" t="s">
        <v>28</v>
      </c>
      <c r="J1537" t="s">
        <v>36</v>
      </c>
      <c r="K1537">
        <v>1</v>
      </c>
      <c r="L1537">
        <v>3</v>
      </c>
      <c r="M1537">
        <v>1</v>
      </c>
      <c r="N1537">
        <v>3</v>
      </c>
      <c r="O1537">
        <v>5</v>
      </c>
      <c r="P1537">
        <v>2</v>
      </c>
      <c r="Q1537">
        <v>5</v>
      </c>
      <c r="R1537">
        <v>2</v>
      </c>
      <c r="S1537">
        <v>3</v>
      </c>
      <c r="T1537">
        <v>1</v>
      </c>
      <c r="U1537" t="s">
        <v>37</v>
      </c>
      <c r="V1537" t="s">
        <v>31</v>
      </c>
      <c r="W1537" t="s">
        <v>39</v>
      </c>
      <c r="X1537" t="s">
        <v>40</v>
      </c>
      <c r="Y1537">
        <v>64</v>
      </c>
      <c r="Z1537" s="1">
        <v>45606</v>
      </c>
      <c r="AA1537" t="str" cm="1">
        <f t="array" ref="AA1537">_xlfn.IFS(AND(Table2[[#This Row],[Guest_Age]]&gt;=18,Table2[[#This Row],[Guest_Age]]&lt;=25),"Young Adults",AND(Table2[[#This Row],[Guest_Age]]&gt;=26,Table2[[#This Row],[Guest_Age]]&lt;=35),"Adults",AND(Table2[[#This Row],[Guest_Age]]&gt;=36,Table2[[#This Row],[Guest_Age]]&lt;=50),"Middle Aged Adults",Table2[[#This Row],[Guest_Age]]&gt;50,"Senior")</f>
        <v>Senior</v>
      </c>
      <c r="AB15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37" t="str" cm="1">
        <f t="array" ref="AC1537">_xlfn.IFS(Table2[[#This Row],[Satification_points]]&gt;=4.5,"GREAT",AND(Table2[[#This Row],[Satification_points]]&gt;=4,Table2[[#This Row],[Satification_points]]&lt;4.5),"GOOD",AND(Table2[[#This Row],[Satification_points]]&gt;=3,Table2[[#This Row],[Satification_points]]&lt;4),"AVERAGE",Table2[[#This Row],[Satification_points]]&lt;3,"POOR")</f>
        <v>POOR</v>
      </c>
    </row>
    <row r="1538" spans="1:29" x14ac:dyDescent="0.3">
      <c r="A1538">
        <v>1537</v>
      </c>
      <c r="B1538">
        <v>95430</v>
      </c>
      <c r="C1538" t="s">
        <v>1580</v>
      </c>
      <c r="D1538" t="s">
        <v>51</v>
      </c>
      <c r="E1538" t="s">
        <v>52</v>
      </c>
      <c r="F1538" s="1">
        <v>45274</v>
      </c>
      <c r="G1538" s="1">
        <v>45555</v>
      </c>
      <c r="H1538">
        <v>4</v>
      </c>
      <c r="I1538" t="s">
        <v>28</v>
      </c>
      <c r="J1538" t="s">
        <v>29</v>
      </c>
      <c r="K1538">
        <v>2</v>
      </c>
      <c r="L1538">
        <v>4</v>
      </c>
      <c r="M1538">
        <v>3</v>
      </c>
      <c r="N1538">
        <v>5</v>
      </c>
      <c r="O1538">
        <v>1</v>
      </c>
      <c r="P1538">
        <v>3</v>
      </c>
      <c r="Q1538">
        <v>1</v>
      </c>
      <c r="R1538">
        <v>5</v>
      </c>
      <c r="S1538">
        <v>1</v>
      </c>
      <c r="T1538">
        <v>1</v>
      </c>
      <c r="U1538" t="s">
        <v>30</v>
      </c>
      <c r="V1538" t="s">
        <v>31</v>
      </c>
      <c r="W1538" t="s">
        <v>32</v>
      </c>
      <c r="X1538" t="s">
        <v>33</v>
      </c>
      <c r="Y1538">
        <v>45</v>
      </c>
      <c r="Z1538" s="1">
        <v>45555</v>
      </c>
      <c r="AA1538" t="str" cm="1">
        <f t="array" ref="AA15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38" t="str" cm="1">
        <f t="array" ref="AC1538">_xlfn.IFS(Table2[[#This Row],[Satification_points]]&gt;=4.5,"GREAT",AND(Table2[[#This Row],[Satification_points]]&gt;=4,Table2[[#This Row],[Satification_points]]&lt;4.5),"GOOD",AND(Table2[[#This Row],[Satification_points]]&gt;=3,Table2[[#This Row],[Satification_points]]&lt;4),"AVERAGE",Table2[[#This Row],[Satification_points]]&lt;3,"POOR")</f>
        <v>POOR</v>
      </c>
    </row>
    <row r="1539" spans="1:29" x14ac:dyDescent="0.3">
      <c r="A1539">
        <v>1538</v>
      </c>
      <c r="B1539">
        <v>29780</v>
      </c>
      <c r="C1539" t="s">
        <v>1581</v>
      </c>
      <c r="D1539" t="s">
        <v>41</v>
      </c>
      <c r="E1539" t="s">
        <v>27</v>
      </c>
      <c r="F1539" s="1">
        <v>45013</v>
      </c>
      <c r="G1539" s="1">
        <v>45224</v>
      </c>
      <c r="H1539">
        <v>9</v>
      </c>
      <c r="I1539" t="s">
        <v>28</v>
      </c>
      <c r="J1539" t="s">
        <v>43</v>
      </c>
      <c r="K1539">
        <v>1</v>
      </c>
      <c r="L1539">
        <v>1</v>
      </c>
      <c r="M1539">
        <v>5</v>
      </c>
      <c r="N1539">
        <v>5</v>
      </c>
      <c r="O1539">
        <v>1</v>
      </c>
      <c r="P1539">
        <v>2</v>
      </c>
      <c r="Q1539">
        <v>2</v>
      </c>
      <c r="R1539">
        <v>4</v>
      </c>
      <c r="S1539">
        <v>5</v>
      </c>
      <c r="T1539">
        <v>4</v>
      </c>
      <c r="U1539" t="s">
        <v>30</v>
      </c>
      <c r="V1539" t="s">
        <v>54</v>
      </c>
      <c r="W1539" t="s">
        <v>39</v>
      </c>
      <c r="X1539" t="s">
        <v>44</v>
      </c>
      <c r="Y1539">
        <v>38</v>
      </c>
      <c r="Z1539" s="1">
        <v>45403</v>
      </c>
      <c r="AA1539" t="str" cm="1">
        <f t="array" ref="AA153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39" t="str" cm="1">
        <f t="array" ref="AC1539">_xlfn.IFS(Table2[[#This Row],[Satification_points]]&gt;=4.5,"GREAT",AND(Table2[[#This Row],[Satification_points]]&gt;=4,Table2[[#This Row],[Satification_points]]&lt;4.5),"GOOD",AND(Table2[[#This Row],[Satification_points]]&gt;=3,Table2[[#This Row],[Satification_points]]&lt;4),"AVERAGE",Table2[[#This Row],[Satification_points]]&lt;3,"POOR")</f>
        <v>AVERAGE</v>
      </c>
    </row>
    <row r="1540" spans="1:29" x14ac:dyDescent="0.3">
      <c r="A1540">
        <v>1539</v>
      </c>
      <c r="B1540">
        <v>14677</v>
      </c>
      <c r="C1540" t="s">
        <v>1582</v>
      </c>
      <c r="D1540" t="s">
        <v>48</v>
      </c>
      <c r="E1540" t="s">
        <v>27</v>
      </c>
      <c r="F1540" s="1">
        <v>45136</v>
      </c>
      <c r="G1540" s="1">
        <v>45627</v>
      </c>
      <c r="H1540">
        <v>1</v>
      </c>
      <c r="I1540" t="s">
        <v>49</v>
      </c>
      <c r="J1540" t="s">
        <v>36</v>
      </c>
      <c r="K1540">
        <v>3</v>
      </c>
      <c r="L1540">
        <v>1</v>
      </c>
      <c r="M1540">
        <v>4</v>
      </c>
      <c r="N1540">
        <v>3</v>
      </c>
      <c r="O1540">
        <v>5</v>
      </c>
      <c r="P1540">
        <v>2</v>
      </c>
      <c r="Q1540">
        <v>1</v>
      </c>
      <c r="R1540">
        <v>4</v>
      </c>
      <c r="S1540">
        <v>1</v>
      </c>
      <c r="T1540">
        <v>3</v>
      </c>
      <c r="U1540" t="s">
        <v>30</v>
      </c>
      <c r="V1540" t="s">
        <v>58</v>
      </c>
      <c r="W1540" t="s">
        <v>56</v>
      </c>
      <c r="X1540" t="s">
        <v>44</v>
      </c>
      <c r="Y1540">
        <v>58</v>
      </c>
      <c r="Z1540" s="1">
        <v>45627</v>
      </c>
      <c r="AA1540" t="str" cm="1">
        <f t="array" ref="AA1540">_xlfn.IFS(AND(Table2[[#This Row],[Guest_Age]]&gt;=18,Table2[[#This Row],[Guest_Age]]&lt;=25),"Young Adults",AND(Table2[[#This Row],[Guest_Age]]&gt;=26,Table2[[#This Row],[Guest_Age]]&lt;=35),"Adults",AND(Table2[[#This Row],[Guest_Age]]&gt;=36,Table2[[#This Row],[Guest_Age]]&lt;=50),"Middle Aged Adults",Table2[[#This Row],[Guest_Age]]&gt;50,"Senior")</f>
        <v>Senior</v>
      </c>
      <c r="AB15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40" t="str" cm="1">
        <f t="array" ref="AC1540">_xlfn.IFS(Table2[[#This Row],[Satification_points]]&gt;=4.5,"GREAT",AND(Table2[[#This Row],[Satification_points]]&gt;=4,Table2[[#This Row],[Satification_points]]&lt;4.5),"GOOD",AND(Table2[[#This Row],[Satification_points]]&gt;=3,Table2[[#This Row],[Satification_points]]&lt;4),"AVERAGE",Table2[[#This Row],[Satification_points]]&lt;3,"POOR")</f>
        <v>POOR</v>
      </c>
    </row>
    <row r="1541" spans="1:29" x14ac:dyDescent="0.3">
      <c r="A1541">
        <v>1540</v>
      </c>
      <c r="B1541">
        <v>56548</v>
      </c>
      <c r="C1541" t="s">
        <v>1583</v>
      </c>
      <c r="D1541" t="s">
        <v>51</v>
      </c>
      <c r="E1541" t="s">
        <v>35</v>
      </c>
      <c r="F1541" s="1">
        <v>45535</v>
      </c>
      <c r="G1541" s="1">
        <v>45536</v>
      </c>
      <c r="H1541">
        <v>11</v>
      </c>
      <c r="I1541" t="s">
        <v>50</v>
      </c>
      <c r="J1541" t="s">
        <v>29</v>
      </c>
      <c r="K1541">
        <v>1</v>
      </c>
      <c r="L1541">
        <v>1</v>
      </c>
      <c r="M1541">
        <v>1</v>
      </c>
      <c r="N1541">
        <v>3</v>
      </c>
      <c r="O1541">
        <v>1</v>
      </c>
      <c r="P1541">
        <v>5</v>
      </c>
      <c r="Q1541">
        <v>3</v>
      </c>
      <c r="R1541">
        <v>1</v>
      </c>
      <c r="S1541">
        <v>5</v>
      </c>
      <c r="T1541">
        <v>5</v>
      </c>
      <c r="U1541" t="s">
        <v>37</v>
      </c>
      <c r="V1541" t="s">
        <v>46</v>
      </c>
      <c r="W1541" t="s">
        <v>32</v>
      </c>
      <c r="X1541" t="s">
        <v>33</v>
      </c>
      <c r="Y1541">
        <v>62</v>
      </c>
      <c r="Z1541" s="1">
        <v>45536</v>
      </c>
      <c r="AA1541" t="str" cm="1">
        <f t="array" ref="AA1541">_xlfn.IFS(AND(Table2[[#This Row],[Guest_Age]]&gt;=18,Table2[[#This Row],[Guest_Age]]&lt;=25),"Young Adults",AND(Table2[[#This Row],[Guest_Age]]&gt;=26,Table2[[#This Row],[Guest_Age]]&lt;=35),"Adults",AND(Table2[[#This Row],[Guest_Age]]&gt;=36,Table2[[#This Row],[Guest_Age]]&lt;=50),"Middle Aged Adults",Table2[[#This Row],[Guest_Age]]&gt;50,"Senior")</f>
        <v>Senior</v>
      </c>
      <c r="AB15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41" t="str" cm="1">
        <f t="array" ref="AC1541">_xlfn.IFS(Table2[[#This Row],[Satification_points]]&gt;=4.5,"GREAT",AND(Table2[[#This Row],[Satification_points]]&gt;=4,Table2[[#This Row],[Satification_points]]&lt;4.5),"GOOD",AND(Table2[[#This Row],[Satification_points]]&gt;=3,Table2[[#This Row],[Satification_points]]&lt;4),"AVERAGE",Table2[[#This Row],[Satification_points]]&lt;3,"POOR")</f>
        <v>POOR</v>
      </c>
    </row>
    <row r="1542" spans="1:29" x14ac:dyDescent="0.3">
      <c r="A1542">
        <v>1541</v>
      </c>
      <c r="B1542">
        <v>17122</v>
      </c>
      <c r="C1542" t="s">
        <v>1584</v>
      </c>
      <c r="D1542" t="s">
        <v>48</v>
      </c>
      <c r="E1542" t="s">
        <v>35</v>
      </c>
      <c r="F1542" s="1">
        <v>44928</v>
      </c>
      <c r="G1542" s="1">
        <v>45351</v>
      </c>
      <c r="H1542">
        <v>7</v>
      </c>
      <c r="I1542" t="s">
        <v>42</v>
      </c>
      <c r="J1542" t="s">
        <v>43</v>
      </c>
      <c r="K1542">
        <v>4</v>
      </c>
      <c r="L1542">
        <v>4</v>
      </c>
      <c r="M1542">
        <v>2</v>
      </c>
      <c r="N1542">
        <v>2</v>
      </c>
      <c r="O1542">
        <v>1</v>
      </c>
      <c r="P1542">
        <v>1</v>
      </c>
      <c r="Q1542">
        <v>1</v>
      </c>
      <c r="R1542">
        <v>4</v>
      </c>
      <c r="S1542">
        <v>5</v>
      </c>
      <c r="T1542">
        <v>5</v>
      </c>
      <c r="U1542" t="s">
        <v>30</v>
      </c>
      <c r="V1542" t="s">
        <v>54</v>
      </c>
      <c r="W1542" t="s">
        <v>47</v>
      </c>
      <c r="X1542" t="s">
        <v>40</v>
      </c>
      <c r="Y1542">
        <v>50</v>
      </c>
      <c r="Z1542" s="1">
        <v>45431</v>
      </c>
      <c r="AA1542" t="str" cm="1">
        <f t="array" ref="AA154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42" t="str" cm="1">
        <f t="array" ref="AC1542">_xlfn.IFS(Table2[[#This Row],[Satification_points]]&gt;=4.5,"GREAT",AND(Table2[[#This Row],[Satification_points]]&gt;=4,Table2[[#This Row],[Satification_points]]&lt;4.5),"GOOD",AND(Table2[[#This Row],[Satification_points]]&gt;=3,Table2[[#This Row],[Satification_points]]&lt;4),"AVERAGE",Table2[[#This Row],[Satification_points]]&lt;3,"POOR")</f>
        <v>POOR</v>
      </c>
    </row>
    <row r="1543" spans="1:29" x14ac:dyDescent="0.3">
      <c r="A1543">
        <v>1542</v>
      </c>
      <c r="B1543">
        <v>60794</v>
      </c>
      <c r="C1543" t="s">
        <v>1585</v>
      </c>
      <c r="D1543" t="s">
        <v>34</v>
      </c>
      <c r="E1543" t="s">
        <v>27</v>
      </c>
      <c r="F1543" s="1">
        <v>45155</v>
      </c>
      <c r="G1543" s="1">
        <v>45156</v>
      </c>
      <c r="H1543">
        <v>8</v>
      </c>
      <c r="I1543" t="s">
        <v>28</v>
      </c>
      <c r="J1543" t="s">
        <v>36</v>
      </c>
      <c r="K1543">
        <v>2</v>
      </c>
      <c r="L1543">
        <v>2</v>
      </c>
      <c r="M1543">
        <v>2</v>
      </c>
      <c r="N1543">
        <v>1</v>
      </c>
      <c r="O1543">
        <v>1</v>
      </c>
      <c r="P1543">
        <v>5</v>
      </c>
      <c r="Q1543">
        <v>2</v>
      </c>
      <c r="R1543">
        <v>1</v>
      </c>
      <c r="S1543">
        <v>3</v>
      </c>
      <c r="T1543">
        <v>1</v>
      </c>
      <c r="U1543" t="s">
        <v>37</v>
      </c>
      <c r="V1543" t="s">
        <v>38</v>
      </c>
      <c r="W1543" t="s">
        <v>56</v>
      </c>
      <c r="X1543" t="s">
        <v>44</v>
      </c>
      <c r="Y1543">
        <v>65</v>
      </c>
      <c r="Z1543" s="1">
        <v>45156</v>
      </c>
      <c r="AA1543" t="str" cm="1">
        <f t="array" ref="AA1543">_xlfn.IFS(AND(Table2[[#This Row],[Guest_Age]]&gt;=18,Table2[[#This Row],[Guest_Age]]&lt;=25),"Young Adults",AND(Table2[[#This Row],[Guest_Age]]&gt;=26,Table2[[#This Row],[Guest_Age]]&lt;=35),"Adults",AND(Table2[[#This Row],[Guest_Age]]&gt;=36,Table2[[#This Row],[Guest_Age]]&lt;=50),"Middle Aged Adults",Table2[[#This Row],[Guest_Age]]&gt;50,"Senior")</f>
        <v>Senior</v>
      </c>
      <c r="AB15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543" t="str" cm="1">
        <f t="array" ref="AC1543">_xlfn.IFS(Table2[[#This Row],[Satification_points]]&gt;=4.5,"GREAT",AND(Table2[[#This Row],[Satification_points]]&gt;=4,Table2[[#This Row],[Satification_points]]&lt;4.5),"GOOD",AND(Table2[[#This Row],[Satification_points]]&gt;=3,Table2[[#This Row],[Satification_points]]&lt;4),"AVERAGE",Table2[[#This Row],[Satification_points]]&lt;3,"POOR")</f>
        <v>POOR</v>
      </c>
    </row>
    <row r="1544" spans="1:29" x14ac:dyDescent="0.3">
      <c r="A1544">
        <v>1543</v>
      </c>
      <c r="B1544">
        <v>11294</v>
      </c>
      <c r="C1544" t="s">
        <v>1586</v>
      </c>
      <c r="D1544" t="s">
        <v>48</v>
      </c>
      <c r="E1544" t="s">
        <v>57</v>
      </c>
      <c r="F1544" s="1">
        <v>45336</v>
      </c>
      <c r="G1544" s="1">
        <v>45337</v>
      </c>
      <c r="H1544">
        <v>9</v>
      </c>
      <c r="I1544" t="s">
        <v>49</v>
      </c>
      <c r="J1544" t="s">
        <v>53</v>
      </c>
      <c r="K1544">
        <v>1</v>
      </c>
      <c r="L1544">
        <v>2</v>
      </c>
      <c r="M1544">
        <v>1</v>
      </c>
      <c r="N1544">
        <v>5</v>
      </c>
      <c r="O1544">
        <v>5</v>
      </c>
      <c r="P1544">
        <v>1</v>
      </c>
      <c r="Q1544">
        <v>5</v>
      </c>
      <c r="R1544">
        <v>5</v>
      </c>
      <c r="S1544">
        <v>4</v>
      </c>
      <c r="T1544">
        <v>5</v>
      </c>
      <c r="U1544" t="s">
        <v>37</v>
      </c>
      <c r="V1544" t="s">
        <v>58</v>
      </c>
      <c r="W1544" t="s">
        <v>56</v>
      </c>
      <c r="X1544" t="s">
        <v>33</v>
      </c>
      <c r="Y1544">
        <v>26</v>
      </c>
      <c r="Z1544" s="1">
        <v>45391</v>
      </c>
      <c r="AA1544" t="str" cm="1">
        <f t="array" ref="AA1544">_xlfn.IFS(AND(Table2[[#This Row],[Guest_Age]]&gt;=18,Table2[[#This Row],[Guest_Age]]&lt;=25),"Young Adults",AND(Table2[[#This Row],[Guest_Age]]&gt;=26,Table2[[#This Row],[Guest_Age]]&lt;=35),"Adults",AND(Table2[[#This Row],[Guest_Age]]&gt;=36,Table2[[#This Row],[Guest_Age]]&lt;=50),"Middle Aged Adults",Table2[[#This Row],[Guest_Age]]&gt;50,"Senior")</f>
        <v>Adults</v>
      </c>
      <c r="AB15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544" t="str" cm="1">
        <f t="array" ref="AC1544">_xlfn.IFS(Table2[[#This Row],[Satification_points]]&gt;=4.5,"GREAT",AND(Table2[[#This Row],[Satification_points]]&gt;=4,Table2[[#This Row],[Satification_points]]&lt;4.5),"GOOD",AND(Table2[[#This Row],[Satification_points]]&gt;=3,Table2[[#This Row],[Satification_points]]&lt;4),"AVERAGE",Table2[[#This Row],[Satification_points]]&lt;3,"POOR")</f>
        <v>AVERAGE</v>
      </c>
    </row>
    <row r="1545" spans="1:29" x14ac:dyDescent="0.3">
      <c r="A1545">
        <v>1544</v>
      </c>
      <c r="B1545">
        <v>58070</v>
      </c>
      <c r="C1545" t="s">
        <v>1587</v>
      </c>
      <c r="D1545" t="s">
        <v>48</v>
      </c>
      <c r="E1545" t="s">
        <v>27</v>
      </c>
      <c r="F1545" s="1">
        <v>45169</v>
      </c>
      <c r="G1545" s="1">
        <v>45394</v>
      </c>
      <c r="H1545">
        <v>7</v>
      </c>
      <c r="I1545" t="s">
        <v>42</v>
      </c>
      <c r="J1545" t="s">
        <v>40</v>
      </c>
      <c r="K1545">
        <v>4</v>
      </c>
      <c r="L1545">
        <v>5</v>
      </c>
      <c r="M1545">
        <v>2</v>
      </c>
      <c r="N1545">
        <v>1</v>
      </c>
      <c r="O1545">
        <v>1</v>
      </c>
      <c r="P1545">
        <v>4</v>
      </c>
      <c r="Q1545">
        <v>5</v>
      </c>
      <c r="R1545">
        <v>5</v>
      </c>
      <c r="S1545">
        <v>4</v>
      </c>
      <c r="T1545">
        <v>5</v>
      </c>
      <c r="U1545" t="s">
        <v>37</v>
      </c>
      <c r="V1545" t="s">
        <v>38</v>
      </c>
      <c r="W1545" t="s">
        <v>39</v>
      </c>
      <c r="X1545" t="s">
        <v>33</v>
      </c>
      <c r="Y1545">
        <v>41</v>
      </c>
      <c r="Z1545" s="1">
        <v>45460</v>
      </c>
      <c r="AA1545" t="str" cm="1">
        <f t="array" ref="AA15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545" t="str" cm="1">
        <f t="array" ref="AC1545">_xlfn.IFS(Table2[[#This Row],[Satification_points]]&gt;=4.5,"GREAT",AND(Table2[[#This Row],[Satification_points]]&gt;=4,Table2[[#This Row],[Satification_points]]&lt;4.5),"GOOD",AND(Table2[[#This Row],[Satification_points]]&gt;=3,Table2[[#This Row],[Satification_points]]&lt;4),"AVERAGE",Table2[[#This Row],[Satification_points]]&lt;3,"POOR")</f>
        <v>AVERAGE</v>
      </c>
    </row>
    <row r="1546" spans="1:29" x14ac:dyDescent="0.3">
      <c r="A1546">
        <v>1545</v>
      </c>
      <c r="B1546">
        <v>50555</v>
      </c>
      <c r="C1546" t="s">
        <v>1588</v>
      </c>
      <c r="D1546" t="s">
        <v>51</v>
      </c>
      <c r="E1546" t="s">
        <v>57</v>
      </c>
      <c r="F1546" s="1">
        <v>45394</v>
      </c>
      <c r="G1546" s="1">
        <v>45395</v>
      </c>
      <c r="H1546">
        <v>13</v>
      </c>
      <c r="I1546" t="s">
        <v>49</v>
      </c>
      <c r="J1546" t="s">
        <v>43</v>
      </c>
      <c r="K1546">
        <v>3</v>
      </c>
      <c r="L1546">
        <v>2</v>
      </c>
      <c r="M1546">
        <v>5</v>
      </c>
      <c r="N1546">
        <v>5</v>
      </c>
      <c r="O1546">
        <v>2</v>
      </c>
      <c r="P1546">
        <v>2</v>
      </c>
      <c r="Q1546">
        <v>4</v>
      </c>
      <c r="R1546">
        <v>5</v>
      </c>
      <c r="S1546">
        <v>4</v>
      </c>
      <c r="T1546">
        <v>5</v>
      </c>
      <c r="U1546" t="s">
        <v>37</v>
      </c>
      <c r="V1546" t="s">
        <v>58</v>
      </c>
      <c r="W1546" t="s">
        <v>56</v>
      </c>
      <c r="X1546" t="s">
        <v>40</v>
      </c>
      <c r="Y1546">
        <v>30</v>
      </c>
      <c r="Z1546" s="1">
        <v>45395</v>
      </c>
      <c r="AA1546" t="str" cm="1">
        <f t="array" ref="AA1546">_xlfn.IFS(AND(Table2[[#This Row],[Guest_Age]]&gt;=18,Table2[[#This Row],[Guest_Age]]&lt;=25),"Young Adults",AND(Table2[[#This Row],[Guest_Age]]&gt;=26,Table2[[#This Row],[Guest_Age]]&lt;=35),"Adults",AND(Table2[[#This Row],[Guest_Age]]&gt;=36,Table2[[#This Row],[Guest_Age]]&lt;=50),"Middle Aged Adults",Table2[[#This Row],[Guest_Age]]&gt;50,"Senior")</f>
        <v>Adults</v>
      </c>
      <c r="AB15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546" t="str" cm="1">
        <f t="array" ref="AC1546">_xlfn.IFS(Table2[[#This Row],[Satification_points]]&gt;=4.5,"GREAT",AND(Table2[[#This Row],[Satification_points]]&gt;=4,Table2[[#This Row],[Satification_points]]&lt;4.5),"GOOD",AND(Table2[[#This Row],[Satification_points]]&gt;=3,Table2[[#This Row],[Satification_points]]&lt;4),"AVERAGE",Table2[[#This Row],[Satification_points]]&lt;3,"POOR")</f>
        <v>AVERAGE</v>
      </c>
    </row>
    <row r="1547" spans="1:29" x14ac:dyDescent="0.3">
      <c r="A1547">
        <v>1546</v>
      </c>
      <c r="B1547">
        <v>18555</v>
      </c>
      <c r="C1547" t="s">
        <v>1589</v>
      </c>
      <c r="D1547" t="s">
        <v>48</v>
      </c>
      <c r="E1547" t="s">
        <v>52</v>
      </c>
      <c r="F1547" s="1">
        <v>45384</v>
      </c>
      <c r="G1547" s="1">
        <v>45385</v>
      </c>
      <c r="H1547">
        <v>9</v>
      </c>
      <c r="I1547" t="s">
        <v>50</v>
      </c>
      <c r="J1547" t="s">
        <v>29</v>
      </c>
      <c r="K1547">
        <v>4</v>
      </c>
      <c r="L1547">
        <v>2</v>
      </c>
      <c r="M1547">
        <v>1</v>
      </c>
      <c r="N1547">
        <v>4</v>
      </c>
      <c r="O1547">
        <v>5</v>
      </c>
      <c r="P1547">
        <v>3</v>
      </c>
      <c r="Q1547">
        <v>4</v>
      </c>
      <c r="R1547">
        <v>1</v>
      </c>
      <c r="S1547">
        <v>2</v>
      </c>
      <c r="T1547">
        <v>4</v>
      </c>
      <c r="U1547" t="s">
        <v>37</v>
      </c>
      <c r="V1547" t="s">
        <v>38</v>
      </c>
      <c r="W1547" t="s">
        <v>32</v>
      </c>
      <c r="X1547" t="s">
        <v>40</v>
      </c>
      <c r="Y1547">
        <v>47</v>
      </c>
      <c r="Z1547" s="1">
        <v>45385</v>
      </c>
      <c r="AA1547" t="str" cm="1">
        <f t="array" ref="AA15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47" t="str" cm="1">
        <f t="array" ref="AC1547">_xlfn.IFS(Table2[[#This Row],[Satification_points]]&gt;=4.5,"GREAT",AND(Table2[[#This Row],[Satification_points]]&gt;=4,Table2[[#This Row],[Satification_points]]&lt;4.5),"GOOD",AND(Table2[[#This Row],[Satification_points]]&gt;=3,Table2[[#This Row],[Satification_points]]&lt;4),"AVERAGE",Table2[[#This Row],[Satification_points]]&lt;3,"POOR")</f>
        <v>AVERAGE</v>
      </c>
    </row>
    <row r="1548" spans="1:29" x14ac:dyDescent="0.3">
      <c r="A1548">
        <v>1547</v>
      </c>
      <c r="B1548">
        <v>12116</v>
      </c>
      <c r="C1548" t="s">
        <v>1590</v>
      </c>
      <c r="D1548" t="s">
        <v>48</v>
      </c>
      <c r="E1548" t="s">
        <v>45</v>
      </c>
      <c r="F1548" s="1">
        <v>45480</v>
      </c>
      <c r="G1548" s="1">
        <v>45481</v>
      </c>
      <c r="H1548">
        <v>10</v>
      </c>
      <c r="I1548" t="s">
        <v>28</v>
      </c>
      <c r="J1548" t="s">
        <v>29</v>
      </c>
      <c r="K1548">
        <v>2</v>
      </c>
      <c r="L1548">
        <v>3</v>
      </c>
      <c r="M1548">
        <v>1</v>
      </c>
      <c r="N1548">
        <v>4</v>
      </c>
      <c r="O1548">
        <v>4</v>
      </c>
      <c r="P1548">
        <v>2</v>
      </c>
      <c r="Q1548">
        <v>2</v>
      </c>
      <c r="R1548">
        <v>3</v>
      </c>
      <c r="S1548">
        <v>3</v>
      </c>
      <c r="T1548">
        <v>4</v>
      </c>
      <c r="U1548" t="s">
        <v>37</v>
      </c>
      <c r="V1548" t="s">
        <v>54</v>
      </c>
      <c r="W1548" t="s">
        <v>32</v>
      </c>
      <c r="X1548" t="s">
        <v>44</v>
      </c>
      <c r="Y1548">
        <v>63</v>
      </c>
      <c r="Z1548" s="1">
        <v>45481</v>
      </c>
      <c r="AA1548" t="str" cm="1">
        <f t="array" ref="AA1548">_xlfn.IFS(AND(Table2[[#This Row],[Guest_Age]]&gt;=18,Table2[[#This Row],[Guest_Age]]&lt;=25),"Young Adults",AND(Table2[[#This Row],[Guest_Age]]&gt;=26,Table2[[#This Row],[Guest_Age]]&lt;=35),"Adults",AND(Table2[[#This Row],[Guest_Age]]&gt;=36,Table2[[#This Row],[Guest_Age]]&lt;=50),"Middle Aged Adults",Table2[[#This Row],[Guest_Age]]&gt;50,"Senior")</f>
        <v>Senior</v>
      </c>
      <c r="AB15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48" t="str" cm="1">
        <f t="array" ref="AC1548">_xlfn.IFS(Table2[[#This Row],[Satification_points]]&gt;=4.5,"GREAT",AND(Table2[[#This Row],[Satification_points]]&gt;=4,Table2[[#This Row],[Satification_points]]&lt;4.5),"GOOD",AND(Table2[[#This Row],[Satification_points]]&gt;=3,Table2[[#This Row],[Satification_points]]&lt;4),"AVERAGE",Table2[[#This Row],[Satification_points]]&lt;3,"POOR")</f>
        <v>POOR</v>
      </c>
    </row>
    <row r="1549" spans="1:29" x14ac:dyDescent="0.3">
      <c r="A1549">
        <v>1548</v>
      </c>
      <c r="B1549">
        <v>20547</v>
      </c>
      <c r="C1549" t="s">
        <v>1591</v>
      </c>
      <c r="D1549" t="s">
        <v>34</v>
      </c>
      <c r="E1549" t="s">
        <v>52</v>
      </c>
      <c r="F1549" s="1">
        <v>45139</v>
      </c>
      <c r="G1549" s="1">
        <v>45181</v>
      </c>
      <c r="H1549">
        <v>13</v>
      </c>
      <c r="I1549" t="s">
        <v>42</v>
      </c>
      <c r="J1549" t="s">
        <v>40</v>
      </c>
      <c r="K1549">
        <v>3</v>
      </c>
      <c r="L1549">
        <v>3</v>
      </c>
      <c r="M1549">
        <v>2</v>
      </c>
      <c r="N1549">
        <v>5</v>
      </c>
      <c r="O1549">
        <v>3</v>
      </c>
      <c r="P1549">
        <v>5</v>
      </c>
      <c r="Q1549">
        <v>4</v>
      </c>
      <c r="R1549">
        <v>1</v>
      </c>
      <c r="S1549">
        <v>1</v>
      </c>
      <c r="T1549">
        <v>1</v>
      </c>
      <c r="U1549" t="s">
        <v>30</v>
      </c>
      <c r="V1549" t="s">
        <v>58</v>
      </c>
      <c r="W1549" t="s">
        <v>39</v>
      </c>
      <c r="X1549" t="s">
        <v>44</v>
      </c>
      <c r="Y1549">
        <v>60</v>
      </c>
      <c r="Z1549" s="1">
        <v>45181</v>
      </c>
      <c r="AA1549" t="str" cm="1">
        <f t="array" ref="AA1549">_xlfn.IFS(AND(Table2[[#This Row],[Guest_Age]]&gt;=18,Table2[[#This Row],[Guest_Age]]&lt;=25),"Young Adults",AND(Table2[[#This Row],[Guest_Age]]&gt;=26,Table2[[#This Row],[Guest_Age]]&lt;=35),"Adults",AND(Table2[[#This Row],[Guest_Age]]&gt;=36,Table2[[#This Row],[Guest_Age]]&lt;=50),"Middle Aged Adults",Table2[[#This Row],[Guest_Age]]&gt;50,"Senior")</f>
        <v>Senior</v>
      </c>
      <c r="AB15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49" t="str" cm="1">
        <f t="array" ref="AC1549">_xlfn.IFS(Table2[[#This Row],[Satification_points]]&gt;=4.5,"GREAT",AND(Table2[[#This Row],[Satification_points]]&gt;=4,Table2[[#This Row],[Satification_points]]&lt;4.5),"GOOD",AND(Table2[[#This Row],[Satification_points]]&gt;=3,Table2[[#This Row],[Satification_points]]&lt;4),"AVERAGE",Table2[[#This Row],[Satification_points]]&lt;3,"POOR")</f>
        <v>POOR</v>
      </c>
    </row>
    <row r="1550" spans="1:29" x14ac:dyDescent="0.3">
      <c r="A1550">
        <v>1549</v>
      </c>
      <c r="B1550">
        <v>22710</v>
      </c>
      <c r="C1550" t="s">
        <v>1592</v>
      </c>
      <c r="D1550" t="s">
        <v>48</v>
      </c>
      <c r="E1550" t="s">
        <v>27</v>
      </c>
      <c r="F1550" s="1">
        <v>45312</v>
      </c>
      <c r="G1550" s="1">
        <v>45554</v>
      </c>
      <c r="H1550">
        <v>14</v>
      </c>
      <c r="I1550" t="s">
        <v>42</v>
      </c>
      <c r="J1550" t="s">
        <v>40</v>
      </c>
      <c r="K1550">
        <v>1</v>
      </c>
      <c r="L1550">
        <v>2</v>
      </c>
      <c r="M1550">
        <v>1</v>
      </c>
      <c r="N1550">
        <v>2</v>
      </c>
      <c r="O1550">
        <v>3</v>
      </c>
      <c r="P1550">
        <v>1</v>
      </c>
      <c r="Q1550">
        <v>5</v>
      </c>
      <c r="R1550">
        <v>3</v>
      </c>
      <c r="S1550">
        <v>4</v>
      </c>
      <c r="T1550">
        <v>5</v>
      </c>
      <c r="U1550" t="s">
        <v>37</v>
      </c>
      <c r="V1550" t="s">
        <v>46</v>
      </c>
      <c r="W1550" t="s">
        <v>32</v>
      </c>
      <c r="X1550" t="s">
        <v>44</v>
      </c>
      <c r="Y1550">
        <v>50</v>
      </c>
      <c r="Z1550" s="1">
        <v>45554</v>
      </c>
      <c r="AA1550" t="str" cm="1">
        <f t="array" ref="AA15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50" t="str" cm="1">
        <f t="array" ref="AC1550">_xlfn.IFS(Table2[[#This Row],[Satification_points]]&gt;=4.5,"GREAT",AND(Table2[[#This Row],[Satification_points]]&gt;=4,Table2[[#This Row],[Satification_points]]&lt;4.5),"GOOD",AND(Table2[[#This Row],[Satification_points]]&gt;=3,Table2[[#This Row],[Satification_points]]&lt;4),"AVERAGE",Table2[[#This Row],[Satification_points]]&lt;3,"POOR")</f>
        <v>POOR</v>
      </c>
    </row>
    <row r="1551" spans="1:29" x14ac:dyDescent="0.3">
      <c r="A1551">
        <v>1550</v>
      </c>
      <c r="B1551">
        <v>78097</v>
      </c>
      <c r="C1551" t="s">
        <v>1593</v>
      </c>
      <c r="D1551" t="s">
        <v>48</v>
      </c>
      <c r="E1551" t="s">
        <v>27</v>
      </c>
      <c r="F1551" s="1">
        <v>45338</v>
      </c>
      <c r="G1551" s="1">
        <v>45339</v>
      </c>
      <c r="H1551">
        <v>3</v>
      </c>
      <c r="I1551" t="s">
        <v>49</v>
      </c>
      <c r="J1551" t="s">
        <v>36</v>
      </c>
      <c r="K1551">
        <v>1</v>
      </c>
      <c r="L1551">
        <v>3</v>
      </c>
      <c r="M1551">
        <v>4</v>
      </c>
      <c r="N1551">
        <v>4</v>
      </c>
      <c r="O1551">
        <v>2</v>
      </c>
      <c r="P1551">
        <v>4</v>
      </c>
      <c r="Q1551">
        <v>5</v>
      </c>
      <c r="R1551">
        <v>2</v>
      </c>
      <c r="S1551">
        <v>3</v>
      </c>
      <c r="T1551">
        <v>1</v>
      </c>
      <c r="U1551" t="s">
        <v>37</v>
      </c>
      <c r="V1551" t="s">
        <v>54</v>
      </c>
      <c r="W1551" t="s">
        <v>39</v>
      </c>
      <c r="X1551" t="s">
        <v>40</v>
      </c>
      <c r="Y1551">
        <v>63</v>
      </c>
      <c r="Z1551" s="1">
        <v>45339</v>
      </c>
      <c r="AA1551" t="str" cm="1">
        <f t="array" ref="AA1551">_xlfn.IFS(AND(Table2[[#This Row],[Guest_Age]]&gt;=18,Table2[[#This Row],[Guest_Age]]&lt;=25),"Young Adults",AND(Table2[[#This Row],[Guest_Age]]&gt;=26,Table2[[#This Row],[Guest_Age]]&lt;=35),"Adults",AND(Table2[[#This Row],[Guest_Age]]&gt;=36,Table2[[#This Row],[Guest_Age]]&lt;=50),"Middle Aged Adults",Table2[[#This Row],[Guest_Age]]&gt;50,"Senior")</f>
        <v>Senior</v>
      </c>
      <c r="AB15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51" t="str" cm="1">
        <f t="array" ref="AC1551">_xlfn.IFS(Table2[[#This Row],[Satification_points]]&gt;=4.5,"GREAT",AND(Table2[[#This Row],[Satification_points]]&gt;=4,Table2[[#This Row],[Satification_points]]&lt;4.5),"GOOD",AND(Table2[[#This Row],[Satification_points]]&gt;=3,Table2[[#This Row],[Satification_points]]&lt;4),"AVERAGE",Table2[[#This Row],[Satification_points]]&lt;3,"POOR")</f>
        <v>POOR</v>
      </c>
    </row>
    <row r="1552" spans="1:29" x14ac:dyDescent="0.3">
      <c r="A1552">
        <v>1551</v>
      </c>
      <c r="B1552">
        <v>48807</v>
      </c>
      <c r="C1552" t="s">
        <v>1594</v>
      </c>
      <c r="D1552" t="s">
        <v>51</v>
      </c>
      <c r="E1552" t="s">
        <v>57</v>
      </c>
      <c r="F1552" s="1">
        <v>45441</v>
      </c>
      <c r="G1552" s="1">
        <v>45442</v>
      </c>
      <c r="H1552">
        <v>1</v>
      </c>
      <c r="I1552" t="s">
        <v>49</v>
      </c>
      <c r="J1552" t="s">
        <v>40</v>
      </c>
      <c r="K1552">
        <v>4</v>
      </c>
      <c r="L1552">
        <v>5</v>
      </c>
      <c r="M1552">
        <v>1</v>
      </c>
      <c r="N1552">
        <v>1</v>
      </c>
      <c r="O1552">
        <v>5</v>
      </c>
      <c r="P1552">
        <v>4</v>
      </c>
      <c r="Q1552">
        <v>4</v>
      </c>
      <c r="R1552">
        <v>2</v>
      </c>
      <c r="S1552">
        <v>2</v>
      </c>
      <c r="T1552">
        <v>1</v>
      </c>
      <c r="U1552" t="s">
        <v>37</v>
      </c>
      <c r="V1552" t="s">
        <v>58</v>
      </c>
      <c r="W1552" t="s">
        <v>55</v>
      </c>
      <c r="X1552" t="s">
        <v>44</v>
      </c>
      <c r="Y1552">
        <v>41</v>
      </c>
      <c r="Z1552" s="1">
        <v>45521</v>
      </c>
      <c r="AA1552" t="str" cm="1">
        <f t="array" ref="AA155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52" t="str" cm="1">
        <f t="array" ref="AC1552">_xlfn.IFS(Table2[[#This Row],[Satification_points]]&gt;=4.5,"GREAT",AND(Table2[[#This Row],[Satification_points]]&gt;=4,Table2[[#This Row],[Satification_points]]&lt;4.5),"GOOD",AND(Table2[[#This Row],[Satification_points]]&gt;=3,Table2[[#This Row],[Satification_points]]&lt;4),"AVERAGE",Table2[[#This Row],[Satification_points]]&lt;3,"POOR")</f>
        <v>POOR</v>
      </c>
    </row>
    <row r="1553" spans="1:29" x14ac:dyDescent="0.3">
      <c r="A1553">
        <v>1552</v>
      </c>
      <c r="B1553">
        <v>50636</v>
      </c>
      <c r="C1553" t="s">
        <v>1595</v>
      </c>
      <c r="D1553" t="s">
        <v>41</v>
      </c>
      <c r="E1553" t="s">
        <v>35</v>
      </c>
      <c r="F1553" s="1">
        <v>45454</v>
      </c>
      <c r="G1553" s="1">
        <v>45455</v>
      </c>
      <c r="H1553">
        <v>2</v>
      </c>
      <c r="I1553" t="s">
        <v>50</v>
      </c>
      <c r="J1553" t="s">
        <v>43</v>
      </c>
      <c r="K1553">
        <v>1</v>
      </c>
      <c r="L1553">
        <v>2</v>
      </c>
      <c r="M1553">
        <v>2</v>
      </c>
      <c r="N1553">
        <v>3</v>
      </c>
      <c r="O1553">
        <v>4</v>
      </c>
      <c r="P1553">
        <v>1</v>
      </c>
      <c r="Q1553">
        <v>1</v>
      </c>
      <c r="R1553">
        <v>3</v>
      </c>
      <c r="S1553">
        <v>3</v>
      </c>
      <c r="T1553">
        <v>1</v>
      </c>
      <c r="U1553" t="s">
        <v>30</v>
      </c>
      <c r="V1553" t="s">
        <v>38</v>
      </c>
      <c r="W1553" t="s">
        <v>39</v>
      </c>
      <c r="X1553" t="s">
        <v>33</v>
      </c>
      <c r="Y1553">
        <v>37</v>
      </c>
      <c r="Z1553" s="1">
        <v>45455</v>
      </c>
      <c r="AA1553" t="str" cm="1">
        <f t="array" ref="AA15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553" t="str" cm="1">
        <f t="array" ref="AC1553">_xlfn.IFS(Table2[[#This Row],[Satification_points]]&gt;=4.5,"GREAT",AND(Table2[[#This Row],[Satification_points]]&gt;=4,Table2[[#This Row],[Satification_points]]&lt;4.5),"GOOD",AND(Table2[[#This Row],[Satification_points]]&gt;=3,Table2[[#This Row],[Satification_points]]&lt;4),"AVERAGE",Table2[[#This Row],[Satification_points]]&lt;3,"POOR")</f>
        <v>POOR</v>
      </c>
    </row>
    <row r="1554" spans="1:29" x14ac:dyDescent="0.3">
      <c r="A1554">
        <v>1553</v>
      </c>
      <c r="B1554">
        <v>41086</v>
      </c>
      <c r="C1554" t="s">
        <v>1596</v>
      </c>
      <c r="D1554" t="s">
        <v>34</v>
      </c>
      <c r="E1554" t="s">
        <v>57</v>
      </c>
      <c r="F1554" s="1">
        <v>45314</v>
      </c>
      <c r="G1554" s="1">
        <v>45315</v>
      </c>
      <c r="H1554">
        <v>14</v>
      </c>
      <c r="I1554" t="s">
        <v>42</v>
      </c>
      <c r="J1554" t="s">
        <v>40</v>
      </c>
      <c r="K1554">
        <v>3</v>
      </c>
      <c r="L1554">
        <v>3</v>
      </c>
      <c r="M1554">
        <v>2</v>
      </c>
      <c r="N1554">
        <v>1</v>
      </c>
      <c r="O1554">
        <v>5</v>
      </c>
      <c r="P1554">
        <v>1</v>
      </c>
      <c r="Q1554">
        <v>5</v>
      </c>
      <c r="R1554">
        <v>3</v>
      </c>
      <c r="S1554">
        <v>1</v>
      </c>
      <c r="T1554">
        <v>4</v>
      </c>
      <c r="U1554" t="s">
        <v>37</v>
      </c>
      <c r="V1554" t="s">
        <v>31</v>
      </c>
      <c r="W1554" t="s">
        <v>47</v>
      </c>
      <c r="X1554" t="s">
        <v>33</v>
      </c>
      <c r="Y1554">
        <v>67</v>
      </c>
      <c r="Z1554" s="1">
        <v>45315</v>
      </c>
      <c r="AA1554" t="str" cm="1">
        <f t="array" ref="AA1554">_xlfn.IFS(AND(Table2[[#This Row],[Guest_Age]]&gt;=18,Table2[[#This Row],[Guest_Age]]&lt;=25),"Young Adults",AND(Table2[[#This Row],[Guest_Age]]&gt;=26,Table2[[#This Row],[Guest_Age]]&lt;=35),"Adults",AND(Table2[[#This Row],[Guest_Age]]&gt;=36,Table2[[#This Row],[Guest_Age]]&lt;=50),"Middle Aged Adults",Table2[[#This Row],[Guest_Age]]&gt;50,"Senior")</f>
        <v>Senior</v>
      </c>
      <c r="AB15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54" t="str" cm="1">
        <f t="array" ref="AC1554">_xlfn.IFS(Table2[[#This Row],[Satification_points]]&gt;=4.5,"GREAT",AND(Table2[[#This Row],[Satification_points]]&gt;=4,Table2[[#This Row],[Satification_points]]&lt;4.5),"GOOD",AND(Table2[[#This Row],[Satification_points]]&gt;=3,Table2[[#This Row],[Satification_points]]&lt;4),"AVERAGE",Table2[[#This Row],[Satification_points]]&lt;3,"POOR")</f>
        <v>POOR</v>
      </c>
    </row>
    <row r="1555" spans="1:29" x14ac:dyDescent="0.3">
      <c r="A1555">
        <v>1554</v>
      </c>
      <c r="B1555">
        <v>65417</v>
      </c>
      <c r="C1555" t="s">
        <v>1597</v>
      </c>
      <c r="D1555" t="s">
        <v>48</v>
      </c>
      <c r="E1555" t="s">
        <v>35</v>
      </c>
      <c r="F1555" s="1">
        <v>45205</v>
      </c>
      <c r="G1555" s="1">
        <v>45206</v>
      </c>
      <c r="H1555">
        <v>10</v>
      </c>
      <c r="I1555" t="s">
        <v>28</v>
      </c>
      <c r="J1555" t="s">
        <v>43</v>
      </c>
      <c r="K1555">
        <v>3</v>
      </c>
      <c r="L1555">
        <v>4</v>
      </c>
      <c r="M1555">
        <v>2</v>
      </c>
      <c r="N1555">
        <v>1</v>
      </c>
      <c r="O1555">
        <v>4</v>
      </c>
      <c r="P1555">
        <v>1</v>
      </c>
      <c r="Q1555">
        <v>4</v>
      </c>
      <c r="R1555">
        <v>4</v>
      </c>
      <c r="S1555">
        <v>4</v>
      </c>
      <c r="T1555">
        <v>4</v>
      </c>
      <c r="U1555" t="s">
        <v>37</v>
      </c>
      <c r="V1555" t="s">
        <v>58</v>
      </c>
      <c r="W1555" t="s">
        <v>47</v>
      </c>
      <c r="X1555" t="s">
        <v>44</v>
      </c>
      <c r="Y1555">
        <v>18</v>
      </c>
      <c r="Z1555" s="1">
        <v>45373</v>
      </c>
      <c r="AA1555" t="str" cm="1">
        <f t="array" ref="AA1555">_xlfn.IFS(AND(Table2[[#This Row],[Guest_Age]]&gt;=18,Table2[[#This Row],[Guest_Age]]&lt;=25),"Young Adults",AND(Table2[[#This Row],[Guest_Age]]&gt;=26,Table2[[#This Row],[Guest_Age]]&lt;=35),"Adults",AND(Table2[[#This Row],[Guest_Age]]&gt;=36,Table2[[#This Row],[Guest_Age]]&lt;=50),"Middle Aged Adults",Table2[[#This Row],[Guest_Age]]&gt;50,"Senior")</f>
        <v>Young Adults</v>
      </c>
      <c r="AB15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55" t="str" cm="1">
        <f t="array" ref="AC1555">_xlfn.IFS(Table2[[#This Row],[Satification_points]]&gt;=4.5,"GREAT",AND(Table2[[#This Row],[Satification_points]]&gt;=4,Table2[[#This Row],[Satification_points]]&lt;4.5),"GOOD",AND(Table2[[#This Row],[Satification_points]]&gt;=3,Table2[[#This Row],[Satification_points]]&lt;4),"AVERAGE",Table2[[#This Row],[Satification_points]]&lt;3,"POOR")</f>
        <v>AVERAGE</v>
      </c>
    </row>
    <row r="1556" spans="1:29" x14ac:dyDescent="0.3">
      <c r="A1556">
        <v>1555</v>
      </c>
      <c r="B1556">
        <v>45310</v>
      </c>
      <c r="C1556" t="s">
        <v>1598</v>
      </c>
      <c r="D1556" t="s">
        <v>41</v>
      </c>
      <c r="E1556" t="s">
        <v>35</v>
      </c>
      <c r="F1556" s="1">
        <v>45028</v>
      </c>
      <c r="G1556" s="1">
        <v>45482</v>
      </c>
      <c r="H1556">
        <v>13</v>
      </c>
      <c r="I1556" t="s">
        <v>28</v>
      </c>
      <c r="J1556" t="s">
        <v>53</v>
      </c>
      <c r="K1556">
        <v>1</v>
      </c>
      <c r="L1556">
        <v>3</v>
      </c>
      <c r="M1556">
        <v>2</v>
      </c>
      <c r="N1556">
        <v>1</v>
      </c>
      <c r="O1556">
        <v>4</v>
      </c>
      <c r="P1556">
        <v>4</v>
      </c>
      <c r="Q1556">
        <v>4</v>
      </c>
      <c r="R1556">
        <v>3</v>
      </c>
      <c r="S1556">
        <v>1</v>
      </c>
      <c r="T1556">
        <v>3</v>
      </c>
      <c r="U1556" t="s">
        <v>37</v>
      </c>
      <c r="V1556" t="s">
        <v>54</v>
      </c>
      <c r="W1556" t="s">
        <v>32</v>
      </c>
      <c r="X1556" t="s">
        <v>40</v>
      </c>
      <c r="Y1556">
        <v>40</v>
      </c>
      <c r="Z1556" s="1">
        <v>45482</v>
      </c>
      <c r="AA1556" t="str" cm="1">
        <f t="array" ref="AA15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56" t="str" cm="1">
        <f t="array" ref="AC1556">_xlfn.IFS(Table2[[#This Row],[Satification_points]]&gt;=4.5,"GREAT",AND(Table2[[#This Row],[Satification_points]]&gt;=4,Table2[[#This Row],[Satification_points]]&lt;4.5),"GOOD",AND(Table2[[#This Row],[Satification_points]]&gt;=3,Table2[[#This Row],[Satification_points]]&lt;4),"AVERAGE",Table2[[#This Row],[Satification_points]]&lt;3,"POOR")</f>
        <v>POOR</v>
      </c>
    </row>
    <row r="1557" spans="1:29" x14ac:dyDescent="0.3">
      <c r="A1557">
        <v>1556</v>
      </c>
      <c r="B1557">
        <v>49488</v>
      </c>
      <c r="C1557" t="s">
        <v>1599</v>
      </c>
      <c r="D1557" t="s">
        <v>51</v>
      </c>
      <c r="E1557" t="s">
        <v>35</v>
      </c>
      <c r="F1557" s="1">
        <v>45515</v>
      </c>
      <c r="G1557" s="1">
        <v>45532</v>
      </c>
      <c r="H1557">
        <v>1</v>
      </c>
      <c r="I1557" t="s">
        <v>42</v>
      </c>
      <c r="J1557" t="s">
        <v>40</v>
      </c>
      <c r="K1557">
        <v>4</v>
      </c>
      <c r="L1557">
        <v>3</v>
      </c>
      <c r="M1557">
        <v>5</v>
      </c>
      <c r="N1557">
        <v>5</v>
      </c>
      <c r="O1557">
        <v>5</v>
      </c>
      <c r="P1557">
        <v>2</v>
      </c>
      <c r="Q1557">
        <v>2</v>
      </c>
      <c r="R1557">
        <v>3</v>
      </c>
      <c r="S1557">
        <v>2</v>
      </c>
      <c r="T1557">
        <v>5</v>
      </c>
      <c r="U1557" t="s">
        <v>37</v>
      </c>
      <c r="V1557" t="s">
        <v>38</v>
      </c>
      <c r="W1557" t="s">
        <v>55</v>
      </c>
      <c r="X1557" t="s">
        <v>44</v>
      </c>
      <c r="Y1557">
        <v>50</v>
      </c>
      <c r="Z1557" s="1">
        <v>45532</v>
      </c>
      <c r="AA1557" t="str" cm="1">
        <f t="array" ref="AA15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557" t="str" cm="1">
        <f t="array" ref="AC1557">_xlfn.IFS(Table2[[#This Row],[Satification_points]]&gt;=4.5,"GREAT",AND(Table2[[#This Row],[Satification_points]]&gt;=4,Table2[[#This Row],[Satification_points]]&lt;4.5),"GOOD",AND(Table2[[#This Row],[Satification_points]]&gt;=3,Table2[[#This Row],[Satification_points]]&lt;4),"AVERAGE",Table2[[#This Row],[Satification_points]]&lt;3,"POOR")</f>
        <v>AVERAGE</v>
      </c>
    </row>
    <row r="1558" spans="1:29" x14ac:dyDescent="0.3">
      <c r="A1558">
        <v>1557</v>
      </c>
      <c r="B1558">
        <v>63172</v>
      </c>
      <c r="C1558" t="s">
        <v>1600</v>
      </c>
      <c r="D1558" t="s">
        <v>34</v>
      </c>
      <c r="E1558" t="s">
        <v>35</v>
      </c>
      <c r="F1558" s="1">
        <v>45316</v>
      </c>
      <c r="G1558" s="1">
        <v>45580</v>
      </c>
      <c r="H1558">
        <v>2</v>
      </c>
      <c r="I1558" t="s">
        <v>42</v>
      </c>
      <c r="J1558" t="s">
        <v>53</v>
      </c>
      <c r="K1558">
        <v>1</v>
      </c>
      <c r="L1558">
        <v>4</v>
      </c>
      <c r="M1558">
        <v>2</v>
      </c>
      <c r="N1558">
        <v>5</v>
      </c>
      <c r="O1558">
        <v>1</v>
      </c>
      <c r="P1558">
        <v>2</v>
      </c>
      <c r="Q1558">
        <v>2</v>
      </c>
      <c r="R1558">
        <v>5</v>
      </c>
      <c r="S1558">
        <v>1</v>
      </c>
      <c r="T1558">
        <v>2</v>
      </c>
      <c r="U1558" t="s">
        <v>30</v>
      </c>
      <c r="V1558" t="s">
        <v>54</v>
      </c>
      <c r="W1558" t="s">
        <v>47</v>
      </c>
      <c r="X1558" t="s">
        <v>33</v>
      </c>
      <c r="Y1558">
        <v>34</v>
      </c>
      <c r="Z1558" s="1">
        <v>45580</v>
      </c>
      <c r="AA1558" t="str" cm="1">
        <f t="array" ref="AA1558">_xlfn.IFS(AND(Table2[[#This Row],[Guest_Age]]&gt;=18,Table2[[#This Row],[Guest_Age]]&lt;=25),"Young Adults",AND(Table2[[#This Row],[Guest_Age]]&gt;=26,Table2[[#This Row],[Guest_Age]]&lt;=35),"Adults",AND(Table2[[#This Row],[Guest_Age]]&gt;=36,Table2[[#This Row],[Guest_Age]]&lt;=50),"Middle Aged Adults",Table2[[#This Row],[Guest_Age]]&gt;50,"Senior")</f>
        <v>Adults</v>
      </c>
      <c r="AB15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558" t="str" cm="1">
        <f t="array" ref="AC1558">_xlfn.IFS(Table2[[#This Row],[Satification_points]]&gt;=4.5,"GREAT",AND(Table2[[#This Row],[Satification_points]]&gt;=4,Table2[[#This Row],[Satification_points]]&lt;4.5),"GOOD",AND(Table2[[#This Row],[Satification_points]]&gt;=3,Table2[[#This Row],[Satification_points]]&lt;4),"AVERAGE",Table2[[#This Row],[Satification_points]]&lt;3,"POOR")</f>
        <v>POOR</v>
      </c>
    </row>
    <row r="1559" spans="1:29" x14ac:dyDescent="0.3">
      <c r="A1559">
        <v>1558</v>
      </c>
      <c r="B1559">
        <v>92803</v>
      </c>
      <c r="C1559" t="s">
        <v>1601</v>
      </c>
      <c r="D1559" t="s">
        <v>51</v>
      </c>
      <c r="E1559" t="s">
        <v>27</v>
      </c>
      <c r="F1559" s="1">
        <v>45128</v>
      </c>
      <c r="G1559" s="1">
        <v>45129</v>
      </c>
      <c r="H1559">
        <v>9</v>
      </c>
      <c r="I1559" t="s">
        <v>50</v>
      </c>
      <c r="J1559" t="s">
        <v>29</v>
      </c>
      <c r="K1559">
        <v>5</v>
      </c>
      <c r="L1559">
        <v>5</v>
      </c>
      <c r="M1559">
        <v>4</v>
      </c>
      <c r="N1559">
        <v>1</v>
      </c>
      <c r="O1559">
        <v>3</v>
      </c>
      <c r="P1559">
        <v>4</v>
      </c>
      <c r="Q1559">
        <v>5</v>
      </c>
      <c r="R1559">
        <v>1</v>
      </c>
      <c r="S1559">
        <v>2</v>
      </c>
      <c r="T1559">
        <v>4</v>
      </c>
      <c r="U1559" t="s">
        <v>37</v>
      </c>
      <c r="V1559" t="s">
        <v>38</v>
      </c>
      <c r="W1559" t="s">
        <v>47</v>
      </c>
      <c r="X1559" t="s">
        <v>44</v>
      </c>
      <c r="Y1559">
        <v>19</v>
      </c>
      <c r="Z1559" s="1">
        <v>45584</v>
      </c>
      <c r="AA1559" t="str" cm="1">
        <f t="array" ref="AA1559">_xlfn.IFS(AND(Table2[[#This Row],[Guest_Age]]&gt;=18,Table2[[#This Row],[Guest_Age]]&lt;=25),"Young Adults",AND(Table2[[#This Row],[Guest_Age]]&gt;=26,Table2[[#This Row],[Guest_Age]]&lt;=35),"Adults",AND(Table2[[#This Row],[Guest_Age]]&gt;=36,Table2[[#This Row],[Guest_Age]]&lt;=50),"Middle Aged Adults",Table2[[#This Row],[Guest_Age]]&gt;50,"Senior")</f>
        <v>Young Adults</v>
      </c>
      <c r="AB15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559" t="str" cm="1">
        <f t="array" ref="AC1559">_xlfn.IFS(Table2[[#This Row],[Satification_points]]&gt;=4.5,"GREAT",AND(Table2[[#This Row],[Satification_points]]&gt;=4,Table2[[#This Row],[Satification_points]]&lt;4.5),"GOOD",AND(Table2[[#This Row],[Satification_points]]&gt;=3,Table2[[#This Row],[Satification_points]]&lt;4),"AVERAGE",Table2[[#This Row],[Satification_points]]&lt;3,"POOR")</f>
        <v>AVERAGE</v>
      </c>
    </row>
    <row r="1560" spans="1:29" x14ac:dyDescent="0.3">
      <c r="A1560">
        <v>1559</v>
      </c>
      <c r="B1560">
        <v>11172</v>
      </c>
      <c r="C1560" t="s">
        <v>1602</v>
      </c>
      <c r="D1560" t="s">
        <v>41</v>
      </c>
      <c r="E1560" t="s">
        <v>45</v>
      </c>
      <c r="F1560" s="1">
        <v>45493</v>
      </c>
      <c r="G1560" s="1">
        <v>45494</v>
      </c>
      <c r="H1560">
        <v>5</v>
      </c>
      <c r="I1560" t="s">
        <v>28</v>
      </c>
      <c r="J1560" t="s">
        <v>40</v>
      </c>
      <c r="K1560">
        <v>1</v>
      </c>
      <c r="L1560">
        <v>4</v>
      </c>
      <c r="M1560">
        <v>1</v>
      </c>
      <c r="N1560">
        <v>3</v>
      </c>
      <c r="O1560">
        <v>1</v>
      </c>
      <c r="P1560">
        <v>3</v>
      </c>
      <c r="Q1560">
        <v>3</v>
      </c>
      <c r="R1560">
        <v>3</v>
      </c>
      <c r="S1560">
        <v>1</v>
      </c>
      <c r="T1560">
        <v>2</v>
      </c>
      <c r="U1560" t="s">
        <v>37</v>
      </c>
      <c r="V1560" t="s">
        <v>54</v>
      </c>
      <c r="W1560" t="s">
        <v>47</v>
      </c>
      <c r="X1560" t="s">
        <v>33</v>
      </c>
      <c r="Y1560">
        <v>48</v>
      </c>
      <c r="Z1560" s="1">
        <v>45582</v>
      </c>
      <c r="AA1560" t="str" cm="1">
        <f t="array" ref="AA156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560" t="str" cm="1">
        <f t="array" ref="AC1560">_xlfn.IFS(Table2[[#This Row],[Satification_points]]&gt;=4.5,"GREAT",AND(Table2[[#This Row],[Satification_points]]&gt;=4,Table2[[#This Row],[Satification_points]]&lt;4.5),"GOOD",AND(Table2[[#This Row],[Satification_points]]&gt;=3,Table2[[#This Row],[Satification_points]]&lt;4),"AVERAGE",Table2[[#This Row],[Satification_points]]&lt;3,"POOR")</f>
        <v>POOR</v>
      </c>
    </row>
    <row r="1561" spans="1:29" x14ac:dyDescent="0.3">
      <c r="A1561">
        <v>1560</v>
      </c>
      <c r="B1561">
        <v>49806</v>
      </c>
      <c r="C1561" t="s">
        <v>1603</v>
      </c>
      <c r="D1561" t="s">
        <v>34</v>
      </c>
      <c r="E1561" t="s">
        <v>45</v>
      </c>
      <c r="F1561" s="1">
        <v>45647</v>
      </c>
      <c r="G1561" s="1">
        <v>45663</v>
      </c>
      <c r="H1561">
        <v>4</v>
      </c>
      <c r="I1561" t="s">
        <v>28</v>
      </c>
      <c r="J1561" t="s">
        <v>29</v>
      </c>
      <c r="K1561">
        <v>2</v>
      </c>
      <c r="L1561">
        <v>5</v>
      </c>
      <c r="M1561">
        <v>3</v>
      </c>
      <c r="N1561">
        <v>2</v>
      </c>
      <c r="O1561">
        <v>3</v>
      </c>
      <c r="P1561">
        <v>5</v>
      </c>
      <c r="Q1561">
        <v>4</v>
      </c>
      <c r="R1561">
        <v>5</v>
      </c>
      <c r="S1561">
        <v>2</v>
      </c>
      <c r="T1561">
        <v>5</v>
      </c>
      <c r="U1561" t="s">
        <v>37</v>
      </c>
      <c r="V1561" t="s">
        <v>58</v>
      </c>
      <c r="W1561" t="s">
        <v>32</v>
      </c>
      <c r="X1561" t="s">
        <v>40</v>
      </c>
      <c r="Y1561">
        <v>48</v>
      </c>
      <c r="Z1561" s="1">
        <v>45663</v>
      </c>
      <c r="AA1561" t="str" cm="1">
        <f t="array" ref="AA15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561" t="str" cm="1">
        <f t="array" ref="AC1561">_xlfn.IFS(Table2[[#This Row],[Satification_points]]&gt;=4.5,"GREAT",AND(Table2[[#This Row],[Satification_points]]&gt;=4,Table2[[#This Row],[Satification_points]]&lt;4.5),"GOOD",AND(Table2[[#This Row],[Satification_points]]&gt;=3,Table2[[#This Row],[Satification_points]]&lt;4),"AVERAGE",Table2[[#This Row],[Satification_points]]&lt;3,"POOR")</f>
        <v>AVERAGE</v>
      </c>
    </row>
    <row r="1562" spans="1:29" x14ac:dyDescent="0.3">
      <c r="A1562">
        <v>1561</v>
      </c>
      <c r="B1562">
        <v>97515</v>
      </c>
      <c r="C1562" t="s">
        <v>1604</v>
      </c>
      <c r="D1562" t="s">
        <v>48</v>
      </c>
      <c r="E1562" t="s">
        <v>52</v>
      </c>
      <c r="F1562" s="1">
        <v>45318</v>
      </c>
      <c r="G1562" s="1">
        <v>45319</v>
      </c>
      <c r="H1562">
        <v>2</v>
      </c>
      <c r="I1562" t="s">
        <v>49</v>
      </c>
      <c r="J1562" t="s">
        <v>53</v>
      </c>
      <c r="K1562">
        <v>1</v>
      </c>
      <c r="L1562">
        <v>4</v>
      </c>
      <c r="M1562">
        <v>3</v>
      </c>
      <c r="N1562">
        <v>2</v>
      </c>
      <c r="O1562">
        <v>1</v>
      </c>
      <c r="P1562">
        <v>4</v>
      </c>
      <c r="Q1562">
        <v>1</v>
      </c>
      <c r="R1562">
        <v>3</v>
      </c>
      <c r="S1562">
        <v>3</v>
      </c>
      <c r="T1562">
        <v>5</v>
      </c>
      <c r="U1562" t="s">
        <v>30</v>
      </c>
      <c r="V1562" t="s">
        <v>58</v>
      </c>
      <c r="W1562" t="s">
        <v>56</v>
      </c>
      <c r="X1562" t="s">
        <v>33</v>
      </c>
      <c r="Y1562">
        <v>33</v>
      </c>
      <c r="Z1562" s="1">
        <v>45542</v>
      </c>
      <c r="AA1562" t="str" cm="1">
        <f t="array" ref="AA1562">_xlfn.IFS(AND(Table2[[#This Row],[Guest_Age]]&gt;=18,Table2[[#This Row],[Guest_Age]]&lt;=25),"Young Adults",AND(Table2[[#This Row],[Guest_Age]]&gt;=26,Table2[[#This Row],[Guest_Age]]&lt;=35),"Adults",AND(Table2[[#This Row],[Guest_Age]]&gt;=36,Table2[[#This Row],[Guest_Age]]&lt;=50),"Middle Aged Adults",Table2[[#This Row],[Guest_Age]]&gt;50,"Senior")</f>
        <v>Adults</v>
      </c>
      <c r="AB15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62" t="str" cm="1">
        <f t="array" ref="AC1562">_xlfn.IFS(Table2[[#This Row],[Satification_points]]&gt;=4.5,"GREAT",AND(Table2[[#This Row],[Satification_points]]&gt;=4,Table2[[#This Row],[Satification_points]]&lt;4.5),"GOOD",AND(Table2[[#This Row],[Satification_points]]&gt;=3,Table2[[#This Row],[Satification_points]]&lt;4),"AVERAGE",Table2[[#This Row],[Satification_points]]&lt;3,"POOR")</f>
        <v>POOR</v>
      </c>
    </row>
    <row r="1563" spans="1:29" x14ac:dyDescent="0.3">
      <c r="A1563">
        <v>1562</v>
      </c>
      <c r="B1563">
        <v>63826</v>
      </c>
      <c r="C1563" t="s">
        <v>1605</v>
      </c>
      <c r="D1563" t="s">
        <v>41</v>
      </c>
      <c r="E1563" t="s">
        <v>52</v>
      </c>
      <c r="F1563" s="1">
        <v>45280</v>
      </c>
      <c r="G1563" s="1">
        <v>45476</v>
      </c>
      <c r="H1563">
        <v>3</v>
      </c>
      <c r="I1563" t="s">
        <v>49</v>
      </c>
      <c r="J1563" t="s">
        <v>29</v>
      </c>
      <c r="K1563">
        <v>5</v>
      </c>
      <c r="L1563">
        <v>5</v>
      </c>
      <c r="M1563">
        <v>5</v>
      </c>
      <c r="N1563">
        <v>4</v>
      </c>
      <c r="O1563">
        <v>5</v>
      </c>
      <c r="P1563">
        <v>3</v>
      </c>
      <c r="Q1563">
        <v>3</v>
      </c>
      <c r="R1563">
        <v>4</v>
      </c>
      <c r="S1563">
        <v>3</v>
      </c>
      <c r="T1563">
        <v>4</v>
      </c>
      <c r="U1563" t="s">
        <v>30</v>
      </c>
      <c r="V1563" t="s">
        <v>58</v>
      </c>
      <c r="W1563" t="s">
        <v>56</v>
      </c>
      <c r="X1563" t="s">
        <v>44</v>
      </c>
      <c r="Y1563">
        <v>54</v>
      </c>
      <c r="Z1563" s="1">
        <v>45476</v>
      </c>
      <c r="AA1563" t="str" cm="1">
        <f t="array" ref="AA1563">_xlfn.IFS(AND(Table2[[#This Row],[Guest_Age]]&gt;=18,Table2[[#This Row],[Guest_Age]]&lt;=25),"Young Adults",AND(Table2[[#This Row],[Guest_Age]]&gt;=26,Table2[[#This Row],[Guest_Age]]&lt;=35),"Adults",AND(Table2[[#This Row],[Guest_Age]]&gt;=36,Table2[[#This Row],[Guest_Age]]&lt;=50),"Middle Aged Adults",Table2[[#This Row],[Guest_Age]]&gt;50,"Senior")</f>
        <v>Senior</v>
      </c>
      <c r="AB15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563" t="str" cm="1">
        <f t="array" ref="AC1563">_xlfn.IFS(Table2[[#This Row],[Satification_points]]&gt;=4.5,"GREAT",AND(Table2[[#This Row],[Satification_points]]&gt;=4,Table2[[#This Row],[Satification_points]]&lt;4.5),"GOOD",AND(Table2[[#This Row],[Satification_points]]&gt;=3,Table2[[#This Row],[Satification_points]]&lt;4),"AVERAGE",Table2[[#This Row],[Satification_points]]&lt;3,"POOR")</f>
        <v>GOOD</v>
      </c>
    </row>
    <row r="1564" spans="1:29" x14ac:dyDescent="0.3">
      <c r="A1564">
        <v>1563</v>
      </c>
      <c r="B1564">
        <v>90221</v>
      </c>
      <c r="C1564" t="s">
        <v>1606</v>
      </c>
      <c r="D1564" t="s">
        <v>51</v>
      </c>
      <c r="E1564" t="s">
        <v>52</v>
      </c>
      <c r="F1564" s="1">
        <v>45519</v>
      </c>
      <c r="G1564" s="1">
        <v>45520</v>
      </c>
      <c r="H1564">
        <v>9</v>
      </c>
      <c r="I1564" t="s">
        <v>28</v>
      </c>
      <c r="J1564" t="s">
        <v>53</v>
      </c>
      <c r="K1564">
        <v>2</v>
      </c>
      <c r="L1564">
        <v>5</v>
      </c>
      <c r="M1564">
        <v>3</v>
      </c>
      <c r="N1564">
        <v>4</v>
      </c>
      <c r="O1564">
        <v>5</v>
      </c>
      <c r="P1564">
        <v>5</v>
      </c>
      <c r="Q1564">
        <v>4</v>
      </c>
      <c r="R1564">
        <v>3</v>
      </c>
      <c r="S1564">
        <v>3</v>
      </c>
      <c r="T1564">
        <v>2</v>
      </c>
      <c r="U1564" t="s">
        <v>37</v>
      </c>
      <c r="V1564" t="s">
        <v>38</v>
      </c>
      <c r="W1564" t="s">
        <v>56</v>
      </c>
      <c r="X1564" t="s">
        <v>40</v>
      </c>
      <c r="Y1564">
        <v>54</v>
      </c>
      <c r="Z1564" s="1">
        <v>45520</v>
      </c>
      <c r="AA1564" t="str" cm="1">
        <f t="array" ref="AA1564">_xlfn.IFS(AND(Table2[[#This Row],[Guest_Age]]&gt;=18,Table2[[#This Row],[Guest_Age]]&lt;=25),"Young Adults",AND(Table2[[#This Row],[Guest_Age]]&gt;=26,Table2[[#This Row],[Guest_Age]]&lt;=35),"Adults",AND(Table2[[#This Row],[Guest_Age]]&gt;=36,Table2[[#This Row],[Guest_Age]]&lt;=50),"Middle Aged Adults",Table2[[#This Row],[Guest_Age]]&gt;50,"Senior")</f>
        <v>Senior</v>
      </c>
      <c r="AB15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564" t="str" cm="1">
        <f t="array" ref="AC1564">_xlfn.IFS(Table2[[#This Row],[Satification_points]]&gt;=4.5,"GREAT",AND(Table2[[#This Row],[Satification_points]]&gt;=4,Table2[[#This Row],[Satification_points]]&lt;4.5),"GOOD",AND(Table2[[#This Row],[Satification_points]]&gt;=3,Table2[[#This Row],[Satification_points]]&lt;4),"AVERAGE",Table2[[#This Row],[Satification_points]]&lt;3,"POOR")</f>
        <v>AVERAGE</v>
      </c>
    </row>
    <row r="1565" spans="1:29" x14ac:dyDescent="0.3">
      <c r="A1565">
        <v>1564</v>
      </c>
      <c r="B1565">
        <v>38544</v>
      </c>
      <c r="C1565" t="s">
        <v>1607</v>
      </c>
      <c r="D1565" t="s">
        <v>34</v>
      </c>
      <c r="E1565" t="s">
        <v>57</v>
      </c>
      <c r="F1565" s="1">
        <v>45161</v>
      </c>
      <c r="G1565" s="1">
        <v>45338</v>
      </c>
      <c r="H1565">
        <v>14</v>
      </c>
      <c r="I1565" t="s">
        <v>42</v>
      </c>
      <c r="J1565" t="s">
        <v>36</v>
      </c>
      <c r="K1565">
        <v>4</v>
      </c>
      <c r="L1565">
        <v>1</v>
      </c>
      <c r="M1565">
        <v>2</v>
      </c>
      <c r="N1565">
        <v>3</v>
      </c>
      <c r="O1565">
        <v>4</v>
      </c>
      <c r="P1565">
        <v>2</v>
      </c>
      <c r="Q1565">
        <v>3</v>
      </c>
      <c r="R1565">
        <v>3</v>
      </c>
      <c r="S1565">
        <v>3</v>
      </c>
      <c r="T1565">
        <v>1</v>
      </c>
      <c r="U1565" t="s">
        <v>30</v>
      </c>
      <c r="V1565" t="s">
        <v>46</v>
      </c>
      <c r="W1565" t="s">
        <v>32</v>
      </c>
      <c r="X1565" t="s">
        <v>40</v>
      </c>
      <c r="Y1565">
        <v>24</v>
      </c>
      <c r="Z1565" s="1">
        <v>45542</v>
      </c>
      <c r="AA1565" t="str" cm="1">
        <f t="array" ref="AA1565">_xlfn.IFS(AND(Table2[[#This Row],[Guest_Age]]&gt;=18,Table2[[#This Row],[Guest_Age]]&lt;=25),"Young Adults",AND(Table2[[#This Row],[Guest_Age]]&gt;=26,Table2[[#This Row],[Guest_Age]]&lt;=35),"Adults",AND(Table2[[#This Row],[Guest_Age]]&gt;=36,Table2[[#This Row],[Guest_Age]]&lt;=50),"Middle Aged Adults",Table2[[#This Row],[Guest_Age]]&gt;50,"Senior")</f>
        <v>Young Adults</v>
      </c>
      <c r="AB15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65" t="str" cm="1">
        <f t="array" ref="AC1565">_xlfn.IFS(Table2[[#This Row],[Satification_points]]&gt;=4.5,"GREAT",AND(Table2[[#This Row],[Satification_points]]&gt;=4,Table2[[#This Row],[Satification_points]]&lt;4.5),"GOOD",AND(Table2[[#This Row],[Satification_points]]&gt;=3,Table2[[#This Row],[Satification_points]]&lt;4),"AVERAGE",Table2[[#This Row],[Satification_points]]&lt;3,"POOR")</f>
        <v>POOR</v>
      </c>
    </row>
    <row r="1566" spans="1:29" x14ac:dyDescent="0.3">
      <c r="A1566">
        <v>1565</v>
      </c>
      <c r="B1566">
        <v>36738</v>
      </c>
      <c r="C1566" t="s">
        <v>1608</v>
      </c>
      <c r="D1566" t="s">
        <v>41</v>
      </c>
      <c r="E1566" t="s">
        <v>52</v>
      </c>
      <c r="F1566" s="1">
        <v>45040</v>
      </c>
      <c r="G1566" s="1">
        <v>45400</v>
      </c>
      <c r="H1566">
        <v>13</v>
      </c>
      <c r="I1566" t="s">
        <v>42</v>
      </c>
      <c r="J1566" t="s">
        <v>53</v>
      </c>
      <c r="K1566">
        <v>2</v>
      </c>
      <c r="L1566">
        <v>1</v>
      </c>
      <c r="M1566">
        <v>3</v>
      </c>
      <c r="N1566">
        <v>1</v>
      </c>
      <c r="O1566">
        <v>2</v>
      </c>
      <c r="P1566">
        <v>1</v>
      </c>
      <c r="Q1566">
        <v>4</v>
      </c>
      <c r="R1566">
        <v>5</v>
      </c>
      <c r="S1566">
        <v>1</v>
      </c>
      <c r="T1566">
        <v>1</v>
      </c>
      <c r="U1566" t="s">
        <v>30</v>
      </c>
      <c r="V1566" t="s">
        <v>54</v>
      </c>
      <c r="W1566" t="s">
        <v>56</v>
      </c>
      <c r="X1566" t="s">
        <v>40</v>
      </c>
      <c r="Y1566">
        <v>53</v>
      </c>
      <c r="Z1566" s="1">
        <v>45400</v>
      </c>
      <c r="AA1566" t="str" cm="1">
        <f t="array" ref="AA1566">_xlfn.IFS(AND(Table2[[#This Row],[Guest_Age]]&gt;=18,Table2[[#This Row],[Guest_Age]]&lt;=25),"Young Adults",AND(Table2[[#This Row],[Guest_Age]]&gt;=26,Table2[[#This Row],[Guest_Age]]&lt;=35),"Adults",AND(Table2[[#This Row],[Guest_Age]]&gt;=36,Table2[[#This Row],[Guest_Age]]&lt;=50),"Middle Aged Adults",Table2[[#This Row],[Guest_Age]]&gt;50,"Senior")</f>
        <v>Senior</v>
      </c>
      <c r="AB15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566" t="str" cm="1">
        <f t="array" ref="AC1566">_xlfn.IFS(Table2[[#This Row],[Satification_points]]&gt;=4.5,"GREAT",AND(Table2[[#This Row],[Satification_points]]&gt;=4,Table2[[#This Row],[Satification_points]]&lt;4.5),"GOOD",AND(Table2[[#This Row],[Satification_points]]&gt;=3,Table2[[#This Row],[Satification_points]]&lt;4),"AVERAGE",Table2[[#This Row],[Satification_points]]&lt;3,"POOR")</f>
        <v>POOR</v>
      </c>
    </row>
    <row r="1567" spans="1:29" x14ac:dyDescent="0.3">
      <c r="A1567">
        <v>1566</v>
      </c>
      <c r="B1567">
        <v>53635</v>
      </c>
      <c r="C1567" t="s">
        <v>1609</v>
      </c>
      <c r="D1567" t="s">
        <v>41</v>
      </c>
      <c r="E1567" t="s">
        <v>52</v>
      </c>
      <c r="F1567" s="1">
        <v>44993</v>
      </c>
      <c r="G1567" s="1">
        <v>45597</v>
      </c>
      <c r="H1567">
        <v>13</v>
      </c>
      <c r="I1567" t="s">
        <v>49</v>
      </c>
      <c r="J1567" t="s">
        <v>36</v>
      </c>
      <c r="K1567">
        <v>3</v>
      </c>
      <c r="L1567">
        <v>3</v>
      </c>
      <c r="M1567">
        <v>4</v>
      </c>
      <c r="N1567">
        <v>5</v>
      </c>
      <c r="O1567">
        <v>5</v>
      </c>
      <c r="P1567">
        <v>5</v>
      </c>
      <c r="Q1567">
        <v>4</v>
      </c>
      <c r="R1567">
        <v>3</v>
      </c>
      <c r="S1567">
        <v>5</v>
      </c>
      <c r="T1567">
        <v>4</v>
      </c>
      <c r="U1567" t="s">
        <v>37</v>
      </c>
      <c r="V1567" t="s">
        <v>46</v>
      </c>
      <c r="W1567" t="s">
        <v>39</v>
      </c>
      <c r="X1567" t="s">
        <v>44</v>
      </c>
      <c r="Y1567">
        <v>18</v>
      </c>
      <c r="Z1567" s="1">
        <v>45636</v>
      </c>
      <c r="AA1567" t="str" cm="1">
        <f t="array" ref="AA1567">_xlfn.IFS(AND(Table2[[#This Row],[Guest_Age]]&gt;=18,Table2[[#This Row],[Guest_Age]]&lt;=25),"Young Adults",AND(Table2[[#This Row],[Guest_Age]]&gt;=26,Table2[[#This Row],[Guest_Age]]&lt;=35),"Adults",AND(Table2[[#This Row],[Guest_Age]]&gt;=36,Table2[[#This Row],[Guest_Age]]&lt;=50),"Middle Aged Adults",Table2[[#This Row],[Guest_Age]]&gt;50,"Senior")</f>
        <v>Young Adults</v>
      </c>
      <c r="AB15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567" t="str" cm="1">
        <f t="array" ref="AC1567">_xlfn.IFS(Table2[[#This Row],[Satification_points]]&gt;=4.5,"GREAT",AND(Table2[[#This Row],[Satification_points]]&gt;=4,Table2[[#This Row],[Satification_points]]&lt;4.5),"GOOD",AND(Table2[[#This Row],[Satification_points]]&gt;=3,Table2[[#This Row],[Satification_points]]&lt;4),"AVERAGE",Table2[[#This Row],[Satification_points]]&lt;3,"POOR")</f>
        <v>GOOD</v>
      </c>
    </row>
    <row r="1568" spans="1:29" x14ac:dyDescent="0.3">
      <c r="A1568">
        <v>1567</v>
      </c>
      <c r="B1568">
        <v>36670</v>
      </c>
      <c r="C1568" t="s">
        <v>1610</v>
      </c>
      <c r="D1568" t="s">
        <v>51</v>
      </c>
      <c r="E1568" t="s">
        <v>52</v>
      </c>
      <c r="F1568" s="1">
        <v>44966</v>
      </c>
      <c r="G1568" s="1">
        <v>45149</v>
      </c>
      <c r="H1568">
        <v>14</v>
      </c>
      <c r="I1568" t="s">
        <v>42</v>
      </c>
      <c r="J1568" t="s">
        <v>29</v>
      </c>
      <c r="K1568">
        <v>5</v>
      </c>
      <c r="L1568">
        <v>4</v>
      </c>
      <c r="M1568">
        <v>2</v>
      </c>
      <c r="N1568">
        <v>4</v>
      </c>
      <c r="O1568">
        <v>3</v>
      </c>
      <c r="P1568">
        <v>1</v>
      </c>
      <c r="Q1568">
        <v>3</v>
      </c>
      <c r="R1568">
        <v>5</v>
      </c>
      <c r="S1568">
        <v>2</v>
      </c>
      <c r="T1568">
        <v>2</v>
      </c>
      <c r="U1568" t="s">
        <v>37</v>
      </c>
      <c r="V1568" t="s">
        <v>46</v>
      </c>
      <c r="W1568" t="s">
        <v>32</v>
      </c>
      <c r="X1568" t="s">
        <v>33</v>
      </c>
      <c r="Y1568">
        <v>47</v>
      </c>
      <c r="Z1568" s="1">
        <v>45166</v>
      </c>
      <c r="AA1568" t="str" cm="1">
        <f t="array" ref="AA156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68" t="str" cm="1">
        <f t="array" ref="AC1568">_xlfn.IFS(Table2[[#This Row],[Satification_points]]&gt;=4.5,"GREAT",AND(Table2[[#This Row],[Satification_points]]&gt;=4,Table2[[#This Row],[Satification_points]]&lt;4.5),"GOOD",AND(Table2[[#This Row],[Satification_points]]&gt;=3,Table2[[#This Row],[Satification_points]]&lt;4),"AVERAGE",Table2[[#This Row],[Satification_points]]&lt;3,"POOR")</f>
        <v>AVERAGE</v>
      </c>
    </row>
    <row r="1569" spans="1:29" x14ac:dyDescent="0.3">
      <c r="A1569">
        <v>1568</v>
      </c>
      <c r="B1569">
        <v>69665</v>
      </c>
      <c r="C1569" t="s">
        <v>1611</v>
      </c>
      <c r="D1569" t="s">
        <v>51</v>
      </c>
      <c r="E1569" t="s">
        <v>27</v>
      </c>
      <c r="F1569" s="1">
        <v>45029</v>
      </c>
      <c r="G1569" s="1">
        <v>45303</v>
      </c>
      <c r="H1569">
        <v>3</v>
      </c>
      <c r="I1569" t="s">
        <v>50</v>
      </c>
      <c r="J1569" t="s">
        <v>53</v>
      </c>
      <c r="K1569">
        <v>3</v>
      </c>
      <c r="L1569">
        <v>5</v>
      </c>
      <c r="M1569">
        <v>3</v>
      </c>
      <c r="N1569">
        <v>1</v>
      </c>
      <c r="O1569">
        <v>4</v>
      </c>
      <c r="P1569">
        <v>3</v>
      </c>
      <c r="Q1569">
        <v>2</v>
      </c>
      <c r="R1569">
        <v>1</v>
      </c>
      <c r="S1569">
        <v>2</v>
      </c>
      <c r="T1569">
        <v>4</v>
      </c>
      <c r="U1569" t="s">
        <v>37</v>
      </c>
      <c r="V1569" t="s">
        <v>46</v>
      </c>
      <c r="W1569" t="s">
        <v>32</v>
      </c>
      <c r="X1569" t="s">
        <v>44</v>
      </c>
      <c r="Y1569">
        <v>35</v>
      </c>
      <c r="Z1569" s="1">
        <v>45323</v>
      </c>
      <c r="AA1569" t="str" cm="1">
        <f t="array" ref="AA1569">_xlfn.IFS(AND(Table2[[#This Row],[Guest_Age]]&gt;=18,Table2[[#This Row],[Guest_Age]]&lt;=25),"Young Adults",AND(Table2[[#This Row],[Guest_Age]]&gt;=26,Table2[[#This Row],[Guest_Age]]&lt;=35),"Adults",AND(Table2[[#This Row],[Guest_Age]]&gt;=36,Table2[[#This Row],[Guest_Age]]&lt;=50),"Middle Aged Adults",Table2[[#This Row],[Guest_Age]]&gt;50,"Senior")</f>
        <v>Adults</v>
      </c>
      <c r="AB15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69" t="str" cm="1">
        <f t="array" ref="AC1569">_xlfn.IFS(Table2[[#This Row],[Satification_points]]&gt;=4.5,"GREAT",AND(Table2[[#This Row],[Satification_points]]&gt;=4,Table2[[#This Row],[Satification_points]]&lt;4.5),"GOOD",AND(Table2[[#This Row],[Satification_points]]&gt;=3,Table2[[#This Row],[Satification_points]]&lt;4),"AVERAGE",Table2[[#This Row],[Satification_points]]&lt;3,"POOR")</f>
        <v>POOR</v>
      </c>
    </row>
    <row r="1570" spans="1:29" x14ac:dyDescent="0.3">
      <c r="A1570">
        <v>1569</v>
      </c>
      <c r="B1570">
        <v>34688</v>
      </c>
      <c r="C1570" t="s">
        <v>1612</v>
      </c>
      <c r="D1570" t="s">
        <v>48</v>
      </c>
      <c r="E1570" t="s">
        <v>52</v>
      </c>
      <c r="F1570" s="1">
        <v>45337</v>
      </c>
      <c r="G1570" s="1">
        <v>45338</v>
      </c>
      <c r="H1570">
        <v>8</v>
      </c>
      <c r="I1570" t="s">
        <v>42</v>
      </c>
      <c r="J1570" t="s">
        <v>36</v>
      </c>
      <c r="K1570">
        <v>3</v>
      </c>
      <c r="L1570">
        <v>1</v>
      </c>
      <c r="M1570">
        <v>2</v>
      </c>
      <c r="N1570">
        <v>2</v>
      </c>
      <c r="O1570">
        <v>3</v>
      </c>
      <c r="P1570">
        <v>4</v>
      </c>
      <c r="Q1570">
        <v>4</v>
      </c>
      <c r="R1570">
        <v>5</v>
      </c>
      <c r="S1570">
        <v>5</v>
      </c>
      <c r="T1570">
        <v>1</v>
      </c>
      <c r="U1570" t="s">
        <v>30</v>
      </c>
      <c r="V1570" t="s">
        <v>31</v>
      </c>
      <c r="W1570" t="s">
        <v>55</v>
      </c>
      <c r="X1570" t="s">
        <v>33</v>
      </c>
      <c r="Y1570">
        <v>59</v>
      </c>
      <c r="Z1570" s="1">
        <v>45406</v>
      </c>
      <c r="AA1570" t="str" cm="1">
        <f t="array" ref="AA1570">_xlfn.IFS(AND(Table2[[#This Row],[Guest_Age]]&gt;=18,Table2[[#This Row],[Guest_Age]]&lt;=25),"Young Adults",AND(Table2[[#This Row],[Guest_Age]]&gt;=26,Table2[[#This Row],[Guest_Age]]&lt;=35),"Adults",AND(Table2[[#This Row],[Guest_Age]]&gt;=36,Table2[[#This Row],[Guest_Age]]&lt;=50),"Middle Aged Adults",Table2[[#This Row],[Guest_Age]]&gt;50,"Senior")</f>
        <v>Senior</v>
      </c>
      <c r="AB15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70" t="str" cm="1">
        <f t="array" ref="AC1570">_xlfn.IFS(Table2[[#This Row],[Satification_points]]&gt;=4.5,"GREAT",AND(Table2[[#This Row],[Satification_points]]&gt;=4,Table2[[#This Row],[Satification_points]]&lt;4.5),"GOOD",AND(Table2[[#This Row],[Satification_points]]&gt;=3,Table2[[#This Row],[Satification_points]]&lt;4),"AVERAGE",Table2[[#This Row],[Satification_points]]&lt;3,"POOR")</f>
        <v>AVERAGE</v>
      </c>
    </row>
    <row r="1571" spans="1:29" x14ac:dyDescent="0.3">
      <c r="A1571">
        <v>1570</v>
      </c>
      <c r="B1571">
        <v>65840</v>
      </c>
      <c r="C1571" t="s">
        <v>1613</v>
      </c>
      <c r="D1571" t="s">
        <v>48</v>
      </c>
      <c r="E1571" t="s">
        <v>45</v>
      </c>
      <c r="F1571" s="1">
        <v>45221</v>
      </c>
      <c r="G1571" s="1">
        <v>45340</v>
      </c>
      <c r="H1571">
        <v>12</v>
      </c>
      <c r="I1571" t="s">
        <v>42</v>
      </c>
      <c r="J1571" t="s">
        <v>53</v>
      </c>
      <c r="K1571">
        <v>2</v>
      </c>
      <c r="L1571">
        <v>3</v>
      </c>
      <c r="M1571">
        <v>5</v>
      </c>
      <c r="N1571">
        <v>3</v>
      </c>
      <c r="O1571">
        <v>1</v>
      </c>
      <c r="P1571">
        <v>4</v>
      </c>
      <c r="Q1571">
        <v>5</v>
      </c>
      <c r="R1571">
        <v>1</v>
      </c>
      <c r="S1571">
        <v>2</v>
      </c>
      <c r="T1571">
        <v>5</v>
      </c>
      <c r="U1571" t="s">
        <v>30</v>
      </c>
      <c r="V1571" t="s">
        <v>54</v>
      </c>
      <c r="W1571" t="s">
        <v>47</v>
      </c>
      <c r="X1571" t="s">
        <v>40</v>
      </c>
      <c r="Y1571">
        <v>56</v>
      </c>
      <c r="Z1571" s="1">
        <v>45488</v>
      </c>
      <c r="AA1571" t="str" cm="1">
        <f t="array" ref="AA1571">_xlfn.IFS(AND(Table2[[#This Row],[Guest_Age]]&gt;=18,Table2[[#This Row],[Guest_Age]]&lt;=25),"Young Adults",AND(Table2[[#This Row],[Guest_Age]]&gt;=26,Table2[[#This Row],[Guest_Age]]&lt;=35),"Adults",AND(Table2[[#This Row],[Guest_Age]]&gt;=36,Table2[[#This Row],[Guest_Age]]&lt;=50),"Middle Aged Adults",Table2[[#This Row],[Guest_Age]]&gt;50,"Senior")</f>
        <v>Senior</v>
      </c>
      <c r="AB15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571" t="str" cm="1">
        <f t="array" ref="AC1571">_xlfn.IFS(Table2[[#This Row],[Satification_points]]&gt;=4.5,"GREAT",AND(Table2[[#This Row],[Satification_points]]&gt;=4,Table2[[#This Row],[Satification_points]]&lt;4.5),"GOOD",AND(Table2[[#This Row],[Satification_points]]&gt;=3,Table2[[#This Row],[Satification_points]]&lt;4),"AVERAGE",Table2[[#This Row],[Satification_points]]&lt;3,"POOR")</f>
        <v>AVERAGE</v>
      </c>
    </row>
    <row r="1572" spans="1:29" x14ac:dyDescent="0.3">
      <c r="A1572">
        <v>1571</v>
      </c>
      <c r="B1572">
        <v>82078</v>
      </c>
      <c r="C1572" t="s">
        <v>1614</v>
      </c>
      <c r="D1572" t="s">
        <v>41</v>
      </c>
      <c r="E1572" t="s">
        <v>27</v>
      </c>
      <c r="F1572" s="1">
        <v>45491</v>
      </c>
      <c r="G1572" s="1">
        <v>45492</v>
      </c>
      <c r="H1572">
        <v>1</v>
      </c>
      <c r="I1572" t="s">
        <v>42</v>
      </c>
      <c r="J1572" t="s">
        <v>43</v>
      </c>
      <c r="K1572">
        <v>2</v>
      </c>
      <c r="L1572">
        <v>3</v>
      </c>
      <c r="M1572">
        <v>4</v>
      </c>
      <c r="N1572">
        <v>5</v>
      </c>
      <c r="O1572">
        <v>2</v>
      </c>
      <c r="P1572">
        <v>1</v>
      </c>
      <c r="Q1572">
        <v>3</v>
      </c>
      <c r="R1572">
        <v>3</v>
      </c>
      <c r="S1572">
        <v>2</v>
      </c>
      <c r="T1572">
        <v>4</v>
      </c>
      <c r="U1572" t="s">
        <v>30</v>
      </c>
      <c r="V1572" t="s">
        <v>31</v>
      </c>
      <c r="W1572" t="s">
        <v>55</v>
      </c>
      <c r="X1572" t="s">
        <v>33</v>
      </c>
      <c r="Y1572">
        <v>43</v>
      </c>
      <c r="Z1572" s="1">
        <v>45492</v>
      </c>
      <c r="AA1572" t="str" cm="1">
        <f t="array" ref="AA15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72" t="str" cm="1">
        <f t="array" ref="AC1572">_xlfn.IFS(Table2[[#This Row],[Satification_points]]&gt;=4.5,"GREAT",AND(Table2[[#This Row],[Satification_points]]&gt;=4,Table2[[#This Row],[Satification_points]]&lt;4.5),"GOOD",AND(Table2[[#This Row],[Satification_points]]&gt;=3,Table2[[#This Row],[Satification_points]]&lt;4),"AVERAGE",Table2[[#This Row],[Satification_points]]&lt;3,"POOR")</f>
        <v>POOR</v>
      </c>
    </row>
    <row r="1573" spans="1:29" x14ac:dyDescent="0.3">
      <c r="A1573">
        <v>1572</v>
      </c>
      <c r="B1573">
        <v>36939</v>
      </c>
      <c r="C1573" t="s">
        <v>1615</v>
      </c>
      <c r="D1573" t="s">
        <v>51</v>
      </c>
      <c r="E1573" t="s">
        <v>35</v>
      </c>
      <c r="F1573" s="1">
        <v>45490</v>
      </c>
      <c r="G1573" s="1">
        <v>45491</v>
      </c>
      <c r="H1573">
        <v>12</v>
      </c>
      <c r="I1573" t="s">
        <v>49</v>
      </c>
      <c r="J1573" t="s">
        <v>43</v>
      </c>
      <c r="K1573">
        <v>3</v>
      </c>
      <c r="L1573">
        <v>3</v>
      </c>
      <c r="M1573">
        <v>1</v>
      </c>
      <c r="N1573">
        <v>5</v>
      </c>
      <c r="O1573">
        <v>5</v>
      </c>
      <c r="P1573">
        <v>5</v>
      </c>
      <c r="Q1573">
        <v>2</v>
      </c>
      <c r="R1573">
        <v>1</v>
      </c>
      <c r="S1573">
        <v>3</v>
      </c>
      <c r="T1573">
        <v>1</v>
      </c>
      <c r="U1573" t="s">
        <v>30</v>
      </c>
      <c r="V1573" t="s">
        <v>54</v>
      </c>
      <c r="W1573" t="s">
        <v>56</v>
      </c>
      <c r="X1573" t="s">
        <v>40</v>
      </c>
      <c r="Y1573">
        <v>28</v>
      </c>
      <c r="Z1573" s="1">
        <v>45573</v>
      </c>
      <c r="AA1573" t="str" cm="1">
        <f t="array" ref="AA1573">_xlfn.IFS(AND(Table2[[#This Row],[Guest_Age]]&gt;=18,Table2[[#This Row],[Guest_Age]]&lt;=25),"Young Adults",AND(Table2[[#This Row],[Guest_Age]]&gt;=26,Table2[[#This Row],[Guest_Age]]&lt;=35),"Adults",AND(Table2[[#This Row],[Guest_Age]]&gt;=36,Table2[[#This Row],[Guest_Age]]&lt;=50),"Middle Aged Adults",Table2[[#This Row],[Guest_Age]]&gt;50,"Senior")</f>
        <v>Adults</v>
      </c>
      <c r="AB15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73" t="str" cm="1">
        <f t="array" ref="AC1573">_xlfn.IFS(Table2[[#This Row],[Satification_points]]&gt;=4.5,"GREAT",AND(Table2[[#This Row],[Satification_points]]&gt;=4,Table2[[#This Row],[Satification_points]]&lt;4.5),"GOOD",AND(Table2[[#This Row],[Satification_points]]&gt;=3,Table2[[#This Row],[Satification_points]]&lt;4),"AVERAGE",Table2[[#This Row],[Satification_points]]&lt;3,"POOR")</f>
        <v>POOR</v>
      </c>
    </row>
    <row r="1574" spans="1:29" x14ac:dyDescent="0.3">
      <c r="A1574">
        <v>1573</v>
      </c>
      <c r="B1574">
        <v>62385</v>
      </c>
      <c r="C1574" t="s">
        <v>1616</v>
      </c>
      <c r="D1574" t="s">
        <v>41</v>
      </c>
      <c r="E1574" t="s">
        <v>57</v>
      </c>
      <c r="F1574" s="1">
        <v>44963</v>
      </c>
      <c r="G1574" s="1">
        <v>45269</v>
      </c>
      <c r="H1574">
        <v>5</v>
      </c>
      <c r="I1574" t="s">
        <v>42</v>
      </c>
      <c r="J1574" t="s">
        <v>29</v>
      </c>
      <c r="K1574">
        <v>4</v>
      </c>
      <c r="L1574">
        <v>1</v>
      </c>
      <c r="M1574">
        <v>2</v>
      </c>
      <c r="N1574">
        <v>4</v>
      </c>
      <c r="O1574">
        <v>1</v>
      </c>
      <c r="P1574">
        <v>5</v>
      </c>
      <c r="Q1574">
        <v>1</v>
      </c>
      <c r="R1574">
        <v>2</v>
      </c>
      <c r="S1574">
        <v>2</v>
      </c>
      <c r="T1574">
        <v>5</v>
      </c>
      <c r="U1574" t="s">
        <v>37</v>
      </c>
      <c r="V1574" t="s">
        <v>31</v>
      </c>
      <c r="W1574" t="s">
        <v>32</v>
      </c>
      <c r="X1574" t="s">
        <v>40</v>
      </c>
      <c r="Y1574">
        <v>18</v>
      </c>
      <c r="Z1574" s="1">
        <v>45269</v>
      </c>
      <c r="AA1574" t="str" cm="1">
        <f t="array" ref="AA1574">_xlfn.IFS(AND(Table2[[#This Row],[Guest_Age]]&gt;=18,Table2[[#This Row],[Guest_Age]]&lt;=25),"Young Adults",AND(Table2[[#This Row],[Guest_Age]]&gt;=26,Table2[[#This Row],[Guest_Age]]&lt;=35),"Adults",AND(Table2[[#This Row],[Guest_Age]]&gt;=36,Table2[[#This Row],[Guest_Age]]&lt;=50),"Middle Aged Adults",Table2[[#This Row],[Guest_Age]]&gt;50,"Senior")</f>
        <v>Young Adults</v>
      </c>
      <c r="AB15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74" t="str" cm="1">
        <f t="array" ref="AC1574">_xlfn.IFS(Table2[[#This Row],[Satification_points]]&gt;=4.5,"GREAT",AND(Table2[[#This Row],[Satification_points]]&gt;=4,Table2[[#This Row],[Satification_points]]&lt;4.5),"GOOD",AND(Table2[[#This Row],[Satification_points]]&gt;=3,Table2[[#This Row],[Satification_points]]&lt;4),"AVERAGE",Table2[[#This Row],[Satification_points]]&lt;3,"POOR")</f>
        <v>POOR</v>
      </c>
    </row>
    <row r="1575" spans="1:29" x14ac:dyDescent="0.3">
      <c r="A1575">
        <v>1574</v>
      </c>
      <c r="B1575">
        <v>91301</v>
      </c>
      <c r="C1575" t="s">
        <v>1617</v>
      </c>
      <c r="D1575" t="s">
        <v>26</v>
      </c>
      <c r="E1575" t="s">
        <v>27</v>
      </c>
      <c r="F1575" s="1">
        <v>44993</v>
      </c>
      <c r="G1575" s="1">
        <v>44994</v>
      </c>
      <c r="H1575">
        <v>2</v>
      </c>
      <c r="I1575" t="s">
        <v>28</v>
      </c>
      <c r="J1575" t="s">
        <v>43</v>
      </c>
      <c r="K1575">
        <v>1</v>
      </c>
      <c r="L1575">
        <v>2</v>
      </c>
      <c r="M1575">
        <v>4</v>
      </c>
      <c r="N1575">
        <v>1</v>
      </c>
      <c r="O1575">
        <v>4</v>
      </c>
      <c r="P1575">
        <v>3</v>
      </c>
      <c r="Q1575">
        <v>4</v>
      </c>
      <c r="R1575">
        <v>2</v>
      </c>
      <c r="S1575">
        <v>2</v>
      </c>
      <c r="T1575">
        <v>4</v>
      </c>
      <c r="U1575" t="s">
        <v>37</v>
      </c>
      <c r="V1575" t="s">
        <v>54</v>
      </c>
      <c r="W1575" t="s">
        <v>32</v>
      </c>
      <c r="X1575" t="s">
        <v>40</v>
      </c>
      <c r="Y1575">
        <v>55</v>
      </c>
      <c r="Z1575" s="1">
        <v>45094</v>
      </c>
      <c r="AA1575" t="str" cm="1">
        <f t="array" ref="AA1575">_xlfn.IFS(AND(Table2[[#This Row],[Guest_Age]]&gt;=18,Table2[[#This Row],[Guest_Age]]&lt;=25),"Young Adults",AND(Table2[[#This Row],[Guest_Age]]&gt;=26,Table2[[#This Row],[Guest_Age]]&lt;=35),"Adults",AND(Table2[[#This Row],[Guest_Age]]&gt;=36,Table2[[#This Row],[Guest_Age]]&lt;=50),"Middle Aged Adults",Table2[[#This Row],[Guest_Age]]&gt;50,"Senior")</f>
        <v>Senior</v>
      </c>
      <c r="AB15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75" t="str" cm="1">
        <f t="array" ref="AC1575">_xlfn.IFS(Table2[[#This Row],[Satification_points]]&gt;=4.5,"GREAT",AND(Table2[[#This Row],[Satification_points]]&gt;=4,Table2[[#This Row],[Satification_points]]&lt;4.5),"GOOD",AND(Table2[[#This Row],[Satification_points]]&gt;=3,Table2[[#This Row],[Satification_points]]&lt;4),"AVERAGE",Table2[[#This Row],[Satification_points]]&lt;3,"POOR")</f>
        <v>POOR</v>
      </c>
    </row>
    <row r="1576" spans="1:29" x14ac:dyDescent="0.3">
      <c r="A1576">
        <v>1575</v>
      </c>
      <c r="B1576">
        <v>10143</v>
      </c>
      <c r="C1576" t="s">
        <v>1618</v>
      </c>
      <c r="D1576" t="s">
        <v>51</v>
      </c>
      <c r="E1576" t="s">
        <v>27</v>
      </c>
      <c r="F1576" s="1">
        <v>45329</v>
      </c>
      <c r="G1576" s="1">
        <v>45534</v>
      </c>
      <c r="H1576">
        <v>4</v>
      </c>
      <c r="I1576" t="s">
        <v>49</v>
      </c>
      <c r="J1576" t="s">
        <v>40</v>
      </c>
      <c r="K1576">
        <v>1</v>
      </c>
      <c r="L1576">
        <v>3</v>
      </c>
      <c r="M1576">
        <v>5</v>
      </c>
      <c r="N1576">
        <v>5</v>
      </c>
      <c r="O1576">
        <v>3</v>
      </c>
      <c r="P1576">
        <v>4</v>
      </c>
      <c r="Q1576">
        <v>4</v>
      </c>
      <c r="R1576">
        <v>5</v>
      </c>
      <c r="S1576">
        <v>4</v>
      </c>
      <c r="T1576">
        <v>4</v>
      </c>
      <c r="U1576" t="s">
        <v>30</v>
      </c>
      <c r="V1576" t="s">
        <v>58</v>
      </c>
      <c r="W1576" t="s">
        <v>56</v>
      </c>
      <c r="X1576" t="s">
        <v>40</v>
      </c>
      <c r="Y1576">
        <v>22</v>
      </c>
      <c r="Z1576" s="1">
        <v>45534</v>
      </c>
      <c r="AA1576" t="str" cm="1">
        <f t="array" ref="AA1576">_xlfn.IFS(AND(Table2[[#This Row],[Guest_Age]]&gt;=18,Table2[[#This Row],[Guest_Age]]&lt;=25),"Young Adults",AND(Table2[[#This Row],[Guest_Age]]&gt;=26,Table2[[#This Row],[Guest_Age]]&lt;=35),"Adults",AND(Table2[[#This Row],[Guest_Age]]&gt;=36,Table2[[#This Row],[Guest_Age]]&lt;=50),"Middle Aged Adults",Table2[[#This Row],[Guest_Age]]&gt;50,"Senior")</f>
        <v>Young Adults</v>
      </c>
      <c r="AB15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576" t="str" cm="1">
        <f t="array" ref="AC1576">_xlfn.IFS(Table2[[#This Row],[Satification_points]]&gt;=4.5,"GREAT",AND(Table2[[#This Row],[Satification_points]]&gt;=4,Table2[[#This Row],[Satification_points]]&lt;4.5),"GOOD",AND(Table2[[#This Row],[Satification_points]]&gt;=3,Table2[[#This Row],[Satification_points]]&lt;4),"AVERAGE",Table2[[#This Row],[Satification_points]]&lt;3,"POOR")</f>
        <v>AVERAGE</v>
      </c>
    </row>
    <row r="1577" spans="1:29" x14ac:dyDescent="0.3">
      <c r="A1577">
        <v>1576</v>
      </c>
      <c r="B1577">
        <v>62839</v>
      </c>
      <c r="C1577" t="s">
        <v>1619</v>
      </c>
      <c r="D1577" t="s">
        <v>26</v>
      </c>
      <c r="E1577" t="s">
        <v>45</v>
      </c>
      <c r="F1577" s="1">
        <v>45600</v>
      </c>
      <c r="G1577" s="1">
        <v>45620</v>
      </c>
      <c r="H1577">
        <v>2</v>
      </c>
      <c r="I1577" t="s">
        <v>42</v>
      </c>
      <c r="J1577" t="s">
        <v>36</v>
      </c>
      <c r="K1577">
        <v>5</v>
      </c>
      <c r="L1577">
        <v>2</v>
      </c>
      <c r="M1577">
        <v>5</v>
      </c>
      <c r="N1577">
        <v>2</v>
      </c>
      <c r="O1577">
        <v>2</v>
      </c>
      <c r="P1577">
        <v>1</v>
      </c>
      <c r="Q1577">
        <v>5</v>
      </c>
      <c r="R1577">
        <v>4</v>
      </c>
      <c r="S1577">
        <v>2</v>
      </c>
      <c r="T1577">
        <v>1</v>
      </c>
      <c r="U1577" t="s">
        <v>37</v>
      </c>
      <c r="V1577" t="s">
        <v>46</v>
      </c>
      <c r="W1577" t="s">
        <v>47</v>
      </c>
      <c r="X1577" t="s">
        <v>44</v>
      </c>
      <c r="Y1577">
        <v>39</v>
      </c>
      <c r="Z1577" s="1">
        <v>45620</v>
      </c>
      <c r="AA1577" t="str" cm="1">
        <f t="array" ref="AA157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77" t="str" cm="1">
        <f t="array" ref="AC1577">_xlfn.IFS(Table2[[#This Row],[Satification_points]]&gt;=4.5,"GREAT",AND(Table2[[#This Row],[Satification_points]]&gt;=4,Table2[[#This Row],[Satification_points]]&lt;4.5),"GOOD",AND(Table2[[#This Row],[Satification_points]]&gt;=3,Table2[[#This Row],[Satification_points]]&lt;4),"AVERAGE",Table2[[#This Row],[Satification_points]]&lt;3,"POOR")</f>
        <v>POOR</v>
      </c>
    </row>
    <row r="1578" spans="1:29" x14ac:dyDescent="0.3">
      <c r="A1578">
        <v>1577</v>
      </c>
      <c r="B1578">
        <v>81337</v>
      </c>
      <c r="C1578" t="s">
        <v>1620</v>
      </c>
      <c r="D1578" t="s">
        <v>26</v>
      </c>
      <c r="E1578" t="s">
        <v>52</v>
      </c>
      <c r="F1578" s="1">
        <v>45132</v>
      </c>
      <c r="G1578" s="1">
        <v>45133</v>
      </c>
      <c r="H1578">
        <v>3</v>
      </c>
      <c r="I1578" t="s">
        <v>42</v>
      </c>
      <c r="J1578" t="s">
        <v>40</v>
      </c>
      <c r="K1578">
        <v>2</v>
      </c>
      <c r="L1578">
        <v>2</v>
      </c>
      <c r="M1578">
        <v>4</v>
      </c>
      <c r="N1578">
        <v>2</v>
      </c>
      <c r="O1578">
        <v>5</v>
      </c>
      <c r="P1578">
        <v>2</v>
      </c>
      <c r="Q1578">
        <v>2</v>
      </c>
      <c r="R1578">
        <v>3</v>
      </c>
      <c r="S1578">
        <v>5</v>
      </c>
      <c r="T1578">
        <v>1</v>
      </c>
      <c r="U1578" t="s">
        <v>37</v>
      </c>
      <c r="V1578" t="s">
        <v>38</v>
      </c>
      <c r="W1578" t="s">
        <v>55</v>
      </c>
      <c r="X1578" t="s">
        <v>33</v>
      </c>
      <c r="Y1578">
        <v>30</v>
      </c>
      <c r="Z1578" s="1">
        <v>45475</v>
      </c>
      <c r="AA1578" t="str" cm="1">
        <f t="array" ref="AA1578">_xlfn.IFS(AND(Table2[[#This Row],[Guest_Age]]&gt;=18,Table2[[#This Row],[Guest_Age]]&lt;=25),"Young Adults",AND(Table2[[#This Row],[Guest_Age]]&gt;=26,Table2[[#This Row],[Guest_Age]]&lt;=35),"Adults",AND(Table2[[#This Row],[Guest_Age]]&gt;=36,Table2[[#This Row],[Guest_Age]]&lt;=50),"Middle Aged Adults",Table2[[#This Row],[Guest_Age]]&gt;50,"Senior")</f>
        <v>Adults</v>
      </c>
      <c r="AB15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78" t="str" cm="1">
        <f t="array" ref="AC1578">_xlfn.IFS(Table2[[#This Row],[Satification_points]]&gt;=4.5,"GREAT",AND(Table2[[#This Row],[Satification_points]]&gt;=4,Table2[[#This Row],[Satification_points]]&lt;4.5),"GOOD",AND(Table2[[#This Row],[Satification_points]]&gt;=3,Table2[[#This Row],[Satification_points]]&lt;4),"AVERAGE",Table2[[#This Row],[Satification_points]]&lt;3,"POOR")</f>
        <v>POOR</v>
      </c>
    </row>
    <row r="1579" spans="1:29" x14ac:dyDescent="0.3">
      <c r="A1579">
        <v>1578</v>
      </c>
      <c r="B1579">
        <v>37151</v>
      </c>
      <c r="C1579" t="s">
        <v>1620</v>
      </c>
      <c r="D1579" t="s">
        <v>51</v>
      </c>
      <c r="E1579" t="s">
        <v>35</v>
      </c>
      <c r="F1579" s="1">
        <v>45267</v>
      </c>
      <c r="G1579" s="1">
        <v>45268</v>
      </c>
      <c r="H1579">
        <v>5</v>
      </c>
      <c r="I1579" t="s">
        <v>50</v>
      </c>
      <c r="J1579" t="s">
        <v>43</v>
      </c>
      <c r="K1579">
        <v>1</v>
      </c>
      <c r="L1579">
        <v>2</v>
      </c>
      <c r="M1579">
        <v>3</v>
      </c>
      <c r="N1579">
        <v>3</v>
      </c>
      <c r="O1579">
        <v>3</v>
      </c>
      <c r="P1579">
        <v>4</v>
      </c>
      <c r="Q1579">
        <v>4</v>
      </c>
      <c r="R1579">
        <v>2</v>
      </c>
      <c r="S1579">
        <v>2</v>
      </c>
      <c r="T1579">
        <v>5</v>
      </c>
      <c r="U1579" t="s">
        <v>37</v>
      </c>
      <c r="V1579" t="s">
        <v>46</v>
      </c>
      <c r="W1579" t="s">
        <v>47</v>
      </c>
      <c r="X1579" t="s">
        <v>44</v>
      </c>
      <c r="Y1579">
        <v>34</v>
      </c>
      <c r="Z1579" s="1">
        <v>45551</v>
      </c>
      <c r="AA1579" t="str" cm="1">
        <f t="array" ref="AA1579">_xlfn.IFS(AND(Table2[[#This Row],[Guest_Age]]&gt;=18,Table2[[#This Row],[Guest_Age]]&lt;=25),"Young Adults",AND(Table2[[#This Row],[Guest_Age]]&gt;=26,Table2[[#This Row],[Guest_Age]]&lt;=35),"Adults",AND(Table2[[#This Row],[Guest_Age]]&gt;=36,Table2[[#This Row],[Guest_Age]]&lt;=50),"Middle Aged Adults",Table2[[#This Row],[Guest_Age]]&gt;50,"Senior")</f>
        <v>Adults</v>
      </c>
      <c r="AB15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79" t="str" cm="1">
        <f t="array" ref="AC1579">_xlfn.IFS(Table2[[#This Row],[Satification_points]]&gt;=4.5,"GREAT",AND(Table2[[#This Row],[Satification_points]]&gt;=4,Table2[[#This Row],[Satification_points]]&lt;4.5),"GOOD",AND(Table2[[#This Row],[Satification_points]]&gt;=3,Table2[[#This Row],[Satification_points]]&lt;4),"AVERAGE",Table2[[#This Row],[Satification_points]]&lt;3,"POOR")</f>
        <v>POOR</v>
      </c>
    </row>
    <row r="1580" spans="1:29" x14ac:dyDescent="0.3">
      <c r="A1580">
        <v>1579</v>
      </c>
      <c r="B1580">
        <v>97172</v>
      </c>
      <c r="C1580" t="s">
        <v>1621</v>
      </c>
      <c r="D1580" t="s">
        <v>48</v>
      </c>
      <c r="E1580" t="s">
        <v>45</v>
      </c>
      <c r="F1580" s="1">
        <v>44978</v>
      </c>
      <c r="G1580" s="1">
        <v>45459</v>
      </c>
      <c r="H1580">
        <v>2</v>
      </c>
      <c r="I1580" t="s">
        <v>42</v>
      </c>
      <c r="J1580" t="s">
        <v>29</v>
      </c>
      <c r="K1580">
        <v>4</v>
      </c>
      <c r="L1580">
        <v>3</v>
      </c>
      <c r="M1580">
        <v>4</v>
      </c>
      <c r="N1580">
        <v>3</v>
      </c>
      <c r="O1580">
        <v>5</v>
      </c>
      <c r="P1580">
        <v>4</v>
      </c>
      <c r="Q1580">
        <v>2</v>
      </c>
      <c r="R1580">
        <v>4</v>
      </c>
      <c r="S1580">
        <v>5</v>
      </c>
      <c r="T1580">
        <v>3</v>
      </c>
      <c r="U1580" t="s">
        <v>30</v>
      </c>
      <c r="V1580" t="s">
        <v>54</v>
      </c>
      <c r="W1580" t="s">
        <v>56</v>
      </c>
      <c r="X1580" t="s">
        <v>40</v>
      </c>
      <c r="Y1580">
        <v>67</v>
      </c>
      <c r="Z1580" s="1">
        <v>45513</v>
      </c>
      <c r="AA1580" t="str" cm="1">
        <f t="array" ref="AA1580">_xlfn.IFS(AND(Table2[[#This Row],[Guest_Age]]&gt;=18,Table2[[#This Row],[Guest_Age]]&lt;=25),"Young Adults",AND(Table2[[#This Row],[Guest_Age]]&gt;=26,Table2[[#This Row],[Guest_Age]]&lt;=35),"Adults",AND(Table2[[#This Row],[Guest_Age]]&gt;=36,Table2[[#This Row],[Guest_Age]]&lt;=50),"Middle Aged Adults",Table2[[#This Row],[Guest_Age]]&gt;50,"Senior")</f>
        <v>Senior</v>
      </c>
      <c r="AB15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580" t="str" cm="1">
        <f t="array" ref="AC1580">_xlfn.IFS(Table2[[#This Row],[Satification_points]]&gt;=4.5,"GREAT",AND(Table2[[#This Row],[Satification_points]]&gt;=4,Table2[[#This Row],[Satification_points]]&lt;4.5),"GOOD",AND(Table2[[#This Row],[Satification_points]]&gt;=3,Table2[[#This Row],[Satification_points]]&lt;4),"AVERAGE",Table2[[#This Row],[Satification_points]]&lt;3,"POOR")</f>
        <v>AVERAGE</v>
      </c>
    </row>
    <row r="1581" spans="1:29" x14ac:dyDescent="0.3">
      <c r="A1581">
        <v>1580</v>
      </c>
      <c r="B1581">
        <v>64770</v>
      </c>
      <c r="C1581" t="s">
        <v>1622</v>
      </c>
      <c r="D1581" t="s">
        <v>41</v>
      </c>
      <c r="E1581" t="s">
        <v>45</v>
      </c>
      <c r="F1581" s="1">
        <v>45352</v>
      </c>
      <c r="G1581" s="1">
        <v>45353</v>
      </c>
      <c r="H1581">
        <v>9</v>
      </c>
      <c r="I1581" t="s">
        <v>49</v>
      </c>
      <c r="J1581" t="s">
        <v>40</v>
      </c>
      <c r="K1581">
        <v>5</v>
      </c>
      <c r="L1581">
        <v>5</v>
      </c>
      <c r="M1581">
        <v>3</v>
      </c>
      <c r="N1581">
        <v>2</v>
      </c>
      <c r="O1581">
        <v>5</v>
      </c>
      <c r="P1581">
        <v>3</v>
      </c>
      <c r="Q1581">
        <v>4</v>
      </c>
      <c r="R1581">
        <v>5</v>
      </c>
      <c r="S1581">
        <v>2</v>
      </c>
      <c r="T1581">
        <v>5</v>
      </c>
      <c r="U1581" t="s">
        <v>37</v>
      </c>
      <c r="V1581" t="s">
        <v>38</v>
      </c>
      <c r="W1581" t="s">
        <v>55</v>
      </c>
      <c r="X1581" t="s">
        <v>33</v>
      </c>
      <c r="Y1581">
        <v>24</v>
      </c>
      <c r="Z1581" s="1">
        <v>45353</v>
      </c>
      <c r="AA1581" t="str" cm="1">
        <f t="array" ref="AA1581">_xlfn.IFS(AND(Table2[[#This Row],[Guest_Age]]&gt;=18,Table2[[#This Row],[Guest_Age]]&lt;=25),"Young Adults",AND(Table2[[#This Row],[Guest_Age]]&gt;=26,Table2[[#This Row],[Guest_Age]]&lt;=35),"Adults",AND(Table2[[#This Row],[Guest_Age]]&gt;=36,Table2[[#This Row],[Guest_Age]]&lt;=50),"Middle Aged Adults",Table2[[#This Row],[Guest_Age]]&gt;50,"Senior")</f>
        <v>Young Adults</v>
      </c>
      <c r="AB15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581" t="str" cm="1">
        <f t="array" ref="AC1581">_xlfn.IFS(Table2[[#This Row],[Satification_points]]&gt;=4.5,"GREAT",AND(Table2[[#This Row],[Satification_points]]&gt;=4,Table2[[#This Row],[Satification_points]]&lt;4.5),"GOOD",AND(Table2[[#This Row],[Satification_points]]&gt;=3,Table2[[#This Row],[Satification_points]]&lt;4),"AVERAGE",Table2[[#This Row],[Satification_points]]&lt;3,"POOR")</f>
        <v>AVERAGE</v>
      </c>
    </row>
    <row r="1582" spans="1:29" x14ac:dyDescent="0.3">
      <c r="A1582">
        <v>1581</v>
      </c>
      <c r="B1582">
        <v>96405</v>
      </c>
      <c r="C1582" t="s">
        <v>1623</v>
      </c>
      <c r="D1582" t="s">
        <v>34</v>
      </c>
      <c r="E1582" t="s">
        <v>27</v>
      </c>
      <c r="F1582" s="1">
        <v>45135</v>
      </c>
      <c r="G1582" s="1">
        <v>45285</v>
      </c>
      <c r="H1582">
        <v>8</v>
      </c>
      <c r="I1582" t="s">
        <v>42</v>
      </c>
      <c r="J1582" t="s">
        <v>29</v>
      </c>
      <c r="K1582">
        <v>2</v>
      </c>
      <c r="L1582">
        <v>2</v>
      </c>
      <c r="M1582">
        <v>3</v>
      </c>
      <c r="N1582">
        <v>2</v>
      </c>
      <c r="O1582">
        <v>3</v>
      </c>
      <c r="P1582">
        <v>4</v>
      </c>
      <c r="Q1582">
        <v>1</v>
      </c>
      <c r="R1582">
        <v>1</v>
      </c>
      <c r="S1582">
        <v>5</v>
      </c>
      <c r="T1582">
        <v>4</v>
      </c>
      <c r="U1582" t="s">
        <v>37</v>
      </c>
      <c r="V1582" t="s">
        <v>46</v>
      </c>
      <c r="W1582" t="s">
        <v>55</v>
      </c>
      <c r="X1582" t="s">
        <v>33</v>
      </c>
      <c r="Y1582">
        <v>55</v>
      </c>
      <c r="Z1582" s="1">
        <v>45488</v>
      </c>
      <c r="AA1582" t="str" cm="1">
        <f t="array" ref="AA1582">_xlfn.IFS(AND(Table2[[#This Row],[Guest_Age]]&gt;=18,Table2[[#This Row],[Guest_Age]]&lt;=25),"Young Adults",AND(Table2[[#This Row],[Guest_Age]]&gt;=26,Table2[[#This Row],[Guest_Age]]&lt;=35),"Adults",AND(Table2[[#This Row],[Guest_Age]]&gt;=36,Table2[[#This Row],[Guest_Age]]&lt;=50),"Middle Aged Adults",Table2[[#This Row],[Guest_Age]]&gt;50,"Senior")</f>
        <v>Senior</v>
      </c>
      <c r="AB15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82" t="str" cm="1">
        <f t="array" ref="AC1582">_xlfn.IFS(Table2[[#This Row],[Satification_points]]&gt;=4.5,"GREAT",AND(Table2[[#This Row],[Satification_points]]&gt;=4,Table2[[#This Row],[Satification_points]]&lt;4.5),"GOOD",AND(Table2[[#This Row],[Satification_points]]&gt;=3,Table2[[#This Row],[Satification_points]]&lt;4),"AVERAGE",Table2[[#This Row],[Satification_points]]&lt;3,"POOR")</f>
        <v>POOR</v>
      </c>
    </row>
    <row r="1583" spans="1:29" x14ac:dyDescent="0.3">
      <c r="A1583">
        <v>1582</v>
      </c>
      <c r="B1583">
        <v>82873</v>
      </c>
      <c r="C1583" t="s">
        <v>1624</v>
      </c>
      <c r="D1583" t="s">
        <v>34</v>
      </c>
      <c r="E1583" t="s">
        <v>35</v>
      </c>
      <c r="F1583" s="1">
        <v>45440</v>
      </c>
      <c r="G1583" s="1">
        <v>45441</v>
      </c>
      <c r="H1583">
        <v>5</v>
      </c>
      <c r="I1583" t="s">
        <v>49</v>
      </c>
      <c r="J1583" t="s">
        <v>53</v>
      </c>
      <c r="K1583">
        <v>1</v>
      </c>
      <c r="L1583">
        <v>1</v>
      </c>
      <c r="M1583">
        <v>4</v>
      </c>
      <c r="N1583">
        <v>1</v>
      </c>
      <c r="O1583">
        <v>5</v>
      </c>
      <c r="P1583">
        <v>3</v>
      </c>
      <c r="Q1583">
        <v>5</v>
      </c>
      <c r="R1583">
        <v>3</v>
      </c>
      <c r="S1583">
        <v>2</v>
      </c>
      <c r="T1583">
        <v>4</v>
      </c>
      <c r="U1583" t="s">
        <v>30</v>
      </c>
      <c r="V1583" t="s">
        <v>54</v>
      </c>
      <c r="W1583" t="s">
        <v>47</v>
      </c>
      <c r="X1583" t="s">
        <v>33</v>
      </c>
      <c r="Y1583">
        <v>24</v>
      </c>
      <c r="Z1583" s="1">
        <v>45441</v>
      </c>
      <c r="AA1583" t="str" cm="1">
        <f t="array" ref="AA1583">_xlfn.IFS(AND(Table2[[#This Row],[Guest_Age]]&gt;=18,Table2[[#This Row],[Guest_Age]]&lt;=25),"Young Adults",AND(Table2[[#This Row],[Guest_Age]]&gt;=26,Table2[[#This Row],[Guest_Age]]&lt;=35),"Adults",AND(Table2[[#This Row],[Guest_Age]]&gt;=36,Table2[[#This Row],[Guest_Age]]&lt;=50),"Middle Aged Adults",Table2[[#This Row],[Guest_Age]]&gt;50,"Senior")</f>
        <v>Young Adults</v>
      </c>
      <c r="AB15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83" t="str" cm="1">
        <f t="array" ref="AC1583">_xlfn.IFS(Table2[[#This Row],[Satification_points]]&gt;=4.5,"GREAT",AND(Table2[[#This Row],[Satification_points]]&gt;=4,Table2[[#This Row],[Satification_points]]&lt;4.5),"GOOD",AND(Table2[[#This Row],[Satification_points]]&gt;=3,Table2[[#This Row],[Satification_points]]&lt;4),"AVERAGE",Table2[[#This Row],[Satification_points]]&lt;3,"POOR")</f>
        <v>POOR</v>
      </c>
    </row>
    <row r="1584" spans="1:29" x14ac:dyDescent="0.3">
      <c r="A1584">
        <v>1583</v>
      </c>
      <c r="B1584">
        <v>34535</v>
      </c>
      <c r="C1584" t="s">
        <v>1625</v>
      </c>
      <c r="D1584" t="s">
        <v>51</v>
      </c>
      <c r="E1584" t="s">
        <v>45</v>
      </c>
      <c r="F1584" s="1">
        <v>45567</v>
      </c>
      <c r="G1584" s="1">
        <v>45568</v>
      </c>
      <c r="H1584">
        <v>11</v>
      </c>
      <c r="I1584" t="s">
        <v>28</v>
      </c>
      <c r="J1584" t="s">
        <v>40</v>
      </c>
      <c r="K1584">
        <v>3</v>
      </c>
      <c r="L1584">
        <v>1</v>
      </c>
      <c r="M1584">
        <v>5</v>
      </c>
      <c r="N1584">
        <v>5</v>
      </c>
      <c r="O1584">
        <v>4</v>
      </c>
      <c r="P1584">
        <v>3</v>
      </c>
      <c r="Q1584">
        <v>1</v>
      </c>
      <c r="R1584">
        <v>1</v>
      </c>
      <c r="S1584">
        <v>2</v>
      </c>
      <c r="T1584">
        <v>4</v>
      </c>
      <c r="U1584" t="s">
        <v>37</v>
      </c>
      <c r="V1584" t="s">
        <v>46</v>
      </c>
      <c r="W1584" t="s">
        <v>47</v>
      </c>
      <c r="X1584" t="s">
        <v>44</v>
      </c>
      <c r="Y1584">
        <v>29</v>
      </c>
      <c r="Z1584" s="1">
        <v>45568</v>
      </c>
      <c r="AA1584" t="str" cm="1">
        <f t="array" ref="AA1584">_xlfn.IFS(AND(Table2[[#This Row],[Guest_Age]]&gt;=18,Table2[[#This Row],[Guest_Age]]&lt;=25),"Young Adults",AND(Table2[[#This Row],[Guest_Age]]&gt;=26,Table2[[#This Row],[Guest_Age]]&lt;=35),"Adults",AND(Table2[[#This Row],[Guest_Age]]&gt;=36,Table2[[#This Row],[Guest_Age]]&lt;=50),"Middle Aged Adults",Table2[[#This Row],[Guest_Age]]&gt;50,"Senior")</f>
        <v>Adults</v>
      </c>
      <c r="AB15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84" t="str" cm="1">
        <f t="array" ref="AC1584">_xlfn.IFS(Table2[[#This Row],[Satification_points]]&gt;=4.5,"GREAT",AND(Table2[[#This Row],[Satification_points]]&gt;=4,Table2[[#This Row],[Satification_points]]&lt;4.5),"GOOD",AND(Table2[[#This Row],[Satification_points]]&gt;=3,Table2[[#This Row],[Satification_points]]&lt;4),"AVERAGE",Table2[[#This Row],[Satification_points]]&lt;3,"POOR")</f>
        <v>POOR</v>
      </c>
    </row>
    <row r="1585" spans="1:29" x14ac:dyDescent="0.3">
      <c r="A1585">
        <v>1584</v>
      </c>
      <c r="B1585">
        <v>52980</v>
      </c>
      <c r="C1585" t="s">
        <v>1626</v>
      </c>
      <c r="D1585" t="s">
        <v>48</v>
      </c>
      <c r="E1585" t="s">
        <v>57</v>
      </c>
      <c r="F1585" s="1">
        <v>45104</v>
      </c>
      <c r="G1585" s="1">
        <v>45303</v>
      </c>
      <c r="H1585">
        <v>1</v>
      </c>
      <c r="I1585" t="s">
        <v>42</v>
      </c>
      <c r="J1585" t="s">
        <v>53</v>
      </c>
      <c r="K1585">
        <v>4</v>
      </c>
      <c r="L1585">
        <v>2</v>
      </c>
      <c r="M1585">
        <v>1</v>
      </c>
      <c r="N1585">
        <v>1</v>
      </c>
      <c r="O1585">
        <v>2</v>
      </c>
      <c r="P1585">
        <v>2</v>
      </c>
      <c r="Q1585">
        <v>1</v>
      </c>
      <c r="R1585">
        <v>3</v>
      </c>
      <c r="S1585">
        <v>4</v>
      </c>
      <c r="T1585">
        <v>1</v>
      </c>
      <c r="U1585" t="s">
        <v>37</v>
      </c>
      <c r="V1585" t="s">
        <v>54</v>
      </c>
      <c r="W1585" t="s">
        <v>32</v>
      </c>
      <c r="X1585" t="s">
        <v>33</v>
      </c>
      <c r="Y1585">
        <v>55</v>
      </c>
      <c r="Z1585" s="1">
        <v>45527</v>
      </c>
      <c r="AA1585" t="str" cm="1">
        <f t="array" ref="AA1585">_xlfn.IFS(AND(Table2[[#This Row],[Guest_Age]]&gt;=18,Table2[[#This Row],[Guest_Age]]&lt;=25),"Young Adults",AND(Table2[[#This Row],[Guest_Age]]&gt;=26,Table2[[#This Row],[Guest_Age]]&lt;=35),"Adults",AND(Table2[[#This Row],[Guest_Age]]&gt;=36,Table2[[#This Row],[Guest_Age]]&lt;=50),"Middle Aged Adults",Table2[[#This Row],[Guest_Age]]&gt;50,"Senior")</f>
        <v>Senior</v>
      </c>
      <c r="AB15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585" t="str" cm="1">
        <f t="array" ref="AC1585">_xlfn.IFS(Table2[[#This Row],[Satification_points]]&gt;=4.5,"GREAT",AND(Table2[[#This Row],[Satification_points]]&gt;=4,Table2[[#This Row],[Satification_points]]&lt;4.5),"GOOD",AND(Table2[[#This Row],[Satification_points]]&gt;=3,Table2[[#This Row],[Satification_points]]&lt;4),"AVERAGE",Table2[[#This Row],[Satification_points]]&lt;3,"POOR")</f>
        <v>POOR</v>
      </c>
    </row>
    <row r="1586" spans="1:29" x14ac:dyDescent="0.3">
      <c r="A1586">
        <v>1585</v>
      </c>
      <c r="B1586">
        <v>72623</v>
      </c>
      <c r="C1586" t="s">
        <v>1627</v>
      </c>
      <c r="D1586" t="s">
        <v>48</v>
      </c>
      <c r="E1586" t="s">
        <v>57</v>
      </c>
      <c r="F1586" s="1">
        <v>45602</v>
      </c>
      <c r="G1586" s="1">
        <v>45603</v>
      </c>
      <c r="H1586">
        <v>5</v>
      </c>
      <c r="I1586" t="s">
        <v>49</v>
      </c>
      <c r="J1586" t="s">
        <v>40</v>
      </c>
      <c r="K1586">
        <v>4</v>
      </c>
      <c r="L1586">
        <v>2</v>
      </c>
      <c r="M1586">
        <v>1</v>
      </c>
      <c r="N1586">
        <v>3</v>
      </c>
      <c r="O1586">
        <v>1</v>
      </c>
      <c r="P1586">
        <v>5</v>
      </c>
      <c r="Q1586">
        <v>3</v>
      </c>
      <c r="R1586">
        <v>2</v>
      </c>
      <c r="S1586">
        <v>4</v>
      </c>
      <c r="T1586">
        <v>4</v>
      </c>
      <c r="U1586" t="s">
        <v>30</v>
      </c>
      <c r="V1586" t="s">
        <v>31</v>
      </c>
      <c r="W1586" t="s">
        <v>32</v>
      </c>
      <c r="X1586" t="s">
        <v>33</v>
      </c>
      <c r="Y1586">
        <v>40</v>
      </c>
      <c r="Z1586" s="1">
        <v>45603</v>
      </c>
      <c r="AA1586" t="str" cm="1">
        <f t="array" ref="AA15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586" t="str" cm="1">
        <f t="array" ref="AC1586">_xlfn.IFS(Table2[[#This Row],[Satification_points]]&gt;=4.5,"GREAT",AND(Table2[[#This Row],[Satification_points]]&gt;=4,Table2[[#This Row],[Satification_points]]&lt;4.5),"GOOD",AND(Table2[[#This Row],[Satification_points]]&gt;=3,Table2[[#This Row],[Satification_points]]&lt;4),"AVERAGE",Table2[[#This Row],[Satification_points]]&lt;3,"POOR")</f>
        <v>POOR</v>
      </c>
    </row>
    <row r="1587" spans="1:29" x14ac:dyDescent="0.3">
      <c r="A1587">
        <v>1586</v>
      </c>
      <c r="B1587">
        <v>18116</v>
      </c>
      <c r="C1587" t="s">
        <v>1628</v>
      </c>
      <c r="D1587" t="s">
        <v>48</v>
      </c>
      <c r="E1587" t="s">
        <v>45</v>
      </c>
      <c r="F1587" s="1">
        <v>44948</v>
      </c>
      <c r="G1587" s="1">
        <v>45232</v>
      </c>
      <c r="H1587">
        <v>4</v>
      </c>
      <c r="I1587" t="s">
        <v>28</v>
      </c>
      <c r="J1587" t="s">
        <v>36</v>
      </c>
      <c r="K1587">
        <v>2</v>
      </c>
      <c r="L1587">
        <v>2</v>
      </c>
      <c r="M1587">
        <v>4</v>
      </c>
      <c r="N1587">
        <v>3</v>
      </c>
      <c r="O1587">
        <v>2</v>
      </c>
      <c r="P1587">
        <v>4</v>
      </c>
      <c r="Q1587">
        <v>1</v>
      </c>
      <c r="R1587">
        <v>4</v>
      </c>
      <c r="S1587">
        <v>2</v>
      </c>
      <c r="T1587">
        <v>4</v>
      </c>
      <c r="U1587" t="s">
        <v>37</v>
      </c>
      <c r="V1587" t="s">
        <v>31</v>
      </c>
      <c r="W1587" t="s">
        <v>47</v>
      </c>
      <c r="X1587" t="s">
        <v>33</v>
      </c>
      <c r="Y1587">
        <v>65</v>
      </c>
      <c r="Z1587" s="1">
        <v>45406</v>
      </c>
      <c r="AA1587" t="str" cm="1">
        <f t="array" ref="AA1587">_xlfn.IFS(AND(Table2[[#This Row],[Guest_Age]]&gt;=18,Table2[[#This Row],[Guest_Age]]&lt;=25),"Young Adults",AND(Table2[[#This Row],[Guest_Age]]&gt;=26,Table2[[#This Row],[Guest_Age]]&lt;=35),"Adults",AND(Table2[[#This Row],[Guest_Age]]&gt;=36,Table2[[#This Row],[Guest_Age]]&lt;=50),"Middle Aged Adults",Table2[[#This Row],[Guest_Age]]&gt;50,"Senior")</f>
        <v>Senior</v>
      </c>
      <c r="AB15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87" t="str" cm="1">
        <f t="array" ref="AC1587">_xlfn.IFS(Table2[[#This Row],[Satification_points]]&gt;=4.5,"GREAT",AND(Table2[[#This Row],[Satification_points]]&gt;=4,Table2[[#This Row],[Satification_points]]&lt;4.5),"GOOD",AND(Table2[[#This Row],[Satification_points]]&gt;=3,Table2[[#This Row],[Satification_points]]&lt;4),"AVERAGE",Table2[[#This Row],[Satification_points]]&lt;3,"POOR")</f>
        <v>POOR</v>
      </c>
    </row>
    <row r="1588" spans="1:29" x14ac:dyDescent="0.3">
      <c r="A1588">
        <v>1587</v>
      </c>
      <c r="B1588">
        <v>95650</v>
      </c>
      <c r="C1588" t="s">
        <v>1629</v>
      </c>
      <c r="D1588" t="s">
        <v>34</v>
      </c>
      <c r="E1588" t="s">
        <v>27</v>
      </c>
      <c r="F1588" s="1">
        <v>45295</v>
      </c>
      <c r="G1588" s="1">
        <v>45296</v>
      </c>
      <c r="H1588">
        <v>14</v>
      </c>
      <c r="I1588" t="s">
        <v>49</v>
      </c>
      <c r="J1588" t="s">
        <v>29</v>
      </c>
      <c r="K1588">
        <v>4</v>
      </c>
      <c r="L1588">
        <v>1</v>
      </c>
      <c r="M1588">
        <v>2</v>
      </c>
      <c r="N1588">
        <v>3</v>
      </c>
      <c r="O1588">
        <v>1</v>
      </c>
      <c r="P1588">
        <v>3</v>
      </c>
      <c r="Q1588">
        <v>5</v>
      </c>
      <c r="R1588">
        <v>5</v>
      </c>
      <c r="S1588">
        <v>4</v>
      </c>
      <c r="T1588">
        <v>5</v>
      </c>
      <c r="U1588" t="s">
        <v>37</v>
      </c>
      <c r="V1588" t="s">
        <v>58</v>
      </c>
      <c r="W1588" t="s">
        <v>56</v>
      </c>
      <c r="X1588" t="s">
        <v>33</v>
      </c>
      <c r="Y1588">
        <v>25</v>
      </c>
      <c r="Z1588" s="1">
        <v>45296</v>
      </c>
      <c r="AA1588" t="str" cm="1">
        <f t="array" ref="AA1588">_xlfn.IFS(AND(Table2[[#This Row],[Guest_Age]]&gt;=18,Table2[[#This Row],[Guest_Age]]&lt;=25),"Young Adults",AND(Table2[[#This Row],[Guest_Age]]&gt;=26,Table2[[#This Row],[Guest_Age]]&lt;=35),"Adults",AND(Table2[[#This Row],[Guest_Age]]&gt;=36,Table2[[#This Row],[Guest_Age]]&lt;=50),"Middle Aged Adults",Table2[[#This Row],[Guest_Age]]&gt;50,"Senior")</f>
        <v>Young Adults</v>
      </c>
      <c r="AB15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88" t="str" cm="1">
        <f t="array" ref="AC1588">_xlfn.IFS(Table2[[#This Row],[Satification_points]]&gt;=4.5,"GREAT",AND(Table2[[#This Row],[Satification_points]]&gt;=4,Table2[[#This Row],[Satification_points]]&lt;4.5),"GOOD",AND(Table2[[#This Row],[Satification_points]]&gt;=3,Table2[[#This Row],[Satification_points]]&lt;4),"AVERAGE",Table2[[#This Row],[Satification_points]]&lt;3,"POOR")</f>
        <v>AVERAGE</v>
      </c>
    </row>
    <row r="1589" spans="1:29" x14ac:dyDescent="0.3">
      <c r="A1589">
        <v>1588</v>
      </c>
      <c r="B1589">
        <v>68092</v>
      </c>
      <c r="C1589" t="s">
        <v>1630</v>
      </c>
      <c r="D1589" t="s">
        <v>26</v>
      </c>
      <c r="E1589" t="s">
        <v>57</v>
      </c>
      <c r="F1589" s="1">
        <v>45008</v>
      </c>
      <c r="G1589" s="1">
        <v>45105</v>
      </c>
      <c r="H1589">
        <v>13</v>
      </c>
      <c r="I1589" t="s">
        <v>42</v>
      </c>
      <c r="J1589" t="s">
        <v>53</v>
      </c>
      <c r="K1589">
        <v>2</v>
      </c>
      <c r="L1589">
        <v>4</v>
      </c>
      <c r="M1589">
        <v>4</v>
      </c>
      <c r="N1589">
        <v>5</v>
      </c>
      <c r="O1589">
        <v>4</v>
      </c>
      <c r="P1589">
        <v>3</v>
      </c>
      <c r="Q1589">
        <v>5</v>
      </c>
      <c r="R1589">
        <v>3</v>
      </c>
      <c r="S1589">
        <v>1</v>
      </c>
      <c r="T1589">
        <v>1</v>
      </c>
      <c r="U1589" t="s">
        <v>30</v>
      </c>
      <c r="V1589" t="s">
        <v>38</v>
      </c>
      <c r="W1589" t="s">
        <v>47</v>
      </c>
      <c r="X1589" t="s">
        <v>40</v>
      </c>
      <c r="Y1589">
        <v>32</v>
      </c>
      <c r="Z1589" s="1">
        <v>45330</v>
      </c>
      <c r="AA1589" t="str" cm="1">
        <f t="array" ref="AA1589">_xlfn.IFS(AND(Table2[[#This Row],[Guest_Age]]&gt;=18,Table2[[#This Row],[Guest_Age]]&lt;=25),"Young Adults",AND(Table2[[#This Row],[Guest_Age]]&gt;=26,Table2[[#This Row],[Guest_Age]]&lt;=35),"Adults",AND(Table2[[#This Row],[Guest_Age]]&gt;=36,Table2[[#This Row],[Guest_Age]]&lt;=50),"Middle Aged Adults",Table2[[#This Row],[Guest_Age]]&gt;50,"Senior")</f>
        <v>Adults</v>
      </c>
      <c r="AB15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589" t="str" cm="1">
        <f t="array" ref="AC1589">_xlfn.IFS(Table2[[#This Row],[Satification_points]]&gt;=4.5,"GREAT",AND(Table2[[#This Row],[Satification_points]]&gt;=4,Table2[[#This Row],[Satification_points]]&lt;4.5),"GOOD",AND(Table2[[#This Row],[Satification_points]]&gt;=3,Table2[[#This Row],[Satification_points]]&lt;4),"AVERAGE",Table2[[#This Row],[Satification_points]]&lt;3,"POOR")</f>
        <v>AVERAGE</v>
      </c>
    </row>
    <row r="1590" spans="1:29" x14ac:dyDescent="0.3">
      <c r="A1590">
        <v>1589</v>
      </c>
      <c r="B1590">
        <v>57515</v>
      </c>
      <c r="C1590" t="s">
        <v>1631</v>
      </c>
      <c r="D1590" t="s">
        <v>34</v>
      </c>
      <c r="E1590" t="s">
        <v>27</v>
      </c>
      <c r="F1590" s="1">
        <v>45090</v>
      </c>
      <c r="G1590" s="1">
        <v>45162</v>
      </c>
      <c r="H1590">
        <v>9</v>
      </c>
      <c r="I1590" t="s">
        <v>49</v>
      </c>
      <c r="J1590" t="s">
        <v>43</v>
      </c>
      <c r="K1590">
        <v>4</v>
      </c>
      <c r="L1590">
        <v>5</v>
      </c>
      <c r="M1590">
        <v>1</v>
      </c>
      <c r="N1590">
        <v>4</v>
      </c>
      <c r="O1590">
        <v>2</v>
      </c>
      <c r="P1590">
        <v>5</v>
      </c>
      <c r="Q1590">
        <v>4</v>
      </c>
      <c r="R1590">
        <v>2</v>
      </c>
      <c r="S1590">
        <v>1</v>
      </c>
      <c r="T1590">
        <v>5</v>
      </c>
      <c r="U1590" t="s">
        <v>37</v>
      </c>
      <c r="V1590" t="s">
        <v>31</v>
      </c>
      <c r="W1590" t="s">
        <v>32</v>
      </c>
      <c r="X1590" t="s">
        <v>33</v>
      </c>
      <c r="Y1590">
        <v>47</v>
      </c>
      <c r="Z1590" s="1">
        <v>45162</v>
      </c>
      <c r="AA1590" t="str" cm="1">
        <f t="array" ref="AA159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90" t="str" cm="1">
        <f t="array" ref="AC1590">_xlfn.IFS(Table2[[#This Row],[Satification_points]]&gt;=4.5,"GREAT",AND(Table2[[#This Row],[Satification_points]]&gt;=4,Table2[[#This Row],[Satification_points]]&lt;4.5),"GOOD",AND(Table2[[#This Row],[Satification_points]]&gt;=3,Table2[[#This Row],[Satification_points]]&lt;4),"AVERAGE",Table2[[#This Row],[Satification_points]]&lt;3,"POOR")</f>
        <v>AVERAGE</v>
      </c>
    </row>
    <row r="1591" spans="1:29" x14ac:dyDescent="0.3">
      <c r="A1591">
        <v>1590</v>
      </c>
      <c r="B1591">
        <v>23998</v>
      </c>
      <c r="C1591" t="s">
        <v>1632</v>
      </c>
      <c r="D1591" t="s">
        <v>48</v>
      </c>
      <c r="E1591" t="s">
        <v>52</v>
      </c>
      <c r="F1591" s="1">
        <v>45303</v>
      </c>
      <c r="G1591" s="1">
        <v>45304</v>
      </c>
      <c r="H1591">
        <v>2</v>
      </c>
      <c r="I1591" t="s">
        <v>42</v>
      </c>
      <c r="J1591" t="s">
        <v>40</v>
      </c>
      <c r="K1591">
        <v>1</v>
      </c>
      <c r="L1591">
        <v>4</v>
      </c>
      <c r="M1591">
        <v>4</v>
      </c>
      <c r="N1591">
        <v>3</v>
      </c>
      <c r="O1591">
        <v>4</v>
      </c>
      <c r="P1591">
        <v>5</v>
      </c>
      <c r="Q1591">
        <v>1</v>
      </c>
      <c r="R1591">
        <v>5</v>
      </c>
      <c r="S1591">
        <v>3</v>
      </c>
      <c r="T1591">
        <v>3</v>
      </c>
      <c r="U1591" t="s">
        <v>37</v>
      </c>
      <c r="V1591" t="s">
        <v>54</v>
      </c>
      <c r="W1591" t="s">
        <v>55</v>
      </c>
      <c r="X1591" t="s">
        <v>40</v>
      </c>
      <c r="Y1591">
        <v>26</v>
      </c>
      <c r="Z1591" s="1">
        <v>45499</v>
      </c>
      <c r="AA1591" t="str" cm="1">
        <f t="array" ref="AA1591">_xlfn.IFS(AND(Table2[[#This Row],[Guest_Age]]&gt;=18,Table2[[#This Row],[Guest_Age]]&lt;=25),"Young Adults",AND(Table2[[#This Row],[Guest_Age]]&gt;=26,Table2[[#This Row],[Guest_Age]]&lt;=35),"Adults",AND(Table2[[#This Row],[Guest_Age]]&gt;=36,Table2[[#This Row],[Guest_Age]]&lt;=50),"Middle Aged Adults",Table2[[#This Row],[Guest_Age]]&gt;50,"Senior")</f>
        <v>Adults</v>
      </c>
      <c r="AB15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591" t="str" cm="1">
        <f t="array" ref="AC1591">_xlfn.IFS(Table2[[#This Row],[Satification_points]]&gt;=4.5,"GREAT",AND(Table2[[#This Row],[Satification_points]]&gt;=4,Table2[[#This Row],[Satification_points]]&lt;4.5),"GOOD",AND(Table2[[#This Row],[Satification_points]]&gt;=3,Table2[[#This Row],[Satification_points]]&lt;4),"AVERAGE",Table2[[#This Row],[Satification_points]]&lt;3,"POOR")</f>
        <v>AVERAGE</v>
      </c>
    </row>
    <row r="1592" spans="1:29" x14ac:dyDescent="0.3">
      <c r="A1592">
        <v>1591</v>
      </c>
      <c r="B1592">
        <v>40279</v>
      </c>
      <c r="C1592" t="s">
        <v>1633</v>
      </c>
      <c r="D1592" t="s">
        <v>34</v>
      </c>
      <c r="E1592" t="s">
        <v>52</v>
      </c>
      <c r="F1592" s="1">
        <v>44929</v>
      </c>
      <c r="G1592" s="1">
        <v>45214</v>
      </c>
      <c r="H1592">
        <v>7</v>
      </c>
      <c r="I1592" t="s">
        <v>49</v>
      </c>
      <c r="J1592" t="s">
        <v>53</v>
      </c>
      <c r="K1592">
        <v>2</v>
      </c>
      <c r="L1592">
        <v>1</v>
      </c>
      <c r="M1592">
        <v>5</v>
      </c>
      <c r="N1592">
        <v>3</v>
      </c>
      <c r="O1592">
        <v>3</v>
      </c>
      <c r="P1592">
        <v>3</v>
      </c>
      <c r="Q1592">
        <v>2</v>
      </c>
      <c r="R1592">
        <v>3</v>
      </c>
      <c r="S1592">
        <v>3</v>
      </c>
      <c r="T1592">
        <v>5</v>
      </c>
      <c r="U1592" t="s">
        <v>30</v>
      </c>
      <c r="V1592" t="s">
        <v>46</v>
      </c>
      <c r="W1592" t="s">
        <v>56</v>
      </c>
      <c r="X1592" t="s">
        <v>33</v>
      </c>
      <c r="Y1592">
        <v>62</v>
      </c>
      <c r="Z1592" s="1">
        <v>45226</v>
      </c>
      <c r="AA1592" t="str" cm="1">
        <f t="array" ref="AA1592">_xlfn.IFS(AND(Table2[[#This Row],[Guest_Age]]&gt;=18,Table2[[#This Row],[Guest_Age]]&lt;=25),"Young Adults",AND(Table2[[#This Row],[Guest_Age]]&gt;=26,Table2[[#This Row],[Guest_Age]]&lt;=35),"Adults",AND(Table2[[#This Row],[Guest_Age]]&gt;=36,Table2[[#This Row],[Guest_Age]]&lt;=50),"Middle Aged Adults",Table2[[#This Row],[Guest_Age]]&gt;50,"Senior")</f>
        <v>Senior</v>
      </c>
      <c r="AB15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592" t="str" cm="1">
        <f t="array" ref="AC1592">_xlfn.IFS(Table2[[#This Row],[Satification_points]]&gt;=4.5,"GREAT",AND(Table2[[#This Row],[Satification_points]]&gt;=4,Table2[[#This Row],[Satification_points]]&lt;4.5),"GOOD",AND(Table2[[#This Row],[Satification_points]]&gt;=3,Table2[[#This Row],[Satification_points]]&lt;4),"AVERAGE",Table2[[#This Row],[Satification_points]]&lt;3,"POOR")</f>
        <v>AVERAGE</v>
      </c>
    </row>
    <row r="1593" spans="1:29" x14ac:dyDescent="0.3">
      <c r="A1593">
        <v>1592</v>
      </c>
      <c r="B1593">
        <v>75150</v>
      </c>
      <c r="C1593" t="s">
        <v>1634</v>
      </c>
      <c r="D1593" t="s">
        <v>34</v>
      </c>
      <c r="E1593" t="s">
        <v>27</v>
      </c>
      <c r="F1593" s="1">
        <v>45610</v>
      </c>
      <c r="G1593" s="1">
        <v>45611</v>
      </c>
      <c r="H1593">
        <v>2</v>
      </c>
      <c r="I1593" t="s">
        <v>28</v>
      </c>
      <c r="J1593" t="s">
        <v>40</v>
      </c>
      <c r="K1593">
        <v>4</v>
      </c>
      <c r="L1593">
        <v>1</v>
      </c>
      <c r="M1593">
        <v>1</v>
      </c>
      <c r="N1593">
        <v>1</v>
      </c>
      <c r="O1593">
        <v>1</v>
      </c>
      <c r="P1593">
        <v>4</v>
      </c>
      <c r="Q1593">
        <v>3</v>
      </c>
      <c r="R1593">
        <v>2</v>
      </c>
      <c r="S1593">
        <v>1</v>
      </c>
      <c r="T1593">
        <v>5</v>
      </c>
      <c r="U1593" t="s">
        <v>30</v>
      </c>
      <c r="V1593" t="s">
        <v>58</v>
      </c>
      <c r="W1593" t="s">
        <v>32</v>
      </c>
      <c r="X1593" t="s">
        <v>33</v>
      </c>
      <c r="Y1593">
        <v>38</v>
      </c>
      <c r="Z1593" s="1">
        <v>45611</v>
      </c>
      <c r="AA1593" t="str" cm="1">
        <f t="array" ref="AA15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5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593" t="str" cm="1">
        <f t="array" ref="AC1593">_xlfn.IFS(Table2[[#This Row],[Satification_points]]&gt;=4.5,"GREAT",AND(Table2[[#This Row],[Satification_points]]&gt;=4,Table2[[#This Row],[Satification_points]]&lt;4.5),"GOOD",AND(Table2[[#This Row],[Satification_points]]&gt;=3,Table2[[#This Row],[Satification_points]]&lt;4),"AVERAGE",Table2[[#This Row],[Satification_points]]&lt;3,"POOR")</f>
        <v>POOR</v>
      </c>
    </row>
    <row r="1594" spans="1:29" x14ac:dyDescent="0.3">
      <c r="A1594">
        <v>1593</v>
      </c>
      <c r="B1594">
        <v>62096</v>
      </c>
      <c r="C1594" t="s">
        <v>1635</v>
      </c>
      <c r="D1594" t="s">
        <v>41</v>
      </c>
      <c r="E1594" t="s">
        <v>45</v>
      </c>
      <c r="F1594" s="1">
        <v>45044</v>
      </c>
      <c r="G1594" s="1">
        <v>45394</v>
      </c>
      <c r="H1594">
        <v>13</v>
      </c>
      <c r="I1594" t="s">
        <v>42</v>
      </c>
      <c r="J1594" t="s">
        <v>40</v>
      </c>
      <c r="K1594">
        <v>1</v>
      </c>
      <c r="L1594">
        <v>3</v>
      </c>
      <c r="M1594">
        <v>1</v>
      </c>
      <c r="N1594">
        <v>1</v>
      </c>
      <c r="O1594">
        <v>3</v>
      </c>
      <c r="P1594">
        <v>4</v>
      </c>
      <c r="Q1594">
        <v>3</v>
      </c>
      <c r="R1594">
        <v>5</v>
      </c>
      <c r="S1594">
        <v>3</v>
      </c>
      <c r="T1594">
        <v>3</v>
      </c>
      <c r="U1594" t="s">
        <v>30</v>
      </c>
      <c r="V1594" t="s">
        <v>46</v>
      </c>
      <c r="W1594" t="s">
        <v>56</v>
      </c>
      <c r="X1594" t="s">
        <v>44</v>
      </c>
      <c r="Y1594">
        <v>61</v>
      </c>
      <c r="Z1594" s="1">
        <v>45394</v>
      </c>
      <c r="AA1594" t="str" cm="1">
        <f t="array" ref="AA1594">_xlfn.IFS(AND(Table2[[#This Row],[Guest_Age]]&gt;=18,Table2[[#This Row],[Guest_Age]]&lt;=25),"Young Adults",AND(Table2[[#This Row],[Guest_Age]]&gt;=26,Table2[[#This Row],[Guest_Age]]&lt;=35),"Adults",AND(Table2[[#This Row],[Guest_Age]]&gt;=36,Table2[[#This Row],[Guest_Age]]&lt;=50),"Middle Aged Adults",Table2[[#This Row],[Guest_Age]]&gt;50,"Senior")</f>
        <v>Senior</v>
      </c>
      <c r="AB15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594" t="str" cm="1">
        <f t="array" ref="AC1594">_xlfn.IFS(Table2[[#This Row],[Satification_points]]&gt;=4.5,"GREAT",AND(Table2[[#This Row],[Satification_points]]&gt;=4,Table2[[#This Row],[Satification_points]]&lt;4.5),"GOOD",AND(Table2[[#This Row],[Satification_points]]&gt;=3,Table2[[#This Row],[Satification_points]]&lt;4),"AVERAGE",Table2[[#This Row],[Satification_points]]&lt;3,"POOR")</f>
        <v>POOR</v>
      </c>
    </row>
    <row r="1595" spans="1:29" x14ac:dyDescent="0.3">
      <c r="A1595">
        <v>1594</v>
      </c>
      <c r="B1595">
        <v>63955</v>
      </c>
      <c r="C1595" t="s">
        <v>1636</v>
      </c>
      <c r="D1595" t="s">
        <v>51</v>
      </c>
      <c r="E1595" t="s">
        <v>52</v>
      </c>
      <c r="F1595" s="1">
        <v>45582</v>
      </c>
      <c r="G1595" s="1">
        <v>45583</v>
      </c>
      <c r="H1595">
        <v>13</v>
      </c>
      <c r="I1595" t="s">
        <v>28</v>
      </c>
      <c r="J1595" t="s">
        <v>40</v>
      </c>
      <c r="K1595">
        <v>1</v>
      </c>
      <c r="L1595">
        <v>4</v>
      </c>
      <c r="M1595">
        <v>1</v>
      </c>
      <c r="N1595">
        <v>4</v>
      </c>
      <c r="O1595">
        <v>3</v>
      </c>
      <c r="P1595">
        <v>4</v>
      </c>
      <c r="Q1595">
        <v>3</v>
      </c>
      <c r="R1595">
        <v>1</v>
      </c>
      <c r="S1595">
        <v>2</v>
      </c>
      <c r="T1595">
        <v>5</v>
      </c>
      <c r="U1595" t="s">
        <v>30</v>
      </c>
      <c r="V1595" t="s">
        <v>46</v>
      </c>
      <c r="W1595" t="s">
        <v>56</v>
      </c>
      <c r="X1595" t="s">
        <v>44</v>
      </c>
      <c r="Y1595">
        <v>31</v>
      </c>
      <c r="Z1595" s="1">
        <v>45583</v>
      </c>
      <c r="AA1595" t="str" cm="1">
        <f t="array" ref="AA1595">_xlfn.IFS(AND(Table2[[#This Row],[Guest_Age]]&gt;=18,Table2[[#This Row],[Guest_Age]]&lt;=25),"Young Adults",AND(Table2[[#This Row],[Guest_Age]]&gt;=26,Table2[[#This Row],[Guest_Age]]&lt;=35),"Adults",AND(Table2[[#This Row],[Guest_Age]]&gt;=36,Table2[[#This Row],[Guest_Age]]&lt;=50),"Middle Aged Adults",Table2[[#This Row],[Guest_Age]]&gt;50,"Senior")</f>
        <v>Adults</v>
      </c>
      <c r="AB15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95" t="str" cm="1">
        <f t="array" ref="AC1595">_xlfn.IFS(Table2[[#This Row],[Satification_points]]&gt;=4.5,"GREAT",AND(Table2[[#This Row],[Satification_points]]&gt;=4,Table2[[#This Row],[Satification_points]]&lt;4.5),"GOOD",AND(Table2[[#This Row],[Satification_points]]&gt;=3,Table2[[#This Row],[Satification_points]]&lt;4),"AVERAGE",Table2[[#This Row],[Satification_points]]&lt;3,"POOR")</f>
        <v>POOR</v>
      </c>
    </row>
    <row r="1596" spans="1:29" x14ac:dyDescent="0.3">
      <c r="A1596">
        <v>1595</v>
      </c>
      <c r="B1596">
        <v>60360</v>
      </c>
      <c r="C1596" t="s">
        <v>1637</v>
      </c>
      <c r="D1596" t="s">
        <v>26</v>
      </c>
      <c r="E1596" t="s">
        <v>52</v>
      </c>
      <c r="F1596" s="1">
        <v>45321</v>
      </c>
      <c r="G1596" s="1">
        <v>45430</v>
      </c>
      <c r="H1596">
        <v>11</v>
      </c>
      <c r="I1596" t="s">
        <v>42</v>
      </c>
      <c r="J1596" t="s">
        <v>53</v>
      </c>
      <c r="K1596">
        <v>1</v>
      </c>
      <c r="L1596">
        <v>2</v>
      </c>
      <c r="M1596">
        <v>5</v>
      </c>
      <c r="N1596">
        <v>4</v>
      </c>
      <c r="O1596">
        <v>2</v>
      </c>
      <c r="P1596">
        <v>5</v>
      </c>
      <c r="Q1596">
        <v>5</v>
      </c>
      <c r="R1596">
        <v>4</v>
      </c>
      <c r="S1596">
        <v>2</v>
      </c>
      <c r="T1596">
        <v>4</v>
      </c>
      <c r="U1596" t="s">
        <v>30</v>
      </c>
      <c r="V1596" t="s">
        <v>38</v>
      </c>
      <c r="W1596" t="s">
        <v>55</v>
      </c>
      <c r="X1596" t="s">
        <v>44</v>
      </c>
      <c r="Y1596">
        <v>25</v>
      </c>
      <c r="Z1596" s="1">
        <v>45430</v>
      </c>
      <c r="AA1596" t="str" cm="1">
        <f t="array" ref="AA1596">_xlfn.IFS(AND(Table2[[#This Row],[Guest_Age]]&gt;=18,Table2[[#This Row],[Guest_Age]]&lt;=25),"Young Adults",AND(Table2[[#This Row],[Guest_Age]]&gt;=26,Table2[[#This Row],[Guest_Age]]&lt;=35),"Adults",AND(Table2[[#This Row],[Guest_Age]]&gt;=36,Table2[[#This Row],[Guest_Age]]&lt;=50),"Middle Aged Adults",Table2[[#This Row],[Guest_Age]]&gt;50,"Senior")</f>
        <v>Young Adults</v>
      </c>
      <c r="AB15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596" t="str" cm="1">
        <f t="array" ref="AC1596">_xlfn.IFS(Table2[[#This Row],[Satification_points]]&gt;=4.5,"GREAT",AND(Table2[[#This Row],[Satification_points]]&gt;=4,Table2[[#This Row],[Satification_points]]&lt;4.5),"GOOD",AND(Table2[[#This Row],[Satification_points]]&gt;=3,Table2[[#This Row],[Satification_points]]&lt;4),"AVERAGE",Table2[[#This Row],[Satification_points]]&lt;3,"POOR")</f>
        <v>AVERAGE</v>
      </c>
    </row>
    <row r="1597" spans="1:29" x14ac:dyDescent="0.3">
      <c r="A1597">
        <v>1596</v>
      </c>
      <c r="B1597">
        <v>62885</v>
      </c>
      <c r="C1597" t="s">
        <v>1638</v>
      </c>
      <c r="D1597" t="s">
        <v>41</v>
      </c>
      <c r="E1597" t="s">
        <v>57</v>
      </c>
      <c r="F1597" s="1">
        <v>45192</v>
      </c>
      <c r="G1597" s="1">
        <v>45511</v>
      </c>
      <c r="H1597">
        <v>12</v>
      </c>
      <c r="I1597" t="s">
        <v>49</v>
      </c>
      <c r="J1597" t="s">
        <v>53</v>
      </c>
      <c r="K1597">
        <v>2</v>
      </c>
      <c r="L1597">
        <v>2</v>
      </c>
      <c r="M1597">
        <v>1</v>
      </c>
      <c r="N1597">
        <v>4</v>
      </c>
      <c r="O1597">
        <v>5</v>
      </c>
      <c r="P1597">
        <v>4</v>
      </c>
      <c r="Q1597">
        <v>5</v>
      </c>
      <c r="R1597">
        <v>4</v>
      </c>
      <c r="S1597">
        <v>3</v>
      </c>
      <c r="T1597">
        <v>4</v>
      </c>
      <c r="U1597" t="s">
        <v>30</v>
      </c>
      <c r="V1597" t="s">
        <v>46</v>
      </c>
      <c r="W1597" t="s">
        <v>32</v>
      </c>
      <c r="X1597" t="s">
        <v>33</v>
      </c>
      <c r="Y1597">
        <v>64</v>
      </c>
      <c r="Z1597" s="1">
        <v>45511</v>
      </c>
      <c r="AA1597" t="str" cm="1">
        <f t="array" ref="AA1597">_xlfn.IFS(AND(Table2[[#This Row],[Guest_Age]]&gt;=18,Table2[[#This Row],[Guest_Age]]&lt;=25),"Young Adults",AND(Table2[[#This Row],[Guest_Age]]&gt;=26,Table2[[#This Row],[Guest_Age]]&lt;=35),"Adults",AND(Table2[[#This Row],[Guest_Age]]&gt;=36,Table2[[#This Row],[Guest_Age]]&lt;=50),"Middle Aged Adults",Table2[[#This Row],[Guest_Age]]&gt;50,"Senior")</f>
        <v>Senior</v>
      </c>
      <c r="AB15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597" t="str" cm="1">
        <f t="array" ref="AC1597">_xlfn.IFS(Table2[[#This Row],[Satification_points]]&gt;=4.5,"GREAT",AND(Table2[[#This Row],[Satification_points]]&gt;=4,Table2[[#This Row],[Satification_points]]&lt;4.5),"GOOD",AND(Table2[[#This Row],[Satification_points]]&gt;=3,Table2[[#This Row],[Satification_points]]&lt;4),"AVERAGE",Table2[[#This Row],[Satification_points]]&lt;3,"POOR")</f>
        <v>AVERAGE</v>
      </c>
    </row>
    <row r="1598" spans="1:29" x14ac:dyDescent="0.3">
      <c r="A1598">
        <v>1597</v>
      </c>
      <c r="B1598">
        <v>24905</v>
      </c>
      <c r="C1598" t="s">
        <v>1639</v>
      </c>
      <c r="D1598" t="s">
        <v>51</v>
      </c>
      <c r="E1598" t="s">
        <v>45</v>
      </c>
      <c r="F1598" s="1">
        <v>45361</v>
      </c>
      <c r="G1598" s="1">
        <v>45469</v>
      </c>
      <c r="H1598">
        <v>3</v>
      </c>
      <c r="I1598" t="s">
        <v>28</v>
      </c>
      <c r="J1598" t="s">
        <v>40</v>
      </c>
      <c r="K1598">
        <v>2</v>
      </c>
      <c r="L1598">
        <v>1</v>
      </c>
      <c r="M1598">
        <v>2</v>
      </c>
      <c r="N1598">
        <v>4</v>
      </c>
      <c r="O1598">
        <v>5</v>
      </c>
      <c r="P1598">
        <v>4</v>
      </c>
      <c r="Q1598">
        <v>4</v>
      </c>
      <c r="R1598">
        <v>1</v>
      </c>
      <c r="S1598">
        <v>1</v>
      </c>
      <c r="T1598">
        <v>2</v>
      </c>
      <c r="U1598" t="s">
        <v>30</v>
      </c>
      <c r="V1598" t="s">
        <v>38</v>
      </c>
      <c r="W1598" t="s">
        <v>47</v>
      </c>
      <c r="X1598" t="s">
        <v>40</v>
      </c>
      <c r="Y1598">
        <v>53</v>
      </c>
      <c r="Z1598" s="1">
        <v>45531</v>
      </c>
      <c r="AA1598" t="str" cm="1">
        <f t="array" ref="AA1598">_xlfn.IFS(AND(Table2[[#This Row],[Guest_Age]]&gt;=18,Table2[[#This Row],[Guest_Age]]&lt;=25),"Young Adults",AND(Table2[[#This Row],[Guest_Age]]&gt;=26,Table2[[#This Row],[Guest_Age]]&lt;=35),"Adults",AND(Table2[[#This Row],[Guest_Age]]&gt;=36,Table2[[#This Row],[Guest_Age]]&lt;=50),"Middle Aged Adults",Table2[[#This Row],[Guest_Age]]&gt;50,"Senior")</f>
        <v>Senior</v>
      </c>
      <c r="AB15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598" t="str" cm="1">
        <f t="array" ref="AC1598">_xlfn.IFS(Table2[[#This Row],[Satification_points]]&gt;=4.5,"GREAT",AND(Table2[[#This Row],[Satification_points]]&gt;=4,Table2[[#This Row],[Satification_points]]&lt;4.5),"GOOD",AND(Table2[[#This Row],[Satification_points]]&gt;=3,Table2[[#This Row],[Satification_points]]&lt;4),"AVERAGE",Table2[[#This Row],[Satification_points]]&lt;3,"POOR")</f>
        <v>POOR</v>
      </c>
    </row>
    <row r="1599" spans="1:29" x14ac:dyDescent="0.3">
      <c r="A1599">
        <v>1598</v>
      </c>
      <c r="B1599">
        <v>73706</v>
      </c>
      <c r="C1599" t="s">
        <v>1640</v>
      </c>
      <c r="D1599" t="s">
        <v>48</v>
      </c>
      <c r="E1599" t="s">
        <v>27</v>
      </c>
      <c r="F1599" s="1">
        <v>45608</v>
      </c>
      <c r="G1599" s="1">
        <v>45609</v>
      </c>
      <c r="H1599">
        <v>14</v>
      </c>
      <c r="I1599" t="s">
        <v>42</v>
      </c>
      <c r="J1599" t="s">
        <v>43</v>
      </c>
      <c r="K1599">
        <v>4</v>
      </c>
      <c r="L1599">
        <v>3</v>
      </c>
      <c r="M1599">
        <v>1</v>
      </c>
      <c r="N1599">
        <v>1</v>
      </c>
      <c r="O1599">
        <v>4</v>
      </c>
      <c r="P1599">
        <v>4</v>
      </c>
      <c r="Q1599">
        <v>1</v>
      </c>
      <c r="R1599">
        <v>4</v>
      </c>
      <c r="S1599">
        <v>5</v>
      </c>
      <c r="T1599">
        <v>1</v>
      </c>
      <c r="U1599" t="s">
        <v>30</v>
      </c>
      <c r="V1599" t="s">
        <v>54</v>
      </c>
      <c r="W1599" t="s">
        <v>56</v>
      </c>
      <c r="X1599" t="s">
        <v>44</v>
      </c>
      <c r="Y1599">
        <v>26</v>
      </c>
      <c r="Z1599" s="1">
        <v>45619</v>
      </c>
      <c r="AA1599" t="str" cm="1">
        <f t="array" ref="AA1599">_xlfn.IFS(AND(Table2[[#This Row],[Guest_Age]]&gt;=18,Table2[[#This Row],[Guest_Age]]&lt;=25),"Young Adults",AND(Table2[[#This Row],[Guest_Age]]&gt;=26,Table2[[#This Row],[Guest_Age]]&lt;=35),"Adults",AND(Table2[[#This Row],[Guest_Age]]&gt;=36,Table2[[#This Row],[Guest_Age]]&lt;=50),"Middle Aged Adults",Table2[[#This Row],[Guest_Age]]&gt;50,"Senior")</f>
        <v>Adults</v>
      </c>
      <c r="AB15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599" t="str" cm="1">
        <f t="array" ref="AC1599">_xlfn.IFS(Table2[[#This Row],[Satification_points]]&gt;=4.5,"GREAT",AND(Table2[[#This Row],[Satification_points]]&gt;=4,Table2[[#This Row],[Satification_points]]&lt;4.5),"GOOD",AND(Table2[[#This Row],[Satification_points]]&gt;=3,Table2[[#This Row],[Satification_points]]&lt;4),"AVERAGE",Table2[[#This Row],[Satification_points]]&lt;3,"POOR")</f>
        <v>POOR</v>
      </c>
    </row>
    <row r="1600" spans="1:29" x14ac:dyDescent="0.3">
      <c r="A1600">
        <v>1599</v>
      </c>
      <c r="B1600">
        <v>22300</v>
      </c>
      <c r="C1600" t="s">
        <v>1641</v>
      </c>
      <c r="D1600" t="s">
        <v>41</v>
      </c>
      <c r="E1600" t="s">
        <v>52</v>
      </c>
      <c r="F1600" s="1">
        <v>45651</v>
      </c>
      <c r="G1600" s="1">
        <v>45652</v>
      </c>
      <c r="H1600">
        <v>3</v>
      </c>
      <c r="I1600" t="s">
        <v>28</v>
      </c>
      <c r="J1600" t="s">
        <v>29</v>
      </c>
      <c r="K1600">
        <v>3</v>
      </c>
      <c r="L1600">
        <v>4</v>
      </c>
      <c r="M1600">
        <v>4</v>
      </c>
      <c r="N1600">
        <v>3</v>
      </c>
      <c r="O1600">
        <v>2</v>
      </c>
      <c r="P1600">
        <v>5</v>
      </c>
      <c r="Q1600">
        <v>5</v>
      </c>
      <c r="R1600">
        <v>4</v>
      </c>
      <c r="S1600">
        <v>2</v>
      </c>
      <c r="T1600">
        <v>4</v>
      </c>
      <c r="U1600" t="s">
        <v>37</v>
      </c>
      <c r="V1600" t="s">
        <v>46</v>
      </c>
      <c r="W1600" t="s">
        <v>56</v>
      </c>
      <c r="X1600" t="s">
        <v>44</v>
      </c>
      <c r="Y1600">
        <v>43</v>
      </c>
      <c r="Z1600" s="1">
        <v>45652</v>
      </c>
      <c r="AA1600" t="str" cm="1">
        <f t="array" ref="AA16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00" t="str" cm="1">
        <f t="array" ref="AC1600">_xlfn.IFS(Table2[[#This Row],[Satification_points]]&gt;=4.5,"GREAT",AND(Table2[[#This Row],[Satification_points]]&gt;=4,Table2[[#This Row],[Satification_points]]&lt;4.5),"GOOD",AND(Table2[[#This Row],[Satification_points]]&gt;=3,Table2[[#This Row],[Satification_points]]&lt;4),"AVERAGE",Table2[[#This Row],[Satification_points]]&lt;3,"POOR")</f>
        <v>AVERAGE</v>
      </c>
    </row>
    <row r="1601" spans="1:29" x14ac:dyDescent="0.3">
      <c r="A1601">
        <v>1600</v>
      </c>
      <c r="B1601">
        <v>28202</v>
      </c>
      <c r="C1601" t="s">
        <v>1642</v>
      </c>
      <c r="D1601" t="s">
        <v>51</v>
      </c>
      <c r="E1601" t="s">
        <v>45</v>
      </c>
      <c r="F1601" s="1">
        <v>45153</v>
      </c>
      <c r="G1601" s="1">
        <v>45239</v>
      </c>
      <c r="H1601">
        <v>10</v>
      </c>
      <c r="I1601" t="s">
        <v>50</v>
      </c>
      <c r="J1601" t="s">
        <v>40</v>
      </c>
      <c r="K1601">
        <v>3</v>
      </c>
      <c r="L1601">
        <v>3</v>
      </c>
      <c r="M1601">
        <v>2</v>
      </c>
      <c r="N1601">
        <v>1</v>
      </c>
      <c r="O1601">
        <v>3</v>
      </c>
      <c r="P1601">
        <v>1</v>
      </c>
      <c r="Q1601">
        <v>3</v>
      </c>
      <c r="R1601">
        <v>3</v>
      </c>
      <c r="S1601">
        <v>4</v>
      </c>
      <c r="T1601">
        <v>1</v>
      </c>
      <c r="U1601" t="s">
        <v>30</v>
      </c>
      <c r="V1601" t="s">
        <v>46</v>
      </c>
      <c r="W1601" t="s">
        <v>55</v>
      </c>
      <c r="X1601" t="s">
        <v>33</v>
      </c>
      <c r="Y1601">
        <v>37</v>
      </c>
      <c r="Z1601" s="1">
        <v>45239</v>
      </c>
      <c r="AA1601" t="str" cm="1">
        <f t="array" ref="AA160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01" t="str" cm="1">
        <f t="array" ref="AC1601">_xlfn.IFS(Table2[[#This Row],[Satification_points]]&gt;=4.5,"GREAT",AND(Table2[[#This Row],[Satification_points]]&gt;=4,Table2[[#This Row],[Satification_points]]&lt;4.5),"GOOD",AND(Table2[[#This Row],[Satification_points]]&gt;=3,Table2[[#This Row],[Satification_points]]&lt;4),"AVERAGE",Table2[[#This Row],[Satification_points]]&lt;3,"POOR")</f>
        <v>POOR</v>
      </c>
    </row>
    <row r="1602" spans="1:29" x14ac:dyDescent="0.3">
      <c r="A1602">
        <v>1601</v>
      </c>
      <c r="B1602">
        <v>79030</v>
      </c>
      <c r="C1602" t="s">
        <v>1643</v>
      </c>
      <c r="D1602" t="s">
        <v>41</v>
      </c>
      <c r="E1602" t="s">
        <v>52</v>
      </c>
      <c r="F1602" s="1">
        <v>45302</v>
      </c>
      <c r="G1602" s="1">
        <v>45526</v>
      </c>
      <c r="H1602">
        <v>8</v>
      </c>
      <c r="I1602" t="s">
        <v>28</v>
      </c>
      <c r="J1602" t="s">
        <v>43</v>
      </c>
      <c r="K1602">
        <v>5</v>
      </c>
      <c r="L1602">
        <v>5</v>
      </c>
      <c r="M1602">
        <v>3</v>
      </c>
      <c r="N1602">
        <v>2</v>
      </c>
      <c r="O1602">
        <v>4</v>
      </c>
      <c r="P1602">
        <v>1</v>
      </c>
      <c r="Q1602">
        <v>5</v>
      </c>
      <c r="R1602">
        <v>2</v>
      </c>
      <c r="S1602">
        <v>5</v>
      </c>
      <c r="T1602">
        <v>5</v>
      </c>
      <c r="U1602" t="s">
        <v>30</v>
      </c>
      <c r="V1602" t="s">
        <v>46</v>
      </c>
      <c r="W1602" t="s">
        <v>32</v>
      </c>
      <c r="X1602" t="s">
        <v>44</v>
      </c>
      <c r="Y1602">
        <v>55</v>
      </c>
      <c r="Z1602" s="1">
        <v>45647</v>
      </c>
      <c r="AA1602" t="str" cm="1">
        <f t="array" ref="AA1602">_xlfn.IFS(AND(Table2[[#This Row],[Guest_Age]]&gt;=18,Table2[[#This Row],[Guest_Age]]&lt;=25),"Young Adults",AND(Table2[[#This Row],[Guest_Age]]&gt;=26,Table2[[#This Row],[Guest_Age]]&lt;=35),"Adults",AND(Table2[[#This Row],[Guest_Age]]&gt;=36,Table2[[#This Row],[Guest_Age]]&lt;=50),"Middle Aged Adults",Table2[[#This Row],[Guest_Age]]&gt;50,"Senior")</f>
        <v>Senior</v>
      </c>
      <c r="AB16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602" t="str" cm="1">
        <f t="array" ref="AC1602">_xlfn.IFS(Table2[[#This Row],[Satification_points]]&gt;=4.5,"GREAT",AND(Table2[[#This Row],[Satification_points]]&gt;=4,Table2[[#This Row],[Satification_points]]&lt;4.5),"GOOD",AND(Table2[[#This Row],[Satification_points]]&gt;=3,Table2[[#This Row],[Satification_points]]&lt;4),"AVERAGE",Table2[[#This Row],[Satification_points]]&lt;3,"POOR")</f>
        <v>AVERAGE</v>
      </c>
    </row>
    <row r="1603" spans="1:29" x14ac:dyDescent="0.3">
      <c r="A1603">
        <v>1602</v>
      </c>
      <c r="B1603">
        <v>76021</v>
      </c>
      <c r="C1603" t="s">
        <v>1644</v>
      </c>
      <c r="D1603" t="s">
        <v>34</v>
      </c>
      <c r="E1603" t="s">
        <v>57</v>
      </c>
      <c r="F1603" s="1">
        <v>45188</v>
      </c>
      <c r="G1603" s="1">
        <v>45189</v>
      </c>
      <c r="H1603">
        <v>2</v>
      </c>
      <c r="I1603" t="s">
        <v>42</v>
      </c>
      <c r="J1603" t="s">
        <v>29</v>
      </c>
      <c r="K1603">
        <v>3</v>
      </c>
      <c r="L1603">
        <v>3</v>
      </c>
      <c r="M1603">
        <v>1</v>
      </c>
      <c r="N1603">
        <v>2</v>
      </c>
      <c r="O1603">
        <v>3</v>
      </c>
      <c r="P1603">
        <v>4</v>
      </c>
      <c r="Q1603">
        <v>1</v>
      </c>
      <c r="R1603">
        <v>1</v>
      </c>
      <c r="S1603">
        <v>4</v>
      </c>
      <c r="T1603">
        <v>2</v>
      </c>
      <c r="U1603" t="s">
        <v>37</v>
      </c>
      <c r="V1603" t="s">
        <v>54</v>
      </c>
      <c r="W1603" t="s">
        <v>56</v>
      </c>
      <c r="X1603" t="s">
        <v>33</v>
      </c>
      <c r="Y1603">
        <v>23</v>
      </c>
      <c r="Z1603" s="1">
        <v>45189</v>
      </c>
      <c r="AA1603" t="str" cm="1">
        <f t="array" ref="AA1603">_xlfn.IFS(AND(Table2[[#This Row],[Guest_Age]]&gt;=18,Table2[[#This Row],[Guest_Age]]&lt;=25),"Young Adults",AND(Table2[[#This Row],[Guest_Age]]&gt;=26,Table2[[#This Row],[Guest_Age]]&lt;=35),"Adults",AND(Table2[[#This Row],[Guest_Age]]&gt;=36,Table2[[#This Row],[Guest_Age]]&lt;=50),"Middle Aged Adults",Table2[[#This Row],[Guest_Age]]&gt;50,"Senior")</f>
        <v>Young Adults</v>
      </c>
      <c r="AB16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03" t="str" cm="1">
        <f t="array" ref="AC1603">_xlfn.IFS(Table2[[#This Row],[Satification_points]]&gt;=4.5,"GREAT",AND(Table2[[#This Row],[Satification_points]]&gt;=4,Table2[[#This Row],[Satification_points]]&lt;4.5),"GOOD",AND(Table2[[#This Row],[Satification_points]]&gt;=3,Table2[[#This Row],[Satification_points]]&lt;4),"AVERAGE",Table2[[#This Row],[Satification_points]]&lt;3,"POOR")</f>
        <v>POOR</v>
      </c>
    </row>
    <row r="1604" spans="1:29" x14ac:dyDescent="0.3">
      <c r="A1604">
        <v>1603</v>
      </c>
      <c r="B1604">
        <v>94935</v>
      </c>
      <c r="C1604" t="s">
        <v>1645</v>
      </c>
      <c r="D1604" t="s">
        <v>34</v>
      </c>
      <c r="E1604" t="s">
        <v>45</v>
      </c>
      <c r="F1604" s="1">
        <v>45292</v>
      </c>
      <c r="G1604" s="1">
        <v>45293</v>
      </c>
      <c r="H1604">
        <v>1</v>
      </c>
      <c r="I1604" t="s">
        <v>49</v>
      </c>
      <c r="J1604" t="s">
        <v>40</v>
      </c>
      <c r="K1604">
        <v>3</v>
      </c>
      <c r="L1604">
        <v>5</v>
      </c>
      <c r="M1604">
        <v>3</v>
      </c>
      <c r="N1604">
        <v>3</v>
      </c>
      <c r="O1604">
        <v>4</v>
      </c>
      <c r="P1604">
        <v>1</v>
      </c>
      <c r="Q1604">
        <v>5</v>
      </c>
      <c r="R1604">
        <v>2</v>
      </c>
      <c r="S1604">
        <v>2</v>
      </c>
      <c r="T1604">
        <v>4</v>
      </c>
      <c r="U1604" t="s">
        <v>30</v>
      </c>
      <c r="V1604" t="s">
        <v>31</v>
      </c>
      <c r="W1604" t="s">
        <v>56</v>
      </c>
      <c r="X1604" t="s">
        <v>40</v>
      </c>
      <c r="Y1604">
        <v>51</v>
      </c>
      <c r="Z1604" s="1">
        <v>45293</v>
      </c>
      <c r="AA1604" t="str" cm="1">
        <f t="array" ref="AA1604">_xlfn.IFS(AND(Table2[[#This Row],[Guest_Age]]&gt;=18,Table2[[#This Row],[Guest_Age]]&lt;=25),"Young Adults",AND(Table2[[#This Row],[Guest_Age]]&gt;=26,Table2[[#This Row],[Guest_Age]]&lt;=35),"Adults",AND(Table2[[#This Row],[Guest_Age]]&gt;=36,Table2[[#This Row],[Guest_Age]]&lt;=50),"Middle Aged Adults",Table2[[#This Row],[Guest_Age]]&gt;50,"Senior")</f>
        <v>Senior</v>
      </c>
      <c r="AB16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04" t="str" cm="1">
        <f t="array" ref="AC1604">_xlfn.IFS(Table2[[#This Row],[Satification_points]]&gt;=4.5,"GREAT",AND(Table2[[#This Row],[Satification_points]]&gt;=4,Table2[[#This Row],[Satification_points]]&lt;4.5),"GOOD",AND(Table2[[#This Row],[Satification_points]]&gt;=3,Table2[[#This Row],[Satification_points]]&lt;4),"AVERAGE",Table2[[#This Row],[Satification_points]]&lt;3,"POOR")</f>
        <v>AVERAGE</v>
      </c>
    </row>
    <row r="1605" spans="1:29" x14ac:dyDescent="0.3">
      <c r="A1605">
        <v>1604</v>
      </c>
      <c r="B1605">
        <v>46247</v>
      </c>
      <c r="C1605" t="s">
        <v>1646</v>
      </c>
      <c r="D1605" t="s">
        <v>41</v>
      </c>
      <c r="E1605" t="s">
        <v>35</v>
      </c>
      <c r="F1605" s="1">
        <v>45354</v>
      </c>
      <c r="G1605" s="1">
        <v>45355</v>
      </c>
      <c r="H1605">
        <v>6</v>
      </c>
      <c r="I1605" t="s">
        <v>50</v>
      </c>
      <c r="J1605" t="s">
        <v>29</v>
      </c>
      <c r="K1605">
        <v>4</v>
      </c>
      <c r="L1605">
        <v>4</v>
      </c>
      <c r="M1605">
        <v>3</v>
      </c>
      <c r="N1605">
        <v>4</v>
      </c>
      <c r="O1605">
        <v>1</v>
      </c>
      <c r="P1605">
        <v>4</v>
      </c>
      <c r="Q1605">
        <v>1</v>
      </c>
      <c r="R1605">
        <v>4</v>
      </c>
      <c r="S1605">
        <v>3</v>
      </c>
      <c r="T1605">
        <v>5</v>
      </c>
      <c r="U1605" t="s">
        <v>30</v>
      </c>
      <c r="V1605" t="s">
        <v>31</v>
      </c>
      <c r="W1605" t="s">
        <v>39</v>
      </c>
      <c r="X1605" t="s">
        <v>33</v>
      </c>
      <c r="Y1605">
        <v>40</v>
      </c>
      <c r="Z1605" s="1">
        <v>45355</v>
      </c>
      <c r="AA1605" t="str" cm="1">
        <f t="array" ref="AA16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05" t="str" cm="1">
        <f t="array" ref="AC1605">_xlfn.IFS(Table2[[#This Row],[Satification_points]]&gt;=4.5,"GREAT",AND(Table2[[#This Row],[Satification_points]]&gt;=4,Table2[[#This Row],[Satification_points]]&lt;4.5),"GOOD",AND(Table2[[#This Row],[Satification_points]]&gt;=3,Table2[[#This Row],[Satification_points]]&lt;4),"AVERAGE",Table2[[#This Row],[Satification_points]]&lt;3,"POOR")</f>
        <v>AVERAGE</v>
      </c>
    </row>
    <row r="1606" spans="1:29" x14ac:dyDescent="0.3">
      <c r="A1606">
        <v>1605</v>
      </c>
      <c r="B1606">
        <v>16929</v>
      </c>
      <c r="C1606" t="s">
        <v>1647</v>
      </c>
      <c r="D1606" t="s">
        <v>41</v>
      </c>
      <c r="E1606" t="s">
        <v>57</v>
      </c>
      <c r="F1606" s="1">
        <v>44934</v>
      </c>
      <c r="G1606" s="1">
        <v>45413</v>
      </c>
      <c r="H1606">
        <v>6</v>
      </c>
      <c r="I1606" t="s">
        <v>50</v>
      </c>
      <c r="J1606" t="s">
        <v>40</v>
      </c>
      <c r="K1606">
        <v>2</v>
      </c>
      <c r="L1606">
        <v>2</v>
      </c>
      <c r="M1606">
        <v>5</v>
      </c>
      <c r="N1606">
        <v>3</v>
      </c>
      <c r="O1606">
        <v>4</v>
      </c>
      <c r="P1606">
        <v>5</v>
      </c>
      <c r="Q1606">
        <v>4</v>
      </c>
      <c r="R1606">
        <v>2</v>
      </c>
      <c r="S1606">
        <v>4</v>
      </c>
      <c r="T1606">
        <v>2</v>
      </c>
      <c r="U1606" t="s">
        <v>30</v>
      </c>
      <c r="V1606" t="s">
        <v>54</v>
      </c>
      <c r="W1606" t="s">
        <v>39</v>
      </c>
      <c r="X1606" t="s">
        <v>40</v>
      </c>
      <c r="Y1606">
        <v>56</v>
      </c>
      <c r="Z1606" s="1">
        <v>45413</v>
      </c>
      <c r="AA1606" t="str" cm="1">
        <f t="array" ref="AA1606">_xlfn.IFS(AND(Table2[[#This Row],[Guest_Age]]&gt;=18,Table2[[#This Row],[Guest_Age]]&lt;=25),"Young Adults",AND(Table2[[#This Row],[Guest_Age]]&gt;=26,Table2[[#This Row],[Guest_Age]]&lt;=35),"Adults",AND(Table2[[#This Row],[Guest_Age]]&gt;=36,Table2[[#This Row],[Guest_Age]]&lt;=50),"Middle Aged Adults",Table2[[#This Row],[Guest_Age]]&gt;50,"Senior")</f>
        <v>Senior</v>
      </c>
      <c r="AB16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06" t="str" cm="1">
        <f t="array" ref="AC1606">_xlfn.IFS(Table2[[#This Row],[Satification_points]]&gt;=4.5,"GREAT",AND(Table2[[#This Row],[Satification_points]]&gt;=4,Table2[[#This Row],[Satification_points]]&lt;4.5),"GOOD",AND(Table2[[#This Row],[Satification_points]]&gt;=3,Table2[[#This Row],[Satification_points]]&lt;4),"AVERAGE",Table2[[#This Row],[Satification_points]]&lt;3,"POOR")</f>
        <v>AVERAGE</v>
      </c>
    </row>
    <row r="1607" spans="1:29" x14ac:dyDescent="0.3">
      <c r="A1607">
        <v>1606</v>
      </c>
      <c r="B1607">
        <v>55174</v>
      </c>
      <c r="C1607" t="s">
        <v>1648</v>
      </c>
      <c r="D1607" t="s">
        <v>26</v>
      </c>
      <c r="E1607" t="s">
        <v>27</v>
      </c>
      <c r="F1607" s="1">
        <v>44967</v>
      </c>
      <c r="G1607" s="1">
        <v>44973</v>
      </c>
      <c r="H1607">
        <v>11</v>
      </c>
      <c r="I1607" t="s">
        <v>50</v>
      </c>
      <c r="J1607" t="s">
        <v>53</v>
      </c>
      <c r="K1607">
        <v>3</v>
      </c>
      <c r="L1607">
        <v>5</v>
      </c>
      <c r="M1607">
        <v>4</v>
      </c>
      <c r="N1607">
        <v>2</v>
      </c>
      <c r="O1607">
        <v>4</v>
      </c>
      <c r="P1607">
        <v>4</v>
      </c>
      <c r="Q1607">
        <v>5</v>
      </c>
      <c r="R1607">
        <v>5</v>
      </c>
      <c r="S1607">
        <v>1</v>
      </c>
      <c r="T1607">
        <v>5</v>
      </c>
      <c r="U1607" t="s">
        <v>30</v>
      </c>
      <c r="V1607" t="s">
        <v>58</v>
      </c>
      <c r="W1607" t="s">
        <v>56</v>
      </c>
      <c r="X1607" t="s">
        <v>40</v>
      </c>
      <c r="Y1607">
        <v>50</v>
      </c>
      <c r="Z1607" s="1">
        <v>44981</v>
      </c>
      <c r="AA1607" t="str" cm="1">
        <f t="array" ref="AA160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607" t="str" cm="1">
        <f t="array" ref="AC1607">_xlfn.IFS(Table2[[#This Row],[Satification_points]]&gt;=4.5,"GREAT",AND(Table2[[#This Row],[Satification_points]]&gt;=4,Table2[[#This Row],[Satification_points]]&lt;4.5),"GOOD",AND(Table2[[#This Row],[Satification_points]]&gt;=3,Table2[[#This Row],[Satification_points]]&lt;4),"AVERAGE",Table2[[#This Row],[Satification_points]]&lt;3,"POOR")</f>
        <v>AVERAGE</v>
      </c>
    </row>
    <row r="1608" spans="1:29" x14ac:dyDescent="0.3">
      <c r="A1608">
        <v>1607</v>
      </c>
      <c r="B1608">
        <v>38603</v>
      </c>
      <c r="C1608" t="s">
        <v>1649</v>
      </c>
      <c r="D1608" t="s">
        <v>48</v>
      </c>
      <c r="E1608" t="s">
        <v>45</v>
      </c>
      <c r="F1608" s="1">
        <v>45183</v>
      </c>
      <c r="G1608" s="1">
        <v>45286</v>
      </c>
      <c r="H1608">
        <v>1</v>
      </c>
      <c r="I1608" t="s">
        <v>28</v>
      </c>
      <c r="J1608" t="s">
        <v>40</v>
      </c>
      <c r="K1608">
        <v>5</v>
      </c>
      <c r="L1608">
        <v>2</v>
      </c>
      <c r="M1608">
        <v>4</v>
      </c>
      <c r="N1608">
        <v>3</v>
      </c>
      <c r="O1608">
        <v>3</v>
      </c>
      <c r="P1608">
        <v>2</v>
      </c>
      <c r="Q1608">
        <v>1</v>
      </c>
      <c r="R1608">
        <v>1</v>
      </c>
      <c r="S1608">
        <v>4</v>
      </c>
      <c r="T1608">
        <v>1</v>
      </c>
      <c r="U1608" t="s">
        <v>37</v>
      </c>
      <c r="V1608" t="s">
        <v>58</v>
      </c>
      <c r="W1608" t="s">
        <v>55</v>
      </c>
      <c r="X1608" t="s">
        <v>33</v>
      </c>
      <c r="Y1608">
        <v>38</v>
      </c>
      <c r="Z1608" s="1">
        <v>45575</v>
      </c>
      <c r="AA1608" t="str" cm="1">
        <f t="array" ref="AA16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608" t="str" cm="1">
        <f t="array" ref="AC1608">_xlfn.IFS(Table2[[#This Row],[Satification_points]]&gt;=4.5,"GREAT",AND(Table2[[#This Row],[Satification_points]]&gt;=4,Table2[[#This Row],[Satification_points]]&lt;4.5),"GOOD",AND(Table2[[#This Row],[Satification_points]]&gt;=3,Table2[[#This Row],[Satification_points]]&lt;4),"AVERAGE",Table2[[#This Row],[Satification_points]]&lt;3,"POOR")</f>
        <v>POOR</v>
      </c>
    </row>
    <row r="1609" spans="1:29" x14ac:dyDescent="0.3">
      <c r="A1609">
        <v>1608</v>
      </c>
      <c r="B1609">
        <v>55967</v>
      </c>
      <c r="C1609" t="s">
        <v>1650</v>
      </c>
      <c r="D1609" t="s">
        <v>34</v>
      </c>
      <c r="E1609" t="s">
        <v>52</v>
      </c>
      <c r="F1609" s="1">
        <v>45569</v>
      </c>
      <c r="G1609" s="1">
        <v>45570</v>
      </c>
      <c r="H1609">
        <v>5</v>
      </c>
      <c r="I1609" t="s">
        <v>42</v>
      </c>
      <c r="J1609" t="s">
        <v>40</v>
      </c>
      <c r="K1609">
        <v>4</v>
      </c>
      <c r="L1609">
        <v>3</v>
      </c>
      <c r="M1609">
        <v>3</v>
      </c>
      <c r="N1609">
        <v>4</v>
      </c>
      <c r="O1609">
        <v>5</v>
      </c>
      <c r="P1609">
        <v>3</v>
      </c>
      <c r="Q1609">
        <v>1</v>
      </c>
      <c r="R1609">
        <v>1</v>
      </c>
      <c r="S1609">
        <v>1</v>
      </c>
      <c r="T1609">
        <v>5</v>
      </c>
      <c r="U1609" t="s">
        <v>30</v>
      </c>
      <c r="V1609" t="s">
        <v>38</v>
      </c>
      <c r="W1609" t="s">
        <v>47</v>
      </c>
      <c r="X1609" t="s">
        <v>33</v>
      </c>
      <c r="Y1609">
        <v>58</v>
      </c>
      <c r="Z1609" s="1">
        <v>45570</v>
      </c>
      <c r="AA1609" t="str" cm="1">
        <f t="array" ref="AA1609">_xlfn.IFS(AND(Table2[[#This Row],[Guest_Age]]&gt;=18,Table2[[#This Row],[Guest_Age]]&lt;=25),"Young Adults",AND(Table2[[#This Row],[Guest_Age]]&gt;=26,Table2[[#This Row],[Guest_Age]]&lt;=35),"Adults",AND(Table2[[#This Row],[Guest_Age]]&gt;=36,Table2[[#This Row],[Guest_Age]]&lt;=50),"Middle Aged Adults",Table2[[#This Row],[Guest_Age]]&gt;50,"Senior")</f>
        <v>Senior</v>
      </c>
      <c r="AB16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09" t="str" cm="1">
        <f t="array" ref="AC1609">_xlfn.IFS(Table2[[#This Row],[Satification_points]]&gt;=4.5,"GREAT",AND(Table2[[#This Row],[Satification_points]]&gt;=4,Table2[[#This Row],[Satification_points]]&lt;4.5),"GOOD",AND(Table2[[#This Row],[Satification_points]]&gt;=3,Table2[[#This Row],[Satification_points]]&lt;4),"AVERAGE",Table2[[#This Row],[Satification_points]]&lt;3,"POOR")</f>
        <v>AVERAGE</v>
      </c>
    </row>
    <row r="1610" spans="1:29" x14ac:dyDescent="0.3">
      <c r="A1610">
        <v>1609</v>
      </c>
      <c r="B1610">
        <v>14937</v>
      </c>
      <c r="C1610" t="s">
        <v>1651</v>
      </c>
      <c r="D1610" t="s">
        <v>41</v>
      </c>
      <c r="E1610" t="s">
        <v>45</v>
      </c>
      <c r="F1610" s="1">
        <v>45490</v>
      </c>
      <c r="G1610" s="1">
        <v>45502</v>
      </c>
      <c r="H1610">
        <v>9</v>
      </c>
      <c r="I1610" t="s">
        <v>28</v>
      </c>
      <c r="J1610" t="s">
        <v>40</v>
      </c>
      <c r="K1610">
        <v>1</v>
      </c>
      <c r="L1610">
        <v>3</v>
      </c>
      <c r="M1610">
        <v>5</v>
      </c>
      <c r="N1610">
        <v>1</v>
      </c>
      <c r="O1610">
        <v>3</v>
      </c>
      <c r="P1610">
        <v>5</v>
      </c>
      <c r="Q1610">
        <v>2</v>
      </c>
      <c r="R1610">
        <v>1</v>
      </c>
      <c r="S1610">
        <v>5</v>
      </c>
      <c r="T1610">
        <v>5</v>
      </c>
      <c r="U1610" t="s">
        <v>30</v>
      </c>
      <c r="V1610" t="s">
        <v>54</v>
      </c>
      <c r="W1610" t="s">
        <v>39</v>
      </c>
      <c r="X1610" t="s">
        <v>40</v>
      </c>
      <c r="Y1610">
        <v>43</v>
      </c>
      <c r="Z1610" s="1">
        <v>45502</v>
      </c>
      <c r="AA1610" t="str" cm="1">
        <f t="array" ref="AA16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10" t="str" cm="1">
        <f t="array" ref="AC1610">_xlfn.IFS(Table2[[#This Row],[Satification_points]]&gt;=4.5,"GREAT",AND(Table2[[#This Row],[Satification_points]]&gt;=4,Table2[[#This Row],[Satification_points]]&lt;4.5),"GOOD",AND(Table2[[#This Row],[Satification_points]]&gt;=3,Table2[[#This Row],[Satification_points]]&lt;4),"AVERAGE",Table2[[#This Row],[Satification_points]]&lt;3,"POOR")</f>
        <v>AVERAGE</v>
      </c>
    </row>
    <row r="1611" spans="1:29" x14ac:dyDescent="0.3">
      <c r="A1611">
        <v>1610</v>
      </c>
      <c r="B1611">
        <v>60175</v>
      </c>
      <c r="C1611" t="s">
        <v>1652</v>
      </c>
      <c r="D1611" t="s">
        <v>51</v>
      </c>
      <c r="E1611" t="s">
        <v>27</v>
      </c>
      <c r="F1611" s="1">
        <v>45028</v>
      </c>
      <c r="G1611" s="1">
        <v>45358</v>
      </c>
      <c r="H1611">
        <v>10</v>
      </c>
      <c r="I1611" t="s">
        <v>50</v>
      </c>
      <c r="J1611" t="s">
        <v>40</v>
      </c>
      <c r="K1611">
        <v>1</v>
      </c>
      <c r="L1611">
        <v>4</v>
      </c>
      <c r="M1611">
        <v>2</v>
      </c>
      <c r="N1611">
        <v>4</v>
      </c>
      <c r="O1611">
        <v>2</v>
      </c>
      <c r="P1611">
        <v>2</v>
      </c>
      <c r="Q1611">
        <v>4</v>
      </c>
      <c r="R1611">
        <v>3</v>
      </c>
      <c r="S1611">
        <v>5</v>
      </c>
      <c r="T1611">
        <v>5</v>
      </c>
      <c r="U1611" t="s">
        <v>30</v>
      </c>
      <c r="V1611" t="s">
        <v>58</v>
      </c>
      <c r="W1611" t="s">
        <v>39</v>
      </c>
      <c r="X1611" t="s">
        <v>44</v>
      </c>
      <c r="Y1611">
        <v>22</v>
      </c>
      <c r="Z1611" s="1">
        <v>45358</v>
      </c>
      <c r="AA1611" t="str" cm="1">
        <f t="array" ref="AA1611">_xlfn.IFS(AND(Table2[[#This Row],[Guest_Age]]&gt;=18,Table2[[#This Row],[Guest_Age]]&lt;=25),"Young Adults",AND(Table2[[#This Row],[Guest_Age]]&gt;=26,Table2[[#This Row],[Guest_Age]]&lt;=35),"Adults",AND(Table2[[#This Row],[Guest_Age]]&gt;=36,Table2[[#This Row],[Guest_Age]]&lt;=50),"Middle Aged Adults",Table2[[#This Row],[Guest_Age]]&gt;50,"Senior")</f>
        <v>Young Adults</v>
      </c>
      <c r="AB16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11" t="str" cm="1">
        <f t="array" ref="AC1611">_xlfn.IFS(Table2[[#This Row],[Satification_points]]&gt;=4.5,"GREAT",AND(Table2[[#This Row],[Satification_points]]&gt;=4,Table2[[#This Row],[Satification_points]]&lt;4.5),"GOOD",AND(Table2[[#This Row],[Satification_points]]&gt;=3,Table2[[#This Row],[Satification_points]]&lt;4),"AVERAGE",Table2[[#This Row],[Satification_points]]&lt;3,"POOR")</f>
        <v>AVERAGE</v>
      </c>
    </row>
    <row r="1612" spans="1:29" x14ac:dyDescent="0.3">
      <c r="A1612">
        <v>1611</v>
      </c>
      <c r="B1612">
        <v>88610</v>
      </c>
      <c r="C1612" t="s">
        <v>1653</v>
      </c>
      <c r="D1612" t="s">
        <v>48</v>
      </c>
      <c r="E1612" t="s">
        <v>45</v>
      </c>
      <c r="F1612" s="1">
        <v>45145</v>
      </c>
      <c r="G1612" s="1">
        <v>45483</v>
      </c>
      <c r="H1612">
        <v>11</v>
      </c>
      <c r="I1612" t="s">
        <v>50</v>
      </c>
      <c r="J1612" t="s">
        <v>43</v>
      </c>
      <c r="K1612">
        <v>5</v>
      </c>
      <c r="L1612">
        <v>2</v>
      </c>
      <c r="M1612">
        <v>1</v>
      </c>
      <c r="N1612">
        <v>1</v>
      </c>
      <c r="O1612">
        <v>3</v>
      </c>
      <c r="P1612">
        <v>2</v>
      </c>
      <c r="Q1612">
        <v>5</v>
      </c>
      <c r="R1612">
        <v>2</v>
      </c>
      <c r="S1612">
        <v>3</v>
      </c>
      <c r="T1612">
        <v>2</v>
      </c>
      <c r="U1612" t="s">
        <v>30</v>
      </c>
      <c r="V1612" t="s">
        <v>38</v>
      </c>
      <c r="W1612" t="s">
        <v>32</v>
      </c>
      <c r="X1612" t="s">
        <v>33</v>
      </c>
      <c r="Y1612">
        <v>26</v>
      </c>
      <c r="Z1612" s="1">
        <v>45483</v>
      </c>
      <c r="AA1612" t="str" cm="1">
        <f t="array" ref="AA1612">_xlfn.IFS(AND(Table2[[#This Row],[Guest_Age]]&gt;=18,Table2[[#This Row],[Guest_Age]]&lt;=25),"Young Adults",AND(Table2[[#This Row],[Guest_Age]]&gt;=26,Table2[[#This Row],[Guest_Age]]&lt;=35),"Adults",AND(Table2[[#This Row],[Guest_Age]]&gt;=36,Table2[[#This Row],[Guest_Age]]&lt;=50),"Middle Aged Adults",Table2[[#This Row],[Guest_Age]]&gt;50,"Senior")</f>
        <v>Adults</v>
      </c>
      <c r="AB16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612" t="str" cm="1">
        <f t="array" ref="AC1612">_xlfn.IFS(Table2[[#This Row],[Satification_points]]&gt;=4.5,"GREAT",AND(Table2[[#This Row],[Satification_points]]&gt;=4,Table2[[#This Row],[Satification_points]]&lt;4.5),"GOOD",AND(Table2[[#This Row],[Satification_points]]&gt;=3,Table2[[#This Row],[Satification_points]]&lt;4),"AVERAGE",Table2[[#This Row],[Satification_points]]&lt;3,"POOR")</f>
        <v>POOR</v>
      </c>
    </row>
    <row r="1613" spans="1:29" x14ac:dyDescent="0.3">
      <c r="A1613">
        <v>1612</v>
      </c>
      <c r="B1613">
        <v>75772</v>
      </c>
      <c r="C1613" t="s">
        <v>1654</v>
      </c>
      <c r="D1613" t="s">
        <v>51</v>
      </c>
      <c r="E1613" t="s">
        <v>52</v>
      </c>
      <c r="F1613" s="1">
        <v>45170</v>
      </c>
      <c r="G1613" s="1">
        <v>45178</v>
      </c>
      <c r="H1613">
        <v>10</v>
      </c>
      <c r="I1613" t="s">
        <v>50</v>
      </c>
      <c r="J1613" t="s">
        <v>36</v>
      </c>
      <c r="K1613">
        <v>2</v>
      </c>
      <c r="L1613">
        <v>4</v>
      </c>
      <c r="M1613">
        <v>2</v>
      </c>
      <c r="N1613">
        <v>2</v>
      </c>
      <c r="O1613">
        <v>5</v>
      </c>
      <c r="P1613">
        <v>3</v>
      </c>
      <c r="Q1613">
        <v>2</v>
      </c>
      <c r="R1613">
        <v>2</v>
      </c>
      <c r="S1613">
        <v>1</v>
      </c>
      <c r="T1613">
        <v>5</v>
      </c>
      <c r="U1613" t="s">
        <v>37</v>
      </c>
      <c r="V1613" t="s">
        <v>46</v>
      </c>
      <c r="W1613" t="s">
        <v>47</v>
      </c>
      <c r="X1613" t="s">
        <v>33</v>
      </c>
      <c r="Y1613">
        <v>62</v>
      </c>
      <c r="Z1613" s="1">
        <v>45564</v>
      </c>
      <c r="AA1613" t="str" cm="1">
        <f t="array" ref="AA1613">_xlfn.IFS(AND(Table2[[#This Row],[Guest_Age]]&gt;=18,Table2[[#This Row],[Guest_Age]]&lt;=25),"Young Adults",AND(Table2[[#This Row],[Guest_Age]]&gt;=26,Table2[[#This Row],[Guest_Age]]&lt;=35),"Adults",AND(Table2[[#This Row],[Guest_Age]]&gt;=36,Table2[[#This Row],[Guest_Age]]&lt;=50),"Middle Aged Adults",Table2[[#This Row],[Guest_Age]]&gt;50,"Senior")</f>
        <v>Senior</v>
      </c>
      <c r="AB16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13" t="str" cm="1">
        <f t="array" ref="AC1613">_xlfn.IFS(Table2[[#This Row],[Satification_points]]&gt;=4.5,"GREAT",AND(Table2[[#This Row],[Satification_points]]&gt;=4,Table2[[#This Row],[Satification_points]]&lt;4.5),"GOOD",AND(Table2[[#This Row],[Satification_points]]&gt;=3,Table2[[#This Row],[Satification_points]]&lt;4),"AVERAGE",Table2[[#This Row],[Satification_points]]&lt;3,"POOR")</f>
        <v>POOR</v>
      </c>
    </row>
    <row r="1614" spans="1:29" x14ac:dyDescent="0.3">
      <c r="A1614">
        <v>1613</v>
      </c>
      <c r="B1614">
        <v>33070</v>
      </c>
      <c r="C1614" t="s">
        <v>1655</v>
      </c>
      <c r="D1614" t="s">
        <v>48</v>
      </c>
      <c r="E1614" t="s">
        <v>57</v>
      </c>
      <c r="F1614" s="1">
        <v>45229</v>
      </c>
      <c r="G1614" s="1">
        <v>45360</v>
      </c>
      <c r="H1614">
        <v>5</v>
      </c>
      <c r="I1614" t="s">
        <v>28</v>
      </c>
      <c r="J1614" t="s">
        <v>43</v>
      </c>
      <c r="K1614">
        <v>1</v>
      </c>
      <c r="L1614">
        <v>5</v>
      </c>
      <c r="M1614">
        <v>1</v>
      </c>
      <c r="N1614">
        <v>5</v>
      </c>
      <c r="O1614">
        <v>2</v>
      </c>
      <c r="P1614">
        <v>2</v>
      </c>
      <c r="Q1614">
        <v>5</v>
      </c>
      <c r="R1614">
        <v>3</v>
      </c>
      <c r="S1614">
        <v>3</v>
      </c>
      <c r="T1614">
        <v>2</v>
      </c>
      <c r="U1614" t="s">
        <v>30</v>
      </c>
      <c r="V1614" t="s">
        <v>46</v>
      </c>
      <c r="W1614" t="s">
        <v>39</v>
      </c>
      <c r="X1614" t="s">
        <v>33</v>
      </c>
      <c r="Y1614">
        <v>50</v>
      </c>
      <c r="Z1614" s="1">
        <v>45360</v>
      </c>
      <c r="AA1614" t="str" cm="1">
        <f t="array" ref="AA161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14" t="str" cm="1">
        <f t="array" ref="AC1614">_xlfn.IFS(Table2[[#This Row],[Satification_points]]&gt;=4.5,"GREAT",AND(Table2[[#This Row],[Satification_points]]&gt;=4,Table2[[#This Row],[Satification_points]]&lt;4.5),"GOOD",AND(Table2[[#This Row],[Satification_points]]&gt;=3,Table2[[#This Row],[Satification_points]]&lt;4),"AVERAGE",Table2[[#This Row],[Satification_points]]&lt;3,"POOR")</f>
        <v>POOR</v>
      </c>
    </row>
    <row r="1615" spans="1:29" x14ac:dyDescent="0.3">
      <c r="A1615">
        <v>1614</v>
      </c>
      <c r="B1615">
        <v>21476</v>
      </c>
      <c r="C1615" t="s">
        <v>1656</v>
      </c>
      <c r="D1615" t="s">
        <v>51</v>
      </c>
      <c r="E1615" t="s">
        <v>57</v>
      </c>
      <c r="F1615" s="1">
        <v>45296</v>
      </c>
      <c r="G1615" s="1">
        <v>45297</v>
      </c>
      <c r="H1615">
        <v>12</v>
      </c>
      <c r="I1615" t="s">
        <v>50</v>
      </c>
      <c r="J1615" t="s">
        <v>43</v>
      </c>
      <c r="K1615">
        <v>2</v>
      </c>
      <c r="L1615">
        <v>3</v>
      </c>
      <c r="M1615">
        <v>3</v>
      </c>
      <c r="N1615">
        <v>3</v>
      </c>
      <c r="O1615">
        <v>5</v>
      </c>
      <c r="P1615">
        <v>3</v>
      </c>
      <c r="Q1615">
        <v>3</v>
      </c>
      <c r="R1615">
        <v>1</v>
      </c>
      <c r="S1615">
        <v>4</v>
      </c>
      <c r="T1615">
        <v>2</v>
      </c>
      <c r="U1615" t="s">
        <v>37</v>
      </c>
      <c r="V1615" t="s">
        <v>58</v>
      </c>
      <c r="W1615" t="s">
        <v>47</v>
      </c>
      <c r="X1615" t="s">
        <v>40</v>
      </c>
      <c r="Y1615">
        <v>42</v>
      </c>
      <c r="Z1615" s="1">
        <v>45297</v>
      </c>
      <c r="AA1615" t="str" cm="1">
        <f t="array" ref="AA161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15" t="str" cm="1">
        <f t="array" ref="AC1615">_xlfn.IFS(Table2[[#This Row],[Satification_points]]&gt;=4.5,"GREAT",AND(Table2[[#This Row],[Satification_points]]&gt;=4,Table2[[#This Row],[Satification_points]]&lt;4.5),"GOOD",AND(Table2[[#This Row],[Satification_points]]&gt;=3,Table2[[#This Row],[Satification_points]]&lt;4),"AVERAGE",Table2[[#This Row],[Satification_points]]&lt;3,"POOR")</f>
        <v>POOR</v>
      </c>
    </row>
    <row r="1616" spans="1:29" x14ac:dyDescent="0.3">
      <c r="A1616">
        <v>1615</v>
      </c>
      <c r="B1616">
        <v>95263</v>
      </c>
      <c r="C1616" t="s">
        <v>1657</v>
      </c>
      <c r="D1616" t="s">
        <v>34</v>
      </c>
      <c r="E1616" t="s">
        <v>52</v>
      </c>
      <c r="F1616" s="1">
        <v>45201</v>
      </c>
      <c r="G1616" s="1">
        <v>45373</v>
      </c>
      <c r="H1616">
        <v>7</v>
      </c>
      <c r="I1616" t="s">
        <v>49</v>
      </c>
      <c r="J1616" t="s">
        <v>53</v>
      </c>
      <c r="K1616">
        <v>3</v>
      </c>
      <c r="L1616">
        <v>3</v>
      </c>
      <c r="M1616">
        <v>5</v>
      </c>
      <c r="N1616">
        <v>5</v>
      </c>
      <c r="O1616">
        <v>2</v>
      </c>
      <c r="P1616">
        <v>4</v>
      </c>
      <c r="Q1616">
        <v>3</v>
      </c>
      <c r="R1616">
        <v>3</v>
      </c>
      <c r="S1616">
        <v>3</v>
      </c>
      <c r="T1616">
        <v>3</v>
      </c>
      <c r="U1616" t="s">
        <v>30</v>
      </c>
      <c r="V1616" t="s">
        <v>38</v>
      </c>
      <c r="W1616" t="s">
        <v>47</v>
      </c>
      <c r="X1616" t="s">
        <v>44</v>
      </c>
      <c r="Y1616">
        <v>69</v>
      </c>
      <c r="Z1616" s="1">
        <v>45373</v>
      </c>
      <c r="AA1616" t="str" cm="1">
        <f t="array" ref="AA1616">_xlfn.IFS(AND(Table2[[#This Row],[Guest_Age]]&gt;=18,Table2[[#This Row],[Guest_Age]]&lt;=25),"Young Adults",AND(Table2[[#This Row],[Guest_Age]]&gt;=26,Table2[[#This Row],[Guest_Age]]&lt;=35),"Adults",AND(Table2[[#This Row],[Guest_Age]]&gt;=36,Table2[[#This Row],[Guest_Age]]&lt;=50),"Middle Aged Adults",Table2[[#This Row],[Guest_Age]]&gt;50,"Senior")</f>
        <v>Senior</v>
      </c>
      <c r="AB16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616" t="str" cm="1">
        <f t="array" ref="AC1616">_xlfn.IFS(Table2[[#This Row],[Satification_points]]&gt;=4.5,"GREAT",AND(Table2[[#This Row],[Satification_points]]&gt;=4,Table2[[#This Row],[Satification_points]]&lt;4.5),"GOOD",AND(Table2[[#This Row],[Satification_points]]&gt;=3,Table2[[#This Row],[Satification_points]]&lt;4),"AVERAGE",Table2[[#This Row],[Satification_points]]&lt;3,"POOR")</f>
        <v>AVERAGE</v>
      </c>
    </row>
    <row r="1617" spans="1:29" x14ac:dyDescent="0.3">
      <c r="A1617">
        <v>1616</v>
      </c>
      <c r="B1617">
        <v>62369</v>
      </c>
      <c r="C1617" t="s">
        <v>1658</v>
      </c>
      <c r="D1617" t="s">
        <v>41</v>
      </c>
      <c r="E1617" t="s">
        <v>35</v>
      </c>
      <c r="F1617" s="1">
        <v>44996</v>
      </c>
      <c r="G1617" s="1">
        <v>44997</v>
      </c>
      <c r="H1617">
        <v>6</v>
      </c>
      <c r="I1617" t="s">
        <v>42</v>
      </c>
      <c r="J1617" t="s">
        <v>40</v>
      </c>
      <c r="K1617">
        <v>3</v>
      </c>
      <c r="L1617">
        <v>3</v>
      </c>
      <c r="M1617">
        <v>5</v>
      </c>
      <c r="N1617">
        <v>4</v>
      </c>
      <c r="O1617">
        <v>3</v>
      </c>
      <c r="P1617">
        <v>5</v>
      </c>
      <c r="Q1617">
        <v>1</v>
      </c>
      <c r="R1617">
        <v>3</v>
      </c>
      <c r="S1617">
        <v>4</v>
      </c>
      <c r="T1617">
        <v>5</v>
      </c>
      <c r="U1617" t="s">
        <v>37</v>
      </c>
      <c r="V1617" t="s">
        <v>38</v>
      </c>
      <c r="W1617" t="s">
        <v>32</v>
      </c>
      <c r="X1617" t="s">
        <v>33</v>
      </c>
      <c r="Y1617">
        <v>64</v>
      </c>
      <c r="Z1617" s="1">
        <v>45534</v>
      </c>
      <c r="AA1617" t="str" cm="1">
        <f t="array" ref="AA1617">_xlfn.IFS(AND(Table2[[#This Row],[Guest_Age]]&gt;=18,Table2[[#This Row],[Guest_Age]]&lt;=25),"Young Adults",AND(Table2[[#This Row],[Guest_Age]]&gt;=26,Table2[[#This Row],[Guest_Age]]&lt;=35),"Adults",AND(Table2[[#This Row],[Guest_Age]]&gt;=36,Table2[[#This Row],[Guest_Age]]&lt;=50),"Middle Aged Adults",Table2[[#This Row],[Guest_Age]]&gt;50,"Senior")</f>
        <v>Senior</v>
      </c>
      <c r="AB16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17" t="str" cm="1">
        <f t="array" ref="AC1617">_xlfn.IFS(Table2[[#This Row],[Satification_points]]&gt;=4.5,"GREAT",AND(Table2[[#This Row],[Satification_points]]&gt;=4,Table2[[#This Row],[Satification_points]]&lt;4.5),"GOOD",AND(Table2[[#This Row],[Satification_points]]&gt;=3,Table2[[#This Row],[Satification_points]]&lt;4),"AVERAGE",Table2[[#This Row],[Satification_points]]&lt;3,"POOR")</f>
        <v>AVERAGE</v>
      </c>
    </row>
    <row r="1618" spans="1:29" x14ac:dyDescent="0.3">
      <c r="A1618">
        <v>1617</v>
      </c>
      <c r="B1618">
        <v>28339</v>
      </c>
      <c r="C1618" t="s">
        <v>1659</v>
      </c>
      <c r="D1618" t="s">
        <v>41</v>
      </c>
      <c r="E1618" t="s">
        <v>35</v>
      </c>
      <c r="F1618" s="1">
        <v>44973</v>
      </c>
      <c r="G1618" s="1">
        <v>45133</v>
      </c>
      <c r="H1618">
        <v>11</v>
      </c>
      <c r="I1618" t="s">
        <v>50</v>
      </c>
      <c r="J1618" t="s">
        <v>43</v>
      </c>
      <c r="K1618">
        <v>3</v>
      </c>
      <c r="L1618">
        <v>3</v>
      </c>
      <c r="M1618">
        <v>4</v>
      </c>
      <c r="N1618">
        <v>1</v>
      </c>
      <c r="O1618">
        <v>5</v>
      </c>
      <c r="P1618">
        <v>5</v>
      </c>
      <c r="Q1618">
        <v>2</v>
      </c>
      <c r="R1618">
        <v>4</v>
      </c>
      <c r="S1618">
        <v>5</v>
      </c>
      <c r="T1618">
        <v>4</v>
      </c>
      <c r="U1618" t="s">
        <v>30</v>
      </c>
      <c r="V1618" t="s">
        <v>31</v>
      </c>
      <c r="W1618" t="s">
        <v>56</v>
      </c>
      <c r="X1618" t="s">
        <v>33</v>
      </c>
      <c r="Y1618">
        <v>34</v>
      </c>
      <c r="Z1618" s="1">
        <v>45576</v>
      </c>
      <c r="AA1618" t="str" cm="1">
        <f t="array" ref="AA1618">_xlfn.IFS(AND(Table2[[#This Row],[Guest_Age]]&gt;=18,Table2[[#This Row],[Guest_Age]]&lt;=25),"Young Adults",AND(Table2[[#This Row],[Guest_Age]]&gt;=26,Table2[[#This Row],[Guest_Age]]&lt;=35),"Adults",AND(Table2[[#This Row],[Guest_Age]]&gt;=36,Table2[[#This Row],[Guest_Age]]&lt;=50),"Middle Aged Adults",Table2[[#This Row],[Guest_Age]]&gt;50,"Senior")</f>
        <v>Adults</v>
      </c>
      <c r="AB16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18" t="str" cm="1">
        <f t="array" ref="AC1618">_xlfn.IFS(Table2[[#This Row],[Satification_points]]&gt;=4.5,"GREAT",AND(Table2[[#This Row],[Satification_points]]&gt;=4,Table2[[#This Row],[Satification_points]]&lt;4.5),"GOOD",AND(Table2[[#This Row],[Satification_points]]&gt;=3,Table2[[#This Row],[Satification_points]]&lt;4),"AVERAGE",Table2[[#This Row],[Satification_points]]&lt;3,"POOR")</f>
        <v>AVERAGE</v>
      </c>
    </row>
    <row r="1619" spans="1:29" x14ac:dyDescent="0.3">
      <c r="A1619">
        <v>1618</v>
      </c>
      <c r="B1619">
        <v>32539</v>
      </c>
      <c r="C1619" t="s">
        <v>1660</v>
      </c>
      <c r="D1619" t="s">
        <v>26</v>
      </c>
      <c r="E1619" t="s">
        <v>57</v>
      </c>
      <c r="F1619" s="1">
        <v>45043</v>
      </c>
      <c r="G1619" s="1">
        <v>45258</v>
      </c>
      <c r="H1619">
        <v>10</v>
      </c>
      <c r="I1619" t="s">
        <v>42</v>
      </c>
      <c r="J1619" t="s">
        <v>29</v>
      </c>
      <c r="K1619">
        <v>1</v>
      </c>
      <c r="L1619">
        <v>3</v>
      </c>
      <c r="M1619">
        <v>4</v>
      </c>
      <c r="N1619">
        <v>4</v>
      </c>
      <c r="O1619">
        <v>5</v>
      </c>
      <c r="P1619">
        <v>5</v>
      </c>
      <c r="Q1619">
        <v>1</v>
      </c>
      <c r="R1619">
        <v>1</v>
      </c>
      <c r="S1619">
        <v>3</v>
      </c>
      <c r="T1619">
        <v>2</v>
      </c>
      <c r="U1619" t="s">
        <v>30</v>
      </c>
      <c r="V1619" t="s">
        <v>58</v>
      </c>
      <c r="W1619" t="s">
        <v>56</v>
      </c>
      <c r="X1619" t="s">
        <v>44</v>
      </c>
      <c r="Y1619">
        <v>57</v>
      </c>
      <c r="Z1619" s="1">
        <v>45258</v>
      </c>
      <c r="AA1619" t="str" cm="1">
        <f t="array" ref="AA1619">_xlfn.IFS(AND(Table2[[#This Row],[Guest_Age]]&gt;=18,Table2[[#This Row],[Guest_Age]]&lt;=25),"Young Adults",AND(Table2[[#This Row],[Guest_Age]]&gt;=26,Table2[[#This Row],[Guest_Age]]&lt;=35),"Adults",AND(Table2[[#This Row],[Guest_Age]]&gt;=36,Table2[[#This Row],[Guest_Age]]&lt;=50),"Middle Aged Adults",Table2[[#This Row],[Guest_Age]]&gt;50,"Senior")</f>
        <v>Senior</v>
      </c>
      <c r="AB16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19" t="str" cm="1">
        <f t="array" ref="AC1619">_xlfn.IFS(Table2[[#This Row],[Satification_points]]&gt;=4.5,"GREAT",AND(Table2[[#This Row],[Satification_points]]&gt;=4,Table2[[#This Row],[Satification_points]]&lt;4.5),"GOOD",AND(Table2[[#This Row],[Satification_points]]&gt;=3,Table2[[#This Row],[Satification_points]]&lt;4),"AVERAGE",Table2[[#This Row],[Satification_points]]&lt;3,"POOR")</f>
        <v>POOR</v>
      </c>
    </row>
    <row r="1620" spans="1:29" x14ac:dyDescent="0.3">
      <c r="A1620">
        <v>1619</v>
      </c>
      <c r="B1620">
        <v>67079</v>
      </c>
      <c r="C1620" t="s">
        <v>1661</v>
      </c>
      <c r="D1620" t="s">
        <v>41</v>
      </c>
      <c r="E1620" t="s">
        <v>27</v>
      </c>
      <c r="F1620" s="1">
        <v>45516</v>
      </c>
      <c r="G1620" s="1">
        <v>45523</v>
      </c>
      <c r="H1620">
        <v>4</v>
      </c>
      <c r="I1620" t="s">
        <v>28</v>
      </c>
      <c r="J1620" t="s">
        <v>40</v>
      </c>
      <c r="K1620">
        <v>1</v>
      </c>
      <c r="L1620">
        <v>5</v>
      </c>
      <c r="M1620">
        <v>2</v>
      </c>
      <c r="N1620">
        <v>4</v>
      </c>
      <c r="O1620">
        <v>1</v>
      </c>
      <c r="P1620">
        <v>3</v>
      </c>
      <c r="Q1620">
        <v>1</v>
      </c>
      <c r="R1620">
        <v>5</v>
      </c>
      <c r="S1620">
        <v>5</v>
      </c>
      <c r="T1620">
        <v>5</v>
      </c>
      <c r="U1620" t="s">
        <v>37</v>
      </c>
      <c r="V1620" t="s">
        <v>31</v>
      </c>
      <c r="W1620" t="s">
        <v>39</v>
      </c>
      <c r="X1620" t="s">
        <v>40</v>
      </c>
      <c r="Y1620">
        <v>64</v>
      </c>
      <c r="Z1620" s="1">
        <v>45523</v>
      </c>
      <c r="AA1620" t="str" cm="1">
        <f t="array" ref="AA1620">_xlfn.IFS(AND(Table2[[#This Row],[Guest_Age]]&gt;=18,Table2[[#This Row],[Guest_Age]]&lt;=25),"Young Adults",AND(Table2[[#This Row],[Guest_Age]]&gt;=26,Table2[[#This Row],[Guest_Age]]&lt;=35),"Adults",AND(Table2[[#This Row],[Guest_Age]]&gt;=36,Table2[[#This Row],[Guest_Age]]&lt;=50),"Middle Aged Adults",Table2[[#This Row],[Guest_Age]]&gt;50,"Senior")</f>
        <v>Senior</v>
      </c>
      <c r="AB16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20" t="str" cm="1">
        <f t="array" ref="AC1620">_xlfn.IFS(Table2[[#This Row],[Satification_points]]&gt;=4.5,"GREAT",AND(Table2[[#This Row],[Satification_points]]&gt;=4,Table2[[#This Row],[Satification_points]]&lt;4.5),"GOOD",AND(Table2[[#This Row],[Satification_points]]&gt;=3,Table2[[#This Row],[Satification_points]]&lt;4),"AVERAGE",Table2[[#This Row],[Satification_points]]&lt;3,"POOR")</f>
        <v>AVERAGE</v>
      </c>
    </row>
    <row r="1621" spans="1:29" x14ac:dyDescent="0.3">
      <c r="A1621">
        <v>1620</v>
      </c>
      <c r="B1621">
        <v>10228</v>
      </c>
      <c r="C1621" t="s">
        <v>1662</v>
      </c>
      <c r="D1621" t="s">
        <v>34</v>
      </c>
      <c r="E1621" t="s">
        <v>45</v>
      </c>
      <c r="F1621" s="1">
        <v>45443</v>
      </c>
      <c r="G1621" s="1">
        <v>45452</v>
      </c>
      <c r="H1621">
        <v>13</v>
      </c>
      <c r="I1621" t="s">
        <v>50</v>
      </c>
      <c r="J1621" t="s">
        <v>53</v>
      </c>
      <c r="K1621">
        <v>2</v>
      </c>
      <c r="L1621">
        <v>5</v>
      </c>
      <c r="M1621">
        <v>4</v>
      </c>
      <c r="N1621">
        <v>2</v>
      </c>
      <c r="O1621">
        <v>1</v>
      </c>
      <c r="P1621">
        <v>3</v>
      </c>
      <c r="Q1621">
        <v>1</v>
      </c>
      <c r="R1621">
        <v>4</v>
      </c>
      <c r="S1621">
        <v>4</v>
      </c>
      <c r="T1621">
        <v>4</v>
      </c>
      <c r="U1621" t="s">
        <v>30</v>
      </c>
      <c r="V1621" t="s">
        <v>54</v>
      </c>
      <c r="W1621" t="s">
        <v>32</v>
      </c>
      <c r="X1621" t="s">
        <v>33</v>
      </c>
      <c r="Y1621">
        <v>36</v>
      </c>
      <c r="Z1621" s="1">
        <v>45539</v>
      </c>
      <c r="AA1621" t="str" cm="1">
        <f t="array" ref="AA162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21" t="str" cm="1">
        <f t="array" ref="AC1621">_xlfn.IFS(Table2[[#This Row],[Satification_points]]&gt;=4.5,"GREAT",AND(Table2[[#This Row],[Satification_points]]&gt;=4,Table2[[#This Row],[Satification_points]]&lt;4.5),"GOOD",AND(Table2[[#This Row],[Satification_points]]&gt;=3,Table2[[#This Row],[Satification_points]]&lt;4),"AVERAGE",Table2[[#This Row],[Satification_points]]&lt;3,"POOR")</f>
        <v>AVERAGE</v>
      </c>
    </row>
    <row r="1622" spans="1:29" x14ac:dyDescent="0.3">
      <c r="A1622">
        <v>1621</v>
      </c>
      <c r="B1622">
        <v>64090</v>
      </c>
      <c r="C1622" t="s">
        <v>1663</v>
      </c>
      <c r="D1622" t="s">
        <v>48</v>
      </c>
      <c r="E1622" t="s">
        <v>52</v>
      </c>
      <c r="F1622" s="1">
        <v>45180</v>
      </c>
      <c r="G1622" s="1">
        <v>45181</v>
      </c>
      <c r="H1622">
        <v>12</v>
      </c>
      <c r="I1622" t="s">
        <v>49</v>
      </c>
      <c r="J1622" t="s">
        <v>53</v>
      </c>
      <c r="K1622">
        <v>2</v>
      </c>
      <c r="L1622">
        <v>4</v>
      </c>
      <c r="M1622">
        <v>1</v>
      </c>
      <c r="N1622">
        <v>4</v>
      </c>
      <c r="O1622">
        <v>4</v>
      </c>
      <c r="P1622">
        <v>2</v>
      </c>
      <c r="Q1622">
        <v>3</v>
      </c>
      <c r="R1622">
        <v>1</v>
      </c>
      <c r="S1622">
        <v>1</v>
      </c>
      <c r="T1622">
        <v>1</v>
      </c>
      <c r="U1622" t="s">
        <v>30</v>
      </c>
      <c r="V1622" t="s">
        <v>38</v>
      </c>
      <c r="W1622" t="s">
        <v>39</v>
      </c>
      <c r="X1622" t="s">
        <v>33</v>
      </c>
      <c r="Y1622">
        <v>28</v>
      </c>
      <c r="Z1622" s="1">
        <v>45181</v>
      </c>
      <c r="AA1622" t="str" cm="1">
        <f t="array" ref="AA1622">_xlfn.IFS(AND(Table2[[#This Row],[Guest_Age]]&gt;=18,Table2[[#This Row],[Guest_Age]]&lt;=25),"Young Adults",AND(Table2[[#This Row],[Guest_Age]]&gt;=26,Table2[[#This Row],[Guest_Age]]&lt;=35),"Adults",AND(Table2[[#This Row],[Guest_Age]]&gt;=36,Table2[[#This Row],[Guest_Age]]&lt;=50),"Middle Aged Adults",Table2[[#This Row],[Guest_Age]]&gt;50,"Senior")</f>
        <v>Adults</v>
      </c>
      <c r="AB16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622" t="str" cm="1">
        <f t="array" ref="AC1622">_xlfn.IFS(Table2[[#This Row],[Satification_points]]&gt;=4.5,"GREAT",AND(Table2[[#This Row],[Satification_points]]&gt;=4,Table2[[#This Row],[Satification_points]]&lt;4.5),"GOOD",AND(Table2[[#This Row],[Satification_points]]&gt;=3,Table2[[#This Row],[Satification_points]]&lt;4),"AVERAGE",Table2[[#This Row],[Satification_points]]&lt;3,"POOR")</f>
        <v>POOR</v>
      </c>
    </row>
    <row r="1623" spans="1:29" x14ac:dyDescent="0.3">
      <c r="A1623">
        <v>1622</v>
      </c>
      <c r="B1623">
        <v>96980</v>
      </c>
      <c r="C1623" t="s">
        <v>1664</v>
      </c>
      <c r="D1623" t="s">
        <v>48</v>
      </c>
      <c r="E1623" t="s">
        <v>27</v>
      </c>
      <c r="F1623" s="1">
        <v>45545</v>
      </c>
      <c r="G1623" s="1">
        <v>45546</v>
      </c>
      <c r="H1623">
        <v>2</v>
      </c>
      <c r="I1623" t="s">
        <v>50</v>
      </c>
      <c r="J1623" t="s">
        <v>29</v>
      </c>
      <c r="K1623">
        <v>5</v>
      </c>
      <c r="L1623">
        <v>1</v>
      </c>
      <c r="M1623">
        <v>5</v>
      </c>
      <c r="N1623">
        <v>3</v>
      </c>
      <c r="O1623">
        <v>1</v>
      </c>
      <c r="P1623">
        <v>5</v>
      </c>
      <c r="Q1623">
        <v>1</v>
      </c>
      <c r="R1623">
        <v>1</v>
      </c>
      <c r="S1623">
        <v>2</v>
      </c>
      <c r="T1623">
        <v>4</v>
      </c>
      <c r="U1623" t="s">
        <v>37</v>
      </c>
      <c r="V1623" t="s">
        <v>31</v>
      </c>
      <c r="W1623" t="s">
        <v>39</v>
      </c>
      <c r="X1623" t="s">
        <v>40</v>
      </c>
      <c r="Y1623">
        <v>25</v>
      </c>
      <c r="Z1623" s="1">
        <v>45546</v>
      </c>
      <c r="AA1623" t="str" cm="1">
        <f t="array" ref="AA1623">_xlfn.IFS(AND(Table2[[#This Row],[Guest_Age]]&gt;=18,Table2[[#This Row],[Guest_Age]]&lt;=25),"Young Adults",AND(Table2[[#This Row],[Guest_Age]]&gt;=26,Table2[[#This Row],[Guest_Age]]&lt;=35),"Adults",AND(Table2[[#This Row],[Guest_Age]]&gt;=36,Table2[[#This Row],[Guest_Age]]&lt;=50),"Middle Aged Adults",Table2[[#This Row],[Guest_Age]]&gt;50,"Senior")</f>
        <v>Young Adults</v>
      </c>
      <c r="AB16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23" t="str" cm="1">
        <f t="array" ref="AC1623">_xlfn.IFS(Table2[[#This Row],[Satification_points]]&gt;=4.5,"GREAT",AND(Table2[[#This Row],[Satification_points]]&gt;=4,Table2[[#This Row],[Satification_points]]&lt;4.5),"GOOD",AND(Table2[[#This Row],[Satification_points]]&gt;=3,Table2[[#This Row],[Satification_points]]&lt;4),"AVERAGE",Table2[[#This Row],[Satification_points]]&lt;3,"POOR")</f>
        <v>POOR</v>
      </c>
    </row>
    <row r="1624" spans="1:29" x14ac:dyDescent="0.3">
      <c r="A1624">
        <v>1623</v>
      </c>
      <c r="B1624">
        <v>75202</v>
      </c>
      <c r="C1624" t="s">
        <v>1665</v>
      </c>
      <c r="D1624" t="s">
        <v>41</v>
      </c>
      <c r="E1624" t="s">
        <v>45</v>
      </c>
      <c r="F1624" s="1">
        <v>45099</v>
      </c>
      <c r="G1624" s="1">
        <v>45286</v>
      </c>
      <c r="H1624">
        <v>10</v>
      </c>
      <c r="I1624" t="s">
        <v>49</v>
      </c>
      <c r="J1624" t="s">
        <v>53</v>
      </c>
      <c r="K1624">
        <v>3</v>
      </c>
      <c r="L1624">
        <v>3</v>
      </c>
      <c r="M1624">
        <v>5</v>
      </c>
      <c r="N1624">
        <v>2</v>
      </c>
      <c r="O1624">
        <v>5</v>
      </c>
      <c r="P1624">
        <v>2</v>
      </c>
      <c r="Q1624">
        <v>1</v>
      </c>
      <c r="R1624">
        <v>1</v>
      </c>
      <c r="S1624">
        <v>4</v>
      </c>
      <c r="T1624">
        <v>2</v>
      </c>
      <c r="U1624" t="s">
        <v>30</v>
      </c>
      <c r="V1624" t="s">
        <v>38</v>
      </c>
      <c r="W1624" t="s">
        <v>56</v>
      </c>
      <c r="X1624" t="s">
        <v>33</v>
      </c>
      <c r="Y1624">
        <v>23</v>
      </c>
      <c r="Z1624" s="1">
        <v>45522</v>
      </c>
      <c r="AA1624" t="str" cm="1">
        <f t="array" ref="AA1624">_xlfn.IFS(AND(Table2[[#This Row],[Guest_Age]]&gt;=18,Table2[[#This Row],[Guest_Age]]&lt;=25),"Young Adults",AND(Table2[[#This Row],[Guest_Age]]&gt;=26,Table2[[#This Row],[Guest_Age]]&lt;=35),"Adults",AND(Table2[[#This Row],[Guest_Age]]&gt;=36,Table2[[#This Row],[Guest_Age]]&lt;=50),"Middle Aged Adults",Table2[[#This Row],[Guest_Age]]&gt;50,"Senior")</f>
        <v>Young Adults</v>
      </c>
      <c r="AB16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24" t="str" cm="1">
        <f t="array" ref="AC1624">_xlfn.IFS(Table2[[#This Row],[Satification_points]]&gt;=4.5,"GREAT",AND(Table2[[#This Row],[Satification_points]]&gt;=4,Table2[[#This Row],[Satification_points]]&lt;4.5),"GOOD",AND(Table2[[#This Row],[Satification_points]]&gt;=3,Table2[[#This Row],[Satification_points]]&lt;4),"AVERAGE",Table2[[#This Row],[Satification_points]]&lt;3,"POOR")</f>
        <v>POOR</v>
      </c>
    </row>
    <row r="1625" spans="1:29" x14ac:dyDescent="0.3">
      <c r="A1625">
        <v>1624</v>
      </c>
      <c r="B1625">
        <v>33199</v>
      </c>
      <c r="C1625" t="s">
        <v>1666</v>
      </c>
      <c r="D1625" t="s">
        <v>51</v>
      </c>
      <c r="E1625" t="s">
        <v>57</v>
      </c>
      <c r="F1625" s="1">
        <v>45355</v>
      </c>
      <c r="G1625" s="1">
        <v>45356</v>
      </c>
      <c r="H1625">
        <v>13</v>
      </c>
      <c r="I1625" t="s">
        <v>49</v>
      </c>
      <c r="J1625" t="s">
        <v>40</v>
      </c>
      <c r="K1625">
        <v>4</v>
      </c>
      <c r="L1625">
        <v>3</v>
      </c>
      <c r="M1625">
        <v>3</v>
      </c>
      <c r="N1625">
        <v>5</v>
      </c>
      <c r="O1625">
        <v>4</v>
      </c>
      <c r="P1625">
        <v>4</v>
      </c>
      <c r="Q1625">
        <v>1</v>
      </c>
      <c r="R1625">
        <v>2</v>
      </c>
      <c r="S1625">
        <v>4</v>
      </c>
      <c r="T1625">
        <v>2</v>
      </c>
      <c r="U1625" t="s">
        <v>30</v>
      </c>
      <c r="V1625" t="s">
        <v>54</v>
      </c>
      <c r="W1625" t="s">
        <v>32</v>
      </c>
      <c r="X1625" t="s">
        <v>40</v>
      </c>
      <c r="Y1625">
        <v>23</v>
      </c>
      <c r="Z1625" s="1">
        <v>45356</v>
      </c>
      <c r="AA1625" t="str" cm="1">
        <f t="array" ref="AA1625">_xlfn.IFS(AND(Table2[[#This Row],[Guest_Age]]&gt;=18,Table2[[#This Row],[Guest_Age]]&lt;=25),"Young Adults",AND(Table2[[#This Row],[Guest_Age]]&gt;=26,Table2[[#This Row],[Guest_Age]]&lt;=35),"Adults",AND(Table2[[#This Row],[Guest_Age]]&gt;=36,Table2[[#This Row],[Guest_Age]]&lt;=50),"Middle Aged Adults",Table2[[#This Row],[Guest_Age]]&gt;50,"Senior")</f>
        <v>Young Adults</v>
      </c>
      <c r="AB16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25" t="str" cm="1">
        <f t="array" ref="AC1625">_xlfn.IFS(Table2[[#This Row],[Satification_points]]&gt;=4.5,"GREAT",AND(Table2[[#This Row],[Satification_points]]&gt;=4,Table2[[#This Row],[Satification_points]]&lt;4.5),"GOOD",AND(Table2[[#This Row],[Satification_points]]&gt;=3,Table2[[#This Row],[Satification_points]]&lt;4),"AVERAGE",Table2[[#This Row],[Satification_points]]&lt;3,"POOR")</f>
        <v>AVERAGE</v>
      </c>
    </row>
    <row r="1626" spans="1:29" x14ac:dyDescent="0.3">
      <c r="A1626">
        <v>1625</v>
      </c>
      <c r="B1626">
        <v>91628</v>
      </c>
      <c r="C1626" t="s">
        <v>1667</v>
      </c>
      <c r="D1626" t="s">
        <v>41</v>
      </c>
      <c r="E1626" t="s">
        <v>52</v>
      </c>
      <c r="F1626" s="1">
        <v>44962</v>
      </c>
      <c r="G1626" s="1">
        <v>45482</v>
      </c>
      <c r="H1626">
        <v>5</v>
      </c>
      <c r="I1626" t="s">
        <v>42</v>
      </c>
      <c r="J1626" t="s">
        <v>36</v>
      </c>
      <c r="K1626">
        <v>4</v>
      </c>
      <c r="L1626">
        <v>1</v>
      </c>
      <c r="M1626">
        <v>3</v>
      </c>
      <c r="N1626">
        <v>4</v>
      </c>
      <c r="O1626">
        <v>3</v>
      </c>
      <c r="P1626">
        <v>2</v>
      </c>
      <c r="Q1626">
        <v>1</v>
      </c>
      <c r="R1626">
        <v>1</v>
      </c>
      <c r="S1626">
        <v>2</v>
      </c>
      <c r="T1626">
        <v>2</v>
      </c>
      <c r="U1626" t="s">
        <v>30</v>
      </c>
      <c r="V1626" t="s">
        <v>31</v>
      </c>
      <c r="W1626" t="s">
        <v>47</v>
      </c>
      <c r="X1626" t="s">
        <v>44</v>
      </c>
      <c r="Y1626">
        <v>25</v>
      </c>
      <c r="Z1626" s="1">
        <v>45482</v>
      </c>
      <c r="AA1626" t="str" cm="1">
        <f t="array" ref="AA1626">_xlfn.IFS(AND(Table2[[#This Row],[Guest_Age]]&gt;=18,Table2[[#This Row],[Guest_Age]]&lt;=25),"Young Adults",AND(Table2[[#This Row],[Guest_Age]]&gt;=26,Table2[[#This Row],[Guest_Age]]&lt;=35),"Adults",AND(Table2[[#This Row],[Guest_Age]]&gt;=36,Table2[[#This Row],[Guest_Age]]&lt;=50),"Middle Aged Adults",Table2[[#This Row],[Guest_Age]]&gt;50,"Senior")</f>
        <v>Young Adults</v>
      </c>
      <c r="AB16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626" t="str" cm="1">
        <f t="array" ref="AC1626">_xlfn.IFS(Table2[[#This Row],[Satification_points]]&gt;=4.5,"GREAT",AND(Table2[[#This Row],[Satification_points]]&gt;=4,Table2[[#This Row],[Satification_points]]&lt;4.5),"GOOD",AND(Table2[[#This Row],[Satification_points]]&gt;=3,Table2[[#This Row],[Satification_points]]&lt;4),"AVERAGE",Table2[[#This Row],[Satification_points]]&lt;3,"POOR")</f>
        <v>POOR</v>
      </c>
    </row>
    <row r="1627" spans="1:29" x14ac:dyDescent="0.3">
      <c r="A1627">
        <v>1626</v>
      </c>
      <c r="B1627">
        <v>22451</v>
      </c>
      <c r="C1627" t="s">
        <v>1668</v>
      </c>
      <c r="D1627" t="s">
        <v>48</v>
      </c>
      <c r="E1627" t="s">
        <v>27</v>
      </c>
      <c r="F1627" s="1">
        <v>45333</v>
      </c>
      <c r="G1627" s="1">
        <v>45334</v>
      </c>
      <c r="H1627">
        <v>12</v>
      </c>
      <c r="I1627" t="s">
        <v>42</v>
      </c>
      <c r="J1627" t="s">
        <v>36</v>
      </c>
      <c r="K1627">
        <v>3</v>
      </c>
      <c r="L1627">
        <v>4</v>
      </c>
      <c r="M1627">
        <v>2</v>
      </c>
      <c r="N1627">
        <v>5</v>
      </c>
      <c r="O1627">
        <v>4</v>
      </c>
      <c r="P1627">
        <v>5</v>
      </c>
      <c r="Q1627">
        <v>2</v>
      </c>
      <c r="R1627">
        <v>1</v>
      </c>
      <c r="S1627">
        <v>2</v>
      </c>
      <c r="T1627">
        <v>3</v>
      </c>
      <c r="U1627" t="s">
        <v>37</v>
      </c>
      <c r="V1627" t="s">
        <v>54</v>
      </c>
      <c r="W1627" t="s">
        <v>56</v>
      </c>
      <c r="X1627" t="s">
        <v>44</v>
      </c>
      <c r="Y1627">
        <v>41</v>
      </c>
      <c r="Z1627" s="1">
        <v>45334</v>
      </c>
      <c r="AA1627" t="str" cm="1">
        <f t="array" ref="AA16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27" t="str" cm="1">
        <f t="array" ref="AC1627">_xlfn.IFS(Table2[[#This Row],[Satification_points]]&gt;=4.5,"GREAT",AND(Table2[[#This Row],[Satification_points]]&gt;=4,Table2[[#This Row],[Satification_points]]&lt;4.5),"GOOD",AND(Table2[[#This Row],[Satification_points]]&gt;=3,Table2[[#This Row],[Satification_points]]&lt;4),"AVERAGE",Table2[[#This Row],[Satification_points]]&lt;3,"POOR")</f>
        <v>AVERAGE</v>
      </c>
    </row>
    <row r="1628" spans="1:29" x14ac:dyDescent="0.3">
      <c r="A1628">
        <v>1627</v>
      </c>
      <c r="B1628">
        <v>89527</v>
      </c>
      <c r="C1628" t="s">
        <v>1669</v>
      </c>
      <c r="D1628" t="s">
        <v>26</v>
      </c>
      <c r="E1628" t="s">
        <v>45</v>
      </c>
      <c r="F1628" s="1">
        <v>45342</v>
      </c>
      <c r="G1628" s="1">
        <v>45343</v>
      </c>
      <c r="H1628">
        <v>12</v>
      </c>
      <c r="I1628" t="s">
        <v>28</v>
      </c>
      <c r="J1628" t="s">
        <v>43</v>
      </c>
      <c r="K1628">
        <v>5</v>
      </c>
      <c r="L1628">
        <v>5</v>
      </c>
      <c r="M1628">
        <v>3</v>
      </c>
      <c r="N1628">
        <v>3</v>
      </c>
      <c r="O1628">
        <v>2</v>
      </c>
      <c r="P1628">
        <v>3</v>
      </c>
      <c r="Q1628">
        <v>5</v>
      </c>
      <c r="R1628">
        <v>5</v>
      </c>
      <c r="S1628">
        <v>5</v>
      </c>
      <c r="T1628">
        <v>4</v>
      </c>
      <c r="U1628" t="s">
        <v>37</v>
      </c>
      <c r="V1628" t="s">
        <v>38</v>
      </c>
      <c r="W1628" t="s">
        <v>39</v>
      </c>
      <c r="X1628" t="s">
        <v>40</v>
      </c>
      <c r="Y1628">
        <v>36</v>
      </c>
      <c r="Z1628" s="1">
        <v>45343</v>
      </c>
      <c r="AA1628" t="str" cm="1">
        <f t="array" ref="AA16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628" t="str" cm="1">
        <f t="array" ref="AC1628">_xlfn.IFS(Table2[[#This Row],[Satification_points]]&gt;=4.5,"GREAT",AND(Table2[[#This Row],[Satification_points]]&gt;=4,Table2[[#This Row],[Satification_points]]&lt;4.5),"GOOD",AND(Table2[[#This Row],[Satification_points]]&gt;=3,Table2[[#This Row],[Satification_points]]&lt;4),"AVERAGE",Table2[[#This Row],[Satification_points]]&lt;3,"POOR")</f>
        <v>GOOD</v>
      </c>
    </row>
    <row r="1629" spans="1:29" x14ac:dyDescent="0.3">
      <c r="A1629">
        <v>1628</v>
      </c>
      <c r="B1629">
        <v>22669</v>
      </c>
      <c r="C1629" t="s">
        <v>1670</v>
      </c>
      <c r="D1629" t="s">
        <v>48</v>
      </c>
      <c r="E1629" t="s">
        <v>57</v>
      </c>
      <c r="F1629" s="1">
        <v>45611</v>
      </c>
      <c r="G1629" s="1">
        <v>45612</v>
      </c>
      <c r="H1629">
        <v>14</v>
      </c>
      <c r="I1629" t="s">
        <v>49</v>
      </c>
      <c r="J1629" t="s">
        <v>53</v>
      </c>
      <c r="K1629">
        <v>2</v>
      </c>
      <c r="L1629">
        <v>3</v>
      </c>
      <c r="M1629">
        <v>1</v>
      </c>
      <c r="N1629">
        <v>3</v>
      </c>
      <c r="O1629">
        <v>4</v>
      </c>
      <c r="P1629">
        <v>2</v>
      </c>
      <c r="Q1629">
        <v>2</v>
      </c>
      <c r="R1629">
        <v>1</v>
      </c>
      <c r="S1629">
        <v>4</v>
      </c>
      <c r="T1629">
        <v>5</v>
      </c>
      <c r="U1629" t="s">
        <v>30</v>
      </c>
      <c r="V1629" t="s">
        <v>38</v>
      </c>
      <c r="W1629" t="s">
        <v>39</v>
      </c>
      <c r="X1629" t="s">
        <v>40</v>
      </c>
      <c r="Y1629">
        <v>69</v>
      </c>
      <c r="Z1629" s="1">
        <v>45612</v>
      </c>
      <c r="AA1629" t="str" cm="1">
        <f t="array" ref="AA1629">_xlfn.IFS(AND(Table2[[#This Row],[Guest_Age]]&gt;=18,Table2[[#This Row],[Guest_Age]]&lt;=25),"Young Adults",AND(Table2[[#This Row],[Guest_Age]]&gt;=26,Table2[[#This Row],[Guest_Age]]&lt;=35),"Adults",AND(Table2[[#This Row],[Guest_Age]]&gt;=36,Table2[[#This Row],[Guest_Age]]&lt;=50),"Middle Aged Adults",Table2[[#This Row],[Guest_Age]]&gt;50,"Senior")</f>
        <v>Senior</v>
      </c>
      <c r="AB16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29" t="str" cm="1">
        <f t="array" ref="AC1629">_xlfn.IFS(Table2[[#This Row],[Satification_points]]&gt;=4.5,"GREAT",AND(Table2[[#This Row],[Satification_points]]&gt;=4,Table2[[#This Row],[Satification_points]]&lt;4.5),"GOOD",AND(Table2[[#This Row],[Satification_points]]&gt;=3,Table2[[#This Row],[Satification_points]]&lt;4),"AVERAGE",Table2[[#This Row],[Satification_points]]&lt;3,"POOR")</f>
        <v>POOR</v>
      </c>
    </row>
    <row r="1630" spans="1:29" x14ac:dyDescent="0.3">
      <c r="A1630">
        <v>1629</v>
      </c>
      <c r="B1630">
        <v>82410</v>
      </c>
      <c r="C1630" t="s">
        <v>1671</v>
      </c>
      <c r="D1630" t="s">
        <v>51</v>
      </c>
      <c r="E1630" t="s">
        <v>57</v>
      </c>
      <c r="F1630" s="1">
        <v>45338</v>
      </c>
      <c r="G1630" s="1">
        <v>45476</v>
      </c>
      <c r="H1630">
        <v>14</v>
      </c>
      <c r="I1630" t="s">
        <v>49</v>
      </c>
      <c r="J1630" t="s">
        <v>40</v>
      </c>
      <c r="K1630">
        <v>1</v>
      </c>
      <c r="L1630">
        <v>4</v>
      </c>
      <c r="M1630">
        <v>4</v>
      </c>
      <c r="N1630">
        <v>3</v>
      </c>
      <c r="O1630">
        <v>1</v>
      </c>
      <c r="P1630">
        <v>2</v>
      </c>
      <c r="Q1630">
        <v>4</v>
      </c>
      <c r="R1630">
        <v>3</v>
      </c>
      <c r="S1630">
        <v>4</v>
      </c>
      <c r="T1630">
        <v>5</v>
      </c>
      <c r="U1630" t="s">
        <v>37</v>
      </c>
      <c r="V1630" t="s">
        <v>46</v>
      </c>
      <c r="W1630" t="s">
        <v>55</v>
      </c>
      <c r="X1630" t="s">
        <v>40</v>
      </c>
      <c r="Y1630">
        <v>58</v>
      </c>
      <c r="Z1630" s="1">
        <v>45476</v>
      </c>
      <c r="AA1630" t="str" cm="1">
        <f t="array" ref="AA1630">_xlfn.IFS(AND(Table2[[#This Row],[Guest_Age]]&gt;=18,Table2[[#This Row],[Guest_Age]]&lt;=25),"Young Adults",AND(Table2[[#This Row],[Guest_Age]]&gt;=26,Table2[[#This Row],[Guest_Age]]&lt;=35),"Adults",AND(Table2[[#This Row],[Guest_Age]]&gt;=36,Table2[[#This Row],[Guest_Age]]&lt;=50),"Middle Aged Adults",Table2[[#This Row],[Guest_Age]]&gt;50,"Senior")</f>
        <v>Senior</v>
      </c>
      <c r="AB16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30" t="str" cm="1">
        <f t="array" ref="AC1630">_xlfn.IFS(Table2[[#This Row],[Satification_points]]&gt;=4.5,"GREAT",AND(Table2[[#This Row],[Satification_points]]&gt;=4,Table2[[#This Row],[Satification_points]]&lt;4.5),"GOOD",AND(Table2[[#This Row],[Satification_points]]&gt;=3,Table2[[#This Row],[Satification_points]]&lt;4),"AVERAGE",Table2[[#This Row],[Satification_points]]&lt;3,"POOR")</f>
        <v>AVERAGE</v>
      </c>
    </row>
    <row r="1631" spans="1:29" x14ac:dyDescent="0.3">
      <c r="A1631">
        <v>1630</v>
      </c>
      <c r="B1631">
        <v>72885</v>
      </c>
      <c r="C1631" t="s">
        <v>1672</v>
      </c>
      <c r="D1631" t="s">
        <v>51</v>
      </c>
      <c r="E1631" t="s">
        <v>45</v>
      </c>
      <c r="F1631" s="1">
        <v>45414</v>
      </c>
      <c r="G1631" s="1">
        <v>45415</v>
      </c>
      <c r="H1631">
        <v>10</v>
      </c>
      <c r="I1631" t="s">
        <v>42</v>
      </c>
      <c r="J1631" t="s">
        <v>29</v>
      </c>
      <c r="K1631">
        <v>5</v>
      </c>
      <c r="L1631">
        <v>1</v>
      </c>
      <c r="M1631">
        <v>4</v>
      </c>
      <c r="N1631">
        <v>5</v>
      </c>
      <c r="O1631">
        <v>3</v>
      </c>
      <c r="P1631">
        <v>3</v>
      </c>
      <c r="Q1631">
        <v>2</v>
      </c>
      <c r="R1631">
        <v>1</v>
      </c>
      <c r="S1631">
        <v>3</v>
      </c>
      <c r="T1631">
        <v>2</v>
      </c>
      <c r="U1631" t="s">
        <v>37</v>
      </c>
      <c r="V1631" t="s">
        <v>38</v>
      </c>
      <c r="W1631" t="s">
        <v>32</v>
      </c>
      <c r="X1631" t="s">
        <v>44</v>
      </c>
      <c r="Y1631">
        <v>44</v>
      </c>
      <c r="Z1631" s="1">
        <v>45415</v>
      </c>
      <c r="AA1631" t="str" cm="1">
        <f t="array" ref="AA163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31" t="str" cm="1">
        <f t="array" ref="AC1631">_xlfn.IFS(Table2[[#This Row],[Satification_points]]&gt;=4.5,"GREAT",AND(Table2[[#This Row],[Satification_points]]&gt;=4,Table2[[#This Row],[Satification_points]]&lt;4.5),"GOOD",AND(Table2[[#This Row],[Satification_points]]&gt;=3,Table2[[#This Row],[Satification_points]]&lt;4),"AVERAGE",Table2[[#This Row],[Satification_points]]&lt;3,"POOR")</f>
        <v>POOR</v>
      </c>
    </row>
    <row r="1632" spans="1:29" x14ac:dyDescent="0.3">
      <c r="A1632">
        <v>1631</v>
      </c>
      <c r="B1632">
        <v>33989</v>
      </c>
      <c r="C1632" t="s">
        <v>1673</v>
      </c>
      <c r="D1632" t="s">
        <v>26</v>
      </c>
      <c r="E1632" t="s">
        <v>35</v>
      </c>
      <c r="F1632" s="1">
        <v>45618</v>
      </c>
      <c r="G1632" s="1">
        <v>45619</v>
      </c>
      <c r="H1632">
        <v>13</v>
      </c>
      <c r="I1632" t="s">
        <v>28</v>
      </c>
      <c r="J1632" t="s">
        <v>29</v>
      </c>
      <c r="K1632">
        <v>5</v>
      </c>
      <c r="L1632">
        <v>5</v>
      </c>
      <c r="M1632">
        <v>2</v>
      </c>
      <c r="N1632">
        <v>5</v>
      </c>
      <c r="O1632">
        <v>2</v>
      </c>
      <c r="P1632">
        <v>3</v>
      </c>
      <c r="Q1632">
        <v>4</v>
      </c>
      <c r="R1632">
        <v>1</v>
      </c>
      <c r="S1632">
        <v>2</v>
      </c>
      <c r="T1632">
        <v>4</v>
      </c>
      <c r="U1632" t="s">
        <v>37</v>
      </c>
      <c r="V1632" t="s">
        <v>46</v>
      </c>
      <c r="W1632" t="s">
        <v>47</v>
      </c>
      <c r="X1632" t="s">
        <v>44</v>
      </c>
      <c r="Y1632">
        <v>37</v>
      </c>
      <c r="Z1632" s="1">
        <v>45619</v>
      </c>
      <c r="AA1632" t="str" cm="1">
        <f t="array" ref="AA163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32" t="str" cm="1">
        <f t="array" ref="AC1632">_xlfn.IFS(Table2[[#This Row],[Satification_points]]&gt;=4.5,"GREAT",AND(Table2[[#This Row],[Satification_points]]&gt;=4,Table2[[#This Row],[Satification_points]]&lt;4.5),"GOOD",AND(Table2[[#This Row],[Satification_points]]&gt;=3,Table2[[#This Row],[Satification_points]]&lt;4),"AVERAGE",Table2[[#This Row],[Satification_points]]&lt;3,"POOR")</f>
        <v>AVERAGE</v>
      </c>
    </row>
    <row r="1633" spans="1:29" x14ac:dyDescent="0.3">
      <c r="A1633">
        <v>1632</v>
      </c>
      <c r="B1633">
        <v>94739</v>
      </c>
      <c r="C1633" t="s">
        <v>1674</v>
      </c>
      <c r="D1633" t="s">
        <v>51</v>
      </c>
      <c r="E1633" t="s">
        <v>35</v>
      </c>
      <c r="F1633" s="1">
        <v>45247</v>
      </c>
      <c r="G1633" s="1">
        <v>45248</v>
      </c>
      <c r="H1633">
        <v>9</v>
      </c>
      <c r="I1633" t="s">
        <v>42</v>
      </c>
      <c r="J1633" t="s">
        <v>40</v>
      </c>
      <c r="K1633">
        <v>3</v>
      </c>
      <c r="L1633">
        <v>5</v>
      </c>
      <c r="M1633">
        <v>4</v>
      </c>
      <c r="N1633">
        <v>1</v>
      </c>
      <c r="O1633">
        <v>4</v>
      </c>
      <c r="P1633">
        <v>5</v>
      </c>
      <c r="Q1633">
        <v>3</v>
      </c>
      <c r="R1633">
        <v>1</v>
      </c>
      <c r="S1633">
        <v>1</v>
      </c>
      <c r="T1633">
        <v>1</v>
      </c>
      <c r="U1633" t="s">
        <v>37</v>
      </c>
      <c r="V1633" t="s">
        <v>54</v>
      </c>
      <c r="W1633" t="s">
        <v>47</v>
      </c>
      <c r="X1633" t="s">
        <v>33</v>
      </c>
      <c r="Y1633">
        <v>41</v>
      </c>
      <c r="Z1633" s="1">
        <v>45320</v>
      </c>
      <c r="AA1633" t="str" cm="1">
        <f t="array" ref="AA163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33" t="str" cm="1">
        <f t="array" ref="AC1633">_xlfn.IFS(Table2[[#This Row],[Satification_points]]&gt;=4.5,"GREAT",AND(Table2[[#This Row],[Satification_points]]&gt;=4,Table2[[#This Row],[Satification_points]]&lt;4.5),"GOOD",AND(Table2[[#This Row],[Satification_points]]&gt;=3,Table2[[#This Row],[Satification_points]]&lt;4),"AVERAGE",Table2[[#This Row],[Satification_points]]&lt;3,"POOR")</f>
        <v>POOR</v>
      </c>
    </row>
    <row r="1634" spans="1:29" x14ac:dyDescent="0.3">
      <c r="A1634">
        <v>1633</v>
      </c>
      <c r="B1634">
        <v>78525</v>
      </c>
      <c r="C1634" t="s">
        <v>1675</v>
      </c>
      <c r="D1634" t="s">
        <v>41</v>
      </c>
      <c r="E1634" t="s">
        <v>45</v>
      </c>
      <c r="F1634" s="1">
        <v>44999</v>
      </c>
      <c r="G1634" s="1">
        <v>45047</v>
      </c>
      <c r="H1634">
        <v>13</v>
      </c>
      <c r="I1634" t="s">
        <v>42</v>
      </c>
      <c r="J1634" t="s">
        <v>40</v>
      </c>
      <c r="K1634">
        <v>2</v>
      </c>
      <c r="L1634">
        <v>4</v>
      </c>
      <c r="M1634">
        <v>5</v>
      </c>
      <c r="N1634">
        <v>2</v>
      </c>
      <c r="O1634">
        <v>3</v>
      </c>
      <c r="P1634">
        <v>4</v>
      </c>
      <c r="Q1634">
        <v>5</v>
      </c>
      <c r="R1634">
        <v>2</v>
      </c>
      <c r="S1634">
        <v>4</v>
      </c>
      <c r="T1634">
        <v>4</v>
      </c>
      <c r="U1634" t="s">
        <v>30</v>
      </c>
      <c r="V1634" t="s">
        <v>58</v>
      </c>
      <c r="W1634" t="s">
        <v>39</v>
      </c>
      <c r="X1634" t="s">
        <v>40</v>
      </c>
      <c r="Y1634">
        <v>55</v>
      </c>
      <c r="Z1634" s="1">
        <v>45278</v>
      </c>
      <c r="AA1634" t="str" cm="1">
        <f t="array" ref="AA1634">_xlfn.IFS(AND(Table2[[#This Row],[Guest_Age]]&gt;=18,Table2[[#This Row],[Guest_Age]]&lt;=25),"Young Adults",AND(Table2[[#This Row],[Guest_Age]]&gt;=26,Table2[[#This Row],[Guest_Age]]&lt;=35),"Adults",AND(Table2[[#This Row],[Guest_Age]]&gt;=36,Table2[[#This Row],[Guest_Age]]&lt;=50),"Middle Aged Adults",Table2[[#This Row],[Guest_Age]]&gt;50,"Senior")</f>
        <v>Senior</v>
      </c>
      <c r="AB16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634" t="str" cm="1">
        <f t="array" ref="AC1634">_xlfn.IFS(Table2[[#This Row],[Satification_points]]&gt;=4.5,"GREAT",AND(Table2[[#This Row],[Satification_points]]&gt;=4,Table2[[#This Row],[Satification_points]]&lt;4.5),"GOOD",AND(Table2[[#This Row],[Satification_points]]&gt;=3,Table2[[#This Row],[Satification_points]]&lt;4),"AVERAGE",Table2[[#This Row],[Satification_points]]&lt;3,"POOR")</f>
        <v>AVERAGE</v>
      </c>
    </row>
    <row r="1635" spans="1:29" x14ac:dyDescent="0.3">
      <c r="A1635">
        <v>1634</v>
      </c>
      <c r="B1635">
        <v>82674</v>
      </c>
      <c r="C1635" t="s">
        <v>1676</v>
      </c>
      <c r="D1635" t="s">
        <v>41</v>
      </c>
      <c r="E1635" t="s">
        <v>45</v>
      </c>
      <c r="F1635" s="1">
        <v>45495</v>
      </c>
      <c r="G1635" s="1">
        <v>45496</v>
      </c>
      <c r="H1635">
        <v>3</v>
      </c>
      <c r="I1635" t="s">
        <v>28</v>
      </c>
      <c r="J1635" t="s">
        <v>29</v>
      </c>
      <c r="K1635">
        <v>4</v>
      </c>
      <c r="L1635">
        <v>2</v>
      </c>
      <c r="M1635">
        <v>4</v>
      </c>
      <c r="N1635">
        <v>4</v>
      </c>
      <c r="O1635">
        <v>1</v>
      </c>
      <c r="P1635">
        <v>5</v>
      </c>
      <c r="Q1635">
        <v>1</v>
      </c>
      <c r="R1635">
        <v>4</v>
      </c>
      <c r="S1635">
        <v>3</v>
      </c>
      <c r="T1635">
        <v>5</v>
      </c>
      <c r="U1635" t="s">
        <v>30</v>
      </c>
      <c r="V1635" t="s">
        <v>54</v>
      </c>
      <c r="W1635" t="s">
        <v>55</v>
      </c>
      <c r="X1635" t="s">
        <v>40</v>
      </c>
      <c r="Y1635">
        <v>22</v>
      </c>
      <c r="Z1635" s="1">
        <v>45538</v>
      </c>
      <c r="AA1635" t="str" cm="1">
        <f t="array" ref="AA1635">_xlfn.IFS(AND(Table2[[#This Row],[Guest_Age]]&gt;=18,Table2[[#This Row],[Guest_Age]]&lt;=25),"Young Adults",AND(Table2[[#This Row],[Guest_Age]]&gt;=26,Table2[[#This Row],[Guest_Age]]&lt;=35),"Adults",AND(Table2[[#This Row],[Guest_Age]]&gt;=36,Table2[[#This Row],[Guest_Age]]&lt;=50),"Middle Aged Adults",Table2[[#This Row],[Guest_Age]]&gt;50,"Senior")</f>
        <v>Young Adults</v>
      </c>
      <c r="AB16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35" t="str" cm="1">
        <f t="array" ref="AC1635">_xlfn.IFS(Table2[[#This Row],[Satification_points]]&gt;=4.5,"GREAT",AND(Table2[[#This Row],[Satification_points]]&gt;=4,Table2[[#This Row],[Satification_points]]&lt;4.5),"GOOD",AND(Table2[[#This Row],[Satification_points]]&gt;=3,Table2[[#This Row],[Satification_points]]&lt;4),"AVERAGE",Table2[[#This Row],[Satification_points]]&lt;3,"POOR")</f>
        <v>AVERAGE</v>
      </c>
    </row>
    <row r="1636" spans="1:29" x14ac:dyDescent="0.3">
      <c r="A1636">
        <v>1635</v>
      </c>
      <c r="B1636">
        <v>44761</v>
      </c>
      <c r="C1636" t="s">
        <v>1677</v>
      </c>
      <c r="D1636" t="s">
        <v>48</v>
      </c>
      <c r="E1636" t="s">
        <v>45</v>
      </c>
      <c r="F1636" s="1">
        <v>45504</v>
      </c>
      <c r="G1636" s="1">
        <v>45505</v>
      </c>
      <c r="H1636">
        <v>3</v>
      </c>
      <c r="I1636" t="s">
        <v>49</v>
      </c>
      <c r="J1636" t="s">
        <v>53</v>
      </c>
      <c r="K1636">
        <v>4</v>
      </c>
      <c r="L1636">
        <v>2</v>
      </c>
      <c r="M1636">
        <v>3</v>
      </c>
      <c r="N1636">
        <v>2</v>
      </c>
      <c r="O1636">
        <v>3</v>
      </c>
      <c r="P1636">
        <v>2</v>
      </c>
      <c r="Q1636">
        <v>4</v>
      </c>
      <c r="R1636">
        <v>2</v>
      </c>
      <c r="S1636">
        <v>1</v>
      </c>
      <c r="T1636">
        <v>2</v>
      </c>
      <c r="U1636" t="s">
        <v>37</v>
      </c>
      <c r="V1636" t="s">
        <v>46</v>
      </c>
      <c r="W1636" t="s">
        <v>55</v>
      </c>
      <c r="X1636" t="s">
        <v>33</v>
      </c>
      <c r="Y1636">
        <v>33</v>
      </c>
      <c r="Z1636" s="1">
        <v>45505</v>
      </c>
      <c r="AA1636" t="str" cm="1">
        <f t="array" ref="AA1636">_xlfn.IFS(AND(Table2[[#This Row],[Guest_Age]]&gt;=18,Table2[[#This Row],[Guest_Age]]&lt;=25),"Young Adults",AND(Table2[[#This Row],[Guest_Age]]&gt;=26,Table2[[#This Row],[Guest_Age]]&lt;=35),"Adults",AND(Table2[[#This Row],[Guest_Age]]&gt;=36,Table2[[#This Row],[Guest_Age]]&lt;=50),"Middle Aged Adults",Table2[[#This Row],[Guest_Age]]&gt;50,"Senior")</f>
        <v>Adults</v>
      </c>
      <c r="AB16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36" t="str" cm="1">
        <f t="array" ref="AC1636">_xlfn.IFS(Table2[[#This Row],[Satification_points]]&gt;=4.5,"GREAT",AND(Table2[[#This Row],[Satification_points]]&gt;=4,Table2[[#This Row],[Satification_points]]&lt;4.5),"GOOD",AND(Table2[[#This Row],[Satification_points]]&gt;=3,Table2[[#This Row],[Satification_points]]&lt;4),"AVERAGE",Table2[[#This Row],[Satification_points]]&lt;3,"POOR")</f>
        <v>POOR</v>
      </c>
    </row>
    <row r="1637" spans="1:29" x14ac:dyDescent="0.3">
      <c r="A1637">
        <v>1636</v>
      </c>
      <c r="B1637">
        <v>45813</v>
      </c>
      <c r="C1637" t="s">
        <v>1678</v>
      </c>
      <c r="D1637" t="s">
        <v>34</v>
      </c>
      <c r="E1637" t="s">
        <v>57</v>
      </c>
      <c r="F1637" s="1">
        <v>45570</v>
      </c>
      <c r="G1637" s="1">
        <v>45571</v>
      </c>
      <c r="H1637">
        <v>13</v>
      </c>
      <c r="I1637" t="s">
        <v>49</v>
      </c>
      <c r="J1637" t="s">
        <v>43</v>
      </c>
      <c r="K1637">
        <v>4</v>
      </c>
      <c r="L1637">
        <v>2</v>
      </c>
      <c r="M1637">
        <v>5</v>
      </c>
      <c r="N1637">
        <v>3</v>
      </c>
      <c r="O1637">
        <v>3</v>
      </c>
      <c r="P1637">
        <v>5</v>
      </c>
      <c r="Q1637">
        <v>3</v>
      </c>
      <c r="R1637">
        <v>5</v>
      </c>
      <c r="S1637">
        <v>5</v>
      </c>
      <c r="T1637">
        <v>4</v>
      </c>
      <c r="U1637" t="s">
        <v>37</v>
      </c>
      <c r="V1637" t="s">
        <v>58</v>
      </c>
      <c r="W1637" t="s">
        <v>32</v>
      </c>
      <c r="X1637" t="s">
        <v>33</v>
      </c>
      <c r="Y1637">
        <v>56</v>
      </c>
      <c r="Z1637" s="1">
        <v>45571</v>
      </c>
      <c r="AA1637" t="str" cm="1">
        <f t="array" ref="AA1637">_xlfn.IFS(AND(Table2[[#This Row],[Guest_Age]]&gt;=18,Table2[[#This Row],[Guest_Age]]&lt;=25),"Young Adults",AND(Table2[[#This Row],[Guest_Age]]&gt;=26,Table2[[#This Row],[Guest_Age]]&lt;=35),"Adults",AND(Table2[[#This Row],[Guest_Age]]&gt;=36,Table2[[#This Row],[Guest_Age]]&lt;=50),"Middle Aged Adults",Table2[[#This Row],[Guest_Age]]&gt;50,"Senior")</f>
        <v>Senior</v>
      </c>
      <c r="AB16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637" t="str" cm="1">
        <f t="array" ref="AC1637">_xlfn.IFS(Table2[[#This Row],[Satification_points]]&gt;=4.5,"GREAT",AND(Table2[[#This Row],[Satification_points]]&gt;=4,Table2[[#This Row],[Satification_points]]&lt;4.5),"GOOD",AND(Table2[[#This Row],[Satification_points]]&gt;=3,Table2[[#This Row],[Satification_points]]&lt;4),"AVERAGE",Table2[[#This Row],[Satification_points]]&lt;3,"POOR")</f>
        <v>AVERAGE</v>
      </c>
    </row>
    <row r="1638" spans="1:29" x14ac:dyDescent="0.3">
      <c r="A1638">
        <v>1637</v>
      </c>
      <c r="B1638">
        <v>81729</v>
      </c>
      <c r="C1638" t="s">
        <v>1679</v>
      </c>
      <c r="D1638" t="s">
        <v>41</v>
      </c>
      <c r="E1638" t="s">
        <v>52</v>
      </c>
      <c r="F1638" s="1">
        <v>45339</v>
      </c>
      <c r="G1638" s="1">
        <v>45340</v>
      </c>
      <c r="H1638">
        <v>12</v>
      </c>
      <c r="I1638" t="s">
        <v>28</v>
      </c>
      <c r="J1638" t="s">
        <v>43</v>
      </c>
      <c r="K1638">
        <v>5</v>
      </c>
      <c r="L1638">
        <v>1</v>
      </c>
      <c r="M1638">
        <v>3</v>
      </c>
      <c r="N1638">
        <v>4</v>
      </c>
      <c r="O1638">
        <v>2</v>
      </c>
      <c r="P1638">
        <v>5</v>
      </c>
      <c r="Q1638">
        <v>5</v>
      </c>
      <c r="R1638">
        <v>5</v>
      </c>
      <c r="S1638">
        <v>3</v>
      </c>
      <c r="T1638">
        <v>3</v>
      </c>
      <c r="U1638" t="s">
        <v>30</v>
      </c>
      <c r="V1638" t="s">
        <v>46</v>
      </c>
      <c r="W1638" t="s">
        <v>39</v>
      </c>
      <c r="X1638" t="s">
        <v>44</v>
      </c>
      <c r="Y1638">
        <v>50</v>
      </c>
      <c r="Z1638" s="1">
        <v>45496</v>
      </c>
      <c r="AA1638" t="str" cm="1">
        <f t="array" ref="AA163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38" t="str" cm="1">
        <f t="array" ref="AC1638">_xlfn.IFS(Table2[[#This Row],[Satification_points]]&gt;=4.5,"GREAT",AND(Table2[[#This Row],[Satification_points]]&gt;=4,Table2[[#This Row],[Satification_points]]&lt;4.5),"GOOD",AND(Table2[[#This Row],[Satification_points]]&gt;=3,Table2[[#This Row],[Satification_points]]&lt;4),"AVERAGE",Table2[[#This Row],[Satification_points]]&lt;3,"POOR")</f>
        <v>AVERAGE</v>
      </c>
    </row>
    <row r="1639" spans="1:29" x14ac:dyDescent="0.3">
      <c r="A1639">
        <v>1638</v>
      </c>
      <c r="B1639">
        <v>26157</v>
      </c>
      <c r="C1639" t="s">
        <v>1680</v>
      </c>
      <c r="D1639" t="s">
        <v>41</v>
      </c>
      <c r="E1639" t="s">
        <v>57</v>
      </c>
      <c r="F1639" s="1">
        <v>45050</v>
      </c>
      <c r="G1639" s="1">
        <v>45649</v>
      </c>
      <c r="H1639">
        <v>11</v>
      </c>
      <c r="I1639" t="s">
        <v>49</v>
      </c>
      <c r="J1639" t="s">
        <v>43</v>
      </c>
      <c r="K1639">
        <v>1</v>
      </c>
      <c r="L1639">
        <v>2</v>
      </c>
      <c r="M1639">
        <v>3</v>
      </c>
      <c r="N1639">
        <v>1</v>
      </c>
      <c r="O1639">
        <v>5</v>
      </c>
      <c r="P1639">
        <v>3</v>
      </c>
      <c r="Q1639">
        <v>4</v>
      </c>
      <c r="R1639">
        <v>3</v>
      </c>
      <c r="S1639">
        <v>1</v>
      </c>
      <c r="T1639">
        <v>2</v>
      </c>
      <c r="U1639" t="s">
        <v>37</v>
      </c>
      <c r="V1639" t="s">
        <v>38</v>
      </c>
      <c r="W1639" t="s">
        <v>39</v>
      </c>
      <c r="X1639" t="s">
        <v>33</v>
      </c>
      <c r="Y1639">
        <v>27</v>
      </c>
      <c r="Z1639" s="1">
        <v>45649</v>
      </c>
      <c r="AA1639" t="str" cm="1">
        <f t="array" ref="AA1639">_xlfn.IFS(AND(Table2[[#This Row],[Guest_Age]]&gt;=18,Table2[[#This Row],[Guest_Age]]&lt;=25),"Young Adults",AND(Table2[[#This Row],[Guest_Age]]&gt;=26,Table2[[#This Row],[Guest_Age]]&lt;=35),"Adults",AND(Table2[[#This Row],[Guest_Age]]&gt;=36,Table2[[#This Row],[Guest_Age]]&lt;=50),"Middle Aged Adults",Table2[[#This Row],[Guest_Age]]&gt;50,"Senior")</f>
        <v>Adults</v>
      </c>
      <c r="AB16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39" t="str" cm="1">
        <f t="array" ref="AC1639">_xlfn.IFS(Table2[[#This Row],[Satification_points]]&gt;=4.5,"GREAT",AND(Table2[[#This Row],[Satification_points]]&gt;=4,Table2[[#This Row],[Satification_points]]&lt;4.5),"GOOD",AND(Table2[[#This Row],[Satification_points]]&gt;=3,Table2[[#This Row],[Satification_points]]&lt;4),"AVERAGE",Table2[[#This Row],[Satification_points]]&lt;3,"POOR")</f>
        <v>POOR</v>
      </c>
    </row>
    <row r="1640" spans="1:29" x14ac:dyDescent="0.3">
      <c r="A1640">
        <v>1639</v>
      </c>
      <c r="B1640">
        <v>93912</v>
      </c>
      <c r="C1640" t="s">
        <v>1681</v>
      </c>
      <c r="D1640" t="s">
        <v>26</v>
      </c>
      <c r="E1640" t="s">
        <v>57</v>
      </c>
      <c r="F1640" s="1">
        <v>45311</v>
      </c>
      <c r="G1640" s="1">
        <v>45312</v>
      </c>
      <c r="H1640">
        <v>7</v>
      </c>
      <c r="I1640" t="s">
        <v>28</v>
      </c>
      <c r="J1640" t="s">
        <v>40</v>
      </c>
      <c r="K1640">
        <v>2</v>
      </c>
      <c r="L1640">
        <v>4</v>
      </c>
      <c r="M1640">
        <v>2</v>
      </c>
      <c r="N1640">
        <v>2</v>
      </c>
      <c r="O1640">
        <v>1</v>
      </c>
      <c r="P1640">
        <v>4</v>
      </c>
      <c r="Q1640">
        <v>3</v>
      </c>
      <c r="R1640">
        <v>3</v>
      </c>
      <c r="S1640">
        <v>4</v>
      </c>
      <c r="T1640">
        <v>3</v>
      </c>
      <c r="U1640" t="s">
        <v>30</v>
      </c>
      <c r="V1640" t="s">
        <v>46</v>
      </c>
      <c r="W1640" t="s">
        <v>39</v>
      </c>
      <c r="X1640" t="s">
        <v>33</v>
      </c>
      <c r="Y1640">
        <v>68</v>
      </c>
      <c r="Z1640" s="1">
        <v>45312</v>
      </c>
      <c r="AA1640" t="str" cm="1">
        <f t="array" ref="AA1640">_xlfn.IFS(AND(Table2[[#This Row],[Guest_Age]]&gt;=18,Table2[[#This Row],[Guest_Age]]&lt;=25),"Young Adults",AND(Table2[[#This Row],[Guest_Age]]&gt;=26,Table2[[#This Row],[Guest_Age]]&lt;=35),"Adults",AND(Table2[[#This Row],[Guest_Age]]&gt;=36,Table2[[#This Row],[Guest_Age]]&lt;=50),"Middle Aged Adults",Table2[[#This Row],[Guest_Age]]&gt;50,"Senior")</f>
        <v>Senior</v>
      </c>
      <c r="AB16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40" t="str" cm="1">
        <f t="array" ref="AC1640">_xlfn.IFS(Table2[[#This Row],[Satification_points]]&gt;=4.5,"GREAT",AND(Table2[[#This Row],[Satification_points]]&gt;=4,Table2[[#This Row],[Satification_points]]&lt;4.5),"GOOD",AND(Table2[[#This Row],[Satification_points]]&gt;=3,Table2[[#This Row],[Satification_points]]&lt;4),"AVERAGE",Table2[[#This Row],[Satification_points]]&lt;3,"POOR")</f>
        <v>POOR</v>
      </c>
    </row>
    <row r="1641" spans="1:29" x14ac:dyDescent="0.3">
      <c r="A1641">
        <v>1640</v>
      </c>
      <c r="B1641">
        <v>95519</v>
      </c>
      <c r="C1641" t="s">
        <v>1682</v>
      </c>
      <c r="D1641" t="s">
        <v>41</v>
      </c>
      <c r="E1641" t="s">
        <v>35</v>
      </c>
      <c r="F1641" s="1">
        <v>45530</v>
      </c>
      <c r="G1641" s="1">
        <v>45531</v>
      </c>
      <c r="H1641">
        <v>14</v>
      </c>
      <c r="I1641" t="s">
        <v>28</v>
      </c>
      <c r="J1641" t="s">
        <v>29</v>
      </c>
      <c r="K1641">
        <v>1</v>
      </c>
      <c r="L1641">
        <v>5</v>
      </c>
      <c r="M1641">
        <v>2</v>
      </c>
      <c r="N1641">
        <v>3</v>
      </c>
      <c r="O1641">
        <v>2</v>
      </c>
      <c r="P1641">
        <v>4</v>
      </c>
      <c r="Q1641">
        <v>1</v>
      </c>
      <c r="R1641">
        <v>5</v>
      </c>
      <c r="S1641">
        <v>3</v>
      </c>
      <c r="T1641">
        <v>2</v>
      </c>
      <c r="U1641" t="s">
        <v>30</v>
      </c>
      <c r="V1641" t="s">
        <v>58</v>
      </c>
      <c r="W1641" t="s">
        <v>32</v>
      </c>
      <c r="X1641" t="s">
        <v>40</v>
      </c>
      <c r="Y1641">
        <v>22</v>
      </c>
      <c r="Z1641" s="1">
        <v>45531</v>
      </c>
      <c r="AA1641" t="str" cm="1">
        <f t="array" ref="AA1641">_xlfn.IFS(AND(Table2[[#This Row],[Guest_Age]]&gt;=18,Table2[[#This Row],[Guest_Age]]&lt;=25),"Young Adults",AND(Table2[[#This Row],[Guest_Age]]&gt;=26,Table2[[#This Row],[Guest_Age]]&lt;=35),"Adults",AND(Table2[[#This Row],[Guest_Age]]&gt;=36,Table2[[#This Row],[Guest_Age]]&lt;=50),"Middle Aged Adults",Table2[[#This Row],[Guest_Age]]&gt;50,"Senior")</f>
        <v>Young Adults</v>
      </c>
      <c r="AB16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41" t="str" cm="1">
        <f t="array" ref="AC1641">_xlfn.IFS(Table2[[#This Row],[Satification_points]]&gt;=4.5,"GREAT",AND(Table2[[#This Row],[Satification_points]]&gt;=4,Table2[[#This Row],[Satification_points]]&lt;4.5),"GOOD",AND(Table2[[#This Row],[Satification_points]]&gt;=3,Table2[[#This Row],[Satification_points]]&lt;4),"AVERAGE",Table2[[#This Row],[Satification_points]]&lt;3,"POOR")</f>
        <v>POOR</v>
      </c>
    </row>
    <row r="1642" spans="1:29" x14ac:dyDescent="0.3">
      <c r="A1642">
        <v>1641</v>
      </c>
      <c r="B1642">
        <v>62739</v>
      </c>
      <c r="C1642" t="s">
        <v>1683</v>
      </c>
      <c r="D1642" t="s">
        <v>48</v>
      </c>
      <c r="E1642" t="s">
        <v>45</v>
      </c>
      <c r="F1642" s="1">
        <v>45579</v>
      </c>
      <c r="G1642" s="1">
        <v>45580</v>
      </c>
      <c r="H1642">
        <v>10</v>
      </c>
      <c r="I1642" t="s">
        <v>42</v>
      </c>
      <c r="J1642" t="s">
        <v>29</v>
      </c>
      <c r="K1642">
        <v>4</v>
      </c>
      <c r="L1642">
        <v>4</v>
      </c>
      <c r="M1642">
        <v>5</v>
      </c>
      <c r="N1642">
        <v>4</v>
      </c>
      <c r="O1642">
        <v>2</v>
      </c>
      <c r="P1642">
        <v>5</v>
      </c>
      <c r="Q1642">
        <v>3</v>
      </c>
      <c r="R1642">
        <v>4</v>
      </c>
      <c r="S1642">
        <v>2</v>
      </c>
      <c r="T1642">
        <v>5</v>
      </c>
      <c r="U1642" t="s">
        <v>30</v>
      </c>
      <c r="V1642" t="s">
        <v>46</v>
      </c>
      <c r="W1642" t="s">
        <v>47</v>
      </c>
      <c r="X1642" t="s">
        <v>33</v>
      </c>
      <c r="Y1642">
        <v>69</v>
      </c>
      <c r="Z1642" s="1">
        <v>45580</v>
      </c>
      <c r="AA1642" t="str" cm="1">
        <f t="array" ref="AA1642">_xlfn.IFS(AND(Table2[[#This Row],[Guest_Age]]&gt;=18,Table2[[#This Row],[Guest_Age]]&lt;=25),"Young Adults",AND(Table2[[#This Row],[Guest_Age]]&gt;=26,Table2[[#This Row],[Guest_Age]]&lt;=35),"Adults",AND(Table2[[#This Row],[Guest_Age]]&gt;=36,Table2[[#This Row],[Guest_Age]]&lt;=50),"Middle Aged Adults",Table2[[#This Row],[Guest_Age]]&gt;50,"Senior")</f>
        <v>Senior</v>
      </c>
      <c r="AB16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642" t="str" cm="1">
        <f t="array" ref="AC1642">_xlfn.IFS(Table2[[#This Row],[Satification_points]]&gt;=4.5,"GREAT",AND(Table2[[#This Row],[Satification_points]]&gt;=4,Table2[[#This Row],[Satification_points]]&lt;4.5),"GOOD",AND(Table2[[#This Row],[Satification_points]]&gt;=3,Table2[[#This Row],[Satification_points]]&lt;4),"AVERAGE",Table2[[#This Row],[Satification_points]]&lt;3,"POOR")</f>
        <v>AVERAGE</v>
      </c>
    </row>
    <row r="1643" spans="1:29" x14ac:dyDescent="0.3">
      <c r="A1643">
        <v>1642</v>
      </c>
      <c r="B1643">
        <v>74156</v>
      </c>
      <c r="C1643" t="s">
        <v>1684</v>
      </c>
      <c r="D1643" t="s">
        <v>26</v>
      </c>
      <c r="E1643" t="s">
        <v>57</v>
      </c>
      <c r="F1643" s="1">
        <v>45158</v>
      </c>
      <c r="G1643" s="1">
        <v>45159</v>
      </c>
      <c r="H1643">
        <v>2</v>
      </c>
      <c r="I1643" t="s">
        <v>49</v>
      </c>
      <c r="J1643" t="s">
        <v>29</v>
      </c>
      <c r="K1643">
        <v>1</v>
      </c>
      <c r="L1643">
        <v>4</v>
      </c>
      <c r="M1643">
        <v>4</v>
      </c>
      <c r="N1643">
        <v>4</v>
      </c>
      <c r="O1643">
        <v>2</v>
      </c>
      <c r="P1643">
        <v>3</v>
      </c>
      <c r="Q1643">
        <v>3</v>
      </c>
      <c r="R1643">
        <v>4</v>
      </c>
      <c r="S1643">
        <v>1</v>
      </c>
      <c r="T1643">
        <v>1</v>
      </c>
      <c r="U1643" t="s">
        <v>30</v>
      </c>
      <c r="V1643" t="s">
        <v>31</v>
      </c>
      <c r="W1643" t="s">
        <v>56</v>
      </c>
      <c r="X1643" t="s">
        <v>40</v>
      </c>
      <c r="Y1643">
        <v>36</v>
      </c>
      <c r="Z1643" s="1">
        <v>45644</v>
      </c>
      <c r="AA1643" t="str" cm="1">
        <f t="array" ref="AA164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43" t="str" cm="1">
        <f t="array" ref="AC1643">_xlfn.IFS(Table2[[#This Row],[Satification_points]]&gt;=4.5,"GREAT",AND(Table2[[#This Row],[Satification_points]]&gt;=4,Table2[[#This Row],[Satification_points]]&lt;4.5),"GOOD",AND(Table2[[#This Row],[Satification_points]]&gt;=3,Table2[[#This Row],[Satification_points]]&lt;4),"AVERAGE",Table2[[#This Row],[Satification_points]]&lt;3,"POOR")</f>
        <v>POOR</v>
      </c>
    </row>
    <row r="1644" spans="1:29" x14ac:dyDescent="0.3">
      <c r="A1644">
        <v>1643</v>
      </c>
      <c r="B1644">
        <v>98283</v>
      </c>
      <c r="C1644" t="s">
        <v>1685</v>
      </c>
      <c r="D1644" t="s">
        <v>41</v>
      </c>
      <c r="E1644" t="s">
        <v>57</v>
      </c>
      <c r="F1644" s="1">
        <v>45508</v>
      </c>
      <c r="G1644" s="1">
        <v>45509</v>
      </c>
      <c r="H1644">
        <v>8</v>
      </c>
      <c r="I1644" t="s">
        <v>49</v>
      </c>
      <c r="J1644" t="s">
        <v>29</v>
      </c>
      <c r="K1644">
        <v>5</v>
      </c>
      <c r="L1644">
        <v>3</v>
      </c>
      <c r="M1644">
        <v>1</v>
      </c>
      <c r="N1644">
        <v>3</v>
      </c>
      <c r="O1644">
        <v>5</v>
      </c>
      <c r="P1644">
        <v>3</v>
      </c>
      <c r="Q1644">
        <v>1</v>
      </c>
      <c r="R1644">
        <v>5</v>
      </c>
      <c r="S1644">
        <v>4</v>
      </c>
      <c r="T1644">
        <v>4</v>
      </c>
      <c r="U1644" t="s">
        <v>30</v>
      </c>
      <c r="V1644" t="s">
        <v>31</v>
      </c>
      <c r="W1644" t="s">
        <v>55</v>
      </c>
      <c r="X1644" t="s">
        <v>40</v>
      </c>
      <c r="Y1644">
        <v>68</v>
      </c>
      <c r="Z1644" s="1">
        <v>45509</v>
      </c>
      <c r="AA1644" t="str" cm="1">
        <f t="array" ref="AA1644">_xlfn.IFS(AND(Table2[[#This Row],[Guest_Age]]&gt;=18,Table2[[#This Row],[Guest_Age]]&lt;=25),"Young Adults",AND(Table2[[#This Row],[Guest_Age]]&gt;=26,Table2[[#This Row],[Guest_Age]]&lt;=35),"Adults",AND(Table2[[#This Row],[Guest_Age]]&gt;=36,Table2[[#This Row],[Guest_Age]]&lt;=50),"Middle Aged Adults",Table2[[#This Row],[Guest_Age]]&gt;50,"Senior")</f>
        <v>Senior</v>
      </c>
      <c r="AB16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644" t="str" cm="1">
        <f t="array" ref="AC1644">_xlfn.IFS(Table2[[#This Row],[Satification_points]]&gt;=4.5,"GREAT",AND(Table2[[#This Row],[Satification_points]]&gt;=4,Table2[[#This Row],[Satification_points]]&lt;4.5),"GOOD",AND(Table2[[#This Row],[Satification_points]]&gt;=3,Table2[[#This Row],[Satification_points]]&lt;4),"AVERAGE",Table2[[#This Row],[Satification_points]]&lt;3,"POOR")</f>
        <v>AVERAGE</v>
      </c>
    </row>
    <row r="1645" spans="1:29" x14ac:dyDescent="0.3">
      <c r="A1645">
        <v>1644</v>
      </c>
      <c r="B1645">
        <v>41626</v>
      </c>
      <c r="C1645" t="s">
        <v>1686</v>
      </c>
      <c r="D1645" t="s">
        <v>48</v>
      </c>
      <c r="E1645" t="s">
        <v>45</v>
      </c>
      <c r="F1645" s="1">
        <v>45359</v>
      </c>
      <c r="G1645" s="1">
        <v>45360</v>
      </c>
      <c r="H1645">
        <v>7</v>
      </c>
      <c r="I1645" t="s">
        <v>28</v>
      </c>
      <c r="J1645" t="s">
        <v>29</v>
      </c>
      <c r="K1645">
        <v>3</v>
      </c>
      <c r="L1645">
        <v>1</v>
      </c>
      <c r="M1645">
        <v>4</v>
      </c>
      <c r="N1645">
        <v>5</v>
      </c>
      <c r="O1645">
        <v>5</v>
      </c>
      <c r="P1645">
        <v>2</v>
      </c>
      <c r="Q1645">
        <v>4</v>
      </c>
      <c r="R1645">
        <v>1</v>
      </c>
      <c r="S1645">
        <v>3</v>
      </c>
      <c r="T1645">
        <v>4</v>
      </c>
      <c r="U1645" t="s">
        <v>30</v>
      </c>
      <c r="V1645" t="s">
        <v>54</v>
      </c>
      <c r="W1645" t="s">
        <v>47</v>
      </c>
      <c r="X1645" t="s">
        <v>40</v>
      </c>
      <c r="Y1645">
        <v>58</v>
      </c>
      <c r="Z1645" s="1">
        <v>45543</v>
      </c>
      <c r="AA1645" t="str" cm="1">
        <f t="array" ref="AA1645">_xlfn.IFS(AND(Table2[[#This Row],[Guest_Age]]&gt;=18,Table2[[#This Row],[Guest_Age]]&lt;=25),"Young Adults",AND(Table2[[#This Row],[Guest_Age]]&gt;=26,Table2[[#This Row],[Guest_Age]]&lt;=35),"Adults",AND(Table2[[#This Row],[Guest_Age]]&gt;=36,Table2[[#This Row],[Guest_Age]]&lt;=50),"Middle Aged Adults",Table2[[#This Row],[Guest_Age]]&gt;50,"Senior")</f>
        <v>Senior</v>
      </c>
      <c r="AB16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45" t="str" cm="1">
        <f t="array" ref="AC1645">_xlfn.IFS(Table2[[#This Row],[Satification_points]]&gt;=4.5,"GREAT",AND(Table2[[#This Row],[Satification_points]]&gt;=4,Table2[[#This Row],[Satification_points]]&lt;4.5),"GOOD",AND(Table2[[#This Row],[Satification_points]]&gt;=3,Table2[[#This Row],[Satification_points]]&lt;4),"AVERAGE",Table2[[#This Row],[Satification_points]]&lt;3,"POOR")</f>
        <v>AVERAGE</v>
      </c>
    </row>
    <row r="1646" spans="1:29" x14ac:dyDescent="0.3">
      <c r="A1646">
        <v>1645</v>
      </c>
      <c r="B1646">
        <v>14452</v>
      </c>
      <c r="C1646" t="s">
        <v>1687</v>
      </c>
      <c r="D1646" t="s">
        <v>26</v>
      </c>
      <c r="E1646" t="s">
        <v>52</v>
      </c>
      <c r="F1646" s="1">
        <v>45417</v>
      </c>
      <c r="G1646" s="1">
        <v>45418</v>
      </c>
      <c r="H1646">
        <v>8</v>
      </c>
      <c r="I1646" t="s">
        <v>42</v>
      </c>
      <c r="J1646" t="s">
        <v>36</v>
      </c>
      <c r="K1646">
        <v>1</v>
      </c>
      <c r="L1646">
        <v>5</v>
      </c>
      <c r="M1646">
        <v>5</v>
      </c>
      <c r="N1646">
        <v>2</v>
      </c>
      <c r="O1646">
        <v>4</v>
      </c>
      <c r="P1646">
        <v>1</v>
      </c>
      <c r="Q1646">
        <v>3</v>
      </c>
      <c r="R1646">
        <v>2</v>
      </c>
      <c r="S1646">
        <v>1</v>
      </c>
      <c r="T1646">
        <v>2</v>
      </c>
      <c r="U1646" t="s">
        <v>30</v>
      </c>
      <c r="V1646" t="s">
        <v>54</v>
      </c>
      <c r="W1646" t="s">
        <v>56</v>
      </c>
      <c r="X1646" t="s">
        <v>33</v>
      </c>
      <c r="Y1646">
        <v>38</v>
      </c>
      <c r="Z1646" s="1">
        <v>45489</v>
      </c>
      <c r="AA1646" t="str" cm="1">
        <f t="array" ref="AA16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646" t="str" cm="1">
        <f t="array" ref="AC1646">_xlfn.IFS(Table2[[#This Row],[Satification_points]]&gt;=4.5,"GREAT",AND(Table2[[#This Row],[Satification_points]]&gt;=4,Table2[[#This Row],[Satification_points]]&lt;4.5),"GOOD",AND(Table2[[#This Row],[Satification_points]]&gt;=3,Table2[[#This Row],[Satification_points]]&lt;4),"AVERAGE",Table2[[#This Row],[Satification_points]]&lt;3,"POOR")</f>
        <v>POOR</v>
      </c>
    </row>
    <row r="1647" spans="1:29" x14ac:dyDescent="0.3">
      <c r="A1647">
        <v>1646</v>
      </c>
      <c r="B1647">
        <v>80623</v>
      </c>
      <c r="C1647" t="s">
        <v>1688</v>
      </c>
      <c r="D1647" t="s">
        <v>34</v>
      </c>
      <c r="E1647" t="s">
        <v>35</v>
      </c>
      <c r="F1647" s="1">
        <v>45613</v>
      </c>
      <c r="G1647" s="1">
        <v>45614</v>
      </c>
      <c r="H1647">
        <v>10</v>
      </c>
      <c r="I1647" t="s">
        <v>42</v>
      </c>
      <c r="J1647" t="s">
        <v>40</v>
      </c>
      <c r="K1647">
        <v>1</v>
      </c>
      <c r="L1647">
        <v>3</v>
      </c>
      <c r="M1647">
        <v>1</v>
      </c>
      <c r="N1647">
        <v>4</v>
      </c>
      <c r="O1647">
        <v>4</v>
      </c>
      <c r="P1647">
        <v>2</v>
      </c>
      <c r="Q1647">
        <v>1</v>
      </c>
      <c r="R1647">
        <v>2</v>
      </c>
      <c r="S1647">
        <v>5</v>
      </c>
      <c r="T1647">
        <v>1</v>
      </c>
      <c r="U1647" t="s">
        <v>30</v>
      </c>
      <c r="V1647" t="s">
        <v>58</v>
      </c>
      <c r="W1647" t="s">
        <v>47</v>
      </c>
      <c r="X1647" t="s">
        <v>33</v>
      </c>
      <c r="Y1647">
        <v>20</v>
      </c>
      <c r="Z1647" s="1">
        <v>45614</v>
      </c>
      <c r="AA1647" t="str" cm="1">
        <f t="array" ref="AA1647">_xlfn.IFS(AND(Table2[[#This Row],[Guest_Age]]&gt;=18,Table2[[#This Row],[Guest_Age]]&lt;=25),"Young Adults",AND(Table2[[#This Row],[Guest_Age]]&gt;=26,Table2[[#This Row],[Guest_Age]]&lt;=35),"Adults",AND(Table2[[#This Row],[Guest_Age]]&gt;=36,Table2[[#This Row],[Guest_Age]]&lt;=50),"Middle Aged Adults",Table2[[#This Row],[Guest_Age]]&gt;50,"Senior")</f>
        <v>Young Adults</v>
      </c>
      <c r="AB16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47" t="str" cm="1">
        <f t="array" ref="AC1647">_xlfn.IFS(Table2[[#This Row],[Satification_points]]&gt;=4.5,"GREAT",AND(Table2[[#This Row],[Satification_points]]&gt;=4,Table2[[#This Row],[Satification_points]]&lt;4.5),"GOOD",AND(Table2[[#This Row],[Satification_points]]&gt;=3,Table2[[#This Row],[Satification_points]]&lt;4),"AVERAGE",Table2[[#This Row],[Satification_points]]&lt;3,"POOR")</f>
        <v>POOR</v>
      </c>
    </row>
    <row r="1648" spans="1:29" x14ac:dyDescent="0.3">
      <c r="A1648">
        <v>1647</v>
      </c>
      <c r="B1648">
        <v>60071</v>
      </c>
      <c r="C1648" t="s">
        <v>1689</v>
      </c>
      <c r="D1648" t="s">
        <v>48</v>
      </c>
      <c r="E1648" t="s">
        <v>27</v>
      </c>
      <c r="F1648" s="1">
        <v>45012</v>
      </c>
      <c r="G1648" s="1">
        <v>45057</v>
      </c>
      <c r="H1648">
        <v>6</v>
      </c>
      <c r="I1648" t="s">
        <v>49</v>
      </c>
      <c r="J1648" t="s">
        <v>40</v>
      </c>
      <c r="K1648">
        <v>1</v>
      </c>
      <c r="L1648">
        <v>1</v>
      </c>
      <c r="M1648">
        <v>3</v>
      </c>
      <c r="N1648">
        <v>5</v>
      </c>
      <c r="O1648">
        <v>1</v>
      </c>
      <c r="P1648">
        <v>2</v>
      </c>
      <c r="Q1648">
        <v>4</v>
      </c>
      <c r="R1648">
        <v>1</v>
      </c>
      <c r="S1648">
        <v>5</v>
      </c>
      <c r="T1648">
        <v>1</v>
      </c>
      <c r="U1648" t="s">
        <v>37</v>
      </c>
      <c r="V1648" t="s">
        <v>46</v>
      </c>
      <c r="W1648" t="s">
        <v>47</v>
      </c>
      <c r="X1648" t="s">
        <v>40</v>
      </c>
      <c r="Y1648">
        <v>45</v>
      </c>
      <c r="Z1648" s="1">
        <v>45057</v>
      </c>
      <c r="AA1648" t="str" cm="1">
        <f t="array" ref="AA16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48" t="str" cm="1">
        <f t="array" ref="AC1648">_xlfn.IFS(Table2[[#This Row],[Satification_points]]&gt;=4.5,"GREAT",AND(Table2[[#This Row],[Satification_points]]&gt;=4,Table2[[#This Row],[Satification_points]]&lt;4.5),"GOOD",AND(Table2[[#This Row],[Satification_points]]&gt;=3,Table2[[#This Row],[Satification_points]]&lt;4),"AVERAGE",Table2[[#This Row],[Satification_points]]&lt;3,"POOR")</f>
        <v>POOR</v>
      </c>
    </row>
    <row r="1649" spans="1:29" x14ac:dyDescent="0.3">
      <c r="A1649">
        <v>1648</v>
      </c>
      <c r="B1649">
        <v>24898</v>
      </c>
      <c r="C1649" t="s">
        <v>1690</v>
      </c>
      <c r="D1649" t="s">
        <v>41</v>
      </c>
      <c r="E1649" t="s">
        <v>57</v>
      </c>
      <c r="F1649" s="1">
        <v>44956</v>
      </c>
      <c r="G1649" s="1">
        <v>45032</v>
      </c>
      <c r="H1649">
        <v>5</v>
      </c>
      <c r="I1649" t="s">
        <v>50</v>
      </c>
      <c r="J1649" t="s">
        <v>36</v>
      </c>
      <c r="K1649">
        <v>4</v>
      </c>
      <c r="L1649">
        <v>5</v>
      </c>
      <c r="M1649">
        <v>3</v>
      </c>
      <c r="N1649">
        <v>1</v>
      </c>
      <c r="O1649">
        <v>1</v>
      </c>
      <c r="P1649">
        <v>2</v>
      </c>
      <c r="Q1649">
        <v>1</v>
      </c>
      <c r="R1649">
        <v>4</v>
      </c>
      <c r="S1649">
        <v>2</v>
      </c>
      <c r="T1649">
        <v>5</v>
      </c>
      <c r="U1649" t="s">
        <v>30</v>
      </c>
      <c r="V1649" t="s">
        <v>38</v>
      </c>
      <c r="W1649" t="s">
        <v>47</v>
      </c>
      <c r="X1649" t="s">
        <v>44</v>
      </c>
      <c r="Y1649">
        <v>58</v>
      </c>
      <c r="Z1649" s="1">
        <v>45296</v>
      </c>
      <c r="AA1649" t="str" cm="1">
        <f t="array" ref="AA1649">_xlfn.IFS(AND(Table2[[#This Row],[Guest_Age]]&gt;=18,Table2[[#This Row],[Guest_Age]]&lt;=25),"Young Adults",AND(Table2[[#This Row],[Guest_Age]]&gt;=26,Table2[[#This Row],[Guest_Age]]&lt;=35),"Adults",AND(Table2[[#This Row],[Guest_Age]]&gt;=36,Table2[[#This Row],[Guest_Age]]&lt;=50),"Middle Aged Adults",Table2[[#This Row],[Guest_Age]]&gt;50,"Senior")</f>
        <v>Senior</v>
      </c>
      <c r="AB16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49" t="str" cm="1">
        <f t="array" ref="AC1649">_xlfn.IFS(Table2[[#This Row],[Satification_points]]&gt;=4.5,"GREAT",AND(Table2[[#This Row],[Satification_points]]&gt;=4,Table2[[#This Row],[Satification_points]]&lt;4.5),"GOOD",AND(Table2[[#This Row],[Satification_points]]&gt;=3,Table2[[#This Row],[Satification_points]]&lt;4),"AVERAGE",Table2[[#This Row],[Satification_points]]&lt;3,"POOR")</f>
        <v>POOR</v>
      </c>
    </row>
    <row r="1650" spans="1:29" x14ac:dyDescent="0.3">
      <c r="A1650">
        <v>1649</v>
      </c>
      <c r="B1650">
        <v>51001</v>
      </c>
      <c r="C1650" t="s">
        <v>1691</v>
      </c>
      <c r="D1650" t="s">
        <v>26</v>
      </c>
      <c r="E1650" t="s">
        <v>52</v>
      </c>
      <c r="F1650" s="1">
        <v>45593</v>
      </c>
      <c r="G1650" s="1">
        <v>45594</v>
      </c>
      <c r="H1650">
        <v>11</v>
      </c>
      <c r="I1650" t="s">
        <v>28</v>
      </c>
      <c r="J1650" t="s">
        <v>43</v>
      </c>
      <c r="K1650">
        <v>1</v>
      </c>
      <c r="L1650">
        <v>3</v>
      </c>
      <c r="M1650">
        <v>1</v>
      </c>
      <c r="N1650">
        <v>4</v>
      </c>
      <c r="O1650">
        <v>5</v>
      </c>
      <c r="P1650">
        <v>1</v>
      </c>
      <c r="Q1650">
        <v>2</v>
      </c>
      <c r="R1650">
        <v>2</v>
      </c>
      <c r="S1650">
        <v>3</v>
      </c>
      <c r="T1650">
        <v>3</v>
      </c>
      <c r="U1650" t="s">
        <v>37</v>
      </c>
      <c r="V1650" t="s">
        <v>58</v>
      </c>
      <c r="W1650" t="s">
        <v>47</v>
      </c>
      <c r="X1650" t="s">
        <v>44</v>
      </c>
      <c r="Y1650">
        <v>36</v>
      </c>
      <c r="Z1650" s="1">
        <v>45594</v>
      </c>
      <c r="AA1650" t="str" cm="1">
        <f t="array" ref="AA16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50" t="str" cm="1">
        <f t="array" ref="AC1650">_xlfn.IFS(Table2[[#This Row],[Satification_points]]&gt;=4.5,"GREAT",AND(Table2[[#This Row],[Satification_points]]&gt;=4,Table2[[#This Row],[Satification_points]]&lt;4.5),"GOOD",AND(Table2[[#This Row],[Satification_points]]&gt;=3,Table2[[#This Row],[Satification_points]]&lt;4),"AVERAGE",Table2[[#This Row],[Satification_points]]&lt;3,"POOR")</f>
        <v>POOR</v>
      </c>
    </row>
    <row r="1651" spans="1:29" x14ac:dyDescent="0.3">
      <c r="A1651">
        <v>1650</v>
      </c>
      <c r="B1651">
        <v>24758</v>
      </c>
      <c r="C1651" t="s">
        <v>1692</v>
      </c>
      <c r="D1651" t="s">
        <v>34</v>
      </c>
      <c r="E1651" t="s">
        <v>27</v>
      </c>
      <c r="F1651" s="1">
        <v>45126</v>
      </c>
      <c r="G1651" s="1">
        <v>45187</v>
      </c>
      <c r="H1651">
        <v>4</v>
      </c>
      <c r="I1651" t="s">
        <v>49</v>
      </c>
      <c r="J1651" t="s">
        <v>53</v>
      </c>
      <c r="K1651">
        <v>2</v>
      </c>
      <c r="L1651">
        <v>2</v>
      </c>
      <c r="M1651">
        <v>3</v>
      </c>
      <c r="N1651">
        <v>4</v>
      </c>
      <c r="O1651">
        <v>5</v>
      </c>
      <c r="P1651">
        <v>3</v>
      </c>
      <c r="Q1651">
        <v>4</v>
      </c>
      <c r="R1651">
        <v>2</v>
      </c>
      <c r="S1651">
        <v>3</v>
      </c>
      <c r="T1651">
        <v>4</v>
      </c>
      <c r="U1651" t="s">
        <v>37</v>
      </c>
      <c r="V1651" t="s">
        <v>58</v>
      </c>
      <c r="W1651" t="s">
        <v>39</v>
      </c>
      <c r="X1651" t="s">
        <v>40</v>
      </c>
      <c r="Y1651">
        <v>33</v>
      </c>
      <c r="Z1651" s="1">
        <v>45187</v>
      </c>
      <c r="AA1651" t="str" cm="1">
        <f t="array" ref="AA1651">_xlfn.IFS(AND(Table2[[#This Row],[Guest_Age]]&gt;=18,Table2[[#This Row],[Guest_Age]]&lt;=25),"Young Adults",AND(Table2[[#This Row],[Guest_Age]]&gt;=26,Table2[[#This Row],[Guest_Age]]&lt;=35),"Adults",AND(Table2[[#This Row],[Guest_Age]]&gt;=36,Table2[[#This Row],[Guest_Age]]&lt;=50),"Middle Aged Adults",Table2[[#This Row],[Guest_Age]]&gt;50,"Senior")</f>
        <v>Adults</v>
      </c>
      <c r="AB16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51" t="str" cm="1">
        <f t="array" ref="AC1651">_xlfn.IFS(Table2[[#This Row],[Satification_points]]&gt;=4.5,"GREAT",AND(Table2[[#This Row],[Satification_points]]&gt;=4,Table2[[#This Row],[Satification_points]]&lt;4.5),"GOOD",AND(Table2[[#This Row],[Satification_points]]&gt;=3,Table2[[#This Row],[Satification_points]]&lt;4),"AVERAGE",Table2[[#This Row],[Satification_points]]&lt;3,"POOR")</f>
        <v>AVERAGE</v>
      </c>
    </row>
    <row r="1652" spans="1:29" x14ac:dyDescent="0.3">
      <c r="A1652">
        <v>1651</v>
      </c>
      <c r="B1652">
        <v>57238</v>
      </c>
      <c r="C1652" t="s">
        <v>1693</v>
      </c>
      <c r="D1652" t="s">
        <v>48</v>
      </c>
      <c r="E1652" t="s">
        <v>45</v>
      </c>
      <c r="F1652" s="1">
        <v>45082</v>
      </c>
      <c r="G1652" s="1">
        <v>45083</v>
      </c>
      <c r="H1652">
        <v>14</v>
      </c>
      <c r="I1652" t="s">
        <v>49</v>
      </c>
      <c r="J1652" t="s">
        <v>40</v>
      </c>
      <c r="K1652">
        <v>5</v>
      </c>
      <c r="L1652">
        <v>4</v>
      </c>
      <c r="M1652">
        <v>4</v>
      </c>
      <c r="N1652">
        <v>1</v>
      </c>
      <c r="O1652">
        <v>5</v>
      </c>
      <c r="P1652">
        <v>3</v>
      </c>
      <c r="Q1652">
        <v>2</v>
      </c>
      <c r="R1652">
        <v>3</v>
      </c>
      <c r="S1652">
        <v>2</v>
      </c>
      <c r="T1652">
        <v>2</v>
      </c>
      <c r="U1652" t="s">
        <v>37</v>
      </c>
      <c r="V1652" t="s">
        <v>58</v>
      </c>
      <c r="W1652" t="s">
        <v>47</v>
      </c>
      <c r="X1652" t="s">
        <v>44</v>
      </c>
      <c r="Y1652">
        <v>19</v>
      </c>
      <c r="Z1652" s="1">
        <v>45456</v>
      </c>
      <c r="AA1652" t="str" cm="1">
        <f t="array" ref="AA1652">_xlfn.IFS(AND(Table2[[#This Row],[Guest_Age]]&gt;=18,Table2[[#This Row],[Guest_Age]]&lt;=25),"Young Adults",AND(Table2[[#This Row],[Guest_Age]]&gt;=26,Table2[[#This Row],[Guest_Age]]&lt;=35),"Adults",AND(Table2[[#This Row],[Guest_Age]]&gt;=36,Table2[[#This Row],[Guest_Age]]&lt;=50),"Middle Aged Adults",Table2[[#This Row],[Guest_Age]]&gt;50,"Senior")</f>
        <v>Young Adults</v>
      </c>
      <c r="AB16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52" t="str" cm="1">
        <f t="array" ref="AC1652">_xlfn.IFS(Table2[[#This Row],[Satification_points]]&gt;=4.5,"GREAT",AND(Table2[[#This Row],[Satification_points]]&gt;=4,Table2[[#This Row],[Satification_points]]&lt;4.5),"GOOD",AND(Table2[[#This Row],[Satification_points]]&gt;=3,Table2[[#This Row],[Satification_points]]&lt;4),"AVERAGE",Table2[[#This Row],[Satification_points]]&lt;3,"POOR")</f>
        <v>AVERAGE</v>
      </c>
    </row>
    <row r="1653" spans="1:29" x14ac:dyDescent="0.3">
      <c r="A1653">
        <v>1652</v>
      </c>
      <c r="B1653">
        <v>25121</v>
      </c>
      <c r="C1653" t="s">
        <v>1694</v>
      </c>
      <c r="D1653" t="s">
        <v>34</v>
      </c>
      <c r="E1653" t="s">
        <v>27</v>
      </c>
      <c r="F1653" s="1">
        <v>45458</v>
      </c>
      <c r="G1653" s="1">
        <v>45459</v>
      </c>
      <c r="H1653">
        <v>8</v>
      </c>
      <c r="I1653" t="s">
        <v>50</v>
      </c>
      <c r="J1653" t="s">
        <v>40</v>
      </c>
      <c r="K1653">
        <v>2</v>
      </c>
      <c r="L1653">
        <v>2</v>
      </c>
      <c r="M1653">
        <v>2</v>
      </c>
      <c r="N1653">
        <v>1</v>
      </c>
      <c r="O1653">
        <v>2</v>
      </c>
      <c r="P1653">
        <v>4</v>
      </c>
      <c r="Q1653">
        <v>3</v>
      </c>
      <c r="R1653">
        <v>4</v>
      </c>
      <c r="S1653">
        <v>3</v>
      </c>
      <c r="T1653">
        <v>1</v>
      </c>
      <c r="U1653" t="s">
        <v>37</v>
      </c>
      <c r="V1653" t="s">
        <v>54</v>
      </c>
      <c r="W1653" t="s">
        <v>56</v>
      </c>
      <c r="X1653" t="s">
        <v>33</v>
      </c>
      <c r="Y1653">
        <v>25</v>
      </c>
      <c r="Z1653" s="1">
        <v>45459</v>
      </c>
      <c r="AA1653" t="str" cm="1">
        <f t="array" ref="AA1653">_xlfn.IFS(AND(Table2[[#This Row],[Guest_Age]]&gt;=18,Table2[[#This Row],[Guest_Age]]&lt;=25),"Young Adults",AND(Table2[[#This Row],[Guest_Age]]&gt;=26,Table2[[#This Row],[Guest_Age]]&lt;=35),"Adults",AND(Table2[[#This Row],[Guest_Age]]&gt;=36,Table2[[#This Row],[Guest_Age]]&lt;=50),"Middle Aged Adults",Table2[[#This Row],[Guest_Age]]&gt;50,"Senior")</f>
        <v>Young Adults</v>
      </c>
      <c r="AB16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53" t="str" cm="1">
        <f t="array" ref="AC1653">_xlfn.IFS(Table2[[#This Row],[Satification_points]]&gt;=4.5,"GREAT",AND(Table2[[#This Row],[Satification_points]]&gt;=4,Table2[[#This Row],[Satification_points]]&lt;4.5),"GOOD",AND(Table2[[#This Row],[Satification_points]]&gt;=3,Table2[[#This Row],[Satification_points]]&lt;4),"AVERAGE",Table2[[#This Row],[Satification_points]]&lt;3,"POOR")</f>
        <v>POOR</v>
      </c>
    </row>
    <row r="1654" spans="1:29" x14ac:dyDescent="0.3">
      <c r="A1654">
        <v>1653</v>
      </c>
      <c r="B1654">
        <v>93202</v>
      </c>
      <c r="C1654" t="s">
        <v>1695</v>
      </c>
      <c r="D1654" t="s">
        <v>48</v>
      </c>
      <c r="E1654" t="s">
        <v>45</v>
      </c>
      <c r="F1654" s="1">
        <v>45641</v>
      </c>
      <c r="G1654" s="1">
        <v>45642</v>
      </c>
      <c r="H1654">
        <v>14</v>
      </c>
      <c r="I1654" t="s">
        <v>50</v>
      </c>
      <c r="J1654" t="s">
        <v>36</v>
      </c>
      <c r="K1654">
        <v>2</v>
      </c>
      <c r="L1654">
        <v>5</v>
      </c>
      <c r="M1654">
        <v>4</v>
      </c>
      <c r="N1654">
        <v>4</v>
      </c>
      <c r="O1654">
        <v>5</v>
      </c>
      <c r="P1654">
        <v>4</v>
      </c>
      <c r="Q1654">
        <v>3</v>
      </c>
      <c r="R1654">
        <v>5</v>
      </c>
      <c r="S1654">
        <v>5</v>
      </c>
      <c r="T1654">
        <v>4</v>
      </c>
      <c r="U1654" t="s">
        <v>37</v>
      </c>
      <c r="V1654" t="s">
        <v>58</v>
      </c>
      <c r="W1654" t="s">
        <v>56</v>
      </c>
      <c r="X1654" t="s">
        <v>40</v>
      </c>
      <c r="Y1654">
        <v>63</v>
      </c>
      <c r="Z1654" s="1">
        <v>45642</v>
      </c>
      <c r="AA1654" t="str" cm="1">
        <f t="array" ref="AA1654">_xlfn.IFS(AND(Table2[[#This Row],[Guest_Age]]&gt;=18,Table2[[#This Row],[Guest_Age]]&lt;=25),"Young Adults",AND(Table2[[#This Row],[Guest_Age]]&gt;=26,Table2[[#This Row],[Guest_Age]]&lt;=35),"Adults",AND(Table2[[#This Row],[Guest_Age]]&gt;=36,Table2[[#This Row],[Guest_Age]]&lt;=50),"Middle Aged Adults",Table2[[#This Row],[Guest_Age]]&gt;50,"Senior")</f>
        <v>Senior</v>
      </c>
      <c r="AB16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654" t="str" cm="1">
        <f t="array" ref="AC1654">_xlfn.IFS(Table2[[#This Row],[Satification_points]]&gt;=4.5,"GREAT",AND(Table2[[#This Row],[Satification_points]]&gt;=4,Table2[[#This Row],[Satification_points]]&lt;4.5),"GOOD",AND(Table2[[#This Row],[Satification_points]]&gt;=3,Table2[[#This Row],[Satification_points]]&lt;4),"AVERAGE",Table2[[#This Row],[Satification_points]]&lt;3,"POOR")</f>
        <v>GOOD</v>
      </c>
    </row>
    <row r="1655" spans="1:29" x14ac:dyDescent="0.3">
      <c r="A1655">
        <v>1654</v>
      </c>
      <c r="B1655">
        <v>56270</v>
      </c>
      <c r="C1655" t="s">
        <v>1696</v>
      </c>
      <c r="D1655" t="s">
        <v>41</v>
      </c>
      <c r="E1655" t="s">
        <v>52</v>
      </c>
      <c r="F1655" s="1">
        <v>45078</v>
      </c>
      <c r="G1655" s="1">
        <v>45081</v>
      </c>
      <c r="H1655">
        <v>2</v>
      </c>
      <c r="I1655" t="s">
        <v>42</v>
      </c>
      <c r="J1655" t="s">
        <v>40</v>
      </c>
      <c r="K1655">
        <v>4</v>
      </c>
      <c r="L1655">
        <v>3</v>
      </c>
      <c r="M1655">
        <v>3</v>
      </c>
      <c r="N1655">
        <v>3</v>
      </c>
      <c r="O1655">
        <v>2</v>
      </c>
      <c r="P1655">
        <v>5</v>
      </c>
      <c r="Q1655">
        <v>3</v>
      </c>
      <c r="R1655">
        <v>5</v>
      </c>
      <c r="S1655">
        <v>5</v>
      </c>
      <c r="T1655">
        <v>4</v>
      </c>
      <c r="U1655" t="s">
        <v>30</v>
      </c>
      <c r="V1655" t="s">
        <v>46</v>
      </c>
      <c r="W1655" t="s">
        <v>55</v>
      </c>
      <c r="X1655" t="s">
        <v>33</v>
      </c>
      <c r="Y1655">
        <v>55</v>
      </c>
      <c r="Z1655" s="1">
        <v>45576</v>
      </c>
      <c r="AA1655" t="str" cm="1">
        <f t="array" ref="AA1655">_xlfn.IFS(AND(Table2[[#This Row],[Guest_Age]]&gt;=18,Table2[[#This Row],[Guest_Age]]&lt;=25),"Young Adults",AND(Table2[[#This Row],[Guest_Age]]&gt;=26,Table2[[#This Row],[Guest_Age]]&lt;=35),"Adults",AND(Table2[[#This Row],[Guest_Age]]&gt;=36,Table2[[#This Row],[Guest_Age]]&lt;=50),"Middle Aged Adults",Table2[[#This Row],[Guest_Age]]&gt;50,"Senior")</f>
        <v>Senior</v>
      </c>
      <c r="AB16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655" t="str" cm="1">
        <f t="array" ref="AC1655">_xlfn.IFS(Table2[[#This Row],[Satification_points]]&gt;=4.5,"GREAT",AND(Table2[[#This Row],[Satification_points]]&gt;=4,Table2[[#This Row],[Satification_points]]&lt;4.5),"GOOD",AND(Table2[[#This Row],[Satification_points]]&gt;=3,Table2[[#This Row],[Satification_points]]&lt;4),"AVERAGE",Table2[[#This Row],[Satification_points]]&lt;3,"POOR")</f>
        <v>AVERAGE</v>
      </c>
    </row>
    <row r="1656" spans="1:29" x14ac:dyDescent="0.3">
      <c r="A1656">
        <v>1655</v>
      </c>
      <c r="B1656">
        <v>57851</v>
      </c>
      <c r="C1656" t="s">
        <v>1697</v>
      </c>
      <c r="D1656" t="s">
        <v>48</v>
      </c>
      <c r="E1656" t="s">
        <v>27</v>
      </c>
      <c r="F1656" s="1">
        <v>45003</v>
      </c>
      <c r="G1656" s="1">
        <v>45480</v>
      </c>
      <c r="H1656">
        <v>6</v>
      </c>
      <c r="I1656" t="s">
        <v>42</v>
      </c>
      <c r="J1656" t="s">
        <v>40</v>
      </c>
      <c r="K1656">
        <v>1</v>
      </c>
      <c r="L1656">
        <v>3</v>
      </c>
      <c r="M1656">
        <v>2</v>
      </c>
      <c r="N1656">
        <v>1</v>
      </c>
      <c r="O1656">
        <v>2</v>
      </c>
      <c r="P1656">
        <v>5</v>
      </c>
      <c r="Q1656">
        <v>4</v>
      </c>
      <c r="R1656">
        <v>1</v>
      </c>
      <c r="S1656">
        <v>2</v>
      </c>
      <c r="T1656">
        <v>4</v>
      </c>
      <c r="U1656" t="s">
        <v>30</v>
      </c>
      <c r="V1656" t="s">
        <v>58</v>
      </c>
      <c r="W1656" t="s">
        <v>32</v>
      </c>
      <c r="X1656" t="s">
        <v>44</v>
      </c>
      <c r="Y1656">
        <v>29</v>
      </c>
      <c r="Z1656" s="1">
        <v>45480</v>
      </c>
      <c r="AA1656" t="str" cm="1">
        <f t="array" ref="AA1656">_xlfn.IFS(AND(Table2[[#This Row],[Guest_Age]]&gt;=18,Table2[[#This Row],[Guest_Age]]&lt;=25),"Young Adults",AND(Table2[[#This Row],[Guest_Age]]&gt;=26,Table2[[#This Row],[Guest_Age]]&lt;=35),"Adults",AND(Table2[[#This Row],[Guest_Age]]&gt;=36,Table2[[#This Row],[Guest_Age]]&lt;=50),"Middle Aged Adults",Table2[[#This Row],[Guest_Age]]&gt;50,"Senior")</f>
        <v>Adults</v>
      </c>
      <c r="AB16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56" t="str" cm="1">
        <f t="array" ref="AC1656">_xlfn.IFS(Table2[[#This Row],[Satification_points]]&gt;=4.5,"GREAT",AND(Table2[[#This Row],[Satification_points]]&gt;=4,Table2[[#This Row],[Satification_points]]&lt;4.5),"GOOD",AND(Table2[[#This Row],[Satification_points]]&gt;=3,Table2[[#This Row],[Satification_points]]&lt;4),"AVERAGE",Table2[[#This Row],[Satification_points]]&lt;3,"POOR")</f>
        <v>POOR</v>
      </c>
    </row>
    <row r="1657" spans="1:29" x14ac:dyDescent="0.3">
      <c r="A1657">
        <v>1656</v>
      </c>
      <c r="B1657">
        <v>70909</v>
      </c>
      <c r="C1657" t="s">
        <v>1698</v>
      </c>
      <c r="D1657" t="s">
        <v>41</v>
      </c>
      <c r="E1657" t="s">
        <v>35</v>
      </c>
      <c r="F1657" s="1">
        <v>45254</v>
      </c>
      <c r="G1657" s="1">
        <v>45255</v>
      </c>
      <c r="H1657">
        <v>14</v>
      </c>
      <c r="I1657" t="s">
        <v>42</v>
      </c>
      <c r="J1657" t="s">
        <v>43</v>
      </c>
      <c r="K1657">
        <v>5</v>
      </c>
      <c r="L1657">
        <v>3</v>
      </c>
      <c r="M1657">
        <v>4</v>
      </c>
      <c r="N1657">
        <v>5</v>
      </c>
      <c r="O1657">
        <v>1</v>
      </c>
      <c r="P1657">
        <v>5</v>
      </c>
      <c r="Q1657">
        <v>5</v>
      </c>
      <c r="R1657">
        <v>2</v>
      </c>
      <c r="S1657">
        <v>4</v>
      </c>
      <c r="T1657">
        <v>1</v>
      </c>
      <c r="U1657" t="s">
        <v>30</v>
      </c>
      <c r="V1657" t="s">
        <v>38</v>
      </c>
      <c r="W1657" t="s">
        <v>56</v>
      </c>
      <c r="X1657" t="s">
        <v>44</v>
      </c>
      <c r="Y1657">
        <v>41</v>
      </c>
      <c r="Z1657" s="1">
        <v>45551</v>
      </c>
      <c r="AA1657" t="str" cm="1">
        <f t="array" ref="AA16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657" t="str" cm="1">
        <f t="array" ref="AC1657">_xlfn.IFS(Table2[[#This Row],[Satification_points]]&gt;=4.5,"GREAT",AND(Table2[[#This Row],[Satification_points]]&gt;=4,Table2[[#This Row],[Satification_points]]&lt;4.5),"GOOD",AND(Table2[[#This Row],[Satification_points]]&gt;=3,Table2[[#This Row],[Satification_points]]&lt;4),"AVERAGE",Table2[[#This Row],[Satification_points]]&lt;3,"POOR")</f>
        <v>AVERAGE</v>
      </c>
    </row>
    <row r="1658" spans="1:29" x14ac:dyDescent="0.3">
      <c r="A1658">
        <v>1657</v>
      </c>
      <c r="B1658">
        <v>58915</v>
      </c>
      <c r="C1658" t="s">
        <v>1699</v>
      </c>
      <c r="D1658" t="s">
        <v>48</v>
      </c>
      <c r="E1658" t="s">
        <v>52</v>
      </c>
      <c r="F1658" s="1">
        <v>45098</v>
      </c>
      <c r="G1658" s="1">
        <v>45099</v>
      </c>
      <c r="H1658">
        <v>12</v>
      </c>
      <c r="I1658" t="s">
        <v>42</v>
      </c>
      <c r="J1658" t="s">
        <v>36</v>
      </c>
      <c r="K1658">
        <v>5</v>
      </c>
      <c r="L1658">
        <v>4</v>
      </c>
      <c r="M1658">
        <v>3</v>
      </c>
      <c r="N1658">
        <v>1</v>
      </c>
      <c r="O1658">
        <v>3</v>
      </c>
      <c r="P1658">
        <v>4</v>
      </c>
      <c r="Q1658">
        <v>4</v>
      </c>
      <c r="R1658">
        <v>5</v>
      </c>
      <c r="S1658">
        <v>2</v>
      </c>
      <c r="T1658">
        <v>5</v>
      </c>
      <c r="U1658" t="s">
        <v>37</v>
      </c>
      <c r="V1658" t="s">
        <v>58</v>
      </c>
      <c r="W1658" t="s">
        <v>56</v>
      </c>
      <c r="X1658" t="s">
        <v>33</v>
      </c>
      <c r="Y1658">
        <v>18</v>
      </c>
      <c r="Z1658" s="1">
        <v>45524</v>
      </c>
      <c r="AA1658" t="str" cm="1">
        <f t="array" ref="AA1658">_xlfn.IFS(AND(Table2[[#This Row],[Guest_Age]]&gt;=18,Table2[[#This Row],[Guest_Age]]&lt;=25),"Young Adults",AND(Table2[[#This Row],[Guest_Age]]&gt;=26,Table2[[#This Row],[Guest_Age]]&lt;=35),"Adults",AND(Table2[[#This Row],[Guest_Age]]&gt;=36,Table2[[#This Row],[Guest_Age]]&lt;=50),"Middle Aged Adults",Table2[[#This Row],[Guest_Age]]&gt;50,"Senior")</f>
        <v>Young Adults</v>
      </c>
      <c r="AB16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58" t="str" cm="1">
        <f t="array" ref="AC1658">_xlfn.IFS(Table2[[#This Row],[Satification_points]]&gt;=4.5,"GREAT",AND(Table2[[#This Row],[Satification_points]]&gt;=4,Table2[[#This Row],[Satification_points]]&lt;4.5),"GOOD",AND(Table2[[#This Row],[Satification_points]]&gt;=3,Table2[[#This Row],[Satification_points]]&lt;4),"AVERAGE",Table2[[#This Row],[Satification_points]]&lt;3,"POOR")</f>
        <v>AVERAGE</v>
      </c>
    </row>
    <row r="1659" spans="1:29" x14ac:dyDescent="0.3">
      <c r="A1659">
        <v>1658</v>
      </c>
      <c r="B1659">
        <v>58993</v>
      </c>
      <c r="C1659" t="s">
        <v>1700</v>
      </c>
      <c r="D1659" t="s">
        <v>26</v>
      </c>
      <c r="E1659" t="s">
        <v>27</v>
      </c>
      <c r="F1659" s="1">
        <v>45331</v>
      </c>
      <c r="G1659" s="1">
        <v>45332</v>
      </c>
      <c r="H1659">
        <v>14</v>
      </c>
      <c r="I1659" t="s">
        <v>28</v>
      </c>
      <c r="J1659" t="s">
        <v>40</v>
      </c>
      <c r="K1659">
        <v>5</v>
      </c>
      <c r="L1659">
        <v>3</v>
      </c>
      <c r="M1659">
        <v>4</v>
      </c>
      <c r="N1659">
        <v>4</v>
      </c>
      <c r="O1659">
        <v>4</v>
      </c>
      <c r="P1659">
        <v>4</v>
      </c>
      <c r="Q1659">
        <v>4</v>
      </c>
      <c r="R1659">
        <v>1</v>
      </c>
      <c r="S1659">
        <v>5</v>
      </c>
      <c r="T1659">
        <v>4</v>
      </c>
      <c r="U1659" t="s">
        <v>30</v>
      </c>
      <c r="V1659" t="s">
        <v>54</v>
      </c>
      <c r="W1659" t="s">
        <v>56</v>
      </c>
      <c r="X1659" t="s">
        <v>44</v>
      </c>
      <c r="Y1659">
        <v>35</v>
      </c>
      <c r="Z1659" s="1">
        <v>45332</v>
      </c>
      <c r="AA1659" t="str" cm="1">
        <f t="array" ref="AA1659">_xlfn.IFS(AND(Table2[[#This Row],[Guest_Age]]&gt;=18,Table2[[#This Row],[Guest_Age]]&lt;=25),"Young Adults",AND(Table2[[#This Row],[Guest_Age]]&gt;=26,Table2[[#This Row],[Guest_Age]]&lt;=35),"Adults",AND(Table2[[#This Row],[Guest_Age]]&gt;=36,Table2[[#This Row],[Guest_Age]]&lt;=50),"Middle Aged Adults",Table2[[#This Row],[Guest_Age]]&gt;50,"Senior")</f>
        <v>Adults</v>
      </c>
      <c r="AB16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659" t="str" cm="1">
        <f t="array" ref="AC1659">_xlfn.IFS(Table2[[#This Row],[Satification_points]]&gt;=4.5,"GREAT",AND(Table2[[#This Row],[Satification_points]]&gt;=4,Table2[[#This Row],[Satification_points]]&lt;4.5),"GOOD",AND(Table2[[#This Row],[Satification_points]]&gt;=3,Table2[[#This Row],[Satification_points]]&lt;4),"AVERAGE",Table2[[#This Row],[Satification_points]]&lt;3,"POOR")</f>
        <v>AVERAGE</v>
      </c>
    </row>
    <row r="1660" spans="1:29" x14ac:dyDescent="0.3">
      <c r="A1660">
        <v>1659</v>
      </c>
      <c r="B1660">
        <v>44888</v>
      </c>
      <c r="C1660" t="s">
        <v>1701</v>
      </c>
      <c r="D1660" t="s">
        <v>48</v>
      </c>
      <c r="E1660" t="s">
        <v>57</v>
      </c>
      <c r="F1660" s="1">
        <v>45332</v>
      </c>
      <c r="G1660" s="1">
        <v>45333</v>
      </c>
      <c r="H1660">
        <v>10</v>
      </c>
      <c r="I1660" t="s">
        <v>50</v>
      </c>
      <c r="J1660" t="s">
        <v>29</v>
      </c>
      <c r="K1660">
        <v>1</v>
      </c>
      <c r="L1660">
        <v>1</v>
      </c>
      <c r="M1660">
        <v>3</v>
      </c>
      <c r="N1660">
        <v>4</v>
      </c>
      <c r="O1660">
        <v>4</v>
      </c>
      <c r="P1660">
        <v>2</v>
      </c>
      <c r="Q1660">
        <v>5</v>
      </c>
      <c r="R1660">
        <v>3</v>
      </c>
      <c r="S1660">
        <v>2</v>
      </c>
      <c r="T1660">
        <v>1</v>
      </c>
      <c r="U1660" t="s">
        <v>37</v>
      </c>
      <c r="V1660" t="s">
        <v>54</v>
      </c>
      <c r="W1660" t="s">
        <v>56</v>
      </c>
      <c r="X1660" t="s">
        <v>44</v>
      </c>
      <c r="Y1660">
        <v>40</v>
      </c>
      <c r="Z1660" s="1">
        <v>45333</v>
      </c>
      <c r="AA1660" t="str" cm="1">
        <f t="array" ref="AA166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660" t="str" cm="1">
        <f t="array" ref="AC1660">_xlfn.IFS(Table2[[#This Row],[Satification_points]]&gt;=4.5,"GREAT",AND(Table2[[#This Row],[Satification_points]]&gt;=4,Table2[[#This Row],[Satification_points]]&lt;4.5),"GOOD",AND(Table2[[#This Row],[Satification_points]]&gt;=3,Table2[[#This Row],[Satification_points]]&lt;4),"AVERAGE",Table2[[#This Row],[Satification_points]]&lt;3,"POOR")</f>
        <v>POOR</v>
      </c>
    </row>
    <row r="1661" spans="1:29" x14ac:dyDescent="0.3">
      <c r="A1661">
        <v>1660</v>
      </c>
      <c r="B1661">
        <v>23893</v>
      </c>
      <c r="C1661" t="s">
        <v>1702</v>
      </c>
      <c r="D1661" t="s">
        <v>48</v>
      </c>
      <c r="E1661" t="s">
        <v>27</v>
      </c>
      <c r="F1661" s="1">
        <v>45624</v>
      </c>
      <c r="G1661" s="1">
        <v>45625</v>
      </c>
      <c r="H1661">
        <v>6</v>
      </c>
      <c r="I1661" t="s">
        <v>49</v>
      </c>
      <c r="J1661" t="s">
        <v>36</v>
      </c>
      <c r="K1661">
        <v>5</v>
      </c>
      <c r="L1661">
        <v>1</v>
      </c>
      <c r="M1661">
        <v>5</v>
      </c>
      <c r="N1661">
        <v>2</v>
      </c>
      <c r="O1661">
        <v>1</v>
      </c>
      <c r="P1661">
        <v>3</v>
      </c>
      <c r="Q1661">
        <v>4</v>
      </c>
      <c r="R1661">
        <v>4</v>
      </c>
      <c r="S1661">
        <v>5</v>
      </c>
      <c r="T1661">
        <v>1</v>
      </c>
      <c r="U1661" t="s">
        <v>30</v>
      </c>
      <c r="V1661" t="s">
        <v>38</v>
      </c>
      <c r="W1661" t="s">
        <v>32</v>
      </c>
      <c r="X1661" t="s">
        <v>33</v>
      </c>
      <c r="Y1661">
        <v>56</v>
      </c>
      <c r="Z1661" s="1">
        <v>45625</v>
      </c>
      <c r="AA1661" t="str" cm="1">
        <f t="array" ref="AA1661">_xlfn.IFS(AND(Table2[[#This Row],[Guest_Age]]&gt;=18,Table2[[#This Row],[Guest_Age]]&lt;=25),"Young Adults",AND(Table2[[#This Row],[Guest_Age]]&gt;=26,Table2[[#This Row],[Guest_Age]]&lt;=35),"Adults",AND(Table2[[#This Row],[Guest_Age]]&gt;=36,Table2[[#This Row],[Guest_Age]]&lt;=50),"Middle Aged Adults",Table2[[#This Row],[Guest_Age]]&gt;50,"Senior")</f>
        <v>Senior</v>
      </c>
      <c r="AB16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61" t="str" cm="1">
        <f t="array" ref="AC1661">_xlfn.IFS(Table2[[#This Row],[Satification_points]]&gt;=4.5,"GREAT",AND(Table2[[#This Row],[Satification_points]]&gt;=4,Table2[[#This Row],[Satification_points]]&lt;4.5),"GOOD",AND(Table2[[#This Row],[Satification_points]]&gt;=3,Table2[[#This Row],[Satification_points]]&lt;4),"AVERAGE",Table2[[#This Row],[Satification_points]]&lt;3,"POOR")</f>
        <v>AVERAGE</v>
      </c>
    </row>
    <row r="1662" spans="1:29" x14ac:dyDescent="0.3">
      <c r="A1662">
        <v>1661</v>
      </c>
      <c r="B1662">
        <v>96416</v>
      </c>
      <c r="C1662" t="s">
        <v>1703</v>
      </c>
      <c r="D1662" t="s">
        <v>51</v>
      </c>
      <c r="E1662" t="s">
        <v>27</v>
      </c>
      <c r="F1662" s="1">
        <v>45288</v>
      </c>
      <c r="G1662" s="1">
        <v>45289</v>
      </c>
      <c r="H1662">
        <v>5</v>
      </c>
      <c r="I1662" t="s">
        <v>42</v>
      </c>
      <c r="J1662" t="s">
        <v>43</v>
      </c>
      <c r="K1662">
        <v>5</v>
      </c>
      <c r="L1662">
        <v>1</v>
      </c>
      <c r="M1662">
        <v>1</v>
      </c>
      <c r="N1662">
        <v>5</v>
      </c>
      <c r="O1662">
        <v>1</v>
      </c>
      <c r="P1662">
        <v>4</v>
      </c>
      <c r="Q1662">
        <v>2</v>
      </c>
      <c r="R1662">
        <v>2</v>
      </c>
      <c r="S1662">
        <v>4</v>
      </c>
      <c r="T1662">
        <v>2</v>
      </c>
      <c r="U1662" t="s">
        <v>37</v>
      </c>
      <c r="V1662" t="s">
        <v>58</v>
      </c>
      <c r="W1662" t="s">
        <v>32</v>
      </c>
      <c r="X1662" t="s">
        <v>33</v>
      </c>
      <c r="Y1662">
        <v>44</v>
      </c>
      <c r="Z1662" s="1">
        <v>45470</v>
      </c>
      <c r="AA1662" t="str" cm="1">
        <f t="array" ref="AA166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62" t="str" cm="1">
        <f t="array" ref="AC1662">_xlfn.IFS(Table2[[#This Row],[Satification_points]]&gt;=4.5,"GREAT",AND(Table2[[#This Row],[Satification_points]]&gt;=4,Table2[[#This Row],[Satification_points]]&lt;4.5),"GOOD",AND(Table2[[#This Row],[Satification_points]]&gt;=3,Table2[[#This Row],[Satification_points]]&lt;4),"AVERAGE",Table2[[#This Row],[Satification_points]]&lt;3,"POOR")</f>
        <v>POOR</v>
      </c>
    </row>
    <row r="1663" spans="1:29" x14ac:dyDescent="0.3">
      <c r="A1663">
        <v>1662</v>
      </c>
      <c r="B1663">
        <v>41712</v>
      </c>
      <c r="C1663" t="s">
        <v>1704</v>
      </c>
      <c r="D1663" t="s">
        <v>51</v>
      </c>
      <c r="E1663" t="s">
        <v>35</v>
      </c>
      <c r="F1663" s="1">
        <v>45054</v>
      </c>
      <c r="G1663" s="1">
        <v>45327</v>
      </c>
      <c r="H1663">
        <v>2</v>
      </c>
      <c r="I1663" t="s">
        <v>49</v>
      </c>
      <c r="J1663" t="s">
        <v>53</v>
      </c>
      <c r="K1663">
        <v>3</v>
      </c>
      <c r="L1663">
        <v>2</v>
      </c>
      <c r="M1663">
        <v>3</v>
      </c>
      <c r="N1663">
        <v>2</v>
      </c>
      <c r="O1663">
        <v>5</v>
      </c>
      <c r="P1663">
        <v>1</v>
      </c>
      <c r="Q1663">
        <v>5</v>
      </c>
      <c r="R1663">
        <v>2</v>
      </c>
      <c r="S1663">
        <v>5</v>
      </c>
      <c r="T1663">
        <v>5</v>
      </c>
      <c r="U1663" t="s">
        <v>37</v>
      </c>
      <c r="V1663" t="s">
        <v>58</v>
      </c>
      <c r="W1663" t="s">
        <v>47</v>
      </c>
      <c r="X1663" t="s">
        <v>33</v>
      </c>
      <c r="Y1663">
        <v>61</v>
      </c>
      <c r="Z1663" s="1">
        <v>45425</v>
      </c>
      <c r="AA1663" t="str" cm="1">
        <f t="array" ref="AA1663">_xlfn.IFS(AND(Table2[[#This Row],[Guest_Age]]&gt;=18,Table2[[#This Row],[Guest_Age]]&lt;=25),"Young Adults",AND(Table2[[#This Row],[Guest_Age]]&gt;=26,Table2[[#This Row],[Guest_Age]]&lt;=35),"Adults",AND(Table2[[#This Row],[Guest_Age]]&gt;=36,Table2[[#This Row],[Guest_Age]]&lt;=50),"Middle Aged Adults",Table2[[#This Row],[Guest_Age]]&gt;50,"Senior")</f>
        <v>Senior</v>
      </c>
      <c r="AB16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63" t="str" cm="1">
        <f t="array" ref="AC1663">_xlfn.IFS(Table2[[#This Row],[Satification_points]]&gt;=4.5,"GREAT",AND(Table2[[#This Row],[Satification_points]]&gt;=4,Table2[[#This Row],[Satification_points]]&lt;4.5),"GOOD",AND(Table2[[#This Row],[Satification_points]]&gt;=3,Table2[[#This Row],[Satification_points]]&lt;4),"AVERAGE",Table2[[#This Row],[Satification_points]]&lt;3,"POOR")</f>
        <v>AVERAGE</v>
      </c>
    </row>
    <row r="1664" spans="1:29" x14ac:dyDescent="0.3">
      <c r="A1664">
        <v>1663</v>
      </c>
      <c r="B1664">
        <v>39943</v>
      </c>
      <c r="C1664" t="s">
        <v>1705</v>
      </c>
      <c r="D1664" t="s">
        <v>48</v>
      </c>
      <c r="E1664" t="s">
        <v>52</v>
      </c>
      <c r="F1664" s="1">
        <v>45449</v>
      </c>
      <c r="G1664" s="1">
        <v>45450</v>
      </c>
      <c r="H1664">
        <v>5</v>
      </c>
      <c r="I1664" t="s">
        <v>28</v>
      </c>
      <c r="J1664" t="s">
        <v>40</v>
      </c>
      <c r="K1664">
        <v>3</v>
      </c>
      <c r="L1664">
        <v>5</v>
      </c>
      <c r="M1664">
        <v>4</v>
      </c>
      <c r="N1664">
        <v>1</v>
      </c>
      <c r="O1664">
        <v>5</v>
      </c>
      <c r="P1664">
        <v>2</v>
      </c>
      <c r="Q1664">
        <v>5</v>
      </c>
      <c r="R1664">
        <v>1</v>
      </c>
      <c r="S1664">
        <v>3</v>
      </c>
      <c r="T1664">
        <v>5</v>
      </c>
      <c r="U1664" t="s">
        <v>37</v>
      </c>
      <c r="V1664" t="s">
        <v>58</v>
      </c>
      <c r="W1664" t="s">
        <v>56</v>
      </c>
      <c r="X1664" t="s">
        <v>33</v>
      </c>
      <c r="Y1664">
        <v>61</v>
      </c>
      <c r="Z1664" s="1">
        <v>45450</v>
      </c>
      <c r="AA1664" t="str" cm="1">
        <f t="array" ref="AA1664">_xlfn.IFS(AND(Table2[[#This Row],[Guest_Age]]&gt;=18,Table2[[#This Row],[Guest_Age]]&lt;=25),"Young Adults",AND(Table2[[#This Row],[Guest_Age]]&gt;=26,Table2[[#This Row],[Guest_Age]]&lt;=35),"Adults",AND(Table2[[#This Row],[Guest_Age]]&gt;=36,Table2[[#This Row],[Guest_Age]]&lt;=50),"Middle Aged Adults",Table2[[#This Row],[Guest_Age]]&gt;50,"Senior")</f>
        <v>Senior</v>
      </c>
      <c r="AB16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664" t="str" cm="1">
        <f t="array" ref="AC1664">_xlfn.IFS(Table2[[#This Row],[Satification_points]]&gt;=4.5,"GREAT",AND(Table2[[#This Row],[Satification_points]]&gt;=4,Table2[[#This Row],[Satification_points]]&lt;4.5),"GOOD",AND(Table2[[#This Row],[Satification_points]]&gt;=3,Table2[[#This Row],[Satification_points]]&lt;4),"AVERAGE",Table2[[#This Row],[Satification_points]]&lt;3,"POOR")</f>
        <v>AVERAGE</v>
      </c>
    </row>
    <row r="1665" spans="1:29" x14ac:dyDescent="0.3">
      <c r="A1665">
        <v>1664</v>
      </c>
      <c r="B1665">
        <v>15306</v>
      </c>
      <c r="C1665" t="s">
        <v>1706</v>
      </c>
      <c r="D1665" t="s">
        <v>51</v>
      </c>
      <c r="E1665" t="s">
        <v>57</v>
      </c>
      <c r="F1665" s="1">
        <v>45262</v>
      </c>
      <c r="G1665" s="1">
        <v>45263</v>
      </c>
      <c r="H1665">
        <v>3</v>
      </c>
      <c r="I1665" t="s">
        <v>42</v>
      </c>
      <c r="J1665" t="s">
        <v>29</v>
      </c>
      <c r="K1665">
        <v>5</v>
      </c>
      <c r="L1665">
        <v>2</v>
      </c>
      <c r="M1665">
        <v>3</v>
      </c>
      <c r="N1665">
        <v>2</v>
      </c>
      <c r="O1665">
        <v>5</v>
      </c>
      <c r="P1665">
        <v>1</v>
      </c>
      <c r="Q1665">
        <v>2</v>
      </c>
      <c r="R1665">
        <v>2</v>
      </c>
      <c r="S1665">
        <v>1</v>
      </c>
      <c r="T1665">
        <v>5</v>
      </c>
      <c r="U1665" t="s">
        <v>30</v>
      </c>
      <c r="V1665" t="s">
        <v>54</v>
      </c>
      <c r="W1665" t="s">
        <v>56</v>
      </c>
      <c r="X1665" t="s">
        <v>44</v>
      </c>
      <c r="Y1665">
        <v>23</v>
      </c>
      <c r="Z1665" s="1">
        <v>45315</v>
      </c>
      <c r="AA1665" t="str" cm="1">
        <f t="array" ref="AA1665">_xlfn.IFS(AND(Table2[[#This Row],[Guest_Age]]&gt;=18,Table2[[#This Row],[Guest_Age]]&lt;=25),"Young Adults",AND(Table2[[#This Row],[Guest_Age]]&gt;=26,Table2[[#This Row],[Guest_Age]]&lt;=35),"Adults",AND(Table2[[#This Row],[Guest_Age]]&gt;=36,Table2[[#This Row],[Guest_Age]]&lt;=50),"Middle Aged Adults",Table2[[#This Row],[Guest_Age]]&gt;50,"Senior")</f>
        <v>Young Adults</v>
      </c>
      <c r="AB16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65" t="str" cm="1">
        <f t="array" ref="AC1665">_xlfn.IFS(Table2[[#This Row],[Satification_points]]&gt;=4.5,"GREAT",AND(Table2[[#This Row],[Satification_points]]&gt;=4,Table2[[#This Row],[Satification_points]]&lt;4.5),"GOOD",AND(Table2[[#This Row],[Satification_points]]&gt;=3,Table2[[#This Row],[Satification_points]]&lt;4),"AVERAGE",Table2[[#This Row],[Satification_points]]&lt;3,"POOR")</f>
        <v>POOR</v>
      </c>
    </row>
    <row r="1666" spans="1:29" x14ac:dyDescent="0.3">
      <c r="A1666">
        <v>1665</v>
      </c>
      <c r="B1666">
        <v>75461</v>
      </c>
      <c r="C1666" t="s">
        <v>1707</v>
      </c>
      <c r="D1666" t="s">
        <v>41</v>
      </c>
      <c r="E1666" t="s">
        <v>52</v>
      </c>
      <c r="F1666" s="1">
        <v>45619</v>
      </c>
      <c r="G1666" s="1">
        <v>45620</v>
      </c>
      <c r="H1666">
        <v>7</v>
      </c>
      <c r="I1666" t="s">
        <v>28</v>
      </c>
      <c r="J1666" t="s">
        <v>29</v>
      </c>
      <c r="K1666">
        <v>2</v>
      </c>
      <c r="L1666">
        <v>2</v>
      </c>
      <c r="M1666">
        <v>3</v>
      </c>
      <c r="N1666">
        <v>4</v>
      </c>
      <c r="O1666">
        <v>2</v>
      </c>
      <c r="P1666">
        <v>1</v>
      </c>
      <c r="Q1666">
        <v>5</v>
      </c>
      <c r="R1666">
        <v>4</v>
      </c>
      <c r="S1666">
        <v>4</v>
      </c>
      <c r="T1666">
        <v>1</v>
      </c>
      <c r="U1666" t="s">
        <v>37</v>
      </c>
      <c r="V1666" t="s">
        <v>58</v>
      </c>
      <c r="W1666" t="s">
        <v>55</v>
      </c>
      <c r="X1666" t="s">
        <v>33</v>
      </c>
      <c r="Y1666">
        <v>45</v>
      </c>
      <c r="Z1666" s="1">
        <v>45620</v>
      </c>
      <c r="AA1666" t="str" cm="1">
        <f t="array" ref="AA16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66" t="str" cm="1">
        <f t="array" ref="AC1666">_xlfn.IFS(Table2[[#This Row],[Satification_points]]&gt;=4.5,"GREAT",AND(Table2[[#This Row],[Satification_points]]&gt;=4,Table2[[#This Row],[Satification_points]]&lt;4.5),"GOOD",AND(Table2[[#This Row],[Satification_points]]&gt;=3,Table2[[#This Row],[Satification_points]]&lt;4),"AVERAGE",Table2[[#This Row],[Satification_points]]&lt;3,"POOR")</f>
        <v>POOR</v>
      </c>
    </row>
    <row r="1667" spans="1:29" x14ac:dyDescent="0.3">
      <c r="A1667">
        <v>1666</v>
      </c>
      <c r="B1667">
        <v>34107</v>
      </c>
      <c r="C1667" t="s">
        <v>89</v>
      </c>
      <c r="D1667" t="s">
        <v>51</v>
      </c>
      <c r="E1667" t="s">
        <v>52</v>
      </c>
      <c r="F1667" s="1">
        <v>45191</v>
      </c>
      <c r="G1667" s="1">
        <v>45291</v>
      </c>
      <c r="H1667">
        <v>7</v>
      </c>
      <c r="I1667" t="s">
        <v>42</v>
      </c>
      <c r="J1667" t="s">
        <v>53</v>
      </c>
      <c r="K1667">
        <v>1</v>
      </c>
      <c r="L1667">
        <v>4</v>
      </c>
      <c r="M1667">
        <v>4</v>
      </c>
      <c r="N1667">
        <v>3</v>
      </c>
      <c r="O1667">
        <v>2</v>
      </c>
      <c r="P1667">
        <v>3</v>
      </c>
      <c r="Q1667">
        <v>5</v>
      </c>
      <c r="R1667">
        <v>5</v>
      </c>
      <c r="S1667">
        <v>1</v>
      </c>
      <c r="T1667">
        <v>1</v>
      </c>
      <c r="U1667" t="s">
        <v>30</v>
      </c>
      <c r="V1667" t="s">
        <v>54</v>
      </c>
      <c r="W1667" t="s">
        <v>55</v>
      </c>
      <c r="X1667" t="s">
        <v>40</v>
      </c>
      <c r="Y1667">
        <v>40</v>
      </c>
      <c r="Z1667" s="1">
        <v>45291</v>
      </c>
      <c r="AA1667" t="str" cm="1">
        <f t="array" ref="AA16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67" t="str" cm="1">
        <f t="array" ref="AC1667">_xlfn.IFS(Table2[[#This Row],[Satification_points]]&gt;=4.5,"GREAT",AND(Table2[[#This Row],[Satification_points]]&gt;=4,Table2[[#This Row],[Satification_points]]&lt;4.5),"GOOD",AND(Table2[[#This Row],[Satification_points]]&gt;=3,Table2[[#This Row],[Satification_points]]&lt;4),"AVERAGE",Table2[[#This Row],[Satification_points]]&lt;3,"POOR")</f>
        <v>POOR</v>
      </c>
    </row>
    <row r="1668" spans="1:29" x14ac:dyDescent="0.3">
      <c r="A1668">
        <v>1667</v>
      </c>
      <c r="B1668">
        <v>20709</v>
      </c>
      <c r="C1668" t="s">
        <v>1708</v>
      </c>
      <c r="D1668" t="s">
        <v>48</v>
      </c>
      <c r="E1668" t="s">
        <v>57</v>
      </c>
      <c r="F1668" s="1">
        <v>45121</v>
      </c>
      <c r="G1668" s="1">
        <v>45631</v>
      </c>
      <c r="H1668">
        <v>8</v>
      </c>
      <c r="I1668" t="s">
        <v>49</v>
      </c>
      <c r="J1668" t="s">
        <v>36</v>
      </c>
      <c r="K1668">
        <v>2</v>
      </c>
      <c r="L1668">
        <v>2</v>
      </c>
      <c r="M1668">
        <v>4</v>
      </c>
      <c r="N1668">
        <v>1</v>
      </c>
      <c r="O1668">
        <v>5</v>
      </c>
      <c r="P1668">
        <v>1</v>
      </c>
      <c r="Q1668">
        <v>2</v>
      </c>
      <c r="R1668">
        <v>1</v>
      </c>
      <c r="S1668">
        <v>4</v>
      </c>
      <c r="T1668">
        <v>5</v>
      </c>
      <c r="U1668" t="s">
        <v>30</v>
      </c>
      <c r="V1668" t="s">
        <v>54</v>
      </c>
      <c r="W1668" t="s">
        <v>55</v>
      </c>
      <c r="X1668" t="s">
        <v>44</v>
      </c>
      <c r="Y1668">
        <v>69</v>
      </c>
      <c r="Z1668" s="1">
        <v>45649</v>
      </c>
      <c r="AA1668" t="str" cm="1">
        <f t="array" ref="AA1668">_xlfn.IFS(AND(Table2[[#This Row],[Guest_Age]]&gt;=18,Table2[[#This Row],[Guest_Age]]&lt;=25),"Young Adults",AND(Table2[[#This Row],[Guest_Age]]&gt;=26,Table2[[#This Row],[Guest_Age]]&lt;=35),"Adults",AND(Table2[[#This Row],[Guest_Age]]&gt;=36,Table2[[#This Row],[Guest_Age]]&lt;=50),"Middle Aged Adults",Table2[[#This Row],[Guest_Age]]&gt;50,"Senior")</f>
        <v>Senior</v>
      </c>
      <c r="AB16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68" t="str" cm="1">
        <f t="array" ref="AC1668">_xlfn.IFS(Table2[[#This Row],[Satification_points]]&gt;=4.5,"GREAT",AND(Table2[[#This Row],[Satification_points]]&gt;=4,Table2[[#This Row],[Satification_points]]&lt;4.5),"GOOD",AND(Table2[[#This Row],[Satification_points]]&gt;=3,Table2[[#This Row],[Satification_points]]&lt;4),"AVERAGE",Table2[[#This Row],[Satification_points]]&lt;3,"POOR")</f>
        <v>POOR</v>
      </c>
    </row>
    <row r="1669" spans="1:29" x14ac:dyDescent="0.3">
      <c r="A1669">
        <v>1668</v>
      </c>
      <c r="B1669">
        <v>24914</v>
      </c>
      <c r="C1669" t="s">
        <v>1709</v>
      </c>
      <c r="D1669" t="s">
        <v>34</v>
      </c>
      <c r="E1669" t="s">
        <v>57</v>
      </c>
      <c r="F1669" s="1">
        <v>45026</v>
      </c>
      <c r="G1669" s="1">
        <v>45090</v>
      </c>
      <c r="H1669">
        <v>11</v>
      </c>
      <c r="I1669" t="s">
        <v>28</v>
      </c>
      <c r="J1669" t="s">
        <v>43</v>
      </c>
      <c r="K1669">
        <v>2</v>
      </c>
      <c r="L1669">
        <v>4</v>
      </c>
      <c r="M1669">
        <v>2</v>
      </c>
      <c r="N1669">
        <v>4</v>
      </c>
      <c r="O1669">
        <v>2</v>
      </c>
      <c r="P1669">
        <v>1</v>
      </c>
      <c r="Q1669">
        <v>1</v>
      </c>
      <c r="R1669">
        <v>4</v>
      </c>
      <c r="S1669">
        <v>4</v>
      </c>
      <c r="T1669">
        <v>1</v>
      </c>
      <c r="U1669" t="s">
        <v>37</v>
      </c>
      <c r="V1669" t="s">
        <v>46</v>
      </c>
      <c r="W1669" t="s">
        <v>55</v>
      </c>
      <c r="X1669" t="s">
        <v>44</v>
      </c>
      <c r="Y1669">
        <v>51</v>
      </c>
      <c r="Z1669" s="1">
        <v>45344</v>
      </c>
      <c r="AA1669" t="str" cm="1">
        <f t="array" ref="AA1669">_xlfn.IFS(AND(Table2[[#This Row],[Guest_Age]]&gt;=18,Table2[[#This Row],[Guest_Age]]&lt;=25),"Young Adults",AND(Table2[[#This Row],[Guest_Age]]&gt;=26,Table2[[#This Row],[Guest_Age]]&lt;=35),"Adults",AND(Table2[[#This Row],[Guest_Age]]&gt;=36,Table2[[#This Row],[Guest_Age]]&lt;=50),"Middle Aged Adults",Table2[[#This Row],[Guest_Age]]&gt;50,"Senior")</f>
        <v>Senior</v>
      </c>
      <c r="AB16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69" t="str" cm="1">
        <f t="array" ref="AC1669">_xlfn.IFS(Table2[[#This Row],[Satification_points]]&gt;=4.5,"GREAT",AND(Table2[[#This Row],[Satification_points]]&gt;=4,Table2[[#This Row],[Satification_points]]&lt;4.5),"GOOD",AND(Table2[[#This Row],[Satification_points]]&gt;=3,Table2[[#This Row],[Satification_points]]&lt;4),"AVERAGE",Table2[[#This Row],[Satification_points]]&lt;3,"POOR")</f>
        <v>POOR</v>
      </c>
    </row>
    <row r="1670" spans="1:29" x14ac:dyDescent="0.3">
      <c r="A1670">
        <v>1669</v>
      </c>
      <c r="B1670">
        <v>38412</v>
      </c>
      <c r="C1670" t="s">
        <v>1710</v>
      </c>
      <c r="D1670" t="s">
        <v>34</v>
      </c>
      <c r="E1670" t="s">
        <v>35</v>
      </c>
      <c r="F1670" s="1">
        <v>45490</v>
      </c>
      <c r="G1670" s="1">
        <v>45491</v>
      </c>
      <c r="H1670">
        <v>12</v>
      </c>
      <c r="I1670" t="s">
        <v>42</v>
      </c>
      <c r="J1670" t="s">
        <v>40</v>
      </c>
      <c r="K1670">
        <v>1</v>
      </c>
      <c r="L1670">
        <v>1</v>
      </c>
      <c r="M1670">
        <v>3</v>
      </c>
      <c r="N1670">
        <v>1</v>
      </c>
      <c r="O1670">
        <v>1</v>
      </c>
      <c r="P1670">
        <v>1</v>
      </c>
      <c r="Q1670">
        <v>1</v>
      </c>
      <c r="R1670">
        <v>2</v>
      </c>
      <c r="S1670">
        <v>4</v>
      </c>
      <c r="T1670">
        <v>5</v>
      </c>
      <c r="U1670" t="s">
        <v>37</v>
      </c>
      <c r="V1670" t="s">
        <v>31</v>
      </c>
      <c r="W1670" t="s">
        <v>47</v>
      </c>
      <c r="X1670" t="s">
        <v>33</v>
      </c>
      <c r="Y1670">
        <v>42</v>
      </c>
      <c r="Z1670" s="1">
        <v>45491</v>
      </c>
      <c r="AA1670" t="str" cm="1">
        <f t="array" ref="AA16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670" t="str" cm="1">
        <f t="array" ref="AC1670">_xlfn.IFS(Table2[[#This Row],[Satification_points]]&gt;=4.5,"GREAT",AND(Table2[[#This Row],[Satification_points]]&gt;=4,Table2[[#This Row],[Satification_points]]&lt;4.5),"GOOD",AND(Table2[[#This Row],[Satification_points]]&gt;=3,Table2[[#This Row],[Satification_points]]&lt;4),"AVERAGE",Table2[[#This Row],[Satification_points]]&lt;3,"POOR")</f>
        <v>POOR</v>
      </c>
    </row>
    <row r="1671" spans="1:29" x14ac:dyDescent="0.3">
      <c r="A1671">
        <v>1670</v>
      </c>
      <c r="B1671">
        <v>75326</v>
      </c>
      <c r="C1671" t="s">
        <v>1711</v>
      </c>
      <c r="D1671" t="s">
        <v>48</v>
      </c>
      <c r="E1671" t="s">
        <v>45</v>
      </c>
      <c r="F1671" s="1">
        <v>45297</v>
      </c>
      <c r="G1671" s="1">
        <v>45298</v>
      </c>
      <c r="H1671">
        <v>14</v>
      </c>
      <c r="I1671" t="s">
        <v>49</v>
      </c>
      <c r="J1671" t="s">
        <v>40</v>
      </c>
      <c r="K1671">
        <v>1</v>
      </c>
      <c r="L1671">
        <v>1</v>
      </c>
      <c r="M1671">
        <v>5</v>
      </c>
      <c r="N1671">
        <v>2</v>
      </c>
      <c r="O1671">
        <v>5</v>
      </c>
      <c r="P1671">
        <v>1</v>
      </c>
      <c r="Q1671">
        <v>1</v>
      </c>
      <c r="R1671">
        <v>5</v>
      </c>
      <c r="S1671">
        <v>4</v>
      </c>
      <c r="T1671">
        <v>2</v>
      </c>
      <c r="U1671" t="s">
        <v>30</v>
      </c>
      <c r="V1671" t="s">
        <v>54</v>
      </c>
      <c r="W1671" t="s">
        <v>39</v>
      </c>
      <c r="X1671" t="s">
        <v>44</v>
      </c>
      <c r="Y1671">
        <v>28</v>
      </c>
      <c r="Z1671" s="1">
        <v>45577</v>
      </c>
      <c r="AA1671" t="str" cm="1">
        <f t="array" ref="AA1671">_xlfn.IFS(AND(Table2[[#This Row],[Guest_Age]]&gt;=18,Table2[[#This Row],[Guest_Age]]&lt;=25),"Young Adults",AND(Table2[[#This Row],[Guest_Age]]&gt;=26,Table2[[#This Row],[Guest_Age]]&lt;=35),"Adults",AND(Table2[[#This Row],[Guest_Age]]&gt;=36,Table2[[#This Row],[Guest_Age]]&lt;=50),"Middle Aged Adults",Table2[[#This Row],[Guest_Age]]&gt;50,"Senior")</f>
        <v>Adults</v>
      </c>
      <c r="AB16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71" t="str" cm="1">
        <f t="array" ref="AC1671">_xlfn.IFS(Table2[[#This Row],[Satification_points]]&gt;=4.5,"GREAT",AND(Table2[[#This Row],[Satification_points]]&gt;=4,Table2[[#This Row],[Satification_points]]&lt;4.5),"GOOD",AND(Table2[[#This Row],[Satification_points]]&gt;=3,Table2[[#This Row],[Satification_points]]&lt;4),"AVERAGE",Table2[[#This Row],[Satification_points]]&lt;3,"POOR")</f>
        <v>POOR</v>
      </c>
    </row>
    <row r="1672" spans="1:29" x14ac:dyDescent="0.3">
      <c r="A1672">
        <v>1671</v>
      </c>
      <c r="B1672">
        <v>26151</v>
      </c>
      <c r="C1672" t="s">
        <v>1712</v>
      </c>
      <c r="D1672" t="s">
        <v>48</v>
      </c>
      <c r="E1672" t="s">
        <v>35</v>
      </c>
      <c r="F1672" s="1">
        <v>45354</v>
      </c>
      <c r="G1672" s="1">
        <v>45355</v>
      </c>
      <c r="H1672">
        <v>10</v>
      </c>
      <c r="I1672" t="s">
        <v>49</v>
      </c>
      <c r="J1672" t="s">
        <v>40</v>
      </c>
      <c r="K1672">
        <v>4</v>
      </c>
      <c r="L1672">
        <v>2</v>
      </c>
      <c r="M1672">
        <v>1</v>
      </c>
      <c r="N1672">
        <v>2</v>
      </c>
      <c r="O1672">
        <v>4</v>
      </c>
      <c r="P1672">
        <v>2</v>
      </c>
      <c r="Q1672">
        <v>2</v>
      </c>
      <c r="R1672">
        <v>4</v>
      </c>
      <c r="S1672">
        <v>5</v>
      </c>
      <c r="T1672">
        <v>3</v>
      </c>
      <c r="U1672" t="s">
        <v>37</v>
      </c>
      <c r="V1672" t="s">
        <v>31</v>
      </c>
      <c r="W1672" t="s">
        <v>55</v>
      </c>
      <c r="X1672" t="s">
        <v>33</v>
      </c>
      <c r="Y1672">
        <v>65</v>
      </c>
      <c r="Z1672" s="1">
        <v>45524</v>
      </c>
      <c r="AA1672" t="str" cm="1">
        <f t="array" ref="AA1672">_xlfn.IFS(AND(Table2[[#This Row],[Guest_Age]]&gt;=18,Table2[[#This Row],[Guest_Age]]&lt;=25),"Young Adults",AND(Table2[[#This Row],[Guest_Age]]&gt;=26,Table2[[#This Row],[Guest_Age]]&lt;=35),"Adults",AND(Table2[[#This Row],[Guest_Age]]&gt;=36,Table2[[#This Row],[Guest_Age]]&lt;=50),"Middle Aged Adults",Table2[[#This Row],[Guest_Age]]&gt;50,"Senior")</f>
        <v>Senior</v>
      </c>
      <c r="AB16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72" t="str" cm="1">
        <f t="array" ref="AC1672">_xlfn.IFS(Table2[[#This Row],[Satification_points]]&gt;=4.5,"GREAT",AND(Table2[[#This Row],[Satification_points]]&gt;=4,Table2[[#This Row],[Satification_points]]&lt;4.5),"GOOD",AND(Table2[[#This Row],[Satification_points]]&gt;=3,Table2[[#This Row],[Satification_points]]&lt;4),"AVERAGE",Table2[[#This Row],[Satification_points]]&lt;3,"POOR")</f>
        <v>POOR</v>
      </c>
    </row>
    <row r="1673" spans="1:29" x14ac:dyDescent="0.3">
      <c r="A1673">
        <v>1672</v>
      </c>
      <c r="B1673">
        <v>74690</v>
      </c>
      <c r="C1673" t="s">
        <v>1713</v>
      </c>
      <c r="D1673" t="s">
        <v>34</v>
      </c>
      <c r="E1673" t="s">
        <v>57</v>
      </c>
      <c r="F1673" s="1">
        <v>45513</v>
      </c>
      <c r="G1673" s="1">
        <v>45580</v>
      </c>
      <c r="H1673">
        <v>11</v>
      </c>
      <c r="I1673" t="s">
        <v>49</v>
      </c>
      <c r="J1673" t="s">
        <v>29</v>
      </c>
      <c r="K1673">
        <v>4</v>
      </c>
      <c r="L1673">
        <v>2</v>
      </c>
      <c r="M1673">
        <v>3</v>
      </c>
      <c r="N1673">
        <v>1</v>
      </c>
      <c r="O1673">
        <v>4</v>
      </c>
      <c r="P1673">
        <v>2</v>
      </c>
      <c r="Q1673">
        <v>3</v>
      </c>
      <c r="R1673">
        <v>5</v>
      </c>
      <c r="S1673">
        <v>3</v>
      </c>
      <c r="T1673">
        <v>3</v>
      </c>
      <c r="U1673" t="s">
        <v>30</v>
      </c>
      <c r="V1673" t="s">
        <v>46</v>
      </c>
      <c r="W1673" t="s">
        <v>55</v>
      </c>
      <c r="X1673" t="s">
        <v>44</v>
      </c>
      <c r="Y1673">
        <v>18</v>
      </c>
      <c r="Z1673" s="1">
        <v>45580</v>
      </c>
      <c r="AA1673" t="str" cm="1">
        <f t="array" ref="AA1673">_xlfn.IFS(AND(Table2[[#This Row],[Guest_Age]]&gt;=18,Table2[[#This Row],[Guest_Age]]&lt;=25),"Young Adults",AND(Table2[[#This Row],[Guest_Age]]&gt;=26,Table2[[#This Row],[Guest_Age]]&lt;=35),"Adults",AND(Table2[[#This Row],[Guest_Age]]&gt;=36,Table2[[#This Row],[Guest_Age]]&lt;=50),"Middle Aged Adults",Table2[[#This Row],[Guest_Age]]&gt;50,"Senior")</f>
        <v>Young Adults</v>
      </c>
      <c r="AB16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73" t="str" cm="1">
        <f t="array" ref="AC1673">_xlfn.IFS(Table2[[#This Row],[Satification_points]]&gt;=4.5,"GREAT",AND(Table2[[#This Row],[Satification_points]]&gt;=4,Table2[[#This Row],[Satification_points]]&lt;4.5),"GOOD",AND(Table2[[#This Row],[Satification_points]]&gt;=3,Table2[[#This Row],[Satification_points]]&lt;4),"AVERAGE",Table2[[#This Row],[Satification_points]]&lt;3,"POOR")</f>
        <v>AVERAGE</v>
      </c>
    </row>
    <row r="1674" spans="1:29" x14ac:dyDescent="0.3">
      <c r="A1674">
        <v>1673</v>
      </c>
      <c r="B1674">
        <v>15009</v>
      </c>
      <c r="C1674" t="s">
        <v>1714</v>
      </c>
      <c r="D1674" t="s">
        <v>26</v>
      </c>
      <c r="E1674" t="s">
        <v>27</v>
      </c>
      <c r="F1674" s="1">
        <v>45059</v>
      </c>
      <c r="G1674" s="1">
        <v>45197</v>
      </c>
      <c r="H1674">
        <v>14</v>
      </c>
      <c r="I1674" t="s">
        <v>42</v>
      </c>
      <c r="J1674" t="s">
        <v>36</v>
      </c>
      <c r="K1674">
        <v>4</v>
      </c>
      <c r="L1674">
        <v>1</v>
      </c>
      <c r="M1674">
        <v>4</v>
      </c>
      <c r="N1674">
        <v>1</v>
      </c>
      <c r="O1674">
        <v>2</v>
      </c>
      <c r="P1674">
        <v>3</v>
      </c>
      <c r="Q1674">
        <v>4</v>
      </c>
      <c r="R1674">
        <v>5</v>
      </c>
      <c r="S1674">
        <v>5</v>
      </c>
      <c r="T1674">
        <v>3</v>
      </c>
      <c r="U1674" t="s">
        <v>30</v>
      </c>
      <c r="V1674" t="s">
        <v>31</v>
      </c>
      <c r="W1674" t="s">
        <v>32</v>
      </c>
      <c r="X1674" t="s">
        <v>33</v>
      </c>
      <c r="Y1674">
        <v>55</v>
      </c>
      <c r="Z1674" s="1">
        <v>45439</v>
      </c>
      <c r="AA1674" t="str" cm="1">
        <f t="array" ref="AA1674">_xlfn.IFS(AND(Table2[[#This Row],[Guest_Age]]&gt;=18,Table2[[#This Row],[Guest_Age]]&lt;=25),"Young Adults",AND(Table2[[#This Row],[Guest_Age]]&gt;=26,Table2[[#This Row],[Guest_Age]]&lt;=35),"Adults",AND(Table2[[#This Row],[Guest_Age]]&gt;=36,Table2[[#This Row],[Guest_Age]]&lt;=50),"Middle Aged Adults",Table2[[#This Row],[Guest_Age]]&gt;50,"Senior")</f>
        <v>Senior</v>
      </c>
      <c r="AB16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74" t="str" cm="1">
        <f t="array" ref="AC1674">_xlfn.IFS(Table2[[#This Row],[Satification_points]]&gt;=4.5,"GREAT",AND(Table2[[#This Row],[Satification_points]]&gt;=4,Table2[[#This Row],[Satification_points]]&lt;4.5),"GOOD",AND(Table2[[#This Row],[Satification_points]]&gt;=3,Table2[[#This Row],[Satification_points]]&lt;4),"AVERAGE",Table2[[#This Row],[Satification_points]]&lt;3,"POOR")</f>
        <v>AVERAGE</v>
      </c>
    </row>
    <row r="1675" spans="1:29" x14ac:dyDescent="0.3">
      <c r="A1675">
        <v>1674</v>
      </c>
      <c r="B1675">
        <v>95782</v>
      </c>
      <c r="C1675" t="s">
        <v>1715</v>
      </c>
      <c r="D1675" t="s">
        <v>51</v>
      </c>
      <c r="E1675" t="s">
        <v>27</v>
      </c>
      <c r="F1675" s="1">
        <v>45182</v>
      </c>
      <c r="G1675" s="1">
        <v>45608</v>
      </c>
      <c r="H1675">
        <v>9</v>
      </c>
      <c r="I1675" t="s">
        <v>49</v>
      </c>
      <c r="J1675" t="s">
        <v>53</v>
      </c>
      <c r="K1675">
        <v>5</v>
      </c>
      <c r="L1675">
        <v>3</v>
      </c>
      <c r="M1675">
        <v>2</v>
      </c>
      <c r="N1675">
        <v>2</v>
      </c>
      <c r="O1675">
        <v>4</v>
      </c>
      <c r="P1675">
        <v>3</v>
      </c>
      <c r="Q1675">
        <v>5</v>
      </c>
      <c r="R1675">
        <v>1</v>
      </c>
      <c r="S1675">
        <v>5</v>
      </c>
      <c r="T1675">
        <v>3</v>
      </c>
      <c r="U1675" t="s">
        <v>30</v>
      </c>
      <c r="V1675" t="s">
        <v>31</v>
      </c>
      <c r="W1675" t="s">
        <v>56</v>
      </c>
      <c r="X1675" t="s">
        <v>44</v>
      </c>
      <c r="Y1675">
        <v>27</v>
      </c>
      <c r="Z1675" s="1">
        <v>45608</v>
      </c>
      <c r="AA1675" t="str" cm="1">
        <f t="array" ref="AA1675">_xlfn.IFS(AND(Table2[[#This Row],[Guest_Age]]&gt;=18,Table2[[#This Row],[Guest_Age]]&lt;=25),"Young Adults",AND(Table2[[#This Row],[Guest_Age]]&gt;=26,Table2[[#This Row],[Guest_Age]]&lt;=35),"Adults",AND(Table2[[#This Row],[Guest_Age]]&gt;=36,Table2[[#This Row],[Guest_Age]]&lt;=50),"Middle Aged Adults",Table2[[#This Row],[Guest_Age]]&gt;50,"Senior")</f>
        <v>Adults</v>
      </c>
      <c r="AB16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75" t="str" cm="1">
        <f t="array" ref="AC1675">_xlfn.IFS(Table2[[#This Row],[Satification_points]]&gt;=4.5,"GREAT",AND(Table2[[#This Row],[Satification_points]]&gt;=4,Table2[[#This Row],[Satification_points]]&lt;4.5),"GOOD",AND(Table2[[#This Row],[Satification_points]]&gt;=3,Table2[[#This Row],[Satification_points]]&lt;4),"AVERAGE",Table2[[#This Row],[Satification_points]]&lt;3,"POOR")</f>
        <v>AVERAGE</v>
      </c>
    </row>
    <row r="1676" spans="1:29" x14ac:dyDescent="0.3">
      <c r="A1676">
        <v>1675</v>
      </c>
      <c r="B1676">
        <v>59280</v>
      </c>
      <c r="C1676" t="s">
        <v>1716</v>
      </c>
      <c r="D1676" t="s">
        <v>26</v>
      </c>
      <c r="E1676" t="s">
        <v>52</v>
      </c>
      <c r="F1676" s="1">
        <v>45376</v>
      </c>
      <c r="G1676" s="1">
        <v>45377</v>
      </c>
      <c r="H1676">
        <v>1</v>
      </c>
      <c r="I1676" t="s">
        <v>49</v>
      </c>
      <c r="J1676" t="s">
        <v>36</v>
      </c>
      <c r="K1676">
        <v>5</v>
      </c>
      <c r="L1676">
        <v>1</v>
      </c>
      <c r="M1676">
        <v>3</v>
      </c>
      <c r="N1676">
        <v>1</v>
      </c>
      <c r="O1676">
        <v>5</v>
      </c>
      <c r="P1676">
        <v>1</v>
      </c>
      <c r="Q1676">
        <v>2</v>
      </c>
      <c r="R1676">
        <v>2</v>
      </c>
      <c r="S1676">
        <v>3</v>
      </c>
      <c r="T1676">
        <v>2</v>
      </c>
      <c r="U1676" t="s">
        <v>30</v>
      </c>
      <c r="V1676" t="s">
        <v>38</v>
      </c>
      <c r="W1676" t="s">
        <v>47</v>
      </c>
      <c r="X1676" t="s">
        <v>40</v>
      </c>
      <c r="Y1676">
        <v>26</v>
      </c>
      <c r="Z1676" s="1">
        <v>45516</v>
      </c>
      <c r="AA1676" t="str" cm="1">
        <f t="array" ref="AA1676">_xlfn.IFS(AND(Table2[[#This Row],[Guest_Age]]&gt;=18,Table2[[#This Row],[Guest_Age]]&lt;=25),"Young Adults",AND(Table2[[#This Row],[Guest_Age]]&gt;=26,Table2[[#This Row],[Guest_Age]]&lt;=35),"Adults",AND(Table2[[#This Row],[Guest_Age]]&gt;=36,Table2[[#This Row],[Guest_Age]]&lt;=50),"Middle Aged Adults",Table2[[#This Row],[Guest_Age]]&gt;50,"Senior")</f>
        <v>Adults</v>
      </c>
      <c r="AB16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76" t="str" cm="1">
        <f t="array" ref="AC1676">_xlfn.IFS(Table2[[#This Row],[Satification_points]]&gt;=4.5,"GREAT",AND(Table2[[#This Row],[Satification_points]]&gt;=4,Table2[[#This Row],[Satification_points]]&lt;4.5),"GOOD",AND(Table2[[#This Row],[Satification_points]]&gt;=3,Table2[[#This Row],[Satification_points]]&lt;4),"AVERAGE",Table2[[#This Row],[Satification_points]]&lt;3,"POOR")</f>
        <v>POOR</v>
      </c>
    </row>
    <row r="1677" spans="1:29" x14ac:dyDescent="0.3">
      <c r="A1677">
        <v>1676</v>
      </c>
      <c r="B1677">
        <v>71818</v>
      </c>
      <c r="C1677" t="s">
        <v>1717</v>
      </c>
      <c r="D1677" t="s">
        <v>41</v>
      </c>
      <c r="E1677" t="s">
        <v>52</v>
      </c>
      <c r="F1677" s="1">
        <v>45647</v>
      </c>
      <c r="G1677" s="1">
        <v>45648</v>
      </c>
      <c r="H1677">
        <v>4</v>
      </c>
      <c r="I1677" t="s">
        <v>42</v>
      </c>
      <c r="J1677" t="s">
        <v>43</v>
      </c>
      <c r="K1677">
        <v>5</v>
      </c>
      <c r="L1677">
        <v>3</v>
      </c>
      <c r="M1677">
        <v>5</v>
      </c>
      <c r="N1677">
        <v>2</v>
      </c>
      <c r="O1677">
        <v>4</v>
      </c>
      <c r="P1677">
        <v>5</v>
      </c>
      <c r="Q1677">
        <v>4</v>
      </c>
      <c r="R1677">
        <v>3</v>
      </c>
      <c r="S1677">
        <v>4</v>
      </c>
      <c r="T1677">
        <v>1</v>
      </c>
      <c r="U1677" t="s">
        <v>37</v>
      </c>
      <c r="V1677" t="s">
        <v>38</v>
      </c>
      <c r="W1677" t="s">
        <v>56</v>
      </c>
      <c r="X1677" t="s">
        <v>33</v>
      </c>
      <c r="Y1677">
        <v>43</v>
      </c>
      <c r="Z1677" s="1">
        <v>45648</v>
      </c>
      <c r="AA1677" t="str" cm="1">
        <f t="array" ref="AA167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77" t="str" cm="1">
        <f t="array" ref="AC1677">_xlfn.IFS(Table2[[#This Row],[Satification_points]]&gt;=4.5,"GREAT",AND(Table2[[#This Row],[Satification_points]]&gt;=4,Table2[[#This Row],[Satification_points]]&lt;4.5),"GOOD",AND(Table2[[#This Row],[Satification_points]]&gt;=3,Table2[[#This Row],[Satification_points]]&lt;4),"AVERAGE",Table2[[#This Row],[Satification_points]]&lt;3,"POOR")</f>
        <v>AVERAGE</v>
      </c>
    </row>
    <row r="1678" spans="1:29" x14ac:dyDescent="0.3">
      <c r="A1678">
        <v>1677</v>
      </c>
      <c r="B1678">
        <v>70530</v>
      </c>
      <c r="C1678" t="s">
        <v>1718</v>
      </c>
      <c r="D1678" t="s">
        <v>34</v>
      </c>
      <c r="E1678" t="s">
        <v>45</v>
      </c>
      <c r="F1678" s="1">
        <v>45330</v>
      </c>
      <c r="G1678" s="1">
        <v>45361</v>
      </c>
      <c r="H1678">
        <v>6</v>
      </c>
      <c r="I1678" t="s">
        <v>28</v>
      </c>
      <c r="J1678" t="s">
        <v>43</v>
      </c>
      <c r="K1678">
        <v>4</v>
      </c>
      <c r="L1678">
        <v>1</v>
      </c>
      <c r="M1678">
        <v>4</v>
      </c>
      <c r="N1678">
        <v>1</v>
      </c>
      <c r="O1678">
        <v>1</v>
      </c>
      <c r="P1678">
        <v>1</v>
      </c>
      <c r="Q1678">
        <v>2</v>
      </c>
      <c r="R1678">
        <v>3</v>
      </c>
      <c r="S1678">
        <v>3</v>
      </c>
      <c r="T1678">
        <v>2</v>
      </c>
      <c r="U1678" t="s">
        <v>37</v>
      </c>
      <c r="V1678" t="s">
        <v>31</v>
      </c>
      <c r="W1678" t="s">
        <v>39</v>
      </c>
      <c r="X1678" t="s">
        <v>33</v>
      </c>
      <c r="Y1678">
        <v>27</v>
      </c>
      <c r="Z1678" s="1">
        <v>45361</v>
      </c>
      <c r="AA1678" t="str" cm="1">
        <f t="array" ref="AA1678">_xlfn.IFS(AND(Table2[[#This Row],[Guest_Age]]&gt;=18,Table2[[#This Row],[Guest_Age]]&lt;=25),"Young Adults",AND(Table2[[#This Row],[Guest_Age]]&gt;=26,Table2[[#This Row],[Guest_Age]]&lt;=35),"Adults",AND(Table2[[#This Row],[Guest_Age]]&gt;=36,Table2[[#This Row],[Guest_Age]]&lt;=50),"Middle Aged Adults",Table2[[#This Row],[Guest_Age]]&gt;50,"Senior")</f>
        <v>Adults</v>
      </c>
      <c r="AB16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678" t="str" cm="1">
        <f t="array" ref="AC1678">_xlfn.IFS(Table2[[#This Row],[Satification_points]]&gt;=4.5,"GREAT",AND(Table2[[#This Row],[Satification_points]]&gt;=4,Table2[[#This Row],[Satification_points]]&lt;4.5),"GOOD",AND(Table2[[#This Row],[Satification_points]]&gt;=3,Table2[[#This Row],[Satification_points]]&lt;4),"AVERAGE",Table2[[#This Row],[Satification_points]]&lt;3,"POOR")</f>
        <v>POOR</v>
      </c>
    </row>
    <row r="1679" spans="1:29" x14ac:dyDescent="0.3">
      <c r="A1679">
        <v>1678</v>
      </c>
      <c r="B1679">
        <v>11345</v>
      </c>
      <c r="C1679" t="s">
        <v>1719</v>
      </c>
      <c r="D1679" t="s">
        <v>34</v>
      </c>
      <c r="E1679" t="s">
        <v>45</v>
      </c>
      <c r="F1679" s="1">
        <v>45581</v>
      </c>
      <c r="G1679" s="1">
        <v>45582</v>
      </c>
      <c r="H1679">
        <v>7</v>
      </c>
      <c r="I1679" t="s">
        <v>49</v>
      </c>
      <c r="J1679" t="s">
        <v>53</v>
      </c>
      <c r="K1679">
        <v>1</v>
      </c>
      <c r="L1679">
        <v>5</v>
      </c>
      <c r="M1679">
        <v>5</v>
      </c>
      <c r="N1679">
        <v>3</v>
      </c>
      <c r="O1679">
        <v>2</v>
      </c>
      <c r="P1679">
        <v>1</v>
      </c>
      <c r="Q1679">
        <v>5</v>
      </c>
      <c r="R1679">
        <v>3</v>
      </c>
      <c r="S1679">
        <v>1</v>
      </c>
      <c r="T1679">
        <v>4</v>
      </c>
      <c r="U1679" t="s">
        <v>30</v>
      </c>
      <c r="V1679" t="s">
        <v>54</v>
      </c>
      <c r="W1679" t="s">
        <v>47</v>
      </c>
      <c r="X1679" t="s">
        <v>40</v>
      </c>
      <c r="Y1679">
        <v>35</v>
      </c>
      <c r="Z1679" s="1">
        <v>45582</v>
      </c>
      <c r="AA1679" t="str" cm="1">
        <f t="array" ref="AA1679">_xlfn.IFS(AND(Table2[[#This Row],[Guest_Age]]&gt;=18,Table2[[#This Row],[Guest_Age]]&lt;=25),"Young Adults",AND(Table2[[#This Row],[Guest_Age]]&gt;=26,Table2[[#This Row],[Guest_Age]]&lt;=35),"Adults",AND(Table2[[#This Row],[Guest_Age]]&gt;=36,Table2[[#This Row],[Guest_Age]]&lt;=50),"Middle Aged Adults",Table2[[#This Row],[Guest_Age]]&gt;50,"Senior")</f>
        <v>Adults</v>
      </c>
      <c r="AB16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79" t="str" cm="1">
        <f t="array" ref="AC1679">_xlfn.IFS(Table2[[#This Row],[Satification_points]]&gt;=4.5,"GREAT",AND(Table2[[#This Row],[Satification_points]]&gt;=4,Table2[[#This Row],[Satification_points]]&lt;4.5),"GOOD",AND(Table2[[#This Row],[Satification_points]]&gt;=3,Table2[[#This Row],[Satification_points]]&lt;4),"AVERAGE",Table2[[#This Row],[Satification_points]]&lt;3,"POOR")</f>
        <v>AVERAGE</v>
      </c>
    </row>
    <row r="1680" spans="1:29" x14ac:dyDescent="0.3">
      <c r="A1680">
        <v>1679</v>
      </c>
      <c r="B1680">
        <v>86164</v>
      </c>
      <c r="C1680" t="s">
        <v>1720</v>
      </c>
      <c r="D1680" t="s">
        <v>26</v>
      </c>
      <c r="E1680" t="s">
        <v>45</v>
      </c>
      <c r="F1680" s="1">
        <v>45506</v>
      </c>
      <c r="G1680" s="1">
        <v>45507</v>
      </c>
      <c r="H1680">
        <v>11</v>
      </c>
      <c r="I1680" t="s">
        <v>42</v>
      </c>
      <c r="J1680" t="s">
        <v>29</v>
      </c>
      <c r="K1680">
        <v>5</v>
      </c>
      <c r="L1680">
        <v>4</v>
      </c>
      <c r="M1680">
        <v>5</v>
      </c>
      <c r="N1680">
        <v>1</v>
      </c>
      <c r="O1680">
        <v>4</v>
      </c>
      <c r="P1680">
        <v>3</v>
      </c>
      <c r="Q1680">
        <v>3</v>
      </c>
      <c r="R1680">
        <v>4</v>
      </c>
      <c r="S1680">
        <v>3</v>
      </c>
      <c r="T1680">
        <v>1</v>
      </c>
      <c r="U1680" t="s">
        <v>37</v>
      </c>
      <c r="V1680" t="s">
        <v>58</v>
      </c>
      <c r="W1680" t="s">
        <v>39</v>
      </c>
      <c r="X1680" t="s">
        <v>33</v>
      </c>
      <c r="Y1680">
        <v>67</v>
      </c>
      <c r="Z1680" s="1">
        <v>45507</v>
      </c>
      <c r="AA1680" t="str" cm="1">
        <f t="array" ref="AA1680">_xlfn.IFS(AND(Table2[[#This Row],[Guest_Age]]&gt;=18,Table2[[#This Row],[Guest_Age]]&lt;=25),"Young Adults",AND(Table2[[#This Row],[Guest_Age]]&gt;=26,Table2[[#This Row],[Guest_Age]]&lt;=35),"Adults",AND(Table2[[#This Row],[Guest_Age]]&gt;=36,Table2[[#This Row],[Guest_Age]]&lt;=50),"Middle Aged Adults",Table2[[#This Row],[Guest_Age]]&gt;50,"Senior")</f>
        <v>Senior</v>
      </c>
      <c r="AB16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80" t="str" cm="1">
        <f t="array" ref="AC1680">_xlfn.IFS(Table2[[#This Row],[Satification_points]]&gt;=4.5,"GREAT",AND(Table2[[#This Row],[Satification_points]]&gt;=4,Table2[[#This Row],[Satification_points]]&lt;4.5),"GOOD",AND(Table2[[#This Row],[Satification_points]]&gt;=3,Table2[[#This Row],[Satification_points]]&lt;4),"AVERAGE",Table2[[#This Row],[Satification_points]]&lt;3,"POOR")</f>
        <v>AVERAGE</v>
      </c>
    </row>
    <row r="1681" spans="1:29" x14ac:dyDescent="0.3">
      <c r="A1681">
        <v>1680</v>
      </c>
      <c r="B1681">
        <v>49900</v>
      </c>
      <c r="C1681" t="s">
        <v>1721</v>
      </c>
      <c r="D1681" t="s">
        <v>41</v>
      </c>
      <c r="E1681" t="s">
        <v>45</v>
      </c>
      <c r="F1681" s="1">
        <v>44980</v>
      </c>
      <c r="G1681" s="1">
        <v>45250</v>
      </c>
      <c r="H1681">
        <v>5</v>
      </c>
      <c r="I1681" t="s">
        <v>28</v>
      </c>
      <c r="J1681" t="s">
        <v>53</v>
      </c>
      <c r="K1681">
        <v>1</v>
      </c>
      <c r="L1681">
        <v>4</v>
      </c>
      <c r="M1681">
        <v>1</v>
      </c>
      <c r="N1681">
        <v>1</v>
      </c>
      <c r="O1681">
        <v>2</v>
      </c>
      <c r="P1681">
        <v>4</v>
      </c>
      <c r="Q1681">
        <v>2</v>
      </c>
      <c r="R1681">
        <v>3</v>
      </c>
      <c r="S1681">
        <v>5</v>
      </c>
      <c r="T1681">
        <v>5</v>
      </c>
      <c r="U1681" t="s">
        <v>37</v>
      </c>
      <c r="V1681" t="s">
        <v>58</v>
      </c>
      <c r="W1681" t="s">
        <v>56</v>
      </c>
      <c r="X1681" t="s">
        <v>44</v>
      </c>
      <c r="Y1681">
        <v>26</v>
      </c>
      <c r="Z1681" s="1">
        <v>45533</v>
      </c>
      <c r="AA1681" t="str" cm="1">
        <f t="array" ref="AA1681">_xlfn.IFS(AND(Table2[[#This Row],[Guest_Age]]&gt;=18,Table2[[#This Row],[Guest_Age]]&lt;=25),"Young Adults",AND(Table2[[#This Row],[Guest_Age]]&gt;=26,Table2[[#This Row],[Guest_Age]]&lt;=35),"Adults",AND(Table2[[#This Row],[Guest_Age]]&gt;=36,Table2[[#This Row],[Guest_Age]]&lt;=50),"Middle Aged Adults",Table2[[#This Row],[Guest_Age]]&gt;50,"Senior")</f>
        <v>Adults</v>
      </c>
      <c r="AB16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681" t="str" cm="1">
        <f t="array" ref="AC1681">_xlfn.IFS(Table2[[#This Row],[Satification_points]]&gt;=4.5,"GREAT",AND(Table2[[#This Row],[Satification_points]]&gt;=4,Table2[[#This Row],[Satification_points]]&lt;4.5),"GOOD",AND(Table2[[#This Row],[Satification_points]]&gt;=3,Table2[[#This Row],[Satification_points]]&lt;4),"AVERAGE",Table2[[#This Row],[Satification_points]]&lt;3,"POOR")</f>
        <v>POOR</v>
      </c>
    </row>
    <row r="1682" spans="1:29" x14ac:dyDescent="0.3">
      <c r="A1682">
        <v>1681</v>
      </c>
      <c r="B1682">
        <v>96562</v>
      </c>
      <c r="C1682" t="s">
        <v>1722</v>
      </c>
      <c r="D1682" t="s">
        <v>26</v>
      </c>
      <c r="E1682" t="s">
        <v>27</v>
      </c>
      <c r="F1682" s="1">
        <v>45333</v>
      </c>
      <c r="G1682" s="1">
        <v>45656</v>
      </c>
      <c r="H1682">
        <v>6</v>
      </c>
      <c r="I1682" t="s">
        <v>49</v>
      </c>
      <c r="J1682" t="s">
        <v>43</v>
      </c>
      <c r="K1682">
        <v>4</v>
      </c>
      <c r="L1682">
        <v>5</v>
      </c>
      <c r="M1682">
        <v>1</v>
      </c>
      <c r="N1682">
        <v>4</v>
      </c>
      <c r="O1682">
        <v>1</v>
      </c>
      <c r="P1682">
        <v>3</v>
      </c>
      <c r="Q1682">
        <v>4</v>
      </c>
      <c r="R1682">
        <v>2</v>
      </c>
      <c r="S1682">
        <v>4</v>
      </c>
      <c r="T1682">
        <v>4</v>
      </c>
      <c r="U1682" t="s">
        <v>37</v>
      </c>
      <c r="V1682" t="s">
        <v>46</v>
      </c>
      <c r="W1682" t="s">
        <v>32</v>
      </c>
      <c r="X1682" t="s">
        <v>44</v>
      </c>
      <c r="Y1682">
        <v>62</v>
      </c>
      <c r="Z1682" s="1">
        <v>45656</v>
      </c>
      <c r="AA1682" t="str" cm="1">
        <f t="array" ref="AA1682">_xlfn.IFS(AND(Table2[[#This Row],[Guest_Age]]&gt;=18,Table2[[#This Row],[Guest_Age]]&lt;=25),"Young Adults",AND(Table2[[#This Row],[Guest_Age]]&gt;=26,Table2[[#This Row],[Guest_Age]]&lt;=35),"Adults",AND(Table2[[#This Row],[Guest_Age]]&gt;=36,Table2[[#This Row],[Guest_Age]]&lt;=50),"Middle Aged Adults",Table2[[#This Row],[Guest_Age]]&gt;50,"Senior")</f>
        <v>Senior</v>
      </c>
      <c r="AB16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82" t="str" cm="1">
        <f t="array" ref="AC1682">_xlfn.IFS(Table2[[#This Row],[Satification_points]]&gt;=4.5,"GREAT",AND(Table2[[#This Row],[Satification_points]]&gt;=4,Table2[[#This Row],[Satification_points]]&lt;4.5),"GOOD",AND(Table2[[#This Row],[Satification_points]]&gt;=3,Table2[[#This Row],[Satification_points]]&lt;4),"AVERAGE",Table2[[#This Row],[Satification_points]]&lt;3,"POOR")</f>
        <v>AVERAGE</v>
      </c>
    </row>
    <row r="1683" spans="1:29" x14ac:dyDescent="0.3">
      <c r="A1683">
        <v>1682</v>
      </c>
      <c r="B1683">
        <v>39289</v>
      </c>
      <c r="C1683" t="s">
        <v>1723</v>
      </c>
      <c r="D1683" t="s">
        <v>41</v>
      </c>
      <c r="E1683" t="s">
        <v>57</v>
      </c>
      <c r="F1683" s="1">
        <v>45311</v>
      </c>
      <c r="G1683" s="1">
        <v>45516</v>
      </c>
      <c r="H1683">
        <v>1</v>
      </c>
      <c r="I1683" t="s">
        <v>42</v>
      </c>
      <c r="J1683" t="s">
        <v>29</v>
      </c>
      <c r="K1683">
        <v>1</v>
      </c>
      <c r="L1683">
        <v>3</v>
      </c>
      <c r="M1683">
        <v>3</v>
      </c>
      <c r="N1683">
        <v>3</v>
      </c>
      <c r="O1683">
        <v>4</v>
      </c>
      <c r="P1683">
        <v>2</v>
      </c>
      <c r="Q1683">
        <v>4</v>
      </c>
      <c r="R1683">
        <v>3</v>
      </c>
      <c r="S1683">
        <v>5</v>
      </c>
      <c r="T1683">
        <v>4</v>
      </c>
      <c r="U1683" t="s">
        <v>30</v>
      </c>
      <c r="V1683" t="s">
        <v>54</v>
      </c>
      <c r="W1683" t="s">
        <v>55</v>
      </c>
      <c r="X1683" t="s">
        <v>44</v>
      </c>
      <c r="Y1683">
        <v>43</v>
      </c>
      <c r="Z1683" s="1">
        <v>45516</v>
      </c>
      <c r="AA1683" t="str" cm="1">
        <f t="array" ref="AA168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683" t="str" cm="1">
        <f t="array" ref="AC1683">_xlfn.IFS(Table2[[#This Row],[Satification_points]]&gt;=4.5,"GREAT",AND(Table2[[#This Row],[Satification_points]]&gt;=4,Table2[[#This Row],[Satification_points]]&lt;4.5),"GOOD",AND(Table2[[#This Row],[Satification_points]]&gt;=3,Table2[[#This Row],[Satification_points]]&lt;4),"AVERAGE",Table2[[#This Row],[Satification_points]]&lt;3,"POOR")</f>
        <v>AVERAGE</v>
      </c>
    </row>
    <row r="1684" spans="1:29" x14ac:dyDescent="0.3">
      <c r="A1684">
        <v>1683</v>
      </c>
      <c r="B1684">
        <v>39432</v>
      </c>
      <c r="C1684" t="s">
        <v>1724</v>
      </c>
      <c r="D1684" t="s">
        <v>48</v>
      </c>
      <c r="E1684" t="s">
        <v>45</v>
      </c>
      <c r="F1684" s="1">
        <v>45168</v>
      </c>
      <c r="G1684" s="1">
        <v>45169</v>
      </c>
      <c r="H1684">
        <v>14</v>
      </c>
      <c r="I1684" t="s">
        <v>50</v>
      </c>
      <c r="J1684" t="s">
        <v>36</v>
      </c>
      <c r="K1684">
        <v>5</v>
      </c>
      <c r="L1684">
        <v>2</v>
      </c>
      <c r="M1684">
        <v>1</v>
      </c>
      <c r="N1684">
        <v>2</v>
      </c>
      <c r="O1684">
        <v>5</v>
      </c>
      <c r="P1684">
        <v>3</v>
      </c>
      <c r="Q1684">
        <v>5</v>
      </c>
      <c r="R1684">
        <v>5</v>
      </c>
      <c r="S1684">
        <v>1</v>
      </c>
      <c r="T1684">
        <v>2</v>
      </c>
      <c r="U1684" t="s">
        <v>30</v>
      </c>
      <c r="V1684" t="s">
        <v>31</v>
      </c>
      <c r="W1684" t="s">
        <v>56</v>
      </c>
      <c r="X1684" t="s">
        <v>40</v>
      </c>
      <c r="Y1684">
        <v>59</v>
      </c>
      <c r="Z1684" s="1">
        <v>45169</v>
      </c>
      <c r="AA1684" t="str" cm="1">
        <f t="array" ref="AA1684">_xlfn.IFS(AND(Table2[[#This Row],[Guest_Age]]&gt;=18,Table2[[#This Row],[Guest_Age]]&lt;=25),"Young Adults",AND(Table2[[#This Row],[Guest_Age]]&gt;=26,Table2[[#This Row],[Guest_Age]]&lt;=35),"Adults",AND(Table2[[#This Row],[Guest_Age]]&gt;=36,Table2[[#This Row],[Guest_Age]]&lt;=50),"Middle Aged Adults",Table2[[#This Row],[Guest_Age]]&gt;50,"Senior")</f>
        <v>Senior</v>
      </c>
      <c r="AB16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84" t="str" cm="1">
        <f t="array" ref="AC1684">_xlfn.IFS(Table2[[#This Row],[Satification_points]]&gt;=4.5,"GREAT",AND(Table2[[#This Row],[Satification_points]]&gt;=4,Table2[[#This Row],[Satification_points]]&lt;4.5),"GOOD",AND(Table2[[#This Row],[Satification_points]]&gt;=3,Table2[[#This Row],[Satification_points]]&lt;4),"AVERAGE",Table2[[#This Row],[Satification_points]]&lt;3,"POOR")</f>
        <v>AVERAGE</v>
      </c>
    </row>
    <row r="1685" spans="1:29" x14ac:dyDescent="0.3">
      <c r="A1685">
        <v>1684</v>
      </c>
      <c r="B1685">
        <v>95143</v>
      </c>
      <c r="C1685" t="s">
        <v>1725</v>
      </c>
      <c r="D1685" t="s">
        <v>48</v>
      </c>
      <c r="E1685" t="s">
        <v>35</v>
      </c>
      <c r="F1685" s="1">
        <v>44973</v>
      </c>
      <c r="G1685" s="1">
        <v>45275</v>
      </c>
      <c r="H1685">
        <v>11</v>
      </c>
      <c r="I1685" t="s">
        <v>42</v>
      </c>
      <c r="J1685" t="s">
        <v>43</v>
      </c>
      <c r="K1685">
        <v>1</v>
      </c>
      <c r="L1685">
        <v>2</v>
      </c>
      <c r="M1685">
        <v>3</v>
      </c>
      <c r="N1685">
        <v>2</v>
      </c>
      <c r="O1685">
        <v>3</v>
      </c>
      <c r="P1685">
        <v>4</v>
      </c>
      <c r="Q1685">
        <v>1</v>
      </c>
      <c r="R1685">
        <v>5</v>
      </c>
      <c r="S1685">
        <v>4</v>
      </c>
      <c r="T1685">
        <v>4</v>
      </c>
      <c r="U1685" t="s">
        <v>30</v>
      </c>
      <c r="V1685" t="s">
        <v>38</v>
      </c>
      <c r="W1685" t="s">
        <v>47</v>
      </c>
      <c r="X1685" t="s">
        <v>40</v>
      </c>
      <c r="Y1685">
        <v>26</v>
      </c>
      <c r="Z1685" s="1">
        <v>45275</v>
      </c>
      <c r="AA1685" t="str" cm="1">
        <f t="array" ref="AA1685">_xlfn.IFS(AND(Table2[[#This Row],[Guest_Age]]&gt;=18,Table2[[#This Row],[Guest_Age]]&lt;=25),"Young Adults",AND(Table2[[#This Row],[Guest_Age]]&gt;=26,Table2[[#This Row],[Guest_Age]]&lt;=35),"Adults",AND(Table2[[#This Row],[Guest_Age]]&gt;=36,Table2[[#This Row],[Guest_Age]]&lt;=50),"Middle Aged Adults",Table2[[#This Row],[Guest_Age]]&gt;50,"Senior")</f>
        <v>Adults</v>
      </c>
      <c r="AB16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685" t="str" cm="1">
        <f t="array" ref="AC1685">_xlfn.IFS(Table2[[#This Row],[Satification_points]]&gt;=4.5,"GREAT",AND(Table2[[#This Row],[Satification_points]]&gt;=4,Table2[[#This Row],[Satification_points]]&lt;4.5),"GOOD",AND(Table2[[#This Row],[Satification_points]]&gt;=3,Table2[[#This Row],[Satification_points]]&lt;4),"AVERAGE",Table2[[#This Row],[Satification_points]]&lt;3,"POOR")</f>
        <v>POOR</v>
      </c>
    </row>
    <row r="1686" spans="1:29" x14ac:dyDescent="0.3">
      <c r="A1686">
        <v>1685</v>
      </c>
      <c r="B1686">
        <v>74140</v>
      </c>
      <c r="C1686" t="s">
        <v>1726</v>
      </c>
      <c r="D1686" t="s">
        <v>34</v>
      </c>
      <c r="E1686" t="s">
        <v>45</v>
      </c>
      <c r="F1686" s="1">
        <v>45041</v>
      </c>
      <c r="G1686" s="1">
        <v>45042</v>
      </c>
      <c r="H1686">
        <v>5</v>
      </c>
      <c r="I1686" t="s">
        <v>49</v>
      </c>
      <c r="J1686" t="s">
        <v>29</v>
      </c>
      <c r="K1686">
        <v>4</v>
      </c>
      <c r="L1686">
        <v>4</v>
      </c>
      <c r="M1686">
        <v>3</v>
      </c>
      <c r="N1686">
        <v>5</v>
      </c>
      <c r="O1686">
        <v>4</v>
      </c>
      <c r="P1686">
        <v>1</v>
      </c>
      <c r="Q1686">
        <v>5</v>
      </c>
      <c r="R1686">
        <v>5</v>
      </c>
      <c r="S1686">
        <v>2</v>
      </c>
      <c r="T1686">
        <v>2</v>
      </c>
      <c r="U1686" t="s">
        <v>30</v>
      </c>
      <c r="V1686" t="s">
        <v>58</v>
      </c>
      <c r="W1686" t="s">
        <v>55</v>
      </c>
      <c r="X1686" t="s">
        <v>44</v>
      </c>
      <c r="Y1686">
        <v>53</v>
      </c>
      <c r="Z1686" s="1">
        <v>45097</v>
      </c>
      <c r="AA1686" t="str" cm="1">
        <f t="array" ref="AA1686">_xlfn.IFS(AND(Table2[[#This Row],[Guest_Age]]&gt;=18,Table2[[#This Row],[Guest_Age]]&lt;=25),"Young Adults",AND(Table2[[#This Row],[Guest_Age]]&gt;=26,Table2[[#This Row],[Guest_Age]]&lt;=35),"Adults",AND(Table2[[#This Row],[Guest_Age]]&gt;=36,Table2[[#This Row],[Guest_Age]]&lt;=50),"Middle Aged Adults",Table2[[#This Row],[Guest_Age]]&gt;50,"Senior")</f>
        <v>Senior</v>
      </c>
      <c r="AB16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686" t="str" cm="1">
        <f t="array" ref="AC1686">_xlfn.IFS(Table2[[#This Row],[Satification_points]]&gt;=4.5,"GREAT",AND(Table2[[#This Row],[Satification_points]]&gt;=4,Table2[[#This Row],[Satification_points]]&lt;4.5),"GOOD",AND(Table2[[#This Row],[Satification_points]]&gt;=3,Table2[[#This Row],[Satification_points]]&lt;4),"AVERAGE",Table2[[#This Row],[Satification_points]]&lt;3,"POOR")</f>
        <v>AVERAGE</v>
      </c>
    </row>
    <row r="1687" spans="1:29" x14ac:dyDescent="0.3">
      <c r="A1687">
        <v>1686</v>
      </c>
      <c r="B1687">
        <v>29860</v>
      </c>
      <c r="C1687" t="s">
        <v>1727</v>
      </c>
      <c r="D1687" t="s">
        <v>48</v>
      </c>
      <c r="E1687" t="s">
        <v>27</v>
      </c>
      <c r="F1687" s="1">
        <v>45634</v>
      </c>
      <c r="G1687" s="1">
        <v>45635</v>
      </c>
      <c r="H1687">
        <v>2</v>
      </c>
      <c r="I1687" t="s">
        <v>28</v>
      </c>
      <c r="J1687" t="s">
        <v>29</v>
      </c>
      <c r="K1687">
        <v>5</v>
      </c>
      <c r="L1687">
        <v>2</v>
      </c>
      <c r="M1687">
        <v>4</v>
      </c>
      <c r="N1687">
        <v>3</v>
      </c>
      <c r="O1687">
        <v>1</v>
      </c>
      <c r="P1687">
        <v>4</v>
      </c>
      <c r="Q1687">
        <v>5</v>
      </c>
      <c r="R1687">
        <v>3</v>
      </c>
      <c r="S1687">
        <v>5</v>
      </c>
      <c r="T1687">
        <v>4</v>
      </c>
      <c r="U1687" t="s">
        <v>37</v>
      </c>
      <c r="V1687" t="s">
        <v>31</v>
      </c>
      <c r="W1687" t="s">
        <v>47</v>
      </c>
      <c r="X1687" t="s">
        <v>40</v>
      </c>
      <c r="Y1687">
        <v>32</v>
      </c>
      <c r="Z1687" s="1">
        <v>45635</v>
      </c>
      <c r="AA1687" t="str" cm="1">
        <f t="array" ref="AA1687">_xlfn.IFS(AND(Table2[[#This Row],[Guest_Age]]&gt;=18,Table2[[#This Row],[Guest_Age]]&lt;=25),"Young Adults",AND(Table2[[#This Row],[Guest_Age]]&gt;=26,Table2[[#This Row],[Guest_Age]]&lt;=35),"Adults",AND(Table2[[#This Row],[Guest_Age]]&gt;=36,Table2[[#This Row],[Guest_Age]]&lt;=50),"Middle Aged Adults",Table2[[#This Row],[Guest_Age]]&gt;50,"Senior")</f>
        <v>Adults</v>
      </c>
      <c r="AB16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687" t="str" cm="1">
        <f t="array" ref="AC1687">_xlfn.IFS(Table2[[#This Row],[Satification_points]]&gt;=4.5,"GREAT",AND(Table2[[#This Row],[Satification_points]]&gt;=4,Table2[[#This Row],[Satification_points]]&lt;4.5),"GOOD",AND(Table2[[#This Row],[Satification_points]]&gt;=3,Table2[[#This Row],[Satification_points]]&lt;4),"AVERAGE",Table2[[#This Row],[Satification_points]]&lt;3,"POOR")</f>
        <v>AVERAGE</v>
      </c>
    </row>
    <row r="1688" spans="1:29" x14ac:dyDescent="0.3">
      <c r="A1688">
        <v>1687</v>
      </c>
      <c r="B1688">
        <v>15097</v>
      </c>
      <c r="C1688" t="s">
        <v>1728</v>
      </c>
      <c r="D1688" t="s">
        <v>26</v>
      </c>
      <c r="E1688" t="s">
        <v>52</v>
      </c>
      <c r="F1688" s="1">
        <v>45056</v>
      </c>
      <c r="G1688" s="1">
        <v>45641</v>
      </c>
      <c r="H1688">
        <v>14</v>
      </c>
      <c r="I1688" t="s">
        <v>28</v>
      </c>
      <c r="J1688" t="s">
        <v>40</v>
      </c>
      <c r="K1688">
        <v>5</v>
      </c>
      <c r="L1688">
        <v>3</v>
      </c>
      <c r="M1688">
        <v>4</v>
      </c>
      <c r="N1688">
        <v>3</v>
      </c>
      <c r="O1688">
        <v>3</v>
      </c>
      <c r="P1688">
        <v>3</v>
      </c>
      <c r="Q1688">
        <v>1</v>
      </c>
      <c r="R1688">
        <v>2</v>
      </c>
      <c r="S1688">
        <v>5</v>
      </c>
      <c r="T1688">
        <v>2</v>
      </c>
      <c r="U1688" t="s">
        <v>30</v>
      </c>
      <c r="V1688" t="s">
        <v>58</v>
      </c>
      <c r="W1688" t="s">
        <v>39</v>
      </c>
      <c r="X1688" t="s">
        <v>33</v>
      </c>
      <c r="Y1688">
        <v>41</v>
      </c>
      <c r="Z1688" s="1">
        <v>45641</v>
      </c>
      <c r="AA1688" t="str" cm="1">
        <f t="array" ref="AA168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88" t="str" cm="1">
        <f t="array" ref="AC1688">_xlfn.IFS(Table2[[#This Row],[Satification_points]]&gt;=4.5,"GREAT",AND(Table2[[#This Row],[Satification_points]]&gt;=4,Table2[[#This Row],[Satification_points]]&lt;4.5),"GOOD",AND(Table2[[#This Row],[Satification_points]]&gt;=3,Table2[[#This Row],[Satification_points]]&lt;4),"AVERAGE",Table2[[#This Row],[Satification_points]]&lt;3,"POOR")</f>
        <v>AVERAGE</v>
      </c>
    </row>
    <row r="1689" spans="1:29" x14ac:dyDescent="0.3">
      <c r="A1689">
        <v>1688</v>
      </c>
      <c r="B1689">
        <v>37114</v>
      </c>
      <c r="C1689" t="s">
        <v>1729</v>
      </c>
      <c r="D1689" t="s">
        <v>41</v>
      </c>
      <c r="E1689" t="s">
        <v>35</v>
      </c>
      <c r="F1689" s="1">
        <v>45483</v>
      </c>
      <c r="G1689" s="1">
        <v>45649</v>
      </c>
      <c r="H1689">
        <v>11</v>
      </c>
      <c r="I1689" t="s">
        <v>28</v>
      </c>
      <c r="J1689" t="s">
        <v>36</v>
      </c>
      <c r="K1689">
        <v>4</v>
      </c>
      <c r="L1689">
        <v>2</v>
      </c>
      <c r="M1689">
        <v>2</v>
      </c>
      <c r="N1689">
        <v>1</v>
      </c>
      <c r="O1689">
        <v>4</v>
      </c>
      <c r="P1689">
        <v>5</v>
      </c>
      <c r="Q1689">
        <v>3</v>
      </c>
      <c r="R1689">
        <v>2</v>
      </c>
      <c r="S1689">
        <v>3</v>
      </c>
      <c r="T1689">
        <v>1</v>
      </c>
      <c r="U1689" t="s">
        <v>30</v>
      </c>
      <c r="V1689" t="s">
        <v>38</v>
      </c>
      <c r="W1689" t="s">
        <v>47</v>
      </c>
      <c r="X1689" t="s">
        <v>40</v>
      </c>
      <c r="Y1689">
        <v>57</v>
      </c>
      <c r="Z1689" s="1">
        <v>45649</v>
      </c>
      <c r="AA1689" t="str" cm="1">
        <f t="array" ref="AA1689">_xlfn.IFS(AND(Table2[[#This Row],[Guest_Age]]&gt;=18,Table2[[#This Row],[Guest_Age]]&lt;=25),"Young Adults",AND(Table2[[#This Row],[Guest_Age]]&gt;=26,Table2[[#This Row],[Guest_Age]]&lt;=35),"Adults",AND(Table2[[#This Row],[Guest_Age]]&gt;=36,Table2[[#This Row],[Guest_Age]]&lt;=50),"Middle Aged Adults",Table2[[#This Row],[Guest_Age]]&gt;50,"Senior")</f>
        <v>Senior</v>
      </c>
      <c r="AB16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689" t="str" cm="1">
        <f t="array" ref="AC1689">_xlfn.IFS(Table2[[#This Row],[Satification_points]]&gt;=4.5,"GREAT",AND(Table2[[#This Row],[Satification_points]]&gt;=4,Table2[[#This Row],[Satification_points]]&lt;4.5),"GOOD",AND(Table2[[#This Row],[Satification_points]]&gt;=3,Table2[[#This Row],[Satification_points]]&lt;4),"AVERAGE",Table2[[#This Row],[Satification_points]]&lt;3,"POOR")</f>
        <v>POOR</v>
      </c>
    </row>
    <row r="1690" spans="1:29" x14ac:dyDescent="0.3">
      <c r="A1690">
        <v>1689</v>
      </c>
      <c r="B1690">
        <v>70198</v>
      </c>
      <c r="C1690" t="s">
        <v>1730</v>
      </c>
      <c r="D1690" t="s">
        <v>34</v>
      </c>
      <c r="E1690" t="s">
        <v>45</v>
      </c>
      <c r="F1690" s="1">
        <v>45081</v>
      </c>
      <c r="G1690" s="1">
        <v>45574</v>
      </c>
      <c r="H1690">
        <v>2</v>
      </c>
      <c r="I1690" t="s">
        <v>49</v>
      </c>
      <c r="J1690" t="s">
        <v>29</v>
      </c>
      <c r="K1690">
        <v>2</v>
      </c>
      <c r="L1690">
        <v>1</v>
      </c>
      <c r="M1690">
        <v>1</v>
      </c>
      <c r="N1690">
        <v>4</v>
      </c>
      <c r="O1690">
        <v>2</v>
      </c>
      <c r="P1690">
        <v>2</v>
      </c>
      <c r="Q1690">
        <v>2</v>
      </c>
      <c r="R1690">
        <v>3</v>
      </c>
      <c r="S1690">
        <v>4</v>
      </c>
      <c r="T1690">
        <v>4</v>
      </c>
      <c r="U1690" t="s">
        <v>37</v>
      </c>
      <c r="V1690" t="s">
        <v>38</v>
      </c>
      <c r="W1690" t="s">
        <v>32</v>
      </c>
      <c r="X1690" t="s">
        <v>33</v>
      </c>
      <c r="Y1690">
        <v>19</v>
      </c>
      <c r="Z1690" s="1">
        <v>45574</v>
      </c>
      <c r="AA1690" t="str" cm="1">
        <f t="array" ref="AA1690">_xlfn.IFS(AND(Table2[[#This Row],[Guest_Age]]&gt;=18,Table2[[#This Row],[Guest_Age]]&lt;=25),"Young Adults",AND(Table2[[#This Row],[Guest_Age]]&gt;=26,Table2[[#This Row],[Guest_Age]]&lt;=35),"Adults",AND(Table2[[#This Row],[Guest_Age]]&gt;=36,Table2[[#This Row],[Guest_Age]]&lt;=50),"Middle Aged Adults",Table2[[#This Row],[Guest_Age]]&gt;50,"Senior")</f>
        <v>Young Adults</v>
      </c>
      <c r="AB16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690" t="str" cm="1">
        <f t="array" ref="AC1690">_xlfn.IFS(Table2[[#This Row],[Satification_points]]&gt;=4.5,"GREAT",AND(Table2[[#This Row],[Satification_points]]&gt;=4,Table2[[#This Row],[Satification_points]]&lt;4.5),"GOOD",AND(Table2[[#This Row],[Satification_points]]&gt;=3,Table2[[#This Row],[Satification_points]]&lt;4),"AVERAGE",Table2[[#This Row],[Satification_points]]&lt;3,"POOR")</f>
        <v>POOR</v>
      </c>
    </row>
    <row r="1691" spans="1:29" x14ac:dyDescent="0.3">
      <c r="A1691">
        <v>1690</v>
      </c>
      <c r="B1691">
        <v>23473</v>
      </c>
      <c r="C1691" t="s">
        <v>1731</v>
      </c>
      <c r="D1691" t="s">
        <v>48</v>
      </c>
      <c r="E1691" t="s">
        <v>27</v>
      </c>
      <c r="F1691" s="1">
        <v>45421</v>
      </c>
      <c r="G1691" s="1">
        <v>45422</v>
      </c>
      <c r="H1691">
        <v>1</v>
      </c>
      <c r="I1691" t="s">
        <v>49</v>
      </c>
      <c r="J1691" t="s">
        <v>53</v>
      </c>
      <c r="K1691">
        <v>3</v>
      </c>
      <c r="L1691">
        <v>5</v>
      </c>
      <c r="M1691">
        <v>2</v>
      </c>
      <c r="N1691">
        <v>2</v>
      </c>
      <c r="O1691">
        <v>1</v>
      </c>
      <c r="P1691">
        <v>4</v>
      </c>
      <c r="Q1691">
        <v>4</v>
      </c>
      <c r="R1691">
        <v>2</v>
      </c>
      <c r="S1691">
        <v>5</v>
      </c>
      <c r="T1691">
        <v>2</v>
      </c>
      <c r="U1691" t="s">
        <v>30</v>
      </c>
      <c r="V1691" t="s">
        <v>54</v>
      </c>
      <c r="W1691" t="s">
        <v>39</v>
      </c>
      <c r="X1691" t="s">
        <v>44</v>
      </c>
      <c r="Y1691">
        <v>21</v>
      </c>
      <c r="Z1691" s="1">
        <v>45422</v>
      </c>
      <c r="AA1691" t="str" cm="1">
        <f t="array" ref="AA1691">_xlfn.IFS(AND(Table2[[#This Row],[Guest_Age]]&gt;=18,Table2[[#This Row],[Guest_Age]]&lt;=25),"Young Adults",AND(Table2[[#This Row],[Guest_Age]]&gt;=26,Table2[[#This Row],[Guest_Age]]&lt;=35),"Adults",AND(Table2[[#This Row],[Guest_Age]]&gt;=36,Table2[[#This Row],[Guest_Age]]&lt;=50),"Middle Aged Adults",Table2[[#This Row],[Guest_Age]]&gt;50,"Senior")</f>
        <v>Young Adults</v>
      </c>
      <c r="AB16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691" t="str" cm="1">
        <f t="array" ref="AC1691">_xlfn.IFS(Table2[[#This Row],[Satification_points]]&gt;=4.5,"GREAT",AND(Table2[[#This Row],[Satification_points]]&gt;=4,Table2[[#This Row],[Satification_points]]&lt;4.5),"GOOD",AND(Table2[[#This Row],[Satification_points]]&gt;=3,Table2[[#This Row],[Satification_points]]&lt;4),"AVERAGE",Table2[[#This Row],[Satification_points]]&lt;3,"POOR")</f>
        <v>AVERAGE</v>
      </c>
    </row>
    <row r="1692" spans="1:29" x14ac:dyDescent="0.3">
      <c r="A1692">
        <v>1691</v>
      </c>
      <c r="B1692">
        <v>73634</v>
      </c>
      <c r="C1692" t="s">
        <v>1732</v>
      </c>
      <c r="D1692" t="s">
        <v>34</v>
      </c>
      <c r="E1692" t="s">
        <v>52</v>
      </c>
      <c r="F1692" s="1">
        <v>45008</v>
      </c>
      <c r="G1692" s="1">
        <v>45461</v>
      </c>
      <c r="H1692">
        <v>10</v>
      </c>
      <c r="I1692" t="s">
        <v>28</v>
      </c>
      <c r="J1692" t="s">
        <v>36</v>
      </c>
      <c r="K1692">
        <v>4</v>
      </c>
      <c r="L1692">
        <v>4</v>
      </c>
      <c r="M1692">
        <v>5</v>
      </c>
      <c r="N1692">
        <v>2</v>
      </c>
      <c r="O1692">
        <v>4</v>
      </c>
      <c r="P1692">
        <v>3</v>
      </c>
      <c r="Q1692">
        <v>2</v>
      </c>
      <c r="R1692">
        <v>3</v>
      </c>
      <c r="S1692">
        <v>1</v>
      </c>
      <c r="T1692">
        <v>3</v>
      </c>
      <c r="U1692" t="s">
        <v>30</v>
      </c>
      <c r="V1692" t="s">
        <v>31</v>
      </c>
      <c r="W1692" t="s">
        <v>56</v>
      </c>
      <c r="X1692" t="s">
        <v>44</v>
      </c>
      <c r="Y1692">
        <v>55</v>
      </c>
      <c r="Z1692" s="1">
        <v>45562</v>
      </c>
      <c r="AA1692" t="str" cm="1">
        <f t="array" ref="AA1692">_xlfn.IFS(AND(Table2[[#This Row],[Guest_Age]]&gt;=18,Table2[[#This Row],[Guest_Age]]&lt;=25),"Young Adults",AND(Table2[[#This Row],[Guest_Age]]&gt;=26,Table2[[#This Row],[Guest_Age]]&lt;=35),"Adults",AND(Table2[[#This Row],[Guest_Age]]&gt;=36,Table2[[#This Row],[Guest_Age]]&lt;=50),"Middle Aged Adults",Table2[[#This Row],[Guest_Age]]&gt;50,"Senior")</f>
        <v>Senior</v>
      </c>
      <c r="AB16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692" t="str" cm="1">
        <f t="array" ref="AC1692">_xlfn.IFS(Table2[[#This Row],[Satification_points]]&gt;=4.5,"GREAT",AND(Table2[[#This Row],[Satification_points]]&gt;=4,Table2[[#This Row],[Satification_points]]&lt;4.5),"GOOD",AND(Table2[[#This Row],[Satification_points]]&gt;=3,Table2[[#This Row],[Satification_points]]&lt;4),"AVERAGE",Table2[[#This Row],[Satification_points]]&lt;3,"POOR")</f>
        <v>AVERAGE</v>
      </c>
    </row>
    <row r="1693" spans="1:29" x14ac:dyDescent="0.3">
      <c r="A1693">
        <v>1692</v>
      </c>
      <c r="B1693">
        <v>34831</v>
      </c>
      <c r="C1693" t="s">
        <v>1733</v>
      </c>
      <c r="D1693" t="s">
        <v>34</v>
      </c>
      <c r="E1693" t="s">
        <v>45</v>
      </c>
      <c r="F1693" s="1">
        <v>45595</v>
      </c>
      <c r="G1693" s="1">
        <v>45596</v>
      </c>
      <c r="H1693">
        <v>9</v>
      </c>
      <c r="I1693" t="s">
        <v>28</v>
      </c>
      <c r="J1693" t="s">
        <v>36</v>
      </c>
      <c r="K1693">
        <v>1</v>
      </c>
      <c r="L1693">
        <v>2</v>
      </c>
      <c r="M1693">
        <v>3</v>
      </c>
      <c r="N1693">
        <v>4</v>
      </c>
      <c r="O1693">
        <v>1</v>
      </c>
      <c r="P1693">
        <v>1</v>
      </c>
      <c r="Q1693">
        <v>2</v>
      </c>
      <c r="R1693">
        <v>2</v>
      </c>
      <c r="S1693">
        <v>4</v>
      </c>
      <c r="T1693">
        <v>3</v>
      </c>
      <c r="U1693" t="s">
        <v>30</v>
      </c>
      <c r="V1693" t="s">
        <v>31</v>
      </c>
      <c r="W1693" t="s">
        <v>55</v>
      </c>
      <c r="X1693" t="s">
        <v>44</v>
      </c>
      <c r="Y1693">
        <v>48</v>
      </c>
      <c r="Z1693" s="1">
        <v>45653</v>
      </c>
      <c r="AA1693" t="str" cm="1">
        <f t="array" ref="AA16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693" t="str" cm="1">
        <f t="array" ref="AC1693">_xlfn.IFS(Table2[[#This Row],[Satification_points]]&gt;=4.5,"GREAT",AND(Table2[[#This Row],[Satification_points]]&gt;=4,Table2[[#This Row],[Satification_points]]&lt;4.5),"GOOD",AND(Table2[[#This Row],[Satification_points]]&gt;=3,Table2[[#This Row],[Satification_points]]&lt;4),"AVERAGE",Table2[[#This Row],[Satification_points]]&lt;3,"POOR")</f>
        <v>POOR</v>
      </c>
    </row>
    <row r="1694" spans="1:29" x14ac:dyDescent="0.3">
      <c r="A1694">
        <v>1693</v>
      </c>
      <c r="B1694">
        <v>32106</v>
      </c>
      <c r="C1694" t="s">
        <v>1734</v>
      </c>
      <c r="D1694" t="s">
        <v>41</v>
      </c>
      <c r="E1694" t="s">
        <v>27</v>
      </c>
      <c r="F1694" s="1">
        <v>44951</v>
      </c>
      <c r="G1694" s="1">
        <v>45422</v>
      </c>
      <c r="H1694">
        <v>4</v>
      </c>
      <c r="I1694" t="s">
        <v>28</v>
      </c>
      <c r="J1694" t="s">
        <v>43</v>
      </c>
      <c r="K1694">
        <v>2</v>
      </c>
      <c r="L1694">
        <v>3</v>
      </c>
      <c r="M1694">
        <v>3</v>
      </c>
      <c r="N1694">
        <v>4</v>
      </c>
      <c r="O1694">
        <v>5</v>
      </c>
      <c r="P1694">
        <v>3</v>
      </c>
      <c r="Q1694">
        <v>4</v>
      </c>
      <c r="R1694">
        <v>1</v>
      </c>
      <c r="S1694">
        <v>4</v>
      </c>
      <c r="T1694">
        <v>4</v>
      </c>
      <c r="U1694" t="s">
        <v>30</v>
      </c>
      <c r="V1694" t="s">
        <v>46</v>
      </c>
      <c r="W1694" t="s">
        <v>55</v>
      </c>
      <c r="X1694" t="s">
        <v>40</v>
      </c>
      <c r="Y1694">
        <v>37</v>
      </c>
      <c r="Z1694" s="1">
        <v>45422</v>
      </c>
      <c r="AA1694" t="str" cm="1">
        <f t="array" ref="AA169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694" t="str" cm="1">
        <f t="array" ref="AC1694">_xlfn.IFS(Table2[[#This Row],[Satification_points]]&gt;=4.5,"GREAT",AND(Table2[[#This Row],[Satification_points]]&gt;=4,Table2[[#This Row],[Satification_points]]&lt;4.5),"GOOD",AND(Table2[[#This Row],[Satification_points]]&gt;=3,Table2[[#This Row],[Satification_points]]&lt;4),"AVERAGE",Table2[[#This Row],[Satification_points]]&lt;3,"POOR")</f>
        <v>AVERAGE</v>
      </c>
    </row>
    <row r="1695" spans="1:29" x14ac:dyDescent="0.3">
      <c r="A1695">
        <v>1694</v>
      </c>
      <c r="B1695">
        <v>86145</v>
      </c>
      <c r="C1695" t="s">
        <v>1735</v>
      </c>
      <c r="D1695" t="s">
        <v>26</v>
      </c>
      <c r="E1695" t="s">
        <v>27</v>
      </c>
      <c r="F1695" s="1">
        <v>45260</v>
      </c>
      <c r="G1695" s="1">
        <v>45261</v>
      </c>
      <c r="H1695">
        <v>4</v>
      </c>
      <c r="I1695" t="s">
        <v>28</v>
      </c>
      <c r="J1695" t="s">
        <v>36</v>
      </c>
      <c r="K1695">
        <v>4</v>
      </c>
      <c r="L1695">
        <v>2</v>
      </c>
      <c r="M1695">
        <v>4</v>
      </c>
      <c r="N1695">
        <v>3</v>
      </c>
      <c r="O1695">
        <v>3</v>
      </c>
      <c r="P1695">
        <v>1</v>
      </c>
      <c r="Q1695">
        <v>1</v>
      </c>
      <c r="R1695">
        <v>1</v>
      </c>
      <c r="S1695">
        <v>3</v>
      </c>
      <c r="T1695">
        <v>2</v>
      </c>
      <c r="U1695" t="s">
        <v>30</v>
      </c>
      <c r="V1695" t="s">
        <v>46</v>
      </c>
      <c r="W1695" t="s">
        <v>32</v>
      </c>
      <c r="X1695" t="s">
        <v>44</v>
      </c>
      <c r="Y1695">
        <v>56</v>
      </c>
      <c r="Z1695" s="1">
        <v>45261</v>
      </c>
      <c r="AA1695" t="str" cm="1">
        <f t="array" ref="AA1695">_xlfn.IFS(AND(Table2[[#This Row],[Guest_Age]]&gt;=18,Table2[[#This Row],[Guest_Age]]&lt;=25),"Young Adults",AND(Table2[[#This Row],[Guest_Age]]&gt;=26,Table2[[#This Row],[Guest_Age]]&lt;=35),"Adults",AND(Table2[[#This Row],[Guest_Age]]&gt;=36,Table2[[#This Row],[Guest_Age]]&lt;=50),"Middle Aged Adults",Table2[[#This Row],[Guest_Age]]&gt;50,"Senior")</f>
        <v>Senior</v>
      </c>
      <c r="AB16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695" t="str" cm="1">
        <f t="array" ref="AC1695">_xlfn.IFS(Table2[[#This Row],[Satification_points]]&gt;=4.5,"GREAT",AND(Table2[[#This Row],[Satification_points]]&gt;=4,Table2[[#This Row],[Satification_points]]&lt;4.5),"GOOD",AND(Table2[[#This Row],[Satification_points]]&gt;=3,Table2[[#This Row],[Satification_points]]&lt;4),"AVERAGE",Table2[[#This Row],[Satification_points]]&lt;3,"POOR")</f>
        <v>POOR</v>
      </c>
    </row>
    <row r="1696" spans="1:29" x14ac:dyDescent="0.3">
      <c r="A1696">
        <v>1695</v>
      </c>
      <c r="B1696">
        <v>69097</v>
      </c>
      <c r="C1696" t="s">
        <v>1736</v>
      </c>
      <c r="D1696" t="s">
        <v>26</v>
      </c>
      <c r="E1696" t="s">
        <v>57</v>
      </c>
      <c r="F1696" s="1">
        <v>45108</v>
      </c>
      <c r="G1696" s="1">
        <v>45225</v>
      </c>
      <c r="H1696">
        <v>9</v>
      </c>
      <c r="I1696" t="s">
        <v>42</v>
      </c>
      <c r="J1696" t="s">
        <v>36</v>
      </c>
      <c r="K1696">
        <v>3</v>
      </c>
      <c r="L1696">
        <v>5</v>
      </c>
      <c r="M1696">
        <v>5</v>
      </c>
      <c r="N1696">
        <v>4</v>
      </c>
      <c r="O1696">
        <v>3</v>
      </c>
      <c r="P1696">
        <v>5</v>
      </c>
      <c r="Q1696">
        <v>4</v>
      </c>
      <c r="R1696">
        <v>2</v>
      </c>
      <c r="S1696">
        <v>5</v>
      </c>
      <c r="T1696">
        <v>1</v>
      </c>
      <c r="U1696" t="s">
        <v>37</v>
      </c>
      <c r="V1696" t="s">
        <v>38</v>
      </c>
      <c r="W1696" t="s">
        <v>47</v>
      </c>
      <c r="X1696" t="s">
        <v>40</v>
      </c>
      <c r="Y1696">
        <v>62</v>
      </c>
      <c r="Z1696" s="1">
        <v>45225</v>
      </c>
      <c r="AA1696" t="str" cm="1">
        <f t="array" ref="AA1696">_xlfn.IFS(AND(Table2[[#This Row],[Guest_Age]]&gt;=18,Table2[[#This Row],[Guest_Age]]&lt;=25),"Young Adults",AND(Table2[[#This Row],[Guest_Age]]&gt;=26,Table2[[#This Row],[Guest_Age]]&lt;=35),"Adults",AND(Table2[[#This Row],[Guest_Age]]&gt;=36,Table2[[#This Row],[Guest_Age]]&lt;=50),"Middle Aged Adults",Table2[[#This Row],[Guest_Age]]&gt;50,"Senior")</f>
        <v>Senior</v>
      </c>
      <c r="AB16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696" t="str" cm="1">
        <f t="array" ref="AC1696">_xlfn.IFS(Table2[[#This Row],[Satification_points]]&gt;=4.5,"GREAT",AND(Table2[[#This Row],[Satification_points]]&gt;=4,Table2[[#This Row],[Satification_points]]&lt;4.5),"GOOD",AND(Table2[[#This Row],[Satification_points]]&gt;=3,Table2[[#This Row],[Satification_points]]&lt;4),"AVERAGE",Table2[[#This Row],[Satification_points]]&lt;3,"POOR")</f>
        <v>AVERAGE</v>
      </c>
    </row>
    <row r="1697" spans="1:29" x14ac:dyDescent="0.3">
      <c r="A1697">
        <v>1696</v>
      </c>
      <c r="B1697">
        <v>80282</v>
      </c>
      <c r="C1697" t="s">
        <v>1737</v>
      </c>
      <c r="D1697" t="s">
        <v>51</v>
      </c>
      <c r="E1697" t="s">
        <v>27</v>
      </c>
      <c r="F1697" s="1">
        <v>45358</v>
      </c>
      <c r="G1697" s="1">
        <v>45359</v>
      </c>
      <c r="H1697">
        <v>5</v>
      </c>
      <c r="I1697" t="s">
        <v>49</v>
      </c>
      <c r="J1697" t="s">
        <v>40</v>
      </c>
      <c r="K1697">
        <v>5</v>
      </c>
      <c r="L1697">
        <v>1</v>
      </c>
      <c r="M1697">
        <v>3</v>
      </c>
      <c r="N1697">
        <v>4</v>
      </c>
      <c r="O1697">
        <v>5</v>
      </c>
      <c r="P1697">
        <v>2</v>
      </c>
      <c r="Q1697">
        <v>1</v>
      </c>
      <c r="R1697">
        <v>5</v>
      </c>
      <c r="S1697">
        <v>5</v>
      </c>
      <c r="T1697">
        <v>4</v>
      </c>
      <c r="U1697" t="s">
        <v>37</v>
      </c>
      <c r="V1697" t="s">
        <v>54</v>
      </c>
      <c r="W1697" t="s">
        <v>56</v>
      </c>
      <c r="X1697" t="s">
        <v>44</v>
      </c>
      <c r="Y1697">
        <v>43</v>
      </c>
      <c r="Z1697" s="1">
        <v>45359</v>
      </c>
      <c r="AA1697" t="str" cm="1">
        <f t="array" ref="AA16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6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697" t="str" cm="1">
        <f t="array" ref="AC1697">_xlfn.IFS(Table2[[#This Row],[Satification_points]]&gt;=4.5,"GREAT",AND(Table2[[#This Row],[Satification_points]]&gt;=4,Table2[[#This Row],[Satification_points]]&lt;4.5),"GOOD",AND(Table2[[#This Row],[Satification_points]]&gt;=3,Table2[[#This Row],[Satification_points]]&lt;4),"AVERAGE",Table2[[#This Row],[Satification_points]]&lt;3,"POOR")</f>
        <v>AVERAGE</v>
      </c>
    </row>
    <row r="1698" spans="1:29" x14ac:dyDescent="0.3">
      <c r="A1698">
        <v>1697</v>
      </c>
      <c r="B1698">
        <v>40384</v>
      </c>
      <c r="C1698" t="s">
        <v>1738</v>
      </c>
      <c r="D1698" t="s">
        <v>26</v>
      </c>
      <c r="E1698" t="s">
        <v>45</v>
      </c>
      <c r="F1698" s="1">
        <v>45100</v>
      </c>
      <c r="G1698" s="1">
        <v>45351</v>
      </c>
      <c r="H1698">
        <v>4</v>
      </c>
      <c r="I1698" t="s">
        <v>50</v>
      </c>
      <c r="J1698" t="s">
        <v>36</v>
      </c>
      <c r="K1698">
        <v>3</v>
      </c>
      <c r="L1698">
        <v>4</v>
      </c>
      <c r="M1698">
        <v>3</v>
      </c>
      <c r="N1698">
        <v>1</v>
      </c>
      <c r="O1698">
        <v>3</v>
      </c>
      <c r="P1698">
        <v>4</v>
      </c>
      <c r="Q1698">
        <v>1</v>
      </c>
      <c r="R1698">
        <v>1</v>
      </c>
      <c r="S1698">
        <v>2</v>
      </c>
      <c r="T1698">
        <v>1</v>
      </c>
      <c r="U1698" t="s">
        <v>30</v>
      </c>
      <c r="V1698" t="s">
        <v>31</v>
      </c>
      <c r="W1698" t="s">
        <v>47</v>
      </c>
      <c r="X1698" t="s">
        <v>33</v>
      </c>
      <c r="Y1698">
        <v>22</v>
      </c>
      <c r="Z1698" s="1">
        <v>45484</v>
      </c>
      <c r="AA1698" t="str" cm="1">
        <f t="array" ref="AA1698">_xlfn.IFS(AND(Table2[[#This Row],[Guest_Age]]&gt;=18,Table2[[#This Row],[Guest_Age]]&lt;=25),"Young Adults",AND(Table2[[#This Row],[Guest_Age]]&gt;=26,Table2[[#This Row],[Guest_Age]]&lt;=35),"Adults",AND(Table2[[#This Row],[Guest_Age]]&gt;=36,Table2[[#This Row],[Guest_Age]]&lt;=50),"Middle Aged Adults",Table2[[#This Row],[Guest_Age]]&gt;50,"Senior")</f>
        <v>Young Adults</v>
      </c>
      <c r="AB16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698" t="str" cm="1">
        <f t="array" ref="AC1698">_xlfn.IFS(Table2[[#This Row],[Satification_points]]&gt;=4.5,"GREAT",AND(Table2[[#This Row],[Satification_points]]&gt;=4,Table2[[#This Row],[Satification_points]]&lt;4.5),"GOOD",AND(Table2[[#This Row],[Satification_points]]&gt;=3,Table2[[#This Row],[Satification_points]]&lt;4),"AVERAGE",Table2[[#This Row],[Satification_points]]&lt;3,"POOR")</f>
        <v>POOR</v>
      </c>
    </row>
    <row r="1699" spans="1:29" x14ac:dyDescent="0.3">
      <c r="A1699">
        <v>1698</v>
      </c>
      <c r="B1699">
        <v>72754</v>
      </c>
      <c r="C1699" t="s">
        <v>1739</v>
      </c>
      <c r="D1699" t="s">
        <v>48</v>
      </c>
      <c r="E1699" t="s">
        <v>27</v>
      </c>
      <c r="F1699" s="1">
        <v>44967</v>
      </c>
      <c r="G1699" s="1">
        <v>45158</v>
      </c>
      <c r="H1699">
        <v>7</v>
      </c>
      <c r="I1699" t="s">
        <v>28</v>
      </c>
      <c r="J1699" t="s">
        <v>29</v>
      </c>
      <c r="K1699">
        <v>3</v>
      </c>
      <c r="L1699">
        <v>4</v>
      </c>
      <c r="M1699">
        <v>5</v>
      </c>
      <c r="N1699">
        <v>3</v>
      </c>
      <c r="O1699">
        <v>3</v>
      </c>
      <c r="P1699">
        <v>3</v>
      </c>
      <c r="Q1699">
        <v>5</v>
      </c>
      <c r="R1699">
        <v>4</v>
      </c>
      <c r="S1699">
        <v>2</v>
      </c>
      <c r="T1699">
        <v>2</v>
      </c>
      <c r="U1699" t="s">
        <v>37</v>
      </c>
      <c r="V1699" t="s">
        <v>54</v>
      </c>
      <c r="W1699" t="s">
        <v>47</v>
      </c>
      <c r="X1699" t="s">
        <v>40</v>
      </c>
      <c r="Y1699">
        <v>21</v>
      </c>
      <c r="Z1699" s="1">
        <v>45158</v>
      </c>
      <c r="AA1699" t="str" cm="1">
        <f t="array" ref="AA1699">_xlfn.IFS(AND(Table2[[#This Row],[Guest_Age]]&gt;=18,Table2[[#This Row],[Guest_Age]]&lt;=25),"Young Adults",AND(Table2[[#This Row],[Guest_Age]]&gt;=26,Table2[[#This Row],[Guest_Age]]&lt;=35),"Adults",AND(Table2[[#This Row],[Guest_Age]]&gt;=36,Table2[[#This Row],[Guest_Age]]&lt;=50),"Middle Aged Adults",Table2[[#This Row],[Guest_Age]]&gt;50,"Senior")</f>
        <v>Young Adults</v>
      </c>
      <c r="AB16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699" t="str" cm="1">
        <f t="array" ref="AC1699">_xlfn.IFS(Table2[[#This Row],[Satification_points]]&gt;=4.5,"GREAT",AND(Table2[[#This Row],[Satification_points]]&gt;=4,Table2[[#This Row],[Satification_points]]&lt;4.5),"GOOD",AND(Table2[[#This Row],[Satification_points]]&gt;=3,Table2[[#This Row],[Satification_points]]&lt;4),"AVERAGE",Table2[[#This Row],[Satification_points]]&lt;3,"POOR")</f>
        <v>AVERAGE</v>
      </c>
    </row>
    <row r="1700" spans="1:29" x14ac:dyDescent="0.3">
      <c r="A1700">
        <v>1699</v>
      </c>
      <c r="B1700">
        <v>62563</v>
      </c>
      <c r="C1700" t="s">
        <v>1740</v>
      </c>
      <c r="D1700" t="s">
        <v>51</v>
      </c>
      <c r="E1700" t="s">
        <v>35</v>
      </c>
      <c r="F1700" s="1">
        <v>45371</v>
      </c>
      <c r="G1700" s="1">
        <v>45622</v>
      </c>
      <c r="H1700">
        <v>13</v>
      </c>
      <c r="I1700" t="s">
        <v>42</v>
      </c>
      <c r="J1700" t="s">
        <v>53</v>
      </c>
      <c r="K1700">
        <v>4</v>
      </c>
      <c r="L1700">
        <v>3</v>
      </c>
      <c r="M1700">
        <v>5</v>
      </c>
      <c r="N1700">
        <v>5</v>
      </c>
      <c r="O1700">
        <v>5</v>
      </c>
      <c r="P1700">
        <v>3</v>
      </c>
      <c r="Q1700">
        <v>3</v>
      </c>
      <c r="R1700">
        <v>3</v>
      </c>
      <c r="S1700">
        <v>4</v>
      </c>
      <c r="T1700">
        <v>3</v>
      </c>
      <c r="U1700" t="s">
        <v>37</v>
      </c>
      <c r="V1700" t="s">
        <v>38</v>
      </c>
      <c r="W1700" t="s">
        <v>32</v>
      </c>
      <c r="X1700" t="s">
        <v>33</v>
      </c>
      <c r="Y1700">
        <v>39</v>
      </c>
      <c r="Z1700" s="1">
        <v>45622</v>
      </c>
      <c r="AA1700" t="str" cm="1">
        <f t="array" ref="AA17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700" t="str" cm="1">
        <f t="array" ref="AC1700">_xlfn.IFS(Table2[[#This Row],[Satification_points]]&gt;=4.5,"GREAT",AND(Table2[[#This Row],[Satification_points]]&gt;=4,Table2[[#This Row],[Satification_points]]&lt;4.5),"GOOD",AND(Table2[[#This Row],[Satification_points]]&gt;=3,Table2[[#This Row],[Satification_points]]&lt;4),"AVERAGE",Table2[[#This Row],[Satification_points]]&lt;3,"POOR")</f>
        <v>AVERAGE</v>
      </c>
    </row>
    <row r="1701" spans="1:29" x14ac:dyDescent="0.3">
      <c r="A1701">
        <v>1700</v>
      </c>
      <c r="B1701">
        <v>26459</v>
      </c>
      <c r="C1701" t="s">
        <v>1741</v>
      </c>
      <c r="D1701" t="s">
        <v>51</v>
      </c>
      <c r="E1701" t="s">
        <v>27</v>
      </c>
      <c r="F1701" s="1">
        <v>45321</v>
      </c>
      <c r="G1701" s="1">
        <v>45375</v>
      </c>
      <c r="H1701">
        <v>13</v>
      </c>
      <c r="I1701" t="s">
        <v>50</v>
      </c>
      <c r="J1701" t="s">
        <v>40</v>
      </c>
      <c r="K1701">
        <v>5</v>
      </c>
      <c r="L1701">
        <v>1</v>
      </c>
      <c r="M1701">
        <v>3</v>
      </c>
      <c r="N1701">
        <v>5</v>
      </c>
      <c r="O1701">
        <v>2</v>
      </c>
      <c r="P1701">
        <v>4</v>
      </c>
      <c r="Q1701">
        <v>5</v>
      </c>
      <c r="R1701">
        <v>4</v>
      </c>
      <c r="S1701">
        <v>5</v>
      </c>
      <c r="T1701">
        <v>2</v>
      </c>
      <c r="U1701" t="s">
        <v>37</v>
      </c>
      <c r="V1701" t="s">
        <v>38</v>
      </c>
      <c r="W1701" t="s">
        <v>39</v>
      </c>
      <c r="X1701" t="s">
        <v>33</v>
      </c>
      <c r="Y1701">
        <v>23</v>
      </c>
      <c r="Z1701" s="1">
        <v>45375</v>
      </c>
      <c r="AA1701" t="str" cm="1">
        <f t="array" ref="AA1701">_xlfn.IFS(AND(Table2[[#This Row],[Guest_Age]]&gt;=18,Table2[[#This Row],[Guest_Age]]&lt;=25),"Young Adults",AND(Table2[[#This Row],[Guest_Age]]&gt;=26,Table2[[#This Row],[Guest_Age]]&lt;=35),"Adults",AND(Table2[[#This Row],[Guest_Age]]&gt;=36,Table2[[#This Row],[Guest_Age]]&lt;=50),"Middle Aged Adults",Table2[[#This Row],[Guest_Age]]&gt;50,"Senior")</f>
        <v>Young Adults</v>
      </c>
      <c r="AB17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01" t="str" cm="1">
        <f t="array" ref="AC1701">_xlfn.IFS(Table2[[#This Row],[Satification_points]]&gt;=4.5,"GREAT",AND(Table2[[#This Row],[Satification_points]]&gt;=4,Table2[[#This Row],[Satification_points]]&lt;4.5),"GOOD",AND(Table2[[#This Row],[Satification_points]]&gt;=3,Table2[[#This Row],[Satification_points]]&lt;4),"AVERAGE",Table2[[#This Row],[Satification_points]]&lt;3,"POOR")</f>
        <v>AVERAGE</v>
      </c>
    </row>
    <row r="1702" spans="1:29" x14ac:dyDescent="0.3">
      <c r="A1702">
        <v>1701</v>
      </c>
      <c r="B1702">
        <v>41288</v>
      </c>
      <c r="C1702" t="s">
        <v>1742</v>
      </c>
      <c r="D1702" t="s">
        <v>51</v>
      </c>
      <c r="E1702" t="s">
        <v>27</v>
      </c>
      <c r="F1702" s="1">
        <v>45214</v>
      </c>
      <c r="G1702" s="1">
        <v>45540</v>
      </c>
      <c r="H1702">
        <v>5</v>
      </c>
      <c r="I1702" t="s">
        <v>50</v>
      </c>
      <c r="J1702" t="s">
        <v>40</v>
      </c>
      <c r="K1702">
        <v>5</v>
      </c>
      <c r="L1702">
        <v>2</v>
      </c>
      <c r="M1702">
        <v>5</v>
      </c>
      <c r="N1702">
        <v>2</v>
      </c>
      <c r="O1702">
        <v>3</v>
      </c>
      <c r="P1702">
        <v>1</v>
      </c>
      <c r="Q1702">
        <v>3</v>
      </c>
      <c r="R1702">
        <v>2</v>
      </c>
      <c r="S1702">
        <v>3</v>
      </c>
      <c r="T1702">
        <v>1</v>
      </c>
      <c r="U1702" t="s">
        <v>30</v>
      </c>
      <c r="V1702" t="s">
        <v>46</v>
      </c>
      <c r="W1702" t="s">
        <v>39</v>
      </c>
      <c r="X1702" t="s">
        <v>33</v>
      </c>
      <c r="Y1702">
        <v>54</v>
      </c>
      <c r="Z1702" s="1">
        <v>45540</v>
      </c>
      <c r="AA1702" t="str" cm="1">
        <f t="array" ref="AA1702">_xlfn.IFS(AND(Table2[[#This Row],[Guest_Age]]&gt;=18,Table2[[#This Row],[Guest_Age]]&lt;=25),"Young Adults",AND(Table2[[#This Row],[Guest_Age]]&gt;=26,Table2[[#This Row],[Guest_Age]]&lt;=35),"Adults",AND(Table2[[#This Row],[Guest_Age]]&gt;=36,Table2[[#This Row],[Guest_Age]]&lt;=50),"Middle Aged Adults",Table2[[#This Row],[Guest_Age]]&gt;50,"Senior")</f>
        <v>Senior</v>
      </c>
      <c r="AB17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02" t="str" cm="1">
        <f t="array" ref="AC1702">_xlfn.IFS(Table2[[#This Row],[Satification_points]]&gt;=4.5,"GREAT",AND(Table2[[#This Row],[Satification_points]]&gt;=4,Table2[[#This Row],[Satification_points]]&lt;4.5),"GOOD",AND(Table2[[#This Row],[Satification_points]]&gt;=3,Table2[[#This Row],[Satification_points]]&lt;4),"AVERAGE",Table2[[#This Row],[Satification_points]]&lt;3,"POOR")</f>
        <v>POOR</v>
      </c>
    </row>
    <row r="1703" spans="1:29" x14ac:dyDescent="0.3">
      <c r="A1703">
        <v>1702</v>
      </c>
      <c r="B1703">
        <v>46379</v>
      </c>
      <c r="C1703" t="s">
        <v>1743</v>
      </c>
      <c r="D1703" t="s">
        <v>51</v>
      </c>
      <c r="E1703" t="s">
        <v>35</v>
      </c>
      <c r="F1703" s="1">
        <v>45487</v>
      </c>
      <c r="G1703" s="1">
        <v>45553</v>
      </c>
      <c r="H1703">
        <v>8</v>
      </c>
      <c r="I1703" t="s">
        <v>28</v>
      </c>
      <c r="J1703" t="s">
        <v>40</v>
      </c>
      <c r="K1703">
        <v>3</v>
      </c>
      <c r="L1703">
        <v>2</v>
      </c>
      <c r="M1703">
        <v>1</v>
      </c>
      <c r="N1703">
        <v>4</v>
      </c>
      <c r="O1703">
        <v>2</v>
      </c>
      <c r="P1703">
        <v>2</v>
      </c>
      <c r="Q1703">
        <v>1</v>
      </c>
      <c r="R1703">
        <v>2</v>
      </c>
      <c r="S1703">
        <v>5</v>
      </c>
      <c r="T1703">
        <v>3</v>
      </c>
      <c r="U1703" t="s">
        <v>37</v>
      </c>
      <c r="V1703" t="s">
        <v>46</v>
      </c>
      <c r="W1703" t="s">
        <v>32</v>
      </c>
      <c r="X1703" t="s">
        <v>44</v>
      </c>
      <c r="Y1703">
        <v>48</v>
      </c>
      <c r="Z1703" s="1">
        <v>45553</v>
      </c>
      <c r="AA1703" t="str" cm="1">
        <f t="array" ref="AA170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03" t="str" cm="1">
        <f t="array" ref="AC1703">_xlfn.IFS(Table2[[#This Row],[Satification_points]]&gt;=4.5,"GREAT",AND(Table2[[#This Row],[Satification_points]]&gt;=4,Table2[[#This Row],[Satification_points]]&lt;4.5),"GOOD",AND(Table2[[#This Row],[Satification_points]]&gt;=3,Table2[[#This Row],[Satification_points]]&lt;4),"AVERAGE",Table2[[#This Row],[Satification_points]]&lt;3,"POOR")</f>
        <v>POOR</v>
      </c>
    </row>
    <row r="1704" spans="1:29" x14ac:dyDescent="0.3">
      <c r="A1704">
        <v>1703</v>
      </c>
      <c r="B1704">
        <v>83537</v>
      </c>
      <c r="C1704" t="s">
        <v>1744</v>
      </c>
      <c r="D1704" t="s">
        <v>26</v>
      </c>
      <c r="E1704" t="s">
        <v>45</v>
      </c>
      <c r="F1704" s="1">
        <v>45188</v>
      </c>
      <c r="G1704" s="1">
        <v>45295</v>
      </c>
      <c r="H1704">
        <v>3</v>
      </c>
      <c r="I1704" t="s">
        <v>28</v>
      </c>
      <c r="J1704" t="s">
        <v>40</v>
      </c>
      <c r="K1704">
        <v>4</v>
      </c>
      <c r="L1704">
        <v>3</v>
      </c>
      <c r="M1704">
        <v>5</v>
      </c>
      <c r="N1704">
        <v>1</v>
      </c>
      <c r="O1704">
        <v>1</v>
      </c>
      <c r="P1704">
        <v>5</v>
      </c>
      <c r="Q1704">
        <v>5</v>
      </c>
      <c r="R1704">
        <v>5</v>
      </c>
      <c r="S1704">
        <v>3</v>
      </c>
      <c r="T1704">
        <v>4</v>
      </c>
      <c r="U1704" t="s">
        <v>37</v>
      </c>
      <c r="V1704" t="s">
        <v>31</v>
      </c>
      <c r="W1704" t="s">
        <v>32</v>
      </c>
      <c r="X1704" t="s">
        <v>33</v>
      </c>
      <c r="Y1704">
        <v>22</v>
      </c>
      <c r="Z1704" s="1">
        <v>45442</v>
      </c>
      <c r="AA1704" t="str" cm="1">
        <f t="array" ref="AA1704">_xlfn.IFS(AND(Table2[[#This Row],[Guest_Age]]&gt;=18,Table2[[#This Row],[Guest_Age]]&lt;=25),"Young Adults",AND(Table2[[#This Row],[Guest_Age]]&gt;=26,Table2[[#This Row],[Guest_Age]]&lt;=35),"Adults",AND(Table2[[#This Row],[Guest_Age]]&gt;=36,Table2[[#This Row],[Guest_Age]]&lt;=50),"Middle Aged Adults",Table2[[#This Row],[Guest_Age]]&gt;50,"Senior")</f>
        <v>Young Adults</v>
      </c>
      <c r="AB17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04" t="str" cm="1">
        <f t="array" ref="AC1704">_xlfn.IFS(Table2[[#This Row],[Satification_points]]&gt;=4.5,"GREAT",AND(Table2[[#This Row],[Satification_points]]&gt;=4,Table2[[#This Row],[Satification_points]]&lt;4.5),"GOOD",AND(Table2[[#This Row],[Satification_points]]&gt;=3,Table2[[#This Row],[Satification_points]]&lt;4),"AVERAGE",Table2[[#This Row],[Satification_points]]&lt;3,"POOR")</f>
        <v>AVERAGE</v>
      </c>
    </row>
    <row r="1705" spans="1:29" x14ac:dyDescent="0.3">
      <c r="A1705">
        <v>1704</v>
      </c>
      <c r="B1705">
        <v>85720</v>
      </c>
      <c r="C1705" t="s">
        <v>1745</v>
      </c>
      <c r="D1705" t="s">
        <v>51</v>
      </c>
      <c r="E1705" t="s">
        <v>52</v>
      </c>
      <c r="F1705" s="1">
        <v>44983</v>
      </c>
      <c r="G1705" s="1">
        <v>45481</v>
      </c>
      <c r="H1705">
        <v>14</v>
      </c>
      <c r="I1705" t="s">
        <v>42</v>
      </c>
      <c r="J1705" t="s">
        <v>43</v>
      </c>
      <c r="K1705">
        <v>5</v>
      </c>
      <c r="L1705">
        <v>1</v>
      </c>
      <c r="M1705">
        <v>2</v>
      </c>
      <c r="N1705">
        <v>4</v>
      </c>
      <c r="O1705">
        <v>1</v>
      </c>
      <c r="P1705">
        <v>4</v>
      </c>
      <c r="Q1705">
        <v>2</v>
      </c>
      <c r="R1705">
        <v>1</v>
      </c>
      <c r="S1705">
        <v>2</v>
      </c>
      <c r="T1705">
        <v>3</v>
      </c>
      <c r="U1705" t="s">
        <v>37</v>
      </c>
      <c r="V1705" t="s">
        <v>54</v>
      </c>
      <c r="W1705" t="s">
        <v>32</v>
      </c>
      <c r="X1705" t="s">
        <v>33</v>
      </c>
      <c r="Y1705">
        <v>24</v>
      </c>
      <c r="Z1705" s="1">
        <v>45636</v>
      </c>
      <c r="AA1705" t="str" cm="1">
        <f t="array" ref="AA1705">_xlfn.IFS(AND(Table2[[#This Row],[Guest_Age]]&gt;=18,Table2[[#This Row],[Guest_Age]]&lt;=25),"Young Adults",AND(Table2[[#This Row],[Guest_Age]]&gt;=26,Table2[[#This Row],[Guest_Age]]&lt;=35),"Adults",AND(Table2[[#This Row],[Guest_Age]]&gt;=36,Table2[[#This Row],[Guest_Age]]&lt;=50),"Middle Aged Adults",Table2[[#This Row],[Guest_Age]]&gt;50,"Senior")</f>
        <v>Young Adults</v>
      </c>
      <c r="AB17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05" t="str" cm="1">
        <f t="array" ref="AC1705">_xlfn.IFS(Table2[[#This Row],[Satification_points]]&gt;=4.5,"GREAT",AND(Table2[[#This Row],[Satification_points]]&gt;=4,Table2[[#This Row],[Satification_points]]&lt;4.5),"GOOD",AND(Table2[[#This Row],[Satification_points]]&gt;=3,Table2[[#This Row],[Satification_points]]&lt;4),"AVERAGE",Table2[[#This Row],[Satification_points]]&lt;3,"POOR")</f>
        <v>POOR</v>
      </c>
    </row>
    <row r="1706" spans="1:29" x14ac:dyDescent="0.3">
      <c r="A1706">
        <v>1705</v>
      </c>
      <c r="B1706">
        <v>22949</v>
      </c>
      <c r="C1706" t="s">
        <v>1746</v>
      </c>
      <c r="D1706" t="s">
        <v>48</v>
      </c>
      <c r="E1706" t="s">
        <v>57</v>
      </c>
      <c r="F1706" s="1">
        <v>44932</v>
      </c>
      <c r="G1706" s="1">
        <v>44956</v>
      </c>
      <c r="H1706">
        <v>8</v>
      </c>
      <c r="I1706" t="s">
        <v>28</v>
      </c>
      <c r="J1706" t="s">
        <v>40</v>
      </c>
      <c r="K1706">
        <v>5</v>
      </c>
      <c r="L1706">
        <v>3</v>
      </c>
      <c r="M1706">
        <v>2</v>
      </c>
      <c r="N1706">
        <v>2</v>
      </c>
      <c r="O1706">
        <v>3</v>
      </c>
      <c r="P1706">
        <v>2</v>
      </c>
      <c r="Q1706">
        <v>4</v>
      </c>
      <c r="R1706">
        <v>1</v>
      </c>
      <c r="S1706">
        <v>1</v>
      </c>
      <c r="T1706">
        <v>4</v>
      </c>
      <c r="U1706" t="s">
        <v>37</v>
      </c>
      <c r="V1706" t="s">
        <v>38</v>
      </c>
      <c r="W1706" t="s">
        <v>47</v>
      </c>
      <c r="X1706" t="s">
        <v>33</v>
      </c>
      <c r="Y1706">
        <v>22</v>
      </c>
      <c r="Z1706" s="1">
        <v>45489</v>
      </c>
      <c r="AA1706" t="str" cm="1">
        <f t="array" ref="AA1706">_xlfn.IFS(AND(Table2[[#This Row],[Guest_Age]]&gt;=18,Table2[[#This Row],[Guest_Age]]&lt;=25),"Young Adults",AND(Table2[[#This Row],[Guest_Age]]&gt;=26,Table2[[#This Row],[Guest_Age]]&lt;=35),"Adults",AND(Table2[[#This Row],[Guest_Age]]&gt;=36,Table2[[#This Row],[Guest_Age]]&lt;=50),"Middle Aged Adults",Table2[[#This Row],[Guest_Age]]&gt;50,"Senior")</f>
        <v>Young Adults</v>
      </c>
      <c r="AB17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06" t="str" cm="1">
        <f t="array" ref="AC1706">_xlfn.IFS(Table2[[#This Row],[Satification_points]]&gt;=4.5,"GREAT",AND(Table2[[#This Row],[Satification_points]]&gt;=4,Table2[[#This Row],[Satification_points]]&lt;4.5),"GOOD",AND(Table2[[#This Row],[Satification_points]]&gt;=3,Table2[[#This Row],[Satification_points]]&lt;4),"AVERAGE",Table2[[#This Row],[Satification_points]]&lt;3,"POOR")</f>
        <v>POOR</v>
      </c>
    </row>
    <row r="1707" spans="1:29" x14ac:dyDescent="0.3">
      <c r="A1707">
        <v>1706</v>
      </c>
      <c r="B1707">
        <v>54338</v>
      </c>
      <c r="C1707" t="s">
        <v>1747</v>
      </c>
      <c r="D1707" t="s">
        <v>48</v>
      </c>
      <c r="E1707" t="s">
        <v>52</v>
      </c>
      <c r="F1707" s="1">
        <v>45485</v>
      </c>
      <c r="G1707" s="1">
        <v>45486</v>
      </c>
      <c r="H1707">
        <v>11</v>
      </c>
      <c r="I1707" t="s">
        <v>50</v>
      </c>
      <c r="J1707" t="s">
        <v>43</v>
      </c>
      <c r="K1707">
        <v>1</v>
      </c>
      <c r="L1707">
        <v>5</v>
      </c>
      <c r="M1707">
        <v>3</v>
      </c>
      <c r="N1707">
        <v>4</v>
      </c>
      <c r="O1707">
        <v>1</v>
      </c>
      <c r="P1707">
        <v>3</v>
      </c>
      <c r="Q1707">
        <v>4</v>
      </c>
      <c r="R1707">
        <v>4</v>
      </c>
      <c r="S1707">
        <v>5</v>
      </c>
      <c r="T1707">
        <v>4</v>
      </c>
      <c r="U1707" t="s">
        <v>30</v>
      </c>
      <c r="V1707" t="s">
        <v>46</v>
      </c>
      <c r="W1707" t="s">
        <v>47</v>
      </c>
      <c r="X1707" t="s">
        <v>40</v>
      </c>
      <c r="Y1707">
        <v>21</v>
      </c>
      <c r="Z1707" s="1">
        <v>45486</v>
      </c>
      <c r="AA1707" t="str" cm="1">
        <f t="array" ref="AA1707">_xlfn.IFS(AND(Table2[[#This Row],[Guest_Age]]&gt;=18,Table2[[#This Row],[Guest_Age]]&lt;=25),"Young Adults",AND(Table2[[#This Row],[Guest_Age]]&gt;=26,Table2[[#This Row],[Guest_Age]]&lt;=35),"Adults",AND(Table2[[#This Row],[Guest_Age]]&gt;=36,Table2[[#This Row],[Guest_Age]]&lt;=50),"Middle Aged Adults",Table2[[#This Row],[Guest_Age]]&gt;50,"Senior")</f>
        <v>Young Adults</v>
      </c>
      <c r="AB17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707" t="str" cm="1">
        <f t="array" ref="AC1707">_xlfn.IFS(Table2[[#This Row],[Satification_points]]&gt;=4.5,"GREAT",AND(Table2[[#This Row],[Satification_points]]&gt;=4,Table2[[#This Row],[Satification_points]]&lt;4.5),"GOOD",AND(Table2[[#This Row],[Satification_points]]&gt;=3,Table2[[#This Row],[Satification_points]]&lt;4),"AVERAGE",Table2[[#This Row],[Satification_points]]&lt;3,"POOR")</f>
        <v>AVERAGE</v>
      </c>
    </row>
    <row r="1708" spans="1:29" x14ac:dyDescent="0.3">
      <c r="A1708">
        <v>1707</v>
      </c>
      <c r="B1708">
        <v>81655</v>
      </c>
      <c r="C1708" t="s">
        <v>1748</v>
      </c>
      <c r="D1708" t="s">
        <v>34</v>
      </c>
      <c r="E1708" t="s">
        <v>45</v>
      </c>
      <c r="F1708" s="1">
        <v>45501</v>
      </c>
      <c r="G1708" s="1">
        <v>45536</v>
      </c>
      <c r="H1708">
        <v>6</v>
      </c>
      <c r="I1708" t="s">
        <v>28</v>
      </c>
      <c r="J1708" t="s">
        <v>43</v>
      </c>
      <c r="K1708">
        <v>3</v>
      </c>
      <c r="L1708">
        <v>5</v>
      </c>
      <c r="M1708">
        <v>3</v>
      </c>
      <c r="N1708">
        <v>5</v>
      </c>
      <c r="O1708">
        <v>5</v>
      </c>
      <c r="P1708">
        <v>2</v>
      </c>
      <c r="Q1708">
        <v>4</v>
      </c>
      <c r="R1708">
        <v>1</v>
      </c>
      <c r="S1708">
        <v>2</v>
      </c>
      <c r="T1708">
        <v>3</v>
      </c>
      <c r="U1708" t="s">
        <v>30</v>
      </c>
      <c r="V1708" t="s">
        <v>54</v>
      </c>
      <c r="W1708" t="s">
        <v>56</v>
      </c>
      <c r="X1708" t="s">
        <v>40</v>
      </c>
      <c r="Y1708">
        <v>44</v>
      </c>
      <c r="Z1708" s="1">
        <v>45536</v>
      </c>
      <c r="AA1708" t="str" cm="1">
        <f t="array" ref="AA170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08" t="str" cm="1">
        <f t="array" ref="AC1708">_xlfn.IFS(Table2[[#This Row],[Satification_points]]&gt;=4.5,"GREAT",AND(Table2[[#This Row],[Satification_points]]&gt;=4,Table2[[#This Row],[Satification_points]]&lt;4.5),"GOOD",AND(Table2[[#This Row],[Satification_points]]&gt;=3,Table2[[#This Row],[Satification_points]]&lt;4),"AVERAGE",Table2[[#This Row],[Satification_points]]&lt;3,"POOR")</f>
        <v>AVERAGE</v>
      </c>
    </row>
    <row r="1709" spans="1:29" x14ac:dyDescent="0.3">
      <c r="A1709">
        <v>1708</v>
      </c>
      <c r="B1709">
        <v>45162</v>
      </c>
      <c r="C1709" t="s">
        <v>1749</v>
      </c>
      <c r="D1709" t="s">
        <v>48</v>
      </c>
      <c r="E1709" t="s">
        <v>45</v>
      </c>
      <c r="F1709" s="1">
        <v>45505</v>
      </c>
      <c r="G1709" s="1">
        <v>45630</v>
      </c>
      <c r="H1709">
        <v>14</v>
      </c>
      <c r="I1709" t="s">
        <v>42</v>
      </c>
      <c r="J1709" t="s">
        <v>36</v>
      </c>
      <c r="K1709">
        <v>2</v>
      </c>
      <c r="L1709">
        <v>2</v>
      </c>
      <c r="M1709">
        <v>4</v>
      </c>
      <c r="N1709">
        <v>3</v>
      </c>
      <c r="O1709">
        <v>3</v>
      </c>
      <c r="P1709">
        <v>5</v>
      </c>
      <c r="Q1709">
        <v>3</v>
      </c>
      <c r="R1709">
        <v>2</v>
      </c>
      <c r="S1709">
        <v>1</v>
      </c>
      <c r="T1709">
        <v>3</v>
      </c>
      <c r="U1709" t="s">
        <v>37</v>
      </c>
      <c r="V1709" t="s">
        <v>38</v>
      </c>
      <c r="W1709" t="s">
        <v>32</v>
      </c>
      <c r="X1709" t="s">
        <v>40</v>
      </c>
      <c r="Y1709">
        <v>26</v>
      </c>
      <c r="Z1709" s="1">
        <v>45630</v>
      </c>
      <c r="AA1709" t="str" cm="1">
        <f t="array" ref="AA1709">_xlfn.IFS(AND(Table2[[#This Row],[Guest_Age]]&gt;=18,Table2[[#This Row],[Guest_Age]]&lt;=25),"Young Adults",AND(Table2[[#This Row],[Guest_Age]]&gt;=26,Table2[[#This Row],[Guest_Age]]&lt;=35),"Adults",AND(Table2[[#This Row],[Guest_Age]]&gt;=36,Table2[[#This Row],[Guest_Age]]&lt;=50),"Middle Aged Adults",Table2[[#This Row],[Guest_Age]]&gt;50,"Senior")</f>
        <v>Adults</v>
      </c>
      <c r="AB17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09" t="str" cm="1">
        <f t="array" ref="AC1709">_xlfn.IFS(Table2[[#This Row],[Satification_points]]&gt;=4.5,"GREAT",AND(Table2[[#This Row],[Satification_points]]&gt;=4,Table2[[#This Row],[Satification_points]]&lt;4.5),"GOOD",AND(Table2[[#This Row],[Satification_points]]&gt;=3,Table2[[#This Row],[Satification_points]]&lt;4),"AVERAGE",Table2[[#This Row],[Satification_points]]&lt;3,"POOR")</f>
        <v>POOR</v>
      </c>
    </row>
    <row r="1710" spans="1:29" x14ac:dyDescent="0.3">
      <c r="A1710">
        <v>1709</v>
      </c>
      <c r="B1710">
        <v>44184</v>
      </c>
      <c r="C1710" t="s">
        <v>1750</v>
      </c>
      <c r="D1710" t="s">
        <v>34</v>
      </c>
      <c r="E1710" t="s">
        <v>35</v>
      </c>
      <c r="F1710" s="1">
        <v>45621</v>
      </c>
      <c r="G1710" s="1">
        <v>45622</v>
      </c>
      <c r="H1710">
        <v>13</v>
      </c>
      <c r="I1710" t="s">
        <v>42</v>
      </c>
      <c r="J1710" t="s">
        <v>53</v>
      </c>
      <c r="K1710">
        <v>3</v>
      </c>
      <c r="L1710">
        <v>5</v>
      </c>
      <c r="M1710">
        <v>5</v>
      </c>
      <c r="N1710">
        <v>4</v>
      </c>
      <c r="O1710">
        <v>5</v>
      </c>
      <c r="P1710">
        <v>2</v>
      </c>
      <c r="Q1710">
        <v>4</v>
      </c>
      <c r="R1710">
        <v>5</v>
      </c>
      <c r="S1710">
        <v>1</v>
      </c>
      <c r="T1710">
        <v>1</v>
      </c>
      <c r="U1710" t="s">
        <v>37</v>
      </c>
      <c r="V1710" t="s">
        <v>54</v>
      </c>
      <c r="W1710" t="s">
        <v>47</v>
      </c>
      <c r="X1710" t="s">
        <v>40</v>
      </c>
      <c r="Y1710">
        <v>54</v>
      </c>
      <c r="Z1710" s="1">
        <v>45623</v>
      </c>
      <c r="AA1710" t="str" cm="1">
        <f t="array" ref="AA1710">_xlfn.IFS(AND(Table2[[#This Row],[Guest_Age]]&gt;=18,Table2[[#This Row],[Guest_Age]]&lt;=25),"Young Adults",AND(Table2[[#This Row],[Guest_Age]]&gt;=26,Table2[[#This Row],[Guest_Age]]&lt;=35),"Adults",AND(Table2[[#This Row],[Guest_Age]]&gt;=36,Table2[[#This Row],[Guest_Age]]&lt;=50),"Middle Aged Adults",Table2[[#This Row],[Guest_Age]]&gt;50,"Senior")</f>
        <v>Senior</v>
      </c>
      <c r="AB17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710" t="str" cm="1">
        <f t="array" ref="AC1710">_xlfn.IFS(Table2[[#This Row],[Satification_points]]&gt;=4.5,"GREAT",AND(Table2[[#This Row],[Satification_points]]&gt;=4,Table2[[#This Row],[Satification_points]]&lt;4.5),"GOOD",AND(Table2[[#This Row],[Satification_points]]&gt;=3,Table2[[#This Row],[Satification_points]]&lt;4),"AVERAGE",Table2[[#This Row],[Satification_points]]&lt;3,"POOR")</f>
        <v>AVERAGE</v>
      </c>
    </row>
    <row r="1711" spans="1:29" x14ac:dyDescent="0.3">
      <c r="A1711">
        <v>1710</v>
      </c>
      <c r="B1711">
        <v>72662</v>
      </c>
      <c r="C1711" t="s">
        <v>1751</v>
      </c>
      <c r="D1711" t="s">
        <v>48</v>
      </c>
      <c r="E1711" t="s">
        <v>52</v>
      </c>
      <c r="F1711" s="1">
        <v>45088</v>
      </c>
      <c r="G1711" s="1">
        <v>45089</v>
      </c>
      <c r="H1711">
        <v>9</v>
      </c>
      <c r="I1711" t="s">
        <v>42</v>
      </c>
      <c r="J1711" t="s">
        <v>36</v>
      </c>
      <c r="K1711">
        <v>4</v>
      </c>
      <c r="L1711">
        <v>3</v>
      </c>
      <c r="M1711">
        <v>2</v>
      </c>
      <c r="N1711">
        <v>5</v>
      </c>
      <c r="O1711">
        <v>2</v>
      </c>
      <c r="P1711">
        <v>3</v>
      </c>
      <c r="Q1711">
        <v>3</v>
      </c>
      <c r="R1711">
        <v>3</v>
      </c>
      <c r="S1711">
        <v>2</v>
      </c>
      <c r="T1711">
        <v>3</v>
      </c>
      <c r="U1711" t="s">
        <v>30</v>
      </c>
      <c r="V1711" t="s">
        <v>58</v>
      </c>
      <c r="W1711" t="s">
        <v>39</v>
      </c>
      <c r="X1711" t="s">
        <v>40</v>
      </c>
      <c r="Y1711">
        <v>19</v>
      </c>
      <c r="Z1711" s="1">
        <v>45573</v>
      </c>
      <c r="AA1711" t="str" cm="1">
        <f t="array" ref="AA1711">_xlfn.IFS(AND(Table2[[#This Row],[Guest_Age]]&gt;=18,Table2[[#This Row],[Guest_Age]]&lt;=25),"Young Adults",AND(Table2[[#This Row],[Guest_Age]]&gt;=26,Table2[[#This Row],[Guest_Age]]&lt;=35),"Adults",AND(Table2[[#This Row],[Guest_Age]]&gt;=36,Table2[[#This Row],[Guest_Age]]&lt;=50),"Middle Aged Adults",Table2[[#This Row],[Guest_Age]]&gt;50,"Senior")</f>
        <v>Young Adults</v>
      </c>
      <c r="AB17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11" t="str" cm="1">
        <f t="array" ref="AC1711">_xlfn.IFS(Table2[[#This Row],[Satification_points]]&gt;=4.5,"GREAT",AND(Table2[[#This Row],[Satification_points]]&gt;=4,Table2[[#This Row],[Satification_points]]&lt;4.5),"GOOD",AND(Table2[[#This Row],[Satification_points]]&gt;=3,Table2[[#This Row],[Satification_points]]&lt;4),"AVERAGE",Table2[[#This Row],[Satification_points]]&lt;3,"POOR")</f>
        <v>AVERAGE</v>
      </c>
    </row>
    <row r="1712" spans="1:29" x14ac:dyDescent="0.3">
      <c r="A1712">
        <v>1711</v>
      </c>
      <c r="B1712">
        <v>83379</v>
      </c>
      <c r="C1712" t="s">
        <v>1752</v>
      </c>
      <c r="D1712" t="s">
        <v>51</v>
      </c>
      <c r="E1712" t="s">
        <v>27</v>
      </c>
      <c r="F1712" s="1">
        <v>45223</v>
      </c>
      <c r="G1712" s="1">
        <v>45224</v>
      </c>
      <c r="H1712">
        <v>6</v>
      </c>
      <c r="I1712" t="s">
        <v>42</v>
      </c>
      <c r="J1712" t="s">
        <v>43</v>
      </c>
      <c r="K1712">
        <v>5</v>
      </c>
      <c r="L1712">
        <v>4</v>
      </c>
      <c r="M1712">
        <v>4</v>
      </c>
      <c r="N1712">
        <v>5</v>
      </c>
      <c r="O1712">
        <v>4</v>
      </c>
      <c r="P1712">
        <v>5</v>
      </c>
      <c r="Q1712">
        <v>3</v>
      </c>
      <c r="R1712">
        <v>4</v>
      </c>
      <c r="S1712">
        <v>2</v>
      </c>
      <c r="T1712">
        <v>5</v>
      </c>
      <c r="U1712" t="s">
        <v>30</v>
      </c>
      <c r="V1712" t="s">
        <v>58</v>
      </c>
      <c r="W1712" t="s">
        <v>32</v>
      </c>
      <c r="X1712" t="s">
        <v>40</v>
      </c>
      <c r="Y1712">
        <v>66</v>
      </c>
      <c r="Z1712" s="1">
        <v>45224</v>
      </c>
      <c r="AA1712" t="str" cm="1">
        <f t="array" ref="AA1712">_xlfn.IFS(AND(Table2[[#This Row],[Guest_Age]]&gt;=18,Table2[[#This Row],[Guest_Age]]&lt;=25),"Young Adults",AND(Table2[[#This Row],[Guest_Age]]&gt;=26,Table2[[#This Row],[Guest_Age]]&lt;=35),"Adults",AND(Table2[[#This Row],[Guest_Age]]&gt;=36,Table2[[#This Row],[Guest_Age]]&lt;=50),"Middle Aged Adults",Table2[[#This Row],[Guest_Age]]&gt;50,"Senior")</f>
        <v>Senior</v>
      </c>
      <c r="AB17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4.0999999999999996</v>
      </c>
      <c r="AC1712" t="str" cm="1">
        <f t="array" ref="AC1712">_xlfn.IFS(Table2[[#This Row],[Satification_points]]&gt;=4.5,"GREAT",AND(Table2[[#This Row],[Satification_points]]&gt;=4,Table2[[#This Row],[Satification_points]]&lt;4.5),"GOOD",AND(Table2[[#This Row],[Satification_points]]&gt;=3,Table2[[#This Row],[Satification_points]]&lt;4),"AVERAGE",Table2[[#This Row],[Satification_points]]&lt;3,"POOR")</f>
        <v>GOOD</v>
      </c>
    </row>
    <row r="1713" spans="1:29" x14ac:dyDescent="0.3">
      <c r="A1713">
        <v>1712</v>
      </c>
      <c r="B1713">
        <v>36805</v>
      </c>
      <c r="C1713" t="s">
        <v>1753</v>
      </c>
      <c r="D1713" t="s">
        <v>41</v>
      </c>
      <c r="E1713" t="s">
        <v>35</v>
      </c>
      <c r="F1713" s="1">
        <v>45543</v>
      </c>
      <c r="G1713" s="1">
        <v>45633</v>
      </c>
      <c r="H1713">
        <v>4</v>
      </c>
      <c r="I1713" t="s">
        <v>42</v>
      </c>
      <c r="J1713" t="s">
        <v>36</v>
      </c>
      <c r="K1713">
        <v>5</v>
      </c>
      <c r="L1713">
        <v>5</v>
      </c>
      <c r="M1713">
        <v>3</v>
      </c>
      <c r="N1713">
        <v>2</v>
      </c>
      <c r="O1713">
        <v>4</v>
      </c>
      <c r="P1713">
        <v>5</v>
      </c>
      <c r="Q1713">
        <v>3</v>
      </c>
      <c r="R1713">
        <v>4</v>
      </c>
      <c r="S1713">
        <v>2</v>
      </c>
      <c r="T1713">
        <v>3</v>
      </c>
      <c r="U1713" t="s">
        <v>37</v>
      </c>
      <c r="V1713" t="s">
        <v>46</v>
      </c>
      <c r="W1713" t="s">
        <v>39</v>
      </c>
      <c r="X1713" t="s">
        <v>40</v>
      </c>
      <c r="Y1713">
        <v>36</v>
      </c>
      <c r="Z1713" s="1">
        <v>45633</v>
      </c>
      <c r="AA1713" t="str" cm="1">
        <f t="array" ref="AA17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13" t="str" cm="1">
        <f t="array" ref="AC1713">_xlfn.IFS(Table2[[#This Row],[Satification_points]]&gt;=4.5,"GREAT",AND(Table2[[#This Row],[Satification_points]]&gt;=4,Table2[[#This Row],[Satification_points]]&lt;4.5),"GOOD",AND(Table2[[#This Row],[Satification_points]]&gt;=3,Table2[[#This Row],[Satification_points]]&lt;4),"AVERAGE",Table2[[#This Row],[Satification_points]]&lt;3,"POOR")</f>
        <v>AVERAGE</v>
      </c>
    </row>
    <row r="1714" spans="1:29" x14ac:dyDescent="0.3">
      <c r="A1714">
        <v>1713</v>
      </c>
      <c r="B1714">
        <v>18431</v>
      </c>
      <c r="C1714" t="s">
        <v>1754</v>
      </c>
      <c r="D1714" t="s">
        <v>51</v>
      </c>
      <c r="E1714" t="s">
        <v>35</v>
      </c>
      <c r="F1714" s="1">
        <v>44983</v>
      </c>
      <c r="G1714" s="1">
        <v>45579</v>
      </c>
      <c r="H1714">
        <v>2</v>
      </c>
      <c r="I1714" t="s">
        <v>28</v>
      </c>
      <c r="J1714" t="s">
        <v>29</v>
      </c>
      <c r="K1714">
        <v>1</v>
      </c>
      <c r="L1714">
        <v>3</v>
      </c>
      <c r="M1714">
        <v>1</v>
      </c>
      <c r="N1714">
        <v>3</v>
      </c>
      <c r="O1714">
        <v>3</v>
      </c>
      <c r="P1714">
        <v>5</v>
      </c>
      <c r="Q1714">
        <v>2</v>
      </c>
      <c r="R1714">
        <v>3</v>
      </c>
      <c r="S1714">
        <v>3</v>
      </c>
      <c r="T1714">
        <v>1</v>
      </c>
      <c r="U1714" t="s">
        <v>37</v>
      </c>
      <c r="V1714" t="s">
        <v>58</v>
      </c>
      <c r="W1714" t="s">
        <v>55</v>
      </c>
      <c r="X1714" t="s">
        <v>44</v>
      </c>
      <c r="Y1714">
        <v>56</v>
      </c>
      <c r="Z1714" s="1">
        <v>45579</v>
      </c>
      <c r="AA1714" t="str" cm="1">
        <f t="array" ref="AA1714">_xlfn.IFS(AND(Table2[[#This Row],[Guest_Age]]&gt;=18,Table2[[#This Row],[Guest_Age]]&lt;=25),"Young Adults",AND(Table2[[#This Row],[Guest_Age]]&gt;=26,Table2[[#This Row],[Guest_Age]]&lt;=35),"Adults",AND(Table2[[#This Row],[Guest_Age]]&gt;=36,Table2[[#This Row],[Guest_Age]]&lt;=50),"Middle Aged Adults",Table2[[#This Row],[Guest_Age]]&gt;50,"Senior")</f>
        <v>Senior</v>
      </c>
      <c r="AB17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14" t="str" cm="1">
        <f t="array" ref="AC1714">_xlfn.IFS(Table2[[#This Row],[Satification_points]]&gt;=4.5,"GREAT",AND(Table2[[#This Row],[Satification_points]]&gt;=4,Table2[[#This Row],[Satification_points]]&lt;4.5),"GOOD",AND(Table2[[#This Row],[Satification_points]]&gt;=3,Table2[[#This Row],[Satification_points]]&lt;4),"AVERAGE",Table2[[#This Row],[Satification_points]]&lt;3,"POOR")</f>
        <v>POOR</v>
      </c>
    </row>
    <row r="1715" spans="1:29" x14ac:dyDescent="0.3">
      <c r="A1715">
        <v>1714</v>
      </c>
      <c r="B1715">
        <v>93697</v>
      </c>
      <c r="C1715" t="s">
        <v>1755</v>
      </c>
      <c r="D1715" t="s">
        <v>26</v>
      </c>
      <c r="E1715" t="s">
        <v>57</v>
      </c>
      <c r="F1715" s="1">
        <v>45454</v>
      </c>
      <c r="G1715" s="1">
        <v>45455</v>
      </c>
      <c r="H1715">
        <v>11</v>
      </c>
      <c r="I1715" t="s">
        <v>49</v>
      </c>
      <c r="J1715" t="s">
        <v>40</v>
      </c>
      <c r="K1715">
        <v>5</v>
      </c>
      <c r="L1715">
        <v>4</v>
      </c>
      <c r="M1715">
        <v>5</v>
      </c>
      <c r="N1715">
        <v>2</v>
      </c>
      <c r="O1715">
        <v>5</v>
      </c>
      <c r="P1715">
        <v>3</v>
      </c>
      <c r="Q1715">
        <v>1</v>
      </c>
      <c r="R1715">
        <v>2</v>
      </c>
      <c r="S1715">
        <v>4</v>
      </c>
      <c r="T1715">
        <v>5</v>
      </c>
      <c r="U1715" t="s">
        <v>37</v>
      </c>
      <c r="V1715" t="s">
        <v>38</v>
      </c>
      <c r="W1715" t="s">
        <v>56</v>
      </c>
      <c r="X1715" t="s">
        <v>40</v>
      </c>
      <c r="Y1715">
        <v>34</v>
      </c>
      <c r="Z1715" s="1">
        <v>45455</v>
      </c>
      <c r="AA1715" t="str" cm="1">
        <f t="array" ref="AA1715">_xlfn.IFS(AND(Table2[[#This Row],[Guest_Age]]&gt;=18,Table2[[#This Row],[Guest_Age]]&lt;=25),"Young Adults",AND(Table2[[#This Row],[Guest_Age]]&gt;=26,Table2[[#This Row],[Guest_Age]]&lt;=35),"Adults",AND(Table2[[#This Row],[Guest_Age]]&gt;=36,Table2[[#This Row],[Guest_Age]]&lt;=50),"Middle Aged Adults",Table2[[#This Row],[Guest_Age]]&gt;50,"Senior")</f>
        <v>Adults</v>
      </c>
      <c r="AB17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15" t="str" cm="1">
        <f t="array" ref="AC1715">_xlfn.IFS(Table2[[#This Row],[Satification_points]]&gt;=4.5,"GREAT",AND(Table2[[#This Row],[Satification_points]]&gt;=4,Table2[[#This Row],[Satification_points]]&lt;4.5),"GOOD",AND(Table2[[#This Row],[Satification_points]]&gt;=3,Table2[[#This Row],[Satification_points]]&lt;4),"AVERAGE",Table2[[#This Row],[Satification_points]]&lt;3,"POOR")</f>
        <v>AVERAGE</v>
      </c>
    </row>
    <row r="1716" spans="1:29" x14ac:dyDescent="0.3">
      <c r="A1716">
        <v>1715</v>
      </c>
      <c r="B1716">
        <v>38836</v>
      </c>
      <c r="C1716" t="s">
        <v>1756</v>
      </c>
      <c r="D1716" t="s">
        <v>34</v>
      </c>
      <c r="E1716" t="s">
        <v>35</v>
      </c>
      <c r="F1716" s="1">
        <v>44985</v>
      </c>
      <c r="G1716" s="1">
        <v>45420</v>
      </c>
      <c r="H1716">
        <v>3</v>
      </c>
      <c r="I1716" t="s">
        <v>42</v>
      </c>
      <c r="J1716" t="s">
        <v>40</v>
      </c>
      <c r="K1716">
        <v>5</v>
      </c>
      <c r="L1716">
        <v>4</v>
      </c>
      <c r="M1716">
        <v>4</v>
      </c>
      <c r="N1716">
        <v>1</v>
      </c>
      <c r="O1716">
        <v>4</v>
      </c>
      <c r="P1716">
        <v>1</v>
      </c>
      <c r="Q1716">
        <v>2</v>
      </c>
      <c r="R1716">
        <v>4</v>
      </c>
      <c r="S1716">
        <v>4</v>
      </c>
      <c r="T1716">
        <v>5</v>
      </c>
      <c r="U1716" t="s">
        <v>37</v>
      </c>
      <c r="V1716" t="s">
        <v>46</v>
      </c>
      <c r="W1716" t="s">
        <v>55</v>
      </c>
      <c r="X1716" t="s">
        <v>33</v>
      </c>
      <c r="Y1716">
        <v>34</v>
      </c>
      <c r="Z1716" s="1">
        <v>45420</v>
      </c>
      <c r="AA1716" t="str" cm="1">
        <f t="array" ref="AA1716">_xlfn.IFS(AND(Table2[[#This Row],[Guest_Age]]&gt;=18,Table2[[#This Row],[Guest_Age]]&lt;=25),"Young Adults",AND(Table2[[#This Row],[Guest_Age]]&gt;=26,Table2[[#This Row],[Guest_Age]]&lt;=35),"Adults",AND(Table2[[#This Row],[Guest_Age]]&gt;=36,Table2[[#This Row],[Guest_Age]]&lt;=50),"Middle Aged Adults",Table2[[#This Row],[Guest_Age]]&gt;50,"Senior")</f>
        <v>Adults</v>
      </c>
      <c r="AB17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716" t="str" cm="1">
        <f t="array" ref="AC1716">_xlfn.IFS(Table2[[#This Row],[Satification_points]]&gt;=4.5,"GREAT",AND(Table2[[#This Row],[Satification_points]]&gt;=4,Table2[[#This Row],[Satification_points]]&lt;4.5),"GOOD",AND(Table2[[#This Row],[Satification_points]]&gt;=3,Table2[[#This Row],[Satification_points]]&lt;4),"AVERAGE",Table2[[#This Row],[Satification_points]]&lt;3,"POOR")</f>
        <v>AVERAGE</v>
      </c>
    </row>
    <row r="1717" spans="1:29" x14ac:dyDescent="0.3">
      <c r="A1717">
        <v>1716</v>
      </c>
      <c r="B1717">
        <v>72393</v>
      </c>
      <c r="C1717" t="s">
        <v>1757</v>
      </c>
      <c r="D1717" t="s">
        <v>41</v>
      </c>
      <c r="E1717" t="s">
        <v>52</v>
      </c>
      <c r="F1717" s="1">
        <v>45092</v>
      </c>
      <c r="G1717" s="1">
        <v>45152</v>
      </c>
      <c r="H1717">
        <v>7</v>
      </c>
      <c r="I1717" t="s">
        <v>49</v>
      </c>
      <c r="J1717" t="s">
        <v>43</v>
      </c>
      <c r="K1717">
        <v>2</v>
      </c>
      <c r="L1717">
        <v>5</v>
      </c>
      <c r="M1717">
        <v>1</v>
      </c>
      <c r="N1717">
        <v>3</v>
      </c>
      <c r="O1717">
        <v>3</v>
      </c>
      <c r="P1717">
        <v>3</v>
      </c>
      <c r="Q1717">
        <v>1</v>
      </c>
      <c r="R1717">
        <v>1</v>
      </c>
      <c r="S1717">
        <v>4</v>
      </c>
      <c r="T1717">
        <v>2</v>
      </c>
      <c r="U1717" t="s">
        <v>37</v>
      </c>
      <c r="V1717" t="s">
        <v>54</v>
      </c>
      <c r="W1717" t="s">
        <v>56</v>
      </c>
      <c r="X1717" t="s">
        <v>44</v>
      </c>
      <c r="Y1717">
        <v>65</v>
      </c>
      <c r="Z1717" s="1">
        <v>45152</v>
      </c>
      <c r="AA1717" t="str" cm="1">
        <f t="array" ref="AA1717">_xlfn.IFS(AND(Table2[[#This Row],[Guest_Age]]&gt;=18,Table2[[#This Row],[Guest_Age]]&lt;=25),"Young Adults",AND(Table2[[#This Row],[Guest_Age]]&gt;=26,Table2[[#This Row],[Guest_Age]]&lt;=35),"Adults",AND(Table2[[#This Row],[Guest_Age]]&gt;=36,Table2[[#This Row],[Guest_Age]]&lt;=50),"Middle Aged Adults",Table2[[#This Row],[Guest_Age]]&gt;50,"Senior")</f>
        <v>Senior</v>
      </c>
      <c r="AB17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17" t="str" cm="1">
        <f t="array" ref="AC1717">_xlfn.IFS(Table2[[#This Row],[Satification_points]]&gt;=4.5,"GREAT",AND(Table2[[#This Row],[Satification_points]]&gt;=4,Table2[[#This Row],[Satification_points]]&lt;4.5),"GOOD",AND(Table2[[#This Row],[Satification_points]]&gt;=3,Table2[[#This Row],[Satification_points]]&lt;4),"AVERAGE",Table2[[#This Row],[Satification_points]]&lt;3,"POOR")</f>
        <v>POOR</v>
      </c>
    </row>
    <row r="1718" spans="1:29" x14ac:dyDescent="0.3">
      <c r="A1718">
        <v>1717</v>
      </c>
      <c r="B1718">
        <v>14146</v>
      </c>
      <c r="C1718" t="s">
        <v>1758</v>
      </c>
      <c r="D1718" t="s">
        <v>48</v>
      </c>
      <c r="E1718" t="s">
        <v>45</v>
      </c>
      <c r="F1718" s="1">
        <v>45472</v>
      </c>
      <c r="G1718" s="1">
        <v>45473</v>
      </c>
      <c r="H1718">
        <v>10</v>
      </c>
      <c r="I1718" t="s">
        <v>28</v>
      </c>
      <c r="J1718" t="s">
        <v>36</v>
      </c>
      <c r="K1718">
        <v>3</v>
      </c>
      <c r="L1718">
        <v>1</v>
      </c>
      <c r="M1718">
        <v>3</v>
      </c>
      <c r="N1718">
        <v>1</v>
      </c>
      <c r="O1718">
        <v>4</v>
      </c>
      <c r="P1718">
        <v>1</v>
      </c>
      <c r="Q1718">
        <v>2</v>
      </c>
      <c r="R1718">
        <v>1</v>
      </c>
      <c r="S1718">
        <v>3</v>
      </c>
      <c r="T1718">
        <v>5</v>
      </c>
      <c r="U1718" t="s">
        <v>30</v>
      </c>
      <c r="V1718" t="s">
        <v>31</v>
      </c>
      <c r="W1718" t="s">
        <v>32</v>
      </c>
      <c r="X1718" t="s">
        <v>40</v>
      </c>
      <c r="Y1718">
        <v>57</v>
      </c>
      <c r="Z1718" s="1">
        <v>45473</v>
      </c>
      <c r="AA1718" t="str" cm="1">
        <f t="array" ref="AA1718">_xlfn.IFS(AND(Table2[[#This Row],[Guest_Age]]&gt;=18,Table2[[#This Row],[Guest_Age]]&lt;=25),"Young Adults",AND(Table2[[#This Row],[Guest_Age]]&gt;=26,Table2[[#This Row],[Guest_Age]]&lt;=35),"Adults",AND(Table2[[#This Row],[Guest_Age]]&gt;=36,Table2[[#This Row],[Guest_Age]]&lt;=50),"Middle Aged Adults",Table2[[#This Row],[Guest_Age]]&gt;50,"Senior")</f>
        <v>Senior</v>
      </c>
      <c r="AB17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18" t="str" cm="1">
        <f t="array" ref="AC1718">_xlfn.IFS(Table2[[#This Row],[Satification_points]]&gt;=4.5,"GREAT",AND(Table2[[#This Row],[Satification_points]]&gt;=4,Table2[[#This Row],[Satification_points]]&lt;4.5),"GOOD",AND(Table2[[#This Row],[Satification_points]]&gt;=3,Table2[[#This Row],[Satification_points]]&lt;4),"AVERAGE",Table2[[#This Row],[Satification_points]]&lt;3,"POOR")</f>
        <v>POOR</v>
      </c>
    </row>
    <row r="1719" spans="1:29" x14ac:dyDescent="0.3">
      <c r="A1719">
        <v>1718</v>
      </c>
      <c r="B1719">
        <v>94551</v>
      </c>
      <c r="C1719" t="s">
        <v>1759</v>
      </c>
      <c r="D1719" t="s">
        <v>51</v>
      </c>
      <c r="E1719" t="s">
        <v>57</v>
      </c>
      <c r="F1719" s="1">
        <v>44972</v>
      </c>
      <c r="G1719" s="1">
        <v>44973</v>
      </c>
      <c r="H1719">
        <v>5</v>
      </c>
      <c r="I1719" t="s">
        <v>42</v>
      </c>
      <c r="J1719" t="s">
        <v>29</v>
      </c>
      <c r="K1719">
        <v>5</v>
      </c>
      <c r="L1719">
        <v>5</v>
      </c>
      <c r="M1719">
        <v>2</v>
      </c>
      <c r="N1719">
        <v>3</v>
      </c>
      <c r="O1719">
        <v>4</v>
      </c>
      <c r="P1719">
        <v>1</v>
      </c>
      <c r="Q1719">
        <v>3</v>
      </c>
      <c r="R1719">
        <v>1</v>
      </c>
      <c r="S1719">
        <v>2</v>
      </c>
      <c r="T1719">
        <v>4</v>
      </c>
      <c r="U1719" t="s">
        <v>30</v>
      </c>
      <c r="V1719" t="s">
        <v>58</v>
      </c>
      <c r="W1719" t="s">
        <v>56</v>
      </c>
      <c r="X1719" t="s">
        <v>40</v>
      </c>
      <c r="Y1719">
        <v>68</v>
      </c>
      <c r="Z1719" s="1">
        <v>45207</v>
      </c>
      <c r="AA1719" t="str" cm="1">
        <f t="array" ref="AA1719">_xlfn.IFS(AND(Table2[[#This Row],[Guest_Age]]&gt;=18,Table2[[#This Row],[Guest_Age]]&lt;=25),"Young Adults",AND(Table2[[#This Row],[Guest_Age]]&gt;=26,Table2[[#This Row],[Guest_Age]]&lt;=35),"Adults",AND(Table2[[#This Row],[Guest_Age]]&gt;=36,Table2[[#This Row],[Guest_Age]]&lt;=50),"Middle Aged Adults",Table2[[#This Row],[Guest_Age]]&gt;50,"Senior")</f>
        <v>Senior</v>
      </c>
      <c r="AB17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19" t="str" cm="1">
        <f t="array" ref="AC1719">_xlfn.IFS(Table2[[#This Row],[Satification_points]]&gt;=4.5,"GREAT",AND(Table2[[#This Row],[Satification_points]]&gt;=4,Table2[[#This Row],[Satification_points]]&lt;4.5),"GOOD",AND(Table2[[#This Row],[Satification_points]]&gt;=3,Table2[[#This Row],[Satification_points]]&lt;4),"AVERAGE",Table2[[#This Row],[Satification_points]]&lt;3,"POOR")</f>
        <v>AVERAGE</v>
      </c>
    </row>
    <row r="1720" spans="1:29" x14ac:dyDescent="0.3">
      <c r="A1720">
        <v>1719</v>
      </c>
      <c r="B1720">
        <v>40762</v>
      </c>
      <c r="C1720" t="s">
        <v>1760</v>
      </c>
      <c r="D1720" t="s">
        <v>34</v>
      </c>
      <c r="E1720" t="s">
        <v>27</v>
      </c>
      <c r="F1720" s="1">
        <v>44973</v>
      </c>
      <c r="G1720" s="1">
        <v>45629</v>
      </c>
      <c r="H1720">
        <v>7</v>
      </c>
      <c r="I1720" t="s">
        <v>49</v>
      </c>
      <c r="J1720" t="s">
        <v>29</v>
      </c>
      <c r="K1720">
        <v>4</v>
      </c>
      <c r="L1720">
        <v>5</v>
      </c>
      <c r="M1720">
        <v>4</v>
      </c>
      <c r="N1720">
        <v>5</v>
      </c>
      <c r="O1720">
        <v>1</v>
      </c>
      <c r="P1720">
        <v>3</v>
      </c>
      <c r="Q1720">
        <v>1</v>
      </c>
      <c r="R1720">
        <v>5</v>
      </c>
      <c r="S1720">
        <v>4</v>
      </c>
      <c r="T1720">
        <v>1</v>
      </c>
      <c r="U1720" t="s">
        <v>37</v>
      </c>
      <c r="V1720" t="s">
        <v>58</v>
      </c>
      <c r="W1720" t="s">
        <v>47</v>
      </c>
      <c r="X1720" t="s">
        <v>33</v>
      </c>
      <c r="Y1720">
        <v>67</v>
      </c>
      <c r="Z1720" s="1">
        <v>45629</v>
      </c>
      <c r="AA1720" t="str" cm="1">
        <f t="array" ref="AA1720">_xlfn.IFS(AND(Table2[[#This Row],[Guest_Age]]&gt;=18,Table2[[#This Row],[Guest_Age]]&lt;=25),"Young Adults",AND(Table2[[#This Row],[Guest_Age]]&gt;=26,Table2[[#This Row],[Guest_Age]]&lt;=35),"Adults",AND(Table2[[#This Row],[Guest_Age]]&gt;=36,Table2[[#This Row],[Guest_Age]]&lt;=50),"Middle Aged Adults",Table2[[#This Row],[Guest_Age]]&gt;50,"Senior")</f>
        <v>Senior</v>
      </c>
      <c r="AB17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20" t="str" cm="1">
        <f t="array" ref="AC1720">_xlfn.IFS(Table2[[#This Row],[Satification_points]]&gt;=4.5,"GREAT",AND(Table2[[#This Row],[Satification_points]]&gt;=4,Table2[[#This Row],[Satification_points]]&lt;4.5),"GOOD",AND(Table2[[#This Row],[Satification_points]]&gt;=3,Table2[[#This Row],[Satification_points]]&lt;4),"AVERAGE",Table2[[#This Row],[Satification_points]]&lt;3,"POOR")</f>
        <v>AVERAGE</v>
      </c>
    </row>
    <row r="1721" spans="1:29" x14ac:dyDescent="0.3">
      <c r="A1721">
        <v>1720</v>
      </c>
      <c r="B1721">
        <v>53970</v>
      </c>
      <c r="C1721" t="s">
        <v>1761</v>
      </c>
      <c r="D1721" t="s">
        <v>34</v>
      </c>
      <c r="E1721" t="s">
        <v>52</v>
      </c>
      <c r="F1721" s="1">
        <v>45316</v>
      </c>
      <c r="G1721" s="1">
        <v>45317</v>
      </c>
      <c r="H1721">
        <v>7</v>
      </c>
      <c r="I1721" t="s">
        <v>49</v>
      </c>
      <c r="J1721" t="s">
        <v>29</v>
      </c>
      <c r="K1721">
        <v>2</v>
      </c>
      <c r="L1721">
        <v>1</v>
      </c>
      <c r="M1721">
        <v>4</v>
      </c>
      <c r="N1721">
        <v>1</v>
      </c>
      <c r="O1721">
        <v>3</v>
      </c>
      <c r="P1721">
        <v>2</v>
      </c>
      <c r="Q1721">
        <v>4</v>
      </c>
      <c r="R1721">
        <v>3</v>
      </c>
      <c r="S1721">
        <v>3</v>
      </c>
      <c r="T1721">
        <v>2</v>
      </c>
      <c r="U1721" t="s">
        <v>37</v>
      </c>
      <c r="V1721" t="s">
        <v>46</v>
      </c>
      <c r="W1721" t="s">
        <v>39</v>
      </c>
      <c r="X1721" t="s">
        <v>33</v>
      </c>
      <c r="Y1721">
        <v>41</v>
      </c>
      <c r="Z1721" s="1">
        <v>45317</v>
      </c>
      <c r="AA1721" t="str" cm="1">
        <f t="array" ref="AA172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21" t="str" cm="1">
        <f t="array" ref="AC1721">_xlfn.IFS(Table2[[#This Row],[Satification_points]]&gt;=4.5,"GREAT",AND(Table2[[#This Row],[Satification_points]]&gt;=4,Table2[[#This Row],[Satification_points]]&lt;4.5),"GOOD",AND(Table2[[#This Row],[Satification_points]]&gt;=3,Table2[[#This Row],[Satification_points]]&lt;4),"AVERAGE",Table2[[#This Row],[Satification_points]]&lt;3,"POOR")</f>
        <v>POOR</v>
      </c>
    </row>
    <row r="1722" spans="1:29" x14ac:dyDescent="0.3">
      <c r="A1722">
        <v>1721</v>
      </c>
      <c r="B1722">
        <v>80976</v>
      </c>
      <c r="C1722" t="s">
        <v>1762</v>
      </c>
      <c r="D1722" t="s">
        <v>48</v>
      </c>
      <c r="E1722" t="s">
        <v>27</v>
      </c>
      <c r="F1722" s="1">
        <v>45178</v>
      </c>
      <c r="G1722" s="1">
        <v>45300</v>
      </c>
      <c r="H1722">
        <v>6</v>
      </c>
      <c r="I1722" t="s">
        <v>50</v>
      </c>
      <c r="J1722" t="s">
        <v>43</v>
      </c>
      <c r="K1722">
        <v>2</v>
      </c>
      <c r="L1722">
        <v>5</v>
      </c>
      <c r="M1722">
        <v>3</v>
      </c>
      <c r="N1722">
        <v>3</v>
      </c>
      <c r="O1722">
        <v>4</v>
      </c>
      <c r="P1722">
        <v>3</v>
      </c>
      <c r="Q1722">
        <v>2</v>
      </c>
      <c r="R1722">
        <v>2</v>
      </c>
      <c r="S1722">
        <v>3</v>
      </c>
      <c r="T1722">
        <v>3</v>
      </c>
      <c r="U1722" t="s">
        <v>30</v>
      </c>
      <c r="V1722" t="s">
        <v>38</v>
      </c>
      <c r="W1722" t="s">
        <v>47</v>
      </c>
      <c r="X1722" t="s">
        <v>33</v>
      </c>
      <c r="Y1722">
        <v>30</v>
      </c>
      <c r="Z1722" s="1">
        <v>45300</v>
      </c>
      <c r="AA1722" t="str" cm="1">
        <f t="array" ref="AA1722">_xlfn.IFS(AND(Table2[[#This Row],[Guest_Age]]&gt;=18,Table2[[#This Row],[Guest_Age]]&lt;=25),"Young Adults",AND(Table2[[#This Row],[Guest_Age]]&gt;=26,Table2[[#This Row],[Guest_Age]]&lt;=35),"Adults",AND(Table2[[#This Row],[Guest_Age]]&gt;=36,Table2[[#This Row],[Guest_Age]]&lt;=50),"Middle Aged Adults",Table2[[#This Row],[Guest_Age]]&gt;50,"Senior")</f>
        <v>Adults</v>
      </c>
      <c r="AB17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22" t="str" cm="1">
        <f t="array" ref="AC1722">_xlfn.IFS(Table2[[#This Row],[Satification_points]]&gt;=4.5,"GREAT",AND(Table2[[#This Row],[Satification_points]]&gt;=4,Table2[[#This Row],[Satification_points]]&lt;4.5),"GOOD",AND(Table2[[#This Row],[Satification_points]]&gt;=3,Table2[[#This Row],[Satification_points]]&lt;4),"AVERAGE",Table2[[#This Row],[Satification_points]]&lt;3,"POOR")</f>
        <v>AVERAGE</v>
      </c>
    </row>
    <row r="1723" spans="1:29" x14ac:dyDescent="0.3">
      <c r="A1723">
        <v>1722</v>
      </c>
      <c r="B1723">
        <v>95309</v>
      </c>
      <c r="C1723" t="s">
        <v>1763</v>
      </c>
      <c r="D1723" t="s">
        <v>34</v>
      </c>
      <c r="E1723" t="s">
        <v>35</v>
      </c>
      <c r="F1723" s="1">
        <v>45092</v>
      </c>
      <c r="G1723" s="1">
        <v>45488</v>
      </c>
      <c r="H1723">
        <v>2</v>
      </c>
      <c r="I1723" t="s">
        <v>49</v>
      </c>
      <c r="J1723" t="s">
        <v>36</v>
      </c>
      <c r="K1723">
        <v>1</v>
      </c>
      <c r="L1723">
        <v>3</v>
      </c>
      <c r="M1723">
        <v>3</v>
      </c>
      <c r="N1723">
        <v>3</v>
      </c>
      <c r="O1723">
        <v>3</v>
      </c>
      <c r="P1723">
        <v>5</v>
      </c>
      <c r="Q1723">
        <v>1</v>
      </c>
      <c r="R1723">
        <v>1</v>
      </c>
      <c r="S1723">
        <v>2</v>
      </c>
      <c r="T1723">
        <v>5</v>
      </c>
      <c r="U1723" t="s">
        <v>37</v>
      </c>
      <c r="V1723" t="s">
        <v>58</v>
      </c>
      <c r="W1723" t="s">
        <v>32</v>
      </c>
      <c r="X1723" t="s">
        <v>44</v>
      </c>
      <c r="Y1723">
        <v>45</v>
      </c>
      <c r="Z1723" s="1">
        <v>45488</v>
      </c>
      <c r="AA1723" t="str" cm="1">
        <f t="array" ref="AA172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23" t="str" cm="1">
        <f t="array" ref="AC1723">_xlfn.IFS(Table2[[#This Row],[Satification_points]]&gt;=4.5,"GREAT",AND(Table2[[#This Row],[Satification_points]]&gt;=4,Table2[[#This Row],[Satification_points]]&lt;4.5),"GOOD",AND(Table2[[#This Row],[Satification_points]]&gt;=3,Table2[[#This Row],[Satification_points]]&lt;4),"AVERAGE",Table2[[#This Row],[Satification_points]]&lt;3,"POOR")</f>
        <v>POOR</v>
      </c>
    </row>
    <row r="1724" spans="1:29" x14ac:dyDescent="0.3">
      <c r="A1724">
        <v>1723</v>
      </c>
      <c r="B1724">
        <v>58343</v>
      </c>
      <c r="C1724" t="s">
        <v>1764</v>
      </c>
      <c r="D1724" t="s">
        <v>48</v>
      </c>
      <c r="E1724" t="s">
        <v>52</v>
      </c>
      <c r="F1724" s="1">
        <v>45294</v>
      </c>
      <c r="G1724" s="1">
        <v>45295</v>
      </c>
      <c r="H1724">
        <v>5</v>
      </c>
      <c r="I1724" t="s">
        <v>50</v>
      </c>
      <c r="J1724" t="s">
        <v>29</v>
      </c>
      <c r="K1724">
        <v>4</v>
      </c>
      <c r="L1724">
        <v>1</v>
      </c>
      <c r="M1724">
        <v>2</v>
      </c>
      <c r="N1724">
        <v>1</v>
      </c>
      <c r="O1724">
        <v>1</v>
      </c>
      <c r="P1724">
        <v>2</v>
      </c>
      <c r="Q1724">
        <v>4</v>
      </c>
      <c r="R1724">
        <v>1</v>
      </c>
      <c r="S1724">
        <v>1</v>
      </c>
      <c r="T1724">
        <v>2</v>
      </c>
      <c r="U1724" t="s">
        <v>30</v>
      </c>
      <c r="V1724" t="s">
        <v>54</v>
      </c>
      <c r="W1724" t="s">
        <v>55</v>
      </c>
      <c r="X1724" t="s">
        <v>44</v>
      </c>
      <c r="Y1724">
        <v>63</v>
      </c>
      <c r="Z1724" s="1">
        <v>45532</v>
      </c>
      <c r="AA1724" t="str" cm="1">
        <f t="array" ref="AA1724">_xlfn.IFS(AND(Table2[[#This Row],[Guest_Age]]&gt;=18,Table2[[#This Row],[Guest_Age]]&lt;=25),"Young Adults",AND(Table2[[#This Row],[Guest_Age]]&gt;=26,Table2[[#This Row],[Guest_Age]]&lt;=35),"Adults",AND(Table2[[#This Row],[Guest_Age]]&gt;=36,Table2[[#This Row],[Guest_Age]]&lt;=50),"Middle Aged Adults",Table2[[#This Row],[Guest_Age]]&gt;50,"Senior")</f>
        <v>Senior</v>
      </c>
      <c r="AB17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1.9</v>
      </c>
      <c r="AC1724" t="str" cm="1">
        <f t="array" ref="AC1724">_xlfn.IFS(Table2[[#This Row],[Satification_points]]&gt;=4.5,"GREAT",AND(Table2[[#This Row],[Satification_points]]&gt;=4,Table2[[#This Row],[Satification_points]]&lt;4.5),"GOOD",AND(Table2[[#This Row],[Satification_points]]&gt;=3,Table2[[#This Row],[Satification_points]]&lt;4),"AVERAGE",Table2[[#This Row],[Satification_points]]&lt;3,"POOR")</f>
        <v>POOR</v>
      </c>
    </row>
    <row r="1725" spans="1:29" x14ac:dyDescent="0.3">
      <c r="A1725">
        <v>1724</v>
      </c>
      <c r="B1725">
        <v>87804</v>
      </c>
      <c r="C1725" t="s">
        <v>1765</v>
      </c>
      <c r="D1725" t="s">
        <v>48</v>
      </c>
      <c r="E1725" t="s">
        <v>57</v>
      </c>
      <c r="F1725" s="1">
        <v>45305</v>
      </c>
      <c r="G1725" s="1">
        <v>45306</v>
      </c>
      <c r="H1725">
        <v>11</v>
      </c>
      <c r="I1725" t="s">
        <v>50</v>
      </c>
      <c r="J1725" t="s">
        <v>29</v>
      </c>
      <c r="K1725">
        <v>2</v>
      </c>
      <c r="L1725">
        <v>3</v>
      </c>
      <c r="M1725">
        <v>2</v>
      </c>
      <c r="N1725">
        <v>3</v>
      </c>
      <c r="O1725">
        <v>3</v>
      </c>
      <c r="P1725">
        <v>4</v>
      </c>
      <c r="Q1725">
        <v>5</v>
      </c>
      <c r="R1725">
        <v>5</v>
      </c>
      <c r="S1725">
        <v>3</v>
      </c>
      <c r="T1725">
        <v>4</v>
      </c>
      <c r="U1725" t="s">
        <v>37</v>
      </c>
      <c r="V1725" t="s">
        <v>38</v>
      </c>
      <c r="W1725" t="s">
        <v>39</v>
      </c>
      <c r="X1725" t="s">
        <v>44</v>
      </c>
      <c r="Y1725">
        <v>67</v>
      </c>
      <c r="Z1725" s="1">
        <v>45349</v>
      </c>
      <c r="AA1725" t="str" cm="1">
        <f t="array" ref="AA1725">_xlfn.IFS(AND(Table2[[#This Row],[Guest_Age]]&gt;=18,Table2[[#This Row],[Guest_Age]]&lt;=25),"Young Adults",AND(Table2[[#This Row],[Guest_Age]]&gt;=26,Table2[[#This Row],[Guest_Age]]&lt;=35),"Adults",AND(Table2[[#This Row],[Guest_Age]]&gt;=36,Table2[[#This Row],[Guest_Age]]&lt;=50),"Middle Aged Adults",Table2[[#This Row],[Guest_Age]]&gt;50,"Senior")</f>
        <v>Senior</v>
      </c>
      <c r="AB17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725" t="str" cm="1">
        <f t="array" ref="AC1725">_xlfn.IFS(Table2[[#This Row],[Satification_points]]&gt;=4.5,"GREAT",AND(Table2[[#This Row],[Satification_points]]&gt;=4,Table2[[#This Row],[Satification_points]]&lt;4.5),"GOOD",AND(Table2[[#This Row],[Satification_points]]&gt;=3,Table2[[#This Row],[Satification_points]]&lt;4),"AVERAGE",Table2[[#This Row],[Satification_points]]&lt;3,"POOR")</f>
        <v>AVERAGE</v>
      </c>
    </row>
    <row r="1726" spans="1:29" x14ac:dyDescent="0.3">
      <c r="A1726">
        <v>1725</v>
      </c>
      <c r="B1726">
        <v>35790</v>
      </c>
      <c r="C1726" t="s">
        <v>1766</v>
      </c>
      <c r="D1726" t="s">
        <v>51</v>
      </c>
      <c r="E1726" t="s">
        <v>57</v>
      </c>
      <c r="F1726" s="1">
        <v>45243</v>
      </c>
      <c r="G1726" s="1">
        <v>45306</v>
      </c>
      <c r="H1726">
        <v>10</v>
      </c>
      <c r="I1726" t="s">
        <v>49</v>
      </c>
      <c r="J1726" t="s">
        <v>36</v>
      </c>
      <c r="K1726">
        <v>3</v>
      </c>
      <c r="L1726">
        <v>4</v>
      </c>
      <c r="M1726">
        <v>2</v>
      </c>
      <c r="N1726">
        <v>2</v>
      </c>
      <c r="O1726">
        <v>1</v>
      </c>
      <c r="P1726">
        <v>4</v>
      </c>
      <c r="Q1726">
        <v>3</v>
      </c>
      <c r="R1726">
        <v>1</v>
      </c>
      <c r="S1726">
        <v>5</v>
      </c>
      <c r="T1726">
        <v>2</v>
      </c>
      <c r="U1726" t="s">
        <v>37</v>
      </c>
      <c r="V1726" t="s">
        <v>58</v>
      </c>
      <c r="W1726" t="s">
        <v>32</v>
      </c>
      <c r="X1726" t="s">
        <v>44</v>
      </c>
      <c r="Y1726">
        <v>62</v>
      </c>
      <c r="Z1726" s="1">
        <v>45306</v>
      </c>
      <c r="AA1726" t="str" cm="1">
        <f t="array" ref="AA1726">_xlfn.IFS(AND(Table2[[#This Row],[Guest_Age]]&gt;=18,Table2[[#This Row],[Guest_Age]]&lt;=25),"Young Adults",AND(Table2[[#This Row],[Guest_Age]]&gt;=26,Table2[[#This Row],[Guest_Age]]&lt;=35),"Adults",AND(Table2[[#This Row],[Guest_Age]]&gt;=36,Table2[[#This Row],[Guest_Age]]&lt;=50),"Middle Aged Adults",Table2[[#This Row],[Guest_Age]]&gt;50,"Senior")</f>
        <v>Senior</v>
      </c>
      <c r="AB17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26" t="str" cm="1">
        <f t="array" ref="AC1726">_xlfn.IFS(Table2[[#This Row],[Satification_points]]&gt;=4.5,"GREAT",AND(Table2[[#This Row],[Satification_points]]&gt;=4,Table2[[#This Row],[Satification_points]]&lt;4.5),"GOOD",AND(Table2[[#This Row],[Satification_points]]&gt;=3,Table2[[#This Row],[Satification_points]]&lt;4),"AVERAGE",Table2[[#This Row],[Satification_points]]&lt;3,"POOR")</f>
        <v>POOR</v>
      </c>
    </row>
    <row r="1727" spans="1:29" x14ac:dyDescent="0.3">
      <c r="A1727">
        <v>1726</v>
      </c>
      <c r="B1727">
        <v>29945</v>
      </c>
      <c r="C1727" t="s">
        <v>1767</v>
      </c>
      <c r="D1727" t="s">
        <v>34</v>
      </c>
      <c r="E1727" t="s">
        <v>27</v>
      </c>
      <c r="F1727" s="1">
        <v>45058</v>
      </c>
      <c r="G1727" s="1">
        <v>45059</v>
      </c>
      <c r="H1727">
        <v>6</v>
      </c>
      <c r="I1727" t="s">
        <v>50</v>
      </c>
      <c r="J1727" t="s">
        <v>36</v>
      </c>
      <c r="K1727">
        <v>4</v>
      </c>
      <c r="L1727">
        <v>1</v>
      </c>
      <c r="M1727">
        <v>1</v>
      </c>
      <c r="N1727">
        <v>2</v>
      </c>
      <c r="O1727">
        <v>4</v>
      </c>
      <c r="P1727">
        <v>4</v>
      </c>
      <c r="Q1727">
        <v>2</v>
      </c>
      <c r="R1727">
        <v>5</v>
      </c>
      <c r="S1727">
        <v>3</v>
      </c>
      <c r="T1727">
        <v>4</v>
      </c>
      <c r="U1727" t="s">
        <v>30</v>
      </c>
      <c r="V1727" t="s">
        <v>58</v>
      </c>
      <c r="W1727" t="s">
        <v>47</v>
      </c>
      <c r="X1727" t="s">
        <v>33</v>
      </c>
      <c r="Y1727">
        <v>59</v>
      </c>
      <c r="Z1727" s="1">
        <v>45321</v>
      </c>
      <c r="AA1727" t="str" cm="1">
        <f t="array" ref="AA1727">_xlfn.IFS(AND(Table2[[#This Row],[Guest_Age]]&gt;=18,Table2[[#This Row],[Guest_Age]]&lt;=25),"Young Adults",AND(Table2[[#This Row],[Guest_Age]]&gt;=26,Table2[[#This Row],[Guest_Age]]&lt;=35),"Adults",AND(Table2[[#This Row],[Guest_Age]]&gt;=36,Table2[[#This Row],[Guest_Age]]&lt;=50),"Middle Aged Adults",Table2[[#This Row],[Guest_Age]]&gt;50,"Senior")</f>
        <v>Senior</v>
      </c>
      <c r="AB17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27" t="str" cm="1">
        <f t="array" ref="AC1727">_xlfn.IFS(Table2[[#This Row],[Satification_points]]&gt;=4.5,"GREAT",AND(Table2[[#This Row],[Satification_points]]&gt;=4,Table2[[#This Row],[Satification_points]]&lt;4.5),"GOOD",AND(Table2[[#This Row],[Satification_points]]&gt;=3,Table2[[#This Row],[Satification_points]]&lt;4),"AVERAGE",Table2[[#This Row],[Satification_points]]&lt;3,"POOR")</f>
        <v>AVERAGE</v>
      </c>
    </row>
    <row r="1728" spans="1:29" x14ac:dyDescent="0.3">
      <c r="A1728">
        <v>1727</v>
      </c>
      <c r="B1728">
        <v>31925</v>
      </c>
      <c r="C1728" t="s">
        <v>1768</v>
      </c>
      <c r="D1728" t="s">
        <v>26</v>
      </c>
      <c r="E1728" t="s">
        <v>45</v>
      </c>
      <c r="F1728" s="1">
        <v>45315</v>
      </c>
      <c r="G1728" s="1">
        <v>45316</v>
      </c>
      <c r="H1728">
        <v>8</v>
      </c>
      <c r="I1728" t="s">
        <v>49</v>
      </c>
      <c r="J1728" t="s">
        <v>40</v>
      </c>
      <c r="K1728">
        <v>3</v>
      </c>
      <c r="L1728">
        <v>4</v>
      </c>
      <c r="M1728">
        <v>1</v>
      </c>
      <c r="N1728">
        <v>1</v>
      </c>
      <c r="O1728">
        <v>4</v>
      </c>
      <c r="P1728">
        <v>5</v>
      </c>
      <c r="Q1728">
        <v>2</v>
      </c>
      <c r="R1728">
        <v>3</v>
      </c>
      <c r="S1728">
        <v>1</v>
      </c>
      <c r="T1728">
        <v>2</v>
      </c>
      <c r="U1728" t="s">
        <v>30</v>
      </c>
      <c r="V1728" t="s">
        <v>54</v>
      </c>
      <c r="W1728" t="s">
        <v>47</v>
      </c>
      <c r="X1728" t="s">
        <v>33</v>
      </c>
      <c r="Y1728">
        <v>31</v>
      </c>
      <c r="Z1728" s="1">
        <v>45316</v>
      </c>
      <c r="AA1728" t="str" cm="1">
        <f t="array" ref="AA1728">_xlfn.IFS(AND(Table2[[#This Row],[Guest_Age]]&gt;=18,Table2[[#This Row],[Guest_Age]]&lt;=25),"Young Adults",AND(Table2[[#This Row],[Guest_Age]]&gt;=26,Table2[[#This Row],[Guest_Age]]&lt;=35),"Adults",AND(Table2[[#This Row],[Guest_Age]]&gt;=36,Table2[[#This Row],[Guest_Age]]&lt;=50),"Middle Aged Adults",Table2[[#This Row],[Guest_Age]]&gt;50,"Senior")</f>
        <v>Adults</v>
      </c>
      <c r="AB17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728" t="str" cm="1">
        <f t="array" ref="AC1728">_xlfn.IFS(Table2[[#This Row],[Satification_points]]&gt;=4.5,"GREAT",AND(Table2[[#This Row],[Satification_points]]&gt;=4,Table2[[#This Row],[Satification_points]]&lt;4.5),"GOOD",AND(Table2[[#This Row],[Satification_points]]&gt;=3,Table2[[#This Row],[Satification_points]]&lt;4),"AVERAGE",Table2[[#This Row],[Satification_points]]&lt;3,"POOR")</f>
        <v>POOR</v>
      </c>
    </row>
    <row r="1729" spans="1:29" x14ac:dyDescent="0.3">
      <c r="A1729">
        <v>1728</v>
      </c>
      <c r="B1729">
        <v>17658</v>
      </c>
      <c r="C1729" t="s">
        <v>1769</v>
      </c>
      <c r="D1729" t="s">
        <v>26</v>
      </c>
      <c r="E1729" t="s">
        <v>57</v>
      </c>
      <c r="F1729" s="1">
        <v>45508</v>
      </c>
      <c r="G1729" s="1">
        <v>45524</v>
      </c>
      <c r="H1729">
        <v>1</v>
      </c>
      <c r="I1729" t="s">
        <v>50</v>
      </c>
      <c r="J1729" t="s">
        <v>53</v>
      </c>
      <c r="K1729">
        <v>1</v>
      </c>
      <c r="L1729">
        <v>2</v>
      </c>
      <c r="M1729">
        <v>3</v>
      </c>
      <c r="N1729">
        <v>5</v>
      </c>
      <c r="O1729">
        <v>4</v>
      </c>
      <c r="P1729">
        <v>5</v>
      </c>
      <c r="Q1729">
        <v>5</v>
      </c>
      <c r="R1729">
        <v>4</v>
      </c>
      <c r="S1729">
        <v>1</v>
      </c>
      <c r="T1729">
        <v>2</v>
      </c>
      <c r="U1729" t="s">
        <v>37</v>
      </c>
      <c r="V1729" t="s">
        <v>58</v>
      </c>
      <c r="W1729" t="s">
        <v>56</v>
      </c>
      <c r="X1729" t="s">
        <v>33</v>
      </c>
      <c r="Y1729">
        <v>40</v>
      </c>
      <c r="Z1729" s="1">
        <v>45524</v>
      </c>
      <c r="AA1729" t="str" cm="1">
        <f t="array" ref="AA172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29" t="str" cm="1">
        <f t="array" ref="AC1729">_xlfn.IFS(Table2[[#This Row],[Satification_points]]&gt;=4.5,"GREAT",AND(Table2[[#This Row],[Satification_points]]&gt;=4,Table2[[#This Row],[Satification_points]]&lt;4.5),"GOOD",AND(Table2[[#This Row],[Satification_points]]&gt;=3,Table2[[#This Row],[Satification_points]]&lt;4),"AVERAGE",Table2[[#This Row],[Satification_points]]&lt;3,"POOR")</f>
        <v>AVERAGE</v>
      </c>
    </row>
    <row r="1730" spans="1:29" x14ac:dyDescent="0.3">
      <c r="A1730">
        <v>1729</v>
      </c>
      <c r="B1730">
        <v>35191</v>
      </c>
      <c r="C1730" t="s">
        <v>1770</v>
      </c>
      <c r="D1730" t="s">
        <v>51</v>
      </c>
      <c r="E1730" t="s">
        <v>27</v>
      </c>
      <c r="F1730" s="1">
        <v>45498</v>
      </c>
      <c r="G1730" s="1">
        <v>45499</v>
      </c>
      <c r="H1730">
        <v>12</v>
      </c>
      <c r="I1730" t="s">
        <v>42</v>
      </c>
      <c r="J1730" t="s">
        <v>53</v>
      </c>
      <c r="K1730">
        <v>1</v>
      </c>
      <c r="L1730">
        <v>2</v>
      </c>
      <c r="M1730">
        <v>4</v>
      </c>
      <c r="N1730">
        <v>4</v>
      </c>
      <c r="O1730">
        <v>1</v>
      </c>
      <c r="P1730">
        <v>1</v>
      </c>
      <c r="Q1730">
        <v>1</v>
      </c>
      <c r="R1730">
        <v>1</v>
      </c>
      <c r="S1730">
        <v>5</v>
      </c>
      <c r="T1730">
        <v>3</v>
      </c>
      <c r="U1730" t="s">
        <v>30</v>
      </c>
      <c r="V1730" t="s">
        <v>38</v>
      </c>
      <c r="W1730" t="s">
        <v>56</v>
      </c>
      <c r="X1730" t="s">
        <v>33</v>
      </c>
      <c r="Y1730">
        <v>40</v>
      </c>
      <c r="Z1730" s="1">
        <v>45499</v>
      </c>
      <c r="AA1730" t="str" cm="1">
        <f t="array" ref="AA173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730" t="str" cm="1">
        <f t="array" ref="AC1730">_xlfn.IFS(Table2[[#This Row],[Satification_points]]&gt;=4.5,"GREAT",AND(Table2[[#This Row],[Satification_points]]&gt;=4,Table2[[#This Row],[Satification_points]]&lt;4.5),"GOOD",AND(Table2[[#This Row],[Satification_points]]&gt;=3,Table2[[#This Row],[Satification_points]]&lt;4),"AVERAGE",Table2[[#This Row],[Satification_points]]&lt;3,"POOR")</f>
        <v>POOR</v>
      </c>
    </row>
    <row r="1731" spans="1:29" x14ac:dyDescent="0.3">
      <c r="A1731">
        <v>1730</v>
      </c>
      <c r="B1731">
        <v>47426</v>
      </c>
      <c r="C1731" t="s">
        <v>1771</v>
      </c>
      <c r="D1731" t="s">
        <v>51</v>
      </c>
      <c r="E1731" t="s">
        <v>45</v>
      </c>
      <c r="F1731" s="1">
        <v>45643</v>
      </c>
      <c r="G1731" s="1">
        <v>45644</v>
      </c>
      <c r="H1731">
        <v>12</v>
      </c>
      <c r="I1731" t="s">
        <v>42</v>
      </c>
      <c r="J1731" t="s">
        <v>29</v>
      </c>
      <c r="K1731">
        <v>5</v>
      </c>
      <c r="L1731">
        <v>3</v>
      </c>
      <c r="M1731">
        <v>1</v>
      </c>
      <c r="N1731">
        <v>1</v>
      </c>
      <c r="O1731">
        <v>2</v>
      </c>
      <c r="P1731">
        <v>5</v>
      </c>
      <c r="Q1731">
        <v>2</v>
      </c>
      <c r="R1731">
        <v>1</v>
      </c>
      <c r="S1731">
        <v>4</v>
      </c>
      <c r="T1731">
        <v>3</v>
      </c>
      <c r="U1731" t="s">
        <v>30</v>
      </c>
      <c r="V1731" t="s">
        <v>31</v>
      </c>
      <c r="W1731" t="s">
        <v>55</v>
      </c>
      <c r="X1731" t="s">
        <v>33</v>
      </c>
      <c r="Y1731">
        <v>27</v>
      </c>
      <c r="Z1731" s="1">
        <v>45644</v>
      </c>
      <c r="AA1731" t="str" cm="1">
        <f t="array" ref="AA1731">_xlfn.IFS(AND(Table2[[#This Row],[Guest_Age]]&gt;=18,Table2[[#This Row],[Guest_Age]]&lt;=25),"Young Adults",AND(Table2[[#This Row],[Guest_Age]]&gt;=26,Table2[[#This Row],[Guest_Age]]&lt;=35),"Adults",AND(Table2[[#This Row],[Guest_Age]]&gt;=36,Table2[[#This Row],[Guest_Age]]&lt;=50),"Middle Aged Adults",Table2[[#This Row],[Guest_Age]]&gt;50,"Senior")</f>
        <v>Adults</v>
      </c>
      <c r="AB17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31" t="str" cm="1">
        <f t="array" ref="AC1731">_xlfn.IFS(Table2[[#This Row],[Satification_points]]&gt;=4.5,"GREAT",AND(Table2[[#This Row],[Satification_points]]&gt;=4,Table2[[#This Row],[Satification_points]]&lt;4.5),"GOOD",AND(Table2[[#This Row],[Satification_points]]&gt;=3,Table2[[#This Row],[Satification_points]]&lt;4),"AVERAGE",Table2[[#This Row],[Satification_points]]&lt;3,"POOR")</f>
        <v>POOR</v>
      </c>
    </row>
    <row r="1732" spans="1:29" x14ac:dyDescent="0.3">
      <c r="A1732">
        <v>1731</v>
      </c>
      <c r="B1732">
        <v>82957</v>
      </c>
      <c r="C1732" t="s">
        <v>1772</v>
      </c>
      <c r="D1732" t="s">
        <v>48</v>
      </c>
      <c r="E1732" t="s">
        <v>52</v>
      </c>
      <c r="F1732" s="1">
        <v>45274</v>
      </c>
      <c r="G1732" s="1">
        <v>45587</v>
      </c>
      <c r="H1732">
        <v>12</v>
      </c>
      <c r="I1732" t="s">
        <v>42</v>
      </c>
      <c r="J1732" t="s">
        <v>36</v>
      </c>
      <c r="K1732">
        <v>3</v>
      </c>
      <c r="L1732">
        <v>4</v>
      </c>
      <c r="M1732">
        <v>3</v>
      </c>
      <c r="N1732">
        <v>1</v>
      </c>
      <c r="O1732">
        <v>1</v>
      </c>
      <c r="P1732">
        <v>1</v>
      </c>
      <c r="Q1732">
        <v>2</v>
      </c>
      <c r="R1732">
        <v>3</v>
      </c>
      <c r="S1732">
        <v>3</v>
      </c>
      <c r="T1732">
        <v>3</v>
      </c>
      <c r="U1732" t="s">
        <v>30</v>
      </c>
      <c r="V1732" t="s">
        <v>31</v>
      </c>
      <c r="W1732" t="s">
        <v>56</v>
      </c>
      <c r="X1732" t="s">
        <v>40</v>
      </c>
      <c r="Y1732">
        <v>55</v>
      </c>
      <c r="Z1732" s="1">
        <v>45587</v>
      </c>
      <c r="AA1732" t="str" cm="1">
        <f t="array" ref="AA1732">_xlfn.IFS(AND(Table2[[#This Row],[Guest_Age]]&gt;=18,Table2[[#This Row],[Guest_Age]]&lt;=25),"Young Adults",AND(Table2[[#This Row],[Guest_Age]]&gt;=26,Table2[[#This Row],[Guest_Age]]&lt;=35),"Adults",AND(Table2[[#This Row],[Guest_Age]]&gt;=36,Table2[[#This Row],[Guest_Age]]&lt;=50),"Middle Aged Adults",Table2[[#This Row],[Guest_Age]]&gt;50,"Senior")</f>
        <v>Senior</v>
      </c>
      <c r="AB17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32" t="str" cm="1">
        <f t="array" ref="AC1732">_xlfn.IFS(Table2[[#This Row],[Satification_points]]&gt;=4.5,"GREAT",AND(Table2[[#This Row],[Satification_points]]&gt;=4,Table2[[#This Row],[Satification_points]]&lt;4.5),"GOOD",AND(Table2[[#This Row],[Satification_points]]&gt;=3,Table2[[#This Row],[Satification_points]]&lt;4),"AVERAGE",Table2[[#This Row],[Satification_points]]&lt;3,"POOR")</f>
        <v>POOR</v>
      </c>
    </row>
    <row r="1733" spans="1:29" x14ac:dyDescent="0.3">
      <c r="A1733">
        <v>1732</v>
      </c>
      <c r="B1733">
        <v>19322</v>
      </c>
      <c r="C1733" t="s">
        <v>1773</v>
      </c>
      <c r="D1733" t="s">
        <v>26</v>
      </c>
      <c r="E1733" t="s">
        <v>57</v>
      </c>
      <c r="F1733" s="1">
        <v>45544</v>
      </c>
      <c r="G1733" s="1">
        <v>45545</v>
      </c>
      <c r="H1733">
        <v>10</v>
      </c>
      <c r="I1733" t="s">
        <v>49</v>
      </c>
      <c r="J1733" t="s">
        <v>40</v>
      </c>
      <c r="K1733">
        <v>3</v>
      </c>
      <c r="L1733">
        <v>4</v>
      </c>
      <c r="M1733">
        <v>1</v>
      </c>
      <c r="N1733">
        <v>1</v>
      </c>
      <c r="O1733">
        <v>1</v>
      </c>
      <c r="P1733">
        <v>4</v>
      </c>
      <c r="Q1733">
        <v>2</v>
      </c>
      <c r="R1733">
        <v>4</v>
      </c>
      <c r="S1733">
        <v>2</v>
      </c>
      <c r="T1733">
        <v>2</v>
      </c>
      <c r="U1733" t="s">
        <v>37</v>
      </c>
      <c r="V1733" t="s">
        <v>58</v>
      </c>
      <c r="W1733" t="s">
        <v>56</v>
      </c>
      <c r="X1733" t="s">
        <v>33</v>
      </c>
      <c r="Y1733">
        <v>66</v>
      </c>
      <c r="Z1733" s="1">
        <v>45545</v>
      </c>
      <c r="AA1733" t="str" cm="1">
        <f t="array" ref="AA1733">_xlfn.IFS(AND(Table2[[#This Row],[Guest_Age]]&gt;=18,Table2[[#This Row],[Guest_Age]]&lt;=25),"Young Adults",AND(Table2[[#This Row],[Guest_Age]]&gt;=26,Table2[[#This Row],[Guest_Age]]&lt;=35),"Adults",AND(Table2[[#This Row],[Guest_Age]]&gt;=36,Table2[[#This Row],[Guest_Age]]&lt;=50),"Middle Aged Adults",Table2[[#This Row],[Guest_Age]]&gt;50,"Senior")</f>
        <v>Senior</v>
      </c>
      <c r="AB17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33" t="str" cm="1">
        <f t="array" ref="AC1733">_xlfn.IFS(Table2[[#This Row],[Satification_points]]&gt;=4.5,"GREAT",AND(Table2[[#This Row],[Satification_points]]&gt;=4,Table2[[#This Row],[Satification_points]]&lt;4.5),"GOOD",AND(Table2[[#This Row],[Satification_points]]&gt;=3,Table2[[#This Row],[Satification_points]]&lt;4),"AVERAGE",Table2[[#This Row],[Satification_points]]&lt;3,"POOR")</f>
        <v>POOR</v>
      </c>
    </row>
    <row r="1734" spans="1:29" x14ac:dyDescent="0.3">
      <c r="A1734">
        <v>1733</v>
      </c>
      <c r="B1734">
        <v>66613</v>
      </c>
      <c r="C1734" t="s">
        <v>1774</v>
      </c>
      <c r="D1734" t="s">
        <v>34</v>
      </c>
      <c r="E1734" t="s">
        <v>57</v>
      </c>
      <c r="F1734" s="1">
        <v>45423</v>
      </c>
      <c r="G1734" s="1">
        <v>45612</v>
      </c>
      <c r="H1734">
        <v>7</v>
      </c>
      <c r="I1734" t="s">
        <v>49</v>
      </c>
      <c r="J1734" t="s">
        <v>43</v>
      </c>
      <c r="K1734">
        <v>1</v>
      </c>
      <c r="L1734">
        <v>1</v>
      </c>
      <c r="M1734">
        <v>2</v>
      </c>
      <c r="N1734">
        <v>1</v>
      </c>
      <c r="O1734">
        <v>5</v>
      </c>
      <c r="P1734">
        <v>3</v>
      </c>
      <c r="Q1734">
        <v>2</v>
      </c>
      <c r="R1734">
        <v>5</v>
      </c>
      <c r="S1734">
        <v>2</v>
      </c>
      <c r="T1734">
        <v>5</v>
      </c>
      <c r="U1734" t="s">
        <v>37</v>
      </c>
      <c r="V1734" t="s">
        <v>46</v>
      </c>
      <c r="W1734" t="s">
        <v>56</v>
      </c>
      <c r="X1734" t="s">
        <v>33</v>
      </c>
      <c r="Y1734">
        <v>34</v>
      </c>
      <c r="Z1734" s="1">
        <v>45612</v>
      </c>
      <c r="AA1734" t="str" cm="1">
        <f t="array" ref="AA1734">_xlfn.IFS(AND(Table2[[#This Row],[Guest_Age]]&gt;=18,Table2[[#This Row],[Guest_Age]]&lt;=25),"Young Adults",AND(Table2[[#This Row],[Guest_Age]]&gt;=26,Table2[[#This Row],[Guest_Age]]&lt;=35),"Adults",AND(Table2[[#This Row],[Guest_Age]]&gt;=36,Table2[[#This Row],[Guest_Age]]&lt;=50),"Middle Aged Adults",Table2[[#This Row],[Guest_Age]]&gt;50,"Senior")</f>
        <v>Adults</v>
      </c>
      <c r="AB17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34" t="str" cm="1">
        <f t="array" ref="AC1734">_xlfn.IFS(Table2[[#This Row],[Satification_points]]&gt;=4.5,"GREAT",AND(Table2[[#This Row],[Satification_points]]&gt;=4,Table2[[#This Row],[Satification_points]]&lt;4.5),"GOOD",AND(Table2[[#This Row],[Satification_points]]&gt;=3,Table2[[#This Row],[Satification_points]]&lt;4),"AVERAGE",Table2[[#This Row],[Satification_points]]&lt;3,"POOR")</f>
        <v>POOR</v>
      </c>
    </row>
    <row r="1735" spans="1:29" x14ac:dyDescent="0.3">
      <c r="A1735">
        <v>1734</v>
      </c>
      <c r="B1735">
        <v>32014</v>
      </c>
      <c r="C1735" t="s">
        <v>1775</v>
      </c>
      <c r="D1735" t="s">
        <v>26</v>
      </c>
      <c r="E1735" t="s">
        <v>27</v>
      </c>
      <c r="F1735" s="1">
        <v>45622</v>
      </c>
      <c r="G1735" s="1">
        <v>45623</v>
      </c>
      <c r="H1735">
        <v>14</v>
      </c>
      <c r="I1735" t="s">
        <v>28</v>
      </c>
      <c r="J1735" t="s">
        <v>53</v>
      </c>
      <c r="K1735">
        <v>3</v>
      </c>
      <c r="L1735">
        <v>2</v>
      </c>
      <c r="M1735">
        <v>3</v>
      </c>
      <c r="N1735">
        <v>2</v>
      </c>
      <c r="O1735">
        <v>4</v>
      </c>
      <c r="P1735">
        <v>3</v>
      </c>
      <c r="Q1735">
        <v>5</v>
      </c>
      <c r="R1735">
        <v>4</v>
      </c>
      <c r="S1735">
        <v>5</v>
      </c>
      <c r="T1735">
        <v>2</v>
      </c>
      <c r="U1735" t="s">
        <v>30</v>
      </c>
      <c r="V1735" t="s">
        <v>38</v>
      </c>
      <c r="W1735" t="s">
        <v>55</v>
      </c>
      <c r="X1735" t="s">
        <v>40</v>
      </c>
      <c r="Y1735">
        <v>44</v>
      </c>
      <c r="Z1735" s="1">
        <v>45623</v>
      </c>
      <c r="AA1735" t="str" cm="1">
        <f t="array" ref="AA173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35" t="str" cm="1">
        <f t="array" ref="AC1735">_xlfn.IFS(Table2[[#This Row],[Satification_points]]&gt;=4.5,"GREAT",AND(Table2[[#This Row],[Satification_points]]&gt;=4,Table2[[#This Row],[Satification_points]]&lt;4.5),"GOOD",AND(Table2[[#This Row],[Satification_points]]&gt;=3,Table2[[#This Row],[Satification_points]]&lt;4),"AVERAGE",Table2[[#This Row],[Satification_points]]&lt;3,"POOR")</f>
        <v>AVERAGE</v>
      </c>
    </row>
    <row r="1736" spans="1:29" x14ac:dyDescent="0.3">
      <c r="A1736">
        <v>1735</v>
      </c>
      <c r="B1736">
        <v>80891</v>
      </c>
      <c r="C1736" t="s">
        <v>1776</v>
      </c>
      <c r="D1736" t="s">
        <v>51</v>
      </c>
      <c r="E1736" t="s">
        <v>57</v>
      </c>
      <c r="F1736" s="1">
        <v>45437</v>
      </c>
      <c r="G1736" s="1">
        <v>45438</v>
      </c>
      <c r="H1736">
        <v>5</v>
      </c>
      <c r="I1736" t="s">
        <v>49</v>
      </c>
      <c r="J1736" t="s">
        <v>53</v>
      </c>
      <c r="K1736">
        <v>4</v>
      </c>
      <c r="L1736">
        <v>3</v>
      </c>
      <c r="M1736">
        <v>2</v>
      </c>
      <c r="N1736">
        <v>1</v>
      </c>
      <c r="O1736">
        <v>4</v>
      </c>
      <c r="P1736">
        <v>5</v>
      </c>
      <c r="Q1736">
        <v>3</v>
      </c>
      <c r="R1736">
        <v>1</v>
      </c>
      <c r="S1736">
        <v>1</v>
      </c>
      <c r="T1736">
        <v>3</v>
      </c>
      <c r="U1736" t="s">
        <v>37</v>
      </c>
      <c r="V1736" t="s">
        <v>31</v>
      </c>
      <c r="W1736" t="s">
        <v>32</v>
      </c>
      <c r="X1736" t="s">
        <v>44</v>
      </c>
      <c r="Y1736">
        <v>28</v>
      </c>
      <c r="Z1736" s="1">
        <v>45438</v>
      </c>
      <c r="AA1736" t="str" cm="1">
        <f t="array" ref="AA1736">_xlfn.IFS(AND(Table2[[#This Row],[Guest_Age]]&gt;=18,Table2[[#This Row],[Guest_Age]]&lt;=25),"Young Adults",AND(Table2[[#This Row],[Guest_Age]]&gt;=26,Table2[[#This Row],[Guest_Age]]&lt;=35),"Adults",AND(Table2[[#This Row],[Guest_Age]]&gt;=36,Table2[[#This Row],[Guest_Age]]&lt;=50),"Middle Aged Adults",Table2[[#This Row],[Guest_Age]]&gt;50,"Senior")</f>
        <v>Adults</v>
      </c>
      <c r="AB17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36" t="str" cm="1">
        <f t="array" ref="AC1736">_xlfn.IFS(Table2[[#This Row],[Satification_points]]&gt;=4.5,"GREAT",AND(Table2[[#This Row],[Satification_points]]&gt;=4,Table2[[#This Row],[Satification_points]]&lt;4.5),"GOOD",AND(Table2[[#This Row],[Satification_points]]&gt;=3,Table2[[#This Row],[Satification_points]]&lt;4),"AVERAGE",Table2[[#This Row],[Satification_points]]&lt;3,"POOR")</f>
        <v>POOR</v>
      </c>
    </row>
    <row r="1737" spans="1:29" x14ac:dyDescent="0.3">
      <c r="A1737">
        <v>1736</v>
      </c>
      <c r="B1737">
        <v>85249</v>
      </c>
      <c r="C1737" t="s">
        <v>1777</v>
      </c>
      <c r="D1737" t="s">
        <v>51</v>
      </c>
      <c r="E1737" t="s">
        <v>27</v>
      </c>
      <c r="F1737" s="1">
        <v>45445</v>
      </c>
      <c r="G1737" s="1">
        <v>45446</v>
      </c>
      <c r="H1737">
        <v>14</v>
      </c>
      <c r="I1737" t="s">
        <v>28</v>
      </c>
      <c r="J1737" t="s">
        <v>36</v>
      </c>
      <c r="K1737">
        <v>5</v>
      </c>
      <c r="L1737">
        <v>3</v>
      </c>
      <c r="M1737">
        <v>5</v>
      </c>
      <c r="N1737">
        <v>5</v>
      </c>
      <c r="O1737">
        <v>5</v>
      </c>
      <c r="P1737">
        <v>4</v>
      </c>
      <c r="Q1737">
        <v>2</v>
      </c>
      <c r="R1737">
        <v>3</v>
      </c>
      <c r="S1737">
        <v>4</v>
      </c>
      <c r="T1737">
        <v>2</v>
      </c>
      <c r="U1737" t="s">
        <v>30</v>
      </c>
      <c r="V1737" t="s">
        <v>46</v>
      </c>
      <c r="W1737" t="s">
        <v>39</v>
      </c>
      <c r="X1737" t="s">
        <v>33</v>
      </c>
      <c r="Y1737">
        <v>36</v>
      </c>
      <c r="Z1737" s="1">
        <v>45446</v>
      </c>
      <c r="AA1737" t="str" cm="1">
        <f t="array" ref="AA173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737" t="str" cm="1">
        <f t="array" ref="AC1737">_xlfn.IFS(Table2[[#This Row],[Satification_points]]&gt;=4.5,"GREAT",AND(Table2[[#This Row],[Satification_points]]&gt;=4,Table2[[#This Row],[Satification_points]]&lt;4.5),"GOOD",AND(Table2[[#This Row],[Satification_points]]&gt;=3,Table2[[#This Row],[Satification_points]]&lt;4),"AVERAGE",Table2[[#This Row],[Satification_points]]&lt;3,"POOR")</f>
        <v>AVERAGE</v>
      </c>
    </row>
    <row r="1738" spans="1:29" x14ac:dyDescent="0.3">
      <c r="A1738">
        <v>1737</v>
      </c>
      <c r="B1738">
        <v>74322</v>
      </c>
      <c r="C1738" t="s">
        <v>1778</v>
      </c>
      <c r="D1738" t="s">
        <v>48</v>
      </c>
      <c r="E1738" t="s">
        <v>57</v>
      </c>
      <c r="F1738" s="1">
        <v>45378</v>
      </c>
      <c r="G1738" s="1">
        <v>45473</v>
      </c>
      <c r="H1738">
        <v>14</v>
      </c>
      <c r="I1738" t="s">
        <v>28</v>
      </c>
      <c r="J1738" t="s">
        <v>43</v>
      </c>
      <c r="K1738">
        <v>5</v>
      </c>
      <c r="L1738">
        <v>1</v>
      </c>
      <c r="M1738">
        <v>4</v>
      </c>
      <c r="N1738">
        <v>4</v>
      </c>
      <c r="O1738">
        <v>2</v>
      </c>
      <c r="P1738">
        <v>4</v>
      </c>
      <c r="Q1738">
        <v>5</v>
      </c>
      <c r="R1738">
        <v>2</v>
      </c>
      <c r="S1738">
        <v>3</v>
      </c>
      <c r="T1738">
        <v>5</v>
      </c>
      <c r="U1738" t="s">
        <v>30</v>
      </c>
      <c r="V1738" t="s">
        <v>31</v>
      </c>
      <c r="W1738" t="s">
        <v>32</v>
      </c>
      <c r="X1738" t="s">
        <v>40</v>
      </c>
      <c r="Y1738">
        <v>62</v>
      </c>
      <c r="Z1738" s="1">
        <v>45473</v>
      </c>
      <c r="AA1738" t="str" cm="1">
        <f t="array" ref="AA1738">_xlfn.IFS(AND(Table2[[#This Row],[Guest_Age]]&gt;=18,Table2[[#This Row],[Guest_Age]]&lt;=25),"Young Adults",AND(Table2[[#This Row],[Guest_Age]]&gt;=26,Table2[[#This Row],[Guest_Age]]&lt;=35),"Adults",AND(Table2[[#This Row],[Guest_Age]]&gt;=36,Table2[[#This Row],[Guest_Age]]&lt;=50),"Middle Aged Adults",Table2[[#This Row],[Guest_Age]]&gt;50,"Senior")</f>
        <v>Senior</v>
      </c>
      <c r="AB17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738" t="str" cm="1">
        <f t="array" ref="AC1738">_xlfn.IFS(Table2[[#This Row],[Satification_points]]&gt;=4.5,"GREAT",AND(Table2[[#This Row],[Satification_points]]&gt;=4,Table2[[#This Row],[Satification_points]]&lt;4.5),"GOOD",AND(Table2[[#This Row],[Satification_points]]&gt;=3,Table2[[#This Row],[Satification_points]]&lt;4),"AVERAGE",Table2[[#This Row],[Satification_points]]&lt;3,"POOR")</f>
        <v>AVERAGE</v>
      </c>
    </row>
    <row r="1739" spans="1:29" x14ac:dyDescent="0.3">
      <c r="A1739">
        <v>1738</v>
      </c>
      <c r="B1739">
        <v>30835</v>
      </c>
      <c r="C1739" t="s">
        <v>1779</v>
      </c>
      <c r="D1739" t="s">
        <v>34</v>
      </c>
      <c r="E1739" t="s">
        <v>27</v>
      </c>
      <c r="F1739" s="1">
        <v>45469</v>
      </c>
      <c r="G1739" s="1">
        <v>45470</v>
      </c>
      <c r="H1739">
        <v>7</v>
      </c>
      <c r="I1739" t="s">
        <v>42</v>
      </c>
      <c r="J1739" t="s">
        <v>53</v>
      </c>
      <c r="K1739">
        <v>4</v>
      </c>
      <c r="L1739">
        <v>1</v>
      </c>
      <c r="M1739">
        <v>2</v>
      </c>
      <c r="N1739">
        <v>4</v>
      </c>
      <c r="O1739">
        <v>3</v>
      </c>
      <c r="P1739">
        <v>1</v>
      </c>
      <c r="Q1739">
        <v>4</v>
      </c>
      <c r="R1739">
        <v>3</v>
      </c>
      <c r="S1739">
        <v>3</v>
      </c>
      <c r="T1739">
        <v>4</v>
      </c>
      <c r="U1739" t="s">
        <v>30</v>
      </c>
      <c r="V1739" t="s">
        <v>46</v>
      </c>
      <c r="W1739" t="s">
        <v>32</v>
      </c>
      <c r="X1739" t="s">
        <v>40</v>
      </c>
      <c r="Y1739">
        <v>61</v>
      </c>
      <c r="Z1739" s="1">
        <v>45470</v>
      </c>
      <c r="AA1739" t="str" cm="1">
        <f t="array" ref="AA1739">_xlfn.IFS(AND(Table2[[#This Row],[Guest_Age]]&gt;=18,Table2[[#This Row],[Guest_Age]]&lt;=25),"Young Adults",AND(Table2[[#This Row],[Guest_Age]]&gt;=26,Table2[[#This Row],[Guest_Age]]&lt;=35),"Adults",AND(Table2[[#This Row],[Guest_Age]]&gt;=36,Table2[[#This Row],[Guest_Age]]&lt;=50),"Middle Aged Adults",Table2[[#This Row],[Guest_Age]]&gt;50,"Senior")</f>
        <v>Senior</v>
      </c>
      <c r="AB17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39" t="str" cm="1">
        <f t="array" ref="AC1739">_xlfn.IFS(Table2[[#This Row],[Satification_points]]&gt;=4.5,"GREAT",AND(Table2[[#This Row],[Satification_points]]&gt;=4,Table2[[#This Row],[Satification_points]]&lt;4.5),"GOOD",AND(Table2[[#This Row],[Satification_points]]&gt;=3,Table2[[#This Row],[Satification_points]]&lt;4),"AVERAGE",Table2[[#This Row],[Satification_points]]&lt;3,"POOR")</f>
        <v>POOR</v>
      </c>
    </row>
    <row r="1740" spans="1:29" x14ac:dyDescent="0.3">
      <c r="A1740">
        <v>1739</v>
      </c>
      <c r="B1740">
        <v>54939</v>
      </c>
      <c r="C1740" t="s">
        <v>1780</v>
      </c>
      <c r="D1740" t="s">
        <v>51</v>
      </c>
      <c r="E1740" t="s">
        <v>57</v>
      </c>
      <c r="F1740" s="1">
        <v>45142</v>
      </c>
      <c r="G1740" s="1">
        <v>45600</v>
      </c>
      <c r="H1740">
        <v>3</v>
      </c>
      <c r="I1740" t="s">
        <v>49</v>
      </c>
      <c r="J1740" t="s">
        <v>40</v>
      </c>
      <c r="K1740">
        <v>2</v>
      </c>
      <c r="L1740">
        <v>3</v>
      </c>
      <c r="M1740">
        <v>4</v>
      </c>
      <c r="N1740">
        <v>5</v>
      </c>
      <c r="O1740">
        <v>4</v>
      </c>
      <c r="P1740">
        <v>1</v>
      </c>
      <c r="Q1740">
        <v>2</v>
      </c>
      <c r="R1740">
        <v>5</v>
      </c>
      <c r="S1740">
        <v>3</v>
      </c>
      <c r="T1740">
        <v>1</v>
      </c>
      <c r="U1740" t="s">
        <v>30</v>
      </c>
      <c r="V1740" t="s">
        <v>58</v>
      </c>
      <c r="W1740" t="s">
        <v>32</v>
      </c>
      <c r="X1740" t="s">
        <v>40</v>
      </c>
      <c r="Y1740">
        <v>61</v>
      </c>
      <c r="Z1740" s="1">
        <v>45600</v>
      </c>
      <c r="AA1740" t="str" cm="1">
        <f t="array" ref="AA1740">_xlfn.IFS(AND(Table2[[#This Row],[Guest_Age]]&gt;=18,Table2[[#This Row],[Guest_Age]]&lt;=25),"Young Adults",AND(Table2[[#This Row],[Guest_Age]]&gt;=26,Table2[[#This Row],[Guest_Age]]&lt;=35),"Adults",AND(Table2[[#This Row],[Guest_Age]]&gt;=36,Table2[[#This Row],[Guest_Age]]&lt;=50),"Middle Aged Adults",Table2[[#This Row],[Guest_Age]]&gt;50,"Senior")</f>
        <v>Senior</v>
      </c>
      <c r="AB17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40" t="str" cm="1">
        <f t="array" ref="AC1740">_xlfn.IFS(Table2[[#This Row],[Satification_points]]&gt;=4.5,"GREAT",AND(Table2[[#This Row],[Satification_points]]&gt;=4,Table2[[#This Row],[Satification_points]]&lt;4.5),"GOOD",AND(Table2[[#This Row],[Satification_points]]&gt;=3,Table2[[#This Row],[Satification_points]]&lt;4),"AVERAGE",Table2[[#This Row],[Satification_points]]&lt;3,"POOR")</f>
        <v>AVERAGE</v>
      </c>
    </row>
    <row r="1741" spans="1:29" x14ac:dyDescent="0.3">
      <c r="A1741">
        <v>1740</v>
      </c>
      <c r="B1741">
        <v>20086</v>
      </c>
      <c r="C1741" t="s">
        <v>1781</v>
      </c>
      <c r="D1741" t="s">
        <v>34</v>
      </c>
      <c r="E1741" t="s">
        <v>52</v>
      </c>
      <c r="F1741" s="1">
        <v>45396</v>
      </c>
      <c r="G1741" s="1">
        <v>45397</v>
      </c>
      <c r="H1741">
        <v>4</v>
      </c>
      <c r="I1741" t="s">
        <v>49</v>
      </c>
      <c r="J1741" t="s">
        <v>53</v>
      </c>
      <c r="K1741">
        <v>3</v>
      </c>
      <c r="L1741">
        <v>1</v>
      </c>
      <c r="M1741">
        <v>3</v>
      </c>
      <c r="N1741">
        <v>1</v>
      </c>
      <c r="O1741">
        <v>4</v>
      </c>
      <c r="P1741">
        <v>4</v>
      </c>
      <c r="Q1741">
        <v>1</v>
      </c>
      <c r="R1741">
        <v>5</v>
      </c>
      <c r="S1741">
        <v>2</v>
      </c>
      <c r="T1741">
        <v>3</v>
      </c>
      <c r="U1741" t="s">
        <v>30</v>
      </c>
      <c r="V1741" t="s">
        <v>46</v>
      </c>
      <c r="W1741" t="s">
        <v>47</v>
      </c>
      <c r="X1741" t="s">
        <v>40</v>
      </c>
      <c r="Y1741">
        <v>44</v>
      </c>
      <c r="Z1741" s="1">
        <v>45397</v>
      </c>
      <c r="AA1741" t="str" cm="1">
        <f t="array" ref="AA174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41" t="str" cm="1">
        <f t="array" ref="AC1741">_xlfn.IFS(Table2[[#This Row],[Satification_points]]&gt;=4.5,"GREAT",AND(Table2[[#This Row],[Satification_points]]&gt;=4,Table2[[#This Row],[Satification_points]]&lt;4.5),"GOOD",AND(Table2[[#This Row],[Satification_points]]&gt;=3,Table2[[#This Row],[Satification_points]]&lt;4),"AVERAGE",Table2[[#This Row],[Satification_points]]&lt;3,"POOR")</f>
        <v>POOR</v>
      </c>
    </row>
    <row r="1742" spans="1:29" x14ac:dyDescent="0.3">
      <c r="A1742">
        <v>1741</v>
      </c>
      <c r="B1742">
        <v>44283</v>
      </c>
      <c r="C1742" t="s">
        <v>1782</v>
      </c>
      <c r="D1742" t="s">
        <v>26</v>
      </c>
      <c r="E1742" t="s">
        <v>52</v>
      </c>
      <c r="F1742" s="1">
        <v>45230</v>
      </c>
      <c r="G1742" s="1">
        <v>45533</v>
      </c>
      <c r="H1742">
        <v>2</v>
      </c>
      <c r="I1742" t="s">
        <v>28</v>
      </c>
      <c r="J1742" t="s">
        <v>36</v>
      </c>
      <c r="K1742">
        <v>2</v>
      </c>
      <c r="L1742">
        <v>4</v>
      </c>
      <c r="M1742">
        <v>5</v>
      </c>
      <c r="N1742">
        <v>4</v>
      </c>
      <c r="O1742">
        <v>1</v>
      </c>
      <c r="P1742">
        <v>5</v>
      </c>
      <c r="Q1742">
        <v>5</v>
      </c>
      <c r="R1742">
        <v>1</v>
      </c>
      <c r="S1742">
        <v>4</v>
      </c>
      <c r="T1742">
        <v>2</v>
      </c>
      <c r="U1742" t="s">
        <v>37</v>
      </c>
      <c r="V1742" t="s">
        <v>58</v>
      </c>
      <c r="W1742" t="s">
        <v>39</v>
      </c>
      <c r="X1742" t="s">
        <v>44</v>
      </c>
      <c r="Y1742">
        <v>53</v>
      </c>
      <c r="Z1742" s="1">
        <v>45533</v>
      </c>
      <c r="AA1742" t="str" cm="1">
        <f t="array" ref="AA1742">_xlfn.IFS(AND(Table2[[#This Row],[Guest_Age]]&gt;=18,Table2[[#This Row],[Guest_Age]]&lt;=25),"Young Adults",AND(Table2[[#This Row],[Guest_Age]]&gt;=26,Table2[[#This Row],[Guest_Age]]&lt;=35),"Adults",AND(Table2[[#This Row],[Guest_Age]]&gt;=36,Table2[[#This Row],[Guest_Age]]&lt;=50),"Middle Aged Adults",Table2[[#This Row],[Guest_Age]]&gt;50,"Senior")</f>
        <v>Senior</v>
      </c>
      <c r="AB17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42" t="str" cm="1">
        <f t="array" ref="AC1742">_xlfn.IFS(Table2[[#This Row],[Satification_points]]&gt;=4.5,"GREAT",AND(Table2[[#This Row],[Satification_points]]&gt;=4,Table2[[#This Row],[Satification_points]]&lt;4.5),"GOOD",AND(Table2[[#This Row],[Satification_points]]&gt;=3,Table2[[#This Row],[Satification_points]]&lt;4),"AVERAGE",Table2[[#This Row],[Satification_points]]&lt;3,"POOR")</f>
        <v>AVERAGE</v>
      </c>
    </row>
    <row r="1743" spans="1:29" x14ac:dyDescent="0.3">
      <c r="A1743">
        <v>1742</v>
      </c>
      <c r="B1743">
        <v>76119</v>
      </c>
      <c r="C1743" t="s">
        <v>1783</v>
      </c>
      <c r="D1743" t="s">
        <v>48</v>
      </c>
      <c r="E1743" t="s">
        <v>27</v>
      </c>
      <c r="F1743" s="1">
        <v>45224</v>
      </c>
      <c r="G1743" s="1">
        <v>45248</v>
      </c>
      <c r="H1743">
        <v>12</v>
      </c>
      <c r="I1743" t="s">
        <v>28</v>
      </c>
      <c r="J1743" t="s">
        <v>36</v>
      </c>
      <c r="K1743">
        <v>2</v>
      </c>
      <c r="L1743">
        <v>3</v>
      </c>
      <c r="M1743">
        <v>4</v>
      </c>
      <c r="N1743">
        <v>2</v>
      </c>
      <c r="O1743">
        <v>2</v>
      </c>
      <c r="P1743">
        <v>5</v>
      </c>
      <c r="Q1743">
        <v>1</v>
      </c>
      <c r="R1743">
        <v>3</v>
      </c>
      <c r="S1743">
        <v>5</v>
      </c>
      <c r="T1743">
        <v>5</v>
      </c>
      <c r="U1743" t="s">
        <v>37</v>
      </c>
      <c r="V1743" t="s">
        <v>46</v>
      </c>
      <c r="W1743" t="s">
        <v>39</v>
      </c>
      <c r="X1743" t="s">
        <v>44</v>
      </c>
      <c r="Y1743">
        <v>33</v>
      </c>
      <c r="Z1743" s="1">
        <v>45395</v>
      </c>
      <c r="AA1743" t="str" cm="1">
        <f t="array" ref="AA1743">_xlfn.IFS(AND(Table2[[#This Row],[Guest_Age]]&gt;=18,Table2[[#This Row],[Guest_Age]]&lt;=25),"Young Adults",AND(Table2[[#This Row],[Guest_Age]]&gt;=26,Table2[[#This Row],[Guest_Age]]&lt;=35),"Adults",AND(Table2[[#This Row],[Guest_Age]]&gt;=36,Table2[[#This Row],[Guest_Age]]&lt;=50),"Middle Aged Adults",Table2[[#This Row],[Guest_Age]]&gt;50,"Senior")</f>
        <v>Adults</v>
      </c>
      <c r="AB17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43" t="str" cm="1">
        <f t="array" ref="AC1743">_xlfn.IFS(Table2[[#This Row],[Satification_points]]&gt;=4.5,"GREAT",AND(Table2[[#This Row],[Satification_points]]&gt;=4,Table2[[#This Row],[Satification_points]]&lt;4.5),"GOOD",AND(Table2[[#This Row],[Satification_points]]&gt;=3,Table2[[#This Row],[Satification_points]]&lt;4),"AVERAGE",Table2[[#This Row],[Satification_points]]&lt;3,"POOR")</f>
        <v>AVERAGE</v>
      </c>
    </row>
    <row r="1744" spans="1:29" x14ac:dyDescent="0.3">
      <c r="A1744">
        <v>1743</v>
      </c>
      <c r="B1744">
        <v>41860</v>
      </c>
      <c r="C1744" t="s">
        <v>1784</v>
      </c>
      <c r="D1744" t="s">
        <v>26</v>
      </c>
      <c r="E1744" t="s">
        <v>52</v>
      </c>
      <c r="F1744" s="1">
        <v>45272</v>
      </c>
      <c r="G1744" s="1">
        <v>45293</v>
      </c>
      <c r="H1744">
        <v>6</v>
      </c>
      <c r="I1744" t="s">
        <v>49</v>
      </c>
      <c r="J1744" t="s">
        <v>43</v>
      </c>
      <c r="K1744">
        <v>3</v>
      </c>
      <c r="L1744">
        <v>5</v>
      </c>
      <c r="M1744">
        <v>1</v>
      </c>
      <c r="N1744">
        <v>4</v>
      </c>
      <c r="O1744">
        <v>2</v>
      </c>
      <c r="P1744">
        <v>4</v>
      </c>
      <c r="Q1744">
        <v>3</v>
      </c>
      <c r="R1744">
        <v>2</v>
      </c>
      <c r="S1744">
        <v>2</v>
      </c>
      <c r="T1744">
        <v>3</v>
      </c>
      <c r="U1744" t="s">
        <v>37</v>
      </c>
      <c r="V1744" t="s">
        <v>46</v>
      </c>
      <c r="W1744" t="s">
        <v>47</v>
      </c>
      <c r="X1744" t="s">
        <v>44</v>
      </c>
      <c r="Y1744">
        <v>40</v>
      </c>
      <c r="Z1744" s="1">
        <v>45339</v>
      </c>
      <c r="AA1744" t="str" cm="1">
        <f t="array" ref="AA17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44" t="str" cm="1">
        <f t="array" ref="AC1744">_xlfn.IFS(Table2[[#This Row],[Satification_points]]&gt;=4.5,"GREAT",AND(Table2[[#This Row],[Satification_points]]&gt;=4,Table2[[#This Row],[Satification_points]]&lt;4.5),"GOOD",AND(Table2[[#This Row],[Satification_points]]&gt;=3,Table2[[#This Row],[Satification_points]]&lt;4),"AVERAGE",Table2[[#This Row],[Satification_points]]&lt;3,"POOR")</f>
        <v>POOR</v>
      </c>
    </row>
    <row r="1745" spans="1:29" x14ac:dyDescent="0.3">
      <c r="A1745">
        <v>1744</v>
      </c>
      <c r="B1745">
        <v>36622</v>
      </c>
      <c r="C1745" t="s">
        <v>1785</v>
      </c>
      <c r="D1745" t="s">
        <v>51</v>
      </c>
      <c r="E1745" t="s">
        <v>27</v>
      </c>
      <c r="F1745" s="1">
        <v>45212</v>
      </c>
      <c r="G1745" s="1">
        <v>45447</v>
      </c>
      <c r="H1745">
        <v>5</v>
      </c>
      <c r="I1745" t="s">
        <v>28</v>
      </c>
      <c r="J1745" t="s">
        <v>53</v>
      </c>
      <c r="K1745">
        <v>1</v>
      </c>
      <c r="L1745">
        <v>2</v>
      </c>
      <c r="M1745">
        <v>3</v>
      </c>
      <c r="N1745">
        <v>5</v>
      </c>
      <c r="O1745">
        <v>2</v>
      </c>
      <c r="P1745">
        <v>3</v>
      </c>
      <c r="Q1745">
        <v>4</v>
      </c>
      <c r="R1745">
        <v>3</v>
      </c>
      <c r="S1745">
        <v>1</v>
      </c>
      <c r="T1745">
        <v>3</v>
      </c>
      <c r="U1745" t="s">
        <v>37</v>
      </c>
      <c r="V1745" t="s">
        <v>46</v>
      </c>
      <c r="W1745" t="s">
        <v>47</v>
      </c>
      <c r="X1745" t="s">
        <v>33</v>
      </c>
      <c r="Y1745">
        <v>50</v>
      </c>
      <c r="Z1745" s="1">
        <v>45447</v>
      </c>
      <c r="AA1745" t="str" cm="1">
        <f t="array" ref="AA174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45" t="str" cm="1">
        <f t="array" ref="AC1745">_xlfn.IFS(Table2[[#This Row],[Satification_points]]&gt;=4.5,"GREAT",AND(Table2[[#This Row],[Satification_points]]&gt;=4,Table2[[#This Row],[Satification_points]]&lt;4.5),"GOOD",AND(Table2[[#This Row],[Satification_points]]&gt;=3,Table2[[#This Row],[Satification_points]]&lt;4),"AVERAGE",Table2[[#This Row],[Satification_points]]&lt;3,"POOR")</f>
        <v>POOR</v>
      </c>
    </row>
    <row r="1746" spans="1:29" x14ac:dyDescent="0.3">
      <c r="A1746">
        <v>1745</v>
      </c>
      <c r="B1746">
        <v>59271</v>
      </c>
      <c r="C1746" t="s">
        <v>1786</v>
      </c>
      <c r="D1746" t="s">
        <v>51</v>
      </c>
      <c r="E1746" t="s">
        <v>27</v>
      </c>
      <c r="F1746" s="1">
        <v>45052</v>
      </c>
      <c r="G1746" s="1">
        <v>45053</v>
      </c>
      <c r="H1746">
        <v>1</v>
      </c>
      <c r="I1746" t="s">
        <v>49</v>
      </c>
      <c r="J1746" t="s">
        <v>43</v>
      </c>
      <c r="K1746">
        <v>3</v>
      </c>
      <c r="L1746">
        <v>2</v>
      </c>
      <c r="M1746">
        <v>5</v>
      </c>
      <c r="N1746">
        <v>4</v>
      </c>
      <c r="O1746">
        <v>2</v>
      </c>
      <c r="P1746">
        <v>3</v>
      </c>
      <c r="Q1746">
        <v>1</v>
      </c>
      <c r="R1746">
        <v>5</v>
      </c>
      <c r="S1746">
        <v>4</v>
      </c>
      <c r="T1746">
        <v>4</v>
      </c>
      <c r="U1746" t="s">
        <v>30</v>
      </c>
      <c r="V1746" t="s">
        <v>38</v>
      </c>
      <c r="W1746" t="s">
        <v>56</v>
      </c>
      <c r="X1746" t="s">
        <v>40</v>
      </c>
      <c r="Y1746">
        <v>69</v>
      </c>
      <c r="Z1746" s="1">
        <v>45082</v>
      </c>
      <c r="AA1746" t="str" cm="1">
        <f t="array" ref="AA1746">_xlfn.IFS(AND(Table2[[#This Row],[Guest_Age]]&gt;=18,Table2[[#This Row],[Guest_Age]]&lt;=25),"Young Adults",AND(Table2[[#This Row],[Guest_Age]]&gt;=26,Table2[[#This Row],[Guest_Age]]&lt;=35),"Adults",AND(Table2[[#This Row],[Guest_Age]]&gt;=36,Table2[[#This Row],[Guest_Age]]&lt;=50),"Middle Aged Adults",Table2[[#This Row],[Guest_Age]]&gt;50,"Senior")</f>
        <v>Senior</v>
      </c>
      <c r="AB17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46" t="str" cm="1">
        <f t="array" ref="AC1746">_xlfn.IFS(Table2[[#This Row],[Satification_points]]&gt;=4.5,"GREAT",AND(Table2[[#This Row],[Satification_points]]&gt;=4,Table2[[#This Row],[Satification_points]]&lt;4.5),"GOOD",AND(Table2[[#This Row],[Satification_points]]&gt;=3,Table2[[#This Row],[Satification_points]]&lt;4),"AVERAGE",Table2[[#This Row],[Satification_points]]&lt;3,"POOR")</f>
        <v>AVERAGE</v>
      </c>
    </row>
    <row r="1747" spans="1:29" x14ac:dyDescent="0.3">
      <c r="A1747">
        <v>1746</v>
      </c>
      <c r="B1747">
        <v>62436</v>
      </c>
      <c r="C1747" t="s">
        <v>1787</v>
      </c>
      <c r="D1747" t="s">
        <v>34</v>
      </c>
      <c r="E1747" t="s">
        <v>35</v>
      </c>
      <c r="F1747" s="1">
        <v>44977</v>
      </c>
      <c r="G1747" s="1">
        <v>45471</v>
      </c>
      <c r="H1747">
        <v>1</v>
      </c>
      <c r="I1747" t="s">
        <v>49</v>
      </c>
      <c r="J1747" t="s">
        <v>53</v>
      </c>
      <c r="K1747">
        <v>1</v>
      </c>
      <c r="L1747">
        <v>5</v>
      </c>
      <c r="M1747">
        <v>1</v>
      </c>
      <c r="N1747">
        <v>5</v>
      </c>
      <c r="O1747">
        <v>5</v>
      </c>
      <c r="P1747">
        <v>1</v>
      </c>
      <c r="Q1747">
        <v>2</v>
      </c>
      <c r="R1747">
        <v>3</v>
      </c>
      <c r="S1747">
        <v>1</v>
      </c>
      <c r="T1747">
        <v>1</v>
      </c>
      <c r="U1747" t="s">
        <v>37</v>
      </c>
      <c r="V1747" t="s">
        <v>31</v>
      </c>
      <c r="W1747" t="s">
        <v>47</v>
      </c>
      <c r="X1747" t="s">
        <v>33</v>
      </c>
      <c r="Y1747">
        <v>39</v>
      </c>
      <c r="Z1747" s="1">
        <v>45471</v>
      </c>
      <c r="AA1747" t="str" cm="1">
        <f t="array" ref="AA174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47" t="str" cm="1">
        <f t="array" ref="AC1747">_xlfn.IFS(Table2[[#This Row],[Satification_points]]&gt;=4.5,"GREAT",AND(Table2[[#This Row],[Satification_points]]&gt;=4,Table2[[#This Row],[Satification_points]]&lt;4.5),"GOOD",AND(Table2[[#This Row],[Satification_points]]&gt;=3,Table2[[#This Row],[Satification_points]]&lt;4),"AVERAGE",Table2[[#This Row],[Satification_points]]&lt;3,"POOR")</f>
        <v>POOR</v>
      </c>
    </row>
    <row r="1748" spans="1:29" x14ac:dyDescent="0.3">
      <c r="A1748">
        <v>1747</v>
      </c>
      <c r="B1748">
        <v>50676</v>
      </c>
      <c r="C1748" t="s">
        <v>1788</v>
      </c>
      <c r="D1748" t="s">
        <v>51</v>
      </c>
      <c r="E1748" t="s">
        <v>52</v>
      </c>
      <c r="F1748" s="1">
        <v>45345</v>
      </c>
      <c r="G1748" s="1">
        <v>45490</v>
      </c>
      <c r="H1748">
        <v>8</v>
      </c>
      <c r="I1748" t="s">
        <v>50</v>
      </c>
      <c r="J1748" t="s">
        <v>29</v>
      </c>
      <c r="K1748">
        <v>4</v>
      </c>
      <c r="L1748">
        <v>5</v>
      </c>
      <c r="M1748">
        <v>1</v>
      </c>
      <c r="N1748">
        <v>1</v>
      </c>
      <c r="O1748">
        <v>1</v>
      </c>
      <c r="P1748">
        <v>4</v>
      </c>
      <c r="Q1748">
        <v>5</v>
      </c>
      <c r="R1748">
        <v>1</v>
      </c>
      <c r="S1748">
        <v>3</v>
      </c>
      <c r="T1748">
        <v>2</v>
      </c>
      <c r="U1748" t="s">
        <v>30</v>
      </c>
      <c r="V1748" t="s">
        <v>46</v>
      </c>
      <c r="W1748" t="s">
        <v>55</v>
      </c>
      <c r="X1748" t="s">
        <v>40</v>
      </c>
      <c r="Y1748">
        <v>31</v>
      </c>
      <c r="Z1748" s="1">
        <v>45490</v>
      </c>
      <c r="AA1748" t="str" cm="1">
        <f t="array" ref="AA1748">_xlfn.IFS(AND(Table2[[#This Row],[Guest_Age]]&gt;=18,Table2[[#This Row],[Guest_Age]]&lt;=25),"Young Adults",AND(Table2[[#This Row],[Guest_Age]]&gt;=26,Table2[[#This Row],[Guest_Age]]&lt;=35),"Adults",AND(Table2[[#This Row],[Guest_Age]]&gt;=36,Table2[[#This Row],[Guest_Age]]&lt;=50),"Middle Aged Adults",Table2[[#This Row],[Guest_Age]]&gt;50,"Senior")</f>
        <v>Adults</v>
      </c>
      <c r="AB17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48" t="str" cm="1">
        <f t="array" ref="AC1748">_xlfn.IFS(Table2[[#This Row],[Satification_points]]&gt;=4.5,"GREAT",AND(Table2[[#This Row],[Satification_points]]&gt;=4,Table2[[#This Row],[Satification_points]]&lt;4.5),"GOOD",AND(Table2[[#This Row],[Satification_points]]&gt;=3,Table2[[#This Row],[Satification_points]]&lt;4),"AVERAGE",Table2[[#This Row],[Satification_points]]&lt;3,"POOR")</f>
        <v>POOR</v>
      </c>
    </row>
    <row r="1749" spans="1:29" x14ac:dyDescent="0.3">
      <c r="A1749">
        <v>1748</v>
      </c>
      <c r="B1749">
        <v>62406</v>
      </c>
      <c r="C1749" t="s">
        <v>1789</v>
      </c>
      <c r="D1749" t="s">
        <v>34</v>
      </c>
      <c r="E1749" t="s">
        <v>35</v>
      </c>
      <c r="F1749" s="1">
        <v>45628</v>
      </c>
      <c r="G1749" s="1">
        <v>45629</v>
      </c>
      <c r="H1749">
        <v>8</v>
      </c>
      <c r="I1749" t="s">
        <v>28</v>
      </c>
      <c r="J1749" t="s">
        <v>53</v>
      </c>
      <c r="K1749">
        <v>1</v>
      </c>
      <c r="L1749">
        <v>4</v>
      </c>
      <c r="M1749">
        <v>5</v>
      </c>
      <c r="N1749">
        <v>4</v>
      </c>
      <c r="O1749">
        <v>5</v>
      </c>
      <c r="P1749">
        <v>3</v>
      </c>
      <c r="Q1749">
        <v>4</v>
      </c>
      <c r="R1749">
        <v>5</v>
      </c>
      <c r="S1749">
        <v>2</v>
      </c>
      <c r="T1749">
        <v>2</v>
      </c>
      <c r="U1749" t="s">
        <v>30</v>
      </c>
      <c r="V1749" t="s">
        <v>58</v>
      </c>
      <c r="W1749" t="s">
        <v>47</v>
      </c>
      <c r="X1749" t="s">
        <v>40</v>
      </c>
      <c r="Y1749">
        <v>30</v>
      </c>
      <c r="Z1749" s="1">
        <v>45629</v>
      </c>
      <c r="AA1749" t="str" cm="1">
        <f t="array" ref="AA1749">_xlfn.IFS(AND(Table2[[#This Row],[Guest_Age]]&gt;=18,Table2[[#This Row],[Guest_Age]]&lt;=25),"Young Adults",AND(Table2[[#This Row],[Guest_Age]]&gt;=26,Table2[[#This Row],[Guest_Age]]&lt;=35),"Adults",AND(Table2[[#This Row],[Guest_Age]]&gt;=36,Table2[[#This Row],[Guest_Age]]&lt;=50),"Middle Aged Adults",Table2[[#This Row],[Guest_Age]]&gt;50,"Senior")</f>
        <v>Adults</v>
      </c>
      <c r="AB17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749" t="str" cm="1">
        <f t="array" ref="AC1749">_xlfn.IFS(Table2[[#This Row],[Satification_points]]&gt;=4.5,"GREAT",AND(Table2[[#This Row],[Satification_points]]&gt;=4,Table2[[#This Row],[Satification_points]]&lt;4.5),"GOOD",AND(Table2[[#This Row],[Satification_points]]&gt;=3,Table2[[#This Row],[Satification_points]]&lt;4),"AVERAGE",Table2[[#This Row],[Satification_points]]&lt;3,"POOR")</f>
        <v>AVERAGE</v>
      </c>
    </row>
    <row r="1750" spans="1:29" x14ac:dyDescent="0.3">
      <c r="A1750">
        <v>1749</v>
      </c>
      <c r="B1750">
        <v>73109</v>
      </c>
      <c r="C1750" t="s">
        <v>1790</v>
      </c>
      <c r="D1750" t="s">
        <v>41</v>
      </c>
      <c r="E1750" t="s">
        <v>35</v>
      </c>
      <c r="F1750" s="1">
        <v>44977</v>
      </c>
      <c r="G1750" s="1">
        <v>45505</v>
      </c>
      <c r="H1750">
        <v>6</v>
      </c>
      <c r="I1750" t="s">
        <v>42</v>
      </c>
      <c r="J1750" t="s">
        <v>36</v>
      </c>
      <c r="K1750">
        <v>2</v>
      </c>
      <c r="L1750">
        <v>3</v>
      </c>
      <c r="M1750">
        <v>2</v>
      </c>
      <c r="N1750">
        <v>5</v>
      </c>
      <c r="O1750">
        <v>5</v>
      </c>
      <c r="P1750">
        <v>5</v>
      </c>
      <c r="Q1750">
        <v>5</v>
      </c>
      <c r="R1750">
        <v>3</v>
      </c>
      <c r="S1750">
        <v>4</v>
      </c>
      <c r="T1750">
        <v>3</v>
      </c>
      <c r="U1750" t="s">
        <v>30</v>
      </c>
      <c r="V1750" t="s">
        <v>46</v>
      </c>
      <c r="W1750" t="s">
        <v>56</v>
      </c>
      <c r="X1750" t="s">
        <v>44</v>
      </c>
      <c r="Y1750">
        <v>39</v>
      </c>
      <c r="Z1750" s="1">
        <v>45505</v>
      </c>
      <c r="AA1750" t="str" cm="1">
        <f t="array" ref="AA17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750" t="str" cm="1">
        <f t="array" ref="AC1750">_xlfn.IFS(Table2[[#This Row],[Satification_points]]&gt;=4.5,"GREAT",AND(Table2[[#This Row],[Satification_points]]&gt;=4,Table2[[#This Row],[Satification_points]]&lt;4.5),"GOOD",AND(Table2[[#This Row],[Satification_points]]&gt;=3,Table2[[#This Row],[Satification_points]]&lt;4),"AVERAGE",Table2[[#This Row],[Satification_points]]&lt;3,"POOR")</f>
        <v>AVERAGE</v>
      </c>
    </row>
    <row r="1751" spans="1:29" x14ac:dyDescent="0.3">
      <c r="A1751">
        <v>1750</v>
      </c>
      <c r="B1751">
        <v>40173</v>
      </c>
      <c r="C1751" t="s">
        <v>1791</v>
      </c>
      <c r="D1751" t="s">
        <v>51</v>
      </c>
      <c r="E1751" t="s">
        <v>57</v>
      </c>
      <c r="F1751" s="1">
        <v>45397</v>
      </c>
      <c r="G1751" s="1">
        <v>45470</v>
      </c>
      <c r="H1751">
        <v>11</v>
      </c>
      <c r="I1751" t="s">
        <v>49</v>
      </c>
      <c r="J1751" t="s">
        <v>36</v>
      </c>
      <c r="K1751">
        <v>2</v>
      </c>
      <c r="L1751">
        <v>1</v>
      </c>
      <c r="M1751">
        <v>5</v>
      </c>
      <c r="N1751">
        <v>2</v>
      </c>
      <c r="O1751">
        <v>3</v>
      </c>
      <c r="P1751">
        <v>2</v>
      </c>
      <c r="Q1751">
        <v>4</v>
      </c>
      <c r="R1751">
        <v>3</v>
      </c>
      <c r="S1751">
        <v>2</v>
      </c>
      <c r="T1751">
        <v>5</v>
      </c>
      <c r="U1751" t="s">
        <v>37</v>
      </c>
      <c r="V1751" t="s">
        <v>38</v>
      </c>
      <c r="W1751" t="s">
        <v>47</v>
      </c>
      <c r="X1751" t="s">
        <v>44</v>
      </c>
      <c r="Y1751">
        <v>24</v>
      </c>
      <c r="Z1751" s="1">
        <v>45470</v>
      </c>
      <c r="AA1751" t="str" cm="1">
        <f t="array" ref="AA1751">_xlfn.IFS(AND(Table2[[#This Row],[Guest_Age]]&gt;=18,Table2[[#This Row],[Guest_Age]]&lt;=25),"Young Adults",AND(Table2[[#This Row],[Guest_Age]]&gt;=26,Table2[[#This Row],[Guest_Age]]&lt;=35),"Adults",AND(Table2[[#This Row],[Guest_Age]]&gt;=36,Table2[[#This Row],[Guest_Age]]&lt;=50),"Middle Aged Adults",Table2[[#This Row],[Guest_Age]]&gt;50,"Senior")</f>
        <v>Young Adults</v>
      </c>
      <c r="AB17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51" t="str" cm="1">
        <f t="array" ref="AC1751">_xlfn.IFS(Table2[[#This Row],[Satification_points]]&gt;=4.5,"GREAT",AND(Table2[[#This Row],[Satification_points]]&gt;=4,Table2[[#This Row],[Satification_points]]&lt;4.5),"GOOD",AND(Table2[[#This Row],[Satification_points]]&gt;=3,Table2[[#This Row],[Satification_points]]&lt;4),"AVERAGE",Table2[[#This Row],[Satification_points]]&lt;3,"POOR")</f>
        <v>POOR</v>
      </c>
    </row>
    <row r="1752" spans="1:29" x14ac:dyDescent="0.3">
      <c r="A1752">
        <v>1751</v>
      </c>
      <c r="B1752">
        <v>91791</v>
      </c>
      <c r="C1752" t="s">
        <v>1792</v>
      </c>
      <c r="D1752" t="s">
        <v>26</v>
      </c>
      <c r="E1752" t="s">
        <v>27</v>
      </c>
      <c r="F1752" s="1">
        <v>45302</v>
      </c>
      <c r="G1752" s="1">
        <v>45303</v>
      </c>
      <c r="H1752">
        <v>9</v>
      </c>
      <c r="I1752" t="s">
        <v>28</v>
      </c>
      <c r="J1752" t="s">
        <v>29</v>
      </c>
      <c r="K1752">
        <v>2</v>
      </c>
      <c r="L1752">
        <v>2</v>
      </c>
      <c r="M1752">
        <v>5</v>
      </c>
      <c r="N1752">
        <v>2</v>
      </c>
      <c r="O1752">
        <v>1</v>
      </c>
      <c r="P1752">
        <v>2</v>
      </c>
      <c r="Q1752">
        <v>1</v>
      </c>
      <c r="R1752">
        <v>1</v>
      </c>
      <c r="S1752">
        <v>4</v>
      </c>
      <c r="T1752">
        <v>3</v>
      </c>
      <c r="U1752" t="s">
        <v>37</v>
      </c>
      <c r="V1752" t="s">
        <v>38</v>
      </c>
      <c r="W1752" t="s">
        <v>55</v>
      </c>
      <c r="X1752" t="s">
        <v>33</v>
      </c>
      <c r="Y1752">
        <v>55</v>
      </c>
      <c r="Z1752" s="1">
        <v>45303</v>
      </c>
      <c r="AA1752" t="str" cm="1">
        <f t="array" ref="AA1752">_xlfn.IFS(AND(Table2[[#This Row],[Guest_Age]]&gt;=18,Table2[[#This Row],[Guest_Age]]&lt;=25),"Young Adults",AND(Table2[[#This Row],[Guest_Age]]&gt;=26,Table2[[#This Row],[Guest_Age]]&lt;=35),"Adults",AND(Table2[[#This Row],[Guest_Age]]&gt;=36,Table2[[#This Row],[Guest_Age]]&lt;=50),"Middle Aged Adults",Table2[[#This Row],[Guest_Age]]&gt;50,"Senior")</f>
        <v>Senior</v>
      </c>
      <c r="AB17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752" t="str" cm="1">
        <f t="array" ref="AC1752">_xlfn.IFS(Table2[[#This Row],[Satification_points]]&gt;=4.5,"GREAT",AND(Table2[[#This Row],[Satification_points]]&gt;=4,Table2[[#This Row],[Satification_points]]&lt;4.5),"GOOD",AND(Table2[[#This Row],[Satification_points]]&gt;=3,Table2[[#This Row],[Satification_points]]&lt;4),"AVERAGE",Table2[[#This Row],[Satification_points]]&lt;3,"POOR")</f>
        <v>POOR</v>
      </c>
    </row>
    <row r="1753" spans="1:29" x14ac:dyDescent="0.3">
      <c r="A1753">
        <v>1752</v>
      </c>
      <c r="B1753">
        <v>14459</v>
      </c>
      <c r="C1753" t="s">
        <v>1793</v>
      </c>
      <c r="D1753" t="s">
        <v>26</v>
      </c>
      <c r="E1753" t="s">
        <v>45</v>
      </c>
      <c r="F1753" s="1">
        <v>45291</v>
      </c>
      <c r="G1753" s="1">
        <v>45292</v>
      </c>
      <c r="H1753">
        <v>1</v>
      </c>
      <c r="I1753" t="s">
        <v>28</v>
      </c>
      <c r="J1753" t="s">
        <v>53</v>
      </c>
      <c r="K1753">
        <v>1</v>
      </c>
      <c r="L1753">
        <v>5</v>
      </c>
      <c r="M1753">
        <v>5</v>
      </c>
      <c r="N1753">
        <v>3</v>
      </c>
      <c r="O1753">
        <v>2</v>
      </c>
      <c r="P1753">
        <v>4</v>
      </c>
      <c r="Q1753">
        <v>3</v>
      </c>
      <c r="R1753">
        <v>1</v>
      </c>
      <c r="S1753">
        <v>3</v>
      </c>
      <c r="T1753">
        <v>4</v>
      </c>
      <c r="U1753" t="s">
        <v>30</v>
      </c>
      <c r="V1753" t="s">
        <v>38</v>
      </c>
      <c r="W1753" t="s">
        <v>47</v>
      </c>
      <c r="X1753" t="s">
        <v>40</v>
      </c>
      <c r="Y1753">
        <v>18</v>
      </c>
      <c r="Z1753" s="1">
        <v>45572</v>
      </c>
      <c r="AA1753" t="str" cm="1">
        <f t="array" ref="AA1753">_xlfn.IFS(AND(Table2[[#This Row],[Guest_Age]]&gt;=18,Table2[[#This Row],[Guest_Age]]&lt;=25),"Young Adults",AND(Table2[[#This Row],[Guest_Age]]&gt;=26,Table2[[#This Row],[Guest_Age]]&lt;=35),"Adults",AND(Table2[[#This Row],[Guest_Age]]&gt;=36,Table2[[#This Row],[Guest_Age]]&lt;=50),"Middle Aged Adults",Table2[[#This Row],[Guest_Age]]&gt;50,"Senior")</f>
        <v>Young Adults</v>
      </c>
      <c r="AB17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53" t="str" cm="1">
        <f t="array" ref="AC1753">_xlfn.IFS(Table2[[#This Row],[Satification_points]]&gt;=4.5,"GREAT",AND(Table2[[#This Row],[Satification_points]]&gt;=4,Table2[[#This Row],[Satification_points]]&lt;4.5),"GOOD",AND(Table2[[#This Row],[Satification_points]]&gt;=3,Table2[[#This Row],[Satification_points]]&lt;4),"AVERAGE",Table2[[#This Row],[Satification_points]]&lt;3,"POOR")</f>
        <v>AVERAGE</v>
      </c>
    </row>
    <row r="1754" spans="1:29" x14ac:dyDescent="0.3">
      <c r="A1754">
        <v>1753</v>
      </c>
      <c r="B1754">
        <v>97485</v>
      </c>
      <c r="C1754" t="s">
        <v>1794</v>
      </c>
      <c r="D1754" t="s">
        <v>34</v>
      </c>
      <c r="E1754" t="s">
        <v>35</v>
      </c>
      <c r="F1754" s="1">
        <v>45158</v>
      </c>
      <c r="G1754" s="1">
        <v>45159</v>
      </c>
      <c r="H1754">
        <v>10</v>
      </c>
      <c r="I1754" t="s">
        <v>28</v>
      </c>
      <c r="J1754" t="s">
        <v>53</v>
      </c>
      <c r="K1754">
        <v>2</v>
      </c>
      <c r="L1754">
        <v>3</v>
      </c>
      <c r="M1754">
        <v>4</v>
      </c>
      <c r="N1754">
        <v>4</v>
      </c>
      <c r="O1754">
        <v>1</v>
      </c>
      <c r="P1754">
        <v>1</v>
      </c>
      <c r="Q1754">
        <v>5</v>
      </c>
      <c r="R1754">
        <v>3</v>
      </c>
      <c r="S1754">
        <v>4</v>
      </c>
      <c r="T1754">
        <v>1</v>
      </c>
      <c r="U1754" t="s">
        <v>37</v>
      </c>
      <c r="V1754" t="s">
        <v>46</v>
      </c>
      <c r="W1754" t="s">
        <v>32</v>
      </c>
      <c r="X1754" t="s">
        <v>40</v>
      </c>
      <c r="Y1754">
        <v>68</v>
      </c>
      <c r="Z1754" s="1">
        <v>45159</v>
      </c>
      <c r="AA1754" t="str" cm="1">
        <f t="array" ref="AA1754">_xlfn.IFS(AND(Table2[[#This Row],[Guest_Age]]&gt;=18,Table2[[#This Row],[Guest_Age]]&lt;=25),"Young Adults",AND(Table2[[#This Row],[Guest_Age]]&gt;=26,Table2[[#This Row],[Guest_Age]]&lt;=35),"Adults",AND(Table2[[#This Row],[Guest_Age]]&gt;=36,Table2[[#This Row],[Guest_Age]]&lt;=50),"Middle Aged Adults",Table2[[#This Row],[Guest_Age]]&gt;50,"Senior")</f>
        <v>Senior</v>
      </c>
      <c r="AB17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54" t="str" cm="1">
        <f t="array" ref="AC1754">_xlfn.IFS(Table2[[#This Row],[Satification_points]]&gt;=4.5,"GREAT",AND(Table2[[#This Row],[Satification_points]]&gt;=4,Table2[[#This Row],[Satification_points]]&lt;4.5),"GOOD",AND(Table2[[#This Row],[Satification_points]]&gt;=3,Table2[[#This Row],[Satification_points]]&lt;4),"AVERAGE",Table2[[#This Row],[Satification_points]]&lt;3,"POOR")</f>
        <v>POOR</v>
      </c>
    </row>
    <row r="1755" spans="1:29" x14ac:dyDescent="0.3">
      <c r="A1755">
        <v>1754</v>
      </c>
      <c r="B1755">
        <v>77504</v>
      </c>
      <c r="C1755" t="s">
        <v>1795</v>
      </c>
      <c r="D1755" t="s">
        <v>41</v>
      </c>
      <c r="E1755" t="s">
        <v>57</v>
      </c>
      <c r="F1755" s="1">
        <v>45616</v>
      </c>
      <c r="G1755" s="1">
        <v>45617</v>
      </c>
      <c r="H1755">
        <v>8</v>
      </c>
      <c r="I1755" t="s">
        <v>49</v>
      </c>
      <c r="J1755" t="s">
        <v>36</v>
      </c>
      <c r="K1755">
        <v>5</v>
      </c>
      <c r="L1755">
        <v>1</v>
      </c>
      <c r="M1755">
        <v>2</v>
      </c>
      <c r="N1755">
        <v>1</v>
      </c>
      <c r="O1755">
        <v>2</v>
      </c>
      <c r="P1755">
        <v>2</v>
      </c>
      <c r="Q1755">
        <v>2</v>
      </c>
      <c r="R1755">
        <v>2</v>
      </c>
      <c r="S1755">
        <v>3</v>
      </c>
      <c r="T1755">
        <v>4</v>
      </c>
      <c r="U1755" t="s">
        <v>37</v>
      </c>
      <c r="V1755" t="s">
        <v>46</v>
      </c>
      <c r="W1755" t="s">
        <v>39</v>
      </c>
      <c r="X1755" t="s">
        <v>33</v>
      </c>
      <c r="Y1755">
        <v>50</v>
      </c>
      <c r="Z1755" s="1">
        <v>45617</v>
      </c>
      <c r="AA1755" t="str" cm="1">
        <f t="array" ref="AA175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55" t="str" cm="1">
        <f t="array" ref="AC1755">_xlfn.IFS(Table2[[#This Row],[Satification_points]]&gt;=4.5,"GREAT",AND(Table2[[#This Row],[Satification_points]]&gt;=4,Table2[[#This Row],[Satification_points]]&lt;4.5),"GOOD",AND(Table2[[#This Row],[Satification_points]]&gt;=3,Table2[[#This Row],[Satification_points]]&lt;4),"AVERAGE",Table2[[#This Row],[Satification_points]]&lt;3,"POOR")</f>
        <v>POOR</v>
      </c>
    </row>
    <row r="1756" spans="1:29" x14ac:dyDescent="0.3">
      <c r="A1756">
        <v>1755</v>
      </c>
      <c r="B1756">
        <v>45299</v>
      </c>
      <c r="C1756" t="s">
        <v>1796</v>
      </c>
      <c r="D1756" t="s">
        <v>51</v>
      </c>
      <c r="E1756" t="s">
        <v>52</v>
      </c>
      <c r="F1756" s="1">
        <v>45596</v>
      </c>
      <c r="G1756" s="1">
        <v>45597</v>
      </c>
      <c r="H1756">
        <v>2</v>
      </c>
      <c r="I1756" t="s">
        <v>49</v>
      </c>
      <c r="J1756" t="s">
        <v>29</v>
      </c>
      <c r="K1756">
        <v>3</v>
      </c>
      <c r="L1756">
        <v>2</v>
      </c>
      <c r="M1756">
        <v>3</v>
      </c>
      <c r="N1756">
        <v>3</v>
      </c>
      <c r="O1756">
        <v>3</v>
      </c>
      <c r="P1756">
        <v>5</v>
      </c>
      <c r="Q1756">
        <v>5</v>
      </c>
      <c r="R1756">
        <v>5</v>
      </c>
      <c r="S1756">
        <v>2</v>
      </c>
      <c r="T1756">
        <v>5</v>
      </c>
      <c r="U1756" t="s">
        <v>30</v>
      </c>
      <c r="V1756" t="s">
        <v>46</v>
      </c>
      <c r="W1756" t="s">
        <v>55</v>
      </c>
      <c r="X1756" t="s">
        <v>44</v>
      </c>
      <c r="Y1756">
        <v>39</v>
      </c>
      <c r="Z1756" s="1">
        <v>45638</v>
      </c>
      <c r="AA1756" t="str" cm="1">
        <f t="array" ref="AA17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756" t="str" cm="1">
        <f t="array" ref="AC1756">_xlfn.IFS(Table2[[#This Row],[Satification_points]]&gt;=4.5,"GREAT",AND(Table2[[#This Row],[Satification_points]]&gt;=4,Table2[[#This Row],[Satification_points]]&lt;4.5),"GOOD",AND(Table2[[#This Row],[Satification_points]]&gt;=3,Table2[[#This Row],[Satification_points]]&lt;4),"AVERAGE",Table2[[#This Row],[Satification_points]]&lt;3,"POOR")</f>
        <v>AVERAGE</v>
      </c>
    </row>
    <row r="1757" spans="1:29" x14ac:dyDescent="0.3">
      <c r="A1757">
        <v>1756</v>
      </c>
      <c r="B1757">
        <v>61081</v>
      </c>
      <c r="C1757" t="s">
        <v>1797</v>
      </c>
      <c r="D1757" t="s">
        <v>48</v>
      </c>
      <c r="E1757" t="s">
        <v>45</v>
      </c>
      <c r="F1757" s="1">
        <v>45585</v>
      </c>
      <c r="G1757" s="1">
        <v>45629</v>
      </c>
      <c r="H1757">
        <v>8</v>
      </c>
      <c r="I1757" t="s">
        <v>49</v>
      </c>
      <c r="J1757" t="s">
        <v>36</v>
      </c>
      <c r="K1757">
        <v>2</v>
      </c>
      <c r="L1757">
        <v>3</v>
      </c>
      <c r="M1757">
        <v>1</v>
      </c>
      <c r="N1757">
        <v>4</v>
      </c>
      <c r="O1757">
        <v>4</v>
      </c>
      <c r="P1757">
        <v>5</v>
      </c>
      <c r="Q1757">
        <v>3</v>
      </c>
      <c r="R1757">
        <v>3</v>
      </c>
      <c r="S1757">
        <v>2</v>
      </c>
      <c r="T1757">
        <v>2</v>
      </c>
      <c r="U1757" t="s">
        <v>37</v>
      </c>
      <c r="V1757" t="s">
        <v>31</v>
      </c>
      <c r="W1757" t="s">
        <v>55</v>
      </c>
      <c r="X1757" t="s">
        <v>40</v>
      </c>
      <c r="Y1757">
        <v>40</v>
      </c>
      <c r="Z1757" s="1">
        <v>45629</v>
      </c>
      <c r="AA1757" t="str" cm="1">
        <f t="array" ref="AA175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57" t="str" cm="1">
        <f t="array" ref="AC1757">_xlfn.IFS(Table2[[#This Row],[Satification_points]]&gt;=4.5,"GREAT",AND(Table2[[#This Row],[Satification_points]]&gt;=4,Table2[[#This Row],[Satification_points]]&lt;4.5),"GOOD",AND(Table2[[#This Row],[Satification_points]]&gt;=3,Table2[[#This Row],[Satification_points]]&lt;4),"AVERAGE",Table2[[#This Row],[Satification_points]]&lt;3,"POOR")</f>
        <v>POOR</v>
      </c>
    </row>
    <row r="1758" spans="1:29" x14ac:dyDescent="0.3">
      <c r="A1758">
        <v>1757</v>
      </c>
      <c r="B1758">
        <v>84491</v>
      </c>
      <c r="C1758" t="s">
        <v>1798</v>
      </c>
      <c r="D1758" t="s">
        <v>48</v>
      </c>
      <c r="E1758" t="s">
        <v>27</v>
      </c>
      <c r="F1758" s="1">
        <v>45406</v>
      </c>
      <c r="G1758" s="1">
        <v>45407</v>
      </c>
      <c r="H1758">
        <v>3</v>
      </c>
      <c r="I1758" t="s">
        <v>28</v>
      </c>
      <c r="J1758" t="s">
        <v>29</v>
      </c>
      <c r="K1758">
        <v>1</v>
      </c>
      <c r="L1758">
        <v>2</v>
      </c>
      <c r="M1758">
        <v>4</v>
      </c>
      <c r="N1758">
        <v>2</v>
      </c>
      <c r="O1758">
        <v>5</v>
      </c>
      <c r="P1758">
        <v>5</v>
      </c>
      <c r="Q1758">
        <v>1</v>
      </c>
      <c r="R1758">
        <v>1</v>
      </c>
      <c r="S1758">
        <v>2</v>
      </c>
      <c r="T1758">
        <v>5</v>
      </c>
      <c r="U1758" t="s">
        <v>37</v>
      </c>
      <c r="V1758" t="s">
        <v>46</v>
      </c>
      <c r="W1758" t="s">
        <v>55</v>
      </c>
      <c r="X1758" t="s">
        <v>40</v>
      </c>
      <c r="Y1758">
        <v>32</v>
      </c>
      <c r="Z1758" s="1">
        <v>45565</v>
      </c>
      <c r="AA1758" t="str" cm="1">
        <f t="array" ref="AA1758">_xlfn.IFS(AND(Table2[[#This Row],[Guest_Age]]&gt;=18,Table2[[#This Row],[Guest_Age]]&lt;=25),"Young Adults",AND(Table2[[#This Row],[Guest_Age]]&gt;=26,Table2[[#This Row],[Guest_Age]]&lt;=35),"Adults",AND(Table2[[#This Row],[Guest_Age]]&gt;=36,Table2[[#This Row],[Guest_Age]]&lt;=50),"Middle Aged Adults",Table2[[#This Row],[Guest_Age]]&gt;50,"Senior")</f>
        <v>Adults</v>
      </c>
      <c r="AB17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58" t="str" cm="1">
        <f t="array" ref="AC1758">_xlfn.IFS(Table2[[#This Row],[Satification_points]]&gt;=4.5,"GREAT",AND(Table2[[#This Row],[Satification_points]]&gt;=4,Table2[[#This Row],[Satification_points]]&lt;4.5),"GOOD",AND(Table2[[#This Row],[Satification_points]]&gt;=3,Table2[[#This Row],[Satification_points]]&lt;4),"AVERAGE",Table2[[#This Row],[Satification_points]]&lt;3,"POOR")</f>
        <v>POOR</v>
      </c>
    </row>
    <row r="1759" spans="1:29" x14ac:dyDescent="0.3">
      <c r="A1759">
        <v>1758</v>
      </c>
      <c r="B1759">
        <v>64428</v>
      </c>
      <c r="C1759" t="s">
        <v>1799</v>
      </c>
      <c r="D1759" t="s">
        <v>26</v>
      </c>
      <c r="E1759" t="s">
        <v>57</v>
      </c>
      <c r="F1759" s="1">
        <v>45232</v>
      </c>
      <c r="G1759" s="1">
        <v>45233</v>
      </c>
      <c r="H1759">
        <v>6</v>
      </c>
      <c r="I1759" t="s">
        <v>42</v>
      </c>
      <c r="J1759" t="s">
        <v>36</v>
      </c>
      <c r="K1759">
        <v>2</v>
      </c>
      <c r="L1759">
        <v>4</v>
      </c>
      <c r="M1759">
        <v>2</v>
      </c>
      <c r="N1759">
        <v>1</v>
      </c>
      <c r="O1759">
        <v>3</v>
      </c>
      <c r="P1759">
        <v>2</v>
      </c>
      <c r="Q1759">
        <v>2</v>
      </c>
      <c r="R1759">
        <v>5</v>
      </c>
      <c r="S1759">
        <v>3</v>
      </c>
      <c r="T1759">
        <v>4</v>
      </c>
      <c r="U1759" t="s">
        <v>37</v>
      </c>
      <c r="V1759" t="s">
        <v>54</v>
      </c>
      <c r="W1759" t="s">
        <v>32</v>
      </c>
      <c r="X1759" t="s">
        <v>40</v>
      </c>
      <c r="Y1759">
        <v>61</v>
      </c>
      <c r="Z1759" s="1">
        <v>45233</v>
      </c>
      <c r="AA1759" t="str" cm="1">
        <f t="array" ref="AA1759">_xlfn.IFS(AND(Table2[[#This Row],[Guest_Age]]&gt;=18,Table2[[#This Row],[Guest_Age]]&lt;=25),"Young Adults",AND(Table2[[#This Row],[Guest_Age]]&gt;=26,Table2[[#This Row],[Guest_Age]]&lt;=35),"Adults",AND(Table2[[#This Row],[Guest_Age]]&gt;=36,Table2[[#This Row],[Guest_Age]]&lt;=50),"Middle Aged Adults",Table2[[#This Row],[Guest_Age]]&gt;50,"Senior")</f>
        <v>Senior</v>
      </c>
      <c r="AB17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59" t="str" cm="1">
        <f t="array" ref="AC1759">_xlfn.IFS(Table2[[#This Row],[Satification_points]]&gt;=4.5,"GREAT",AND(Table2[[#This Row],[Satification_points]]&gt;=4,Table2[[#This Row],[Satification_points]]&lt;4.5),"GOOD",AND(Table2[[#This Row],[Satification_points]]&gt;=3,Table2[[#This Row],[Satification_points]]&lt;4),"AVERAGE",Table2[[#This Row],[Satification_points]]&lt;3,"POOR")</f>
        <v>POOR</v>
      </c>
    </row>
    <row r="1760" spans="1:29" x14ac:dyDescent="0.3">
      <c r="A1760">
        <v>1759</v>
      </c>
      <c r="B1760">
        <v>64877</v>
      </c>
      <c r="C1760" t="s">
        <v>1800</v>
      </c>
      <c r="D1760" t="s">
        <v>51</v>
      </c>
      <c r="E1760" t="s">
        <v>45</v>
      </c>
      <c r="F1760" s="1">
        <v>45364</v>
      </c>
      <c r="G1760" s="1">
        <v>45365</v>
      </c>
      <c r="H1760">
        <v>7</v>
      </c>
      <c r="I1760" t="s">
        <v>50</v>
      </c>
      <c r="J1760" t="s">
        <v>40</v>
      </c>
      <c r="K1760">
        <v>1</v>
      </c>
      <c r="L1760">
        <v>2</v>
      </c>
      <c r="M1760">
        <v>5</v>
      </c>
      <c r="N1760">
        <v>2</v>
      </c>
      <c r="O1760">
        <v>5</v>
      </c>
      <c r="P1760">
        <v>3</v>
      </c>
      <c r="Q1760">
        <v>2</v>
      </c>
      <c r="R1760">
        <v>1</v>
      </c>
      <c r="S1760">
        <v>1</v>
      </c>
      <c r="T1760">
        <v>2</v>
      </c>
      <c r="U1760" t="s">
        <v>30</v>
      </c>
      <c r="V1760" t="s">
        <v>38</v>
      </c>
      <c r="W1760" t="s">
        <v>32</v>
      </c>
      <c r="X1760" t="s">
        <v>44</v>
      </c>
      <c r="Y1760">
        <v>32</v>
      </c>
      <c r="Z1760" s="1">
        <v>45648</v>
      </c>
      <c r="AA1760" t="str" cm="1">
        <f t="array" ref="AA1760">_xlfn.IFS(AND(Table2[[#This Row],[Guest_Age]]&gt;=18,Table2[[#This Row],[Guest_Age]]&lt;=25),"Young Adults",AND(Table2[[#This Row],[Guest_Age]]&gt;=26,Table2[[#This Row],[Guest_Age]]&lt;=35),"Adults",AND(Table2[[#This Row],[Guest_Age]]&gt;=36,Table2[[#This Row],[Guest_Age]]&lt;=50),"Middle Aged Adults",Table2[[#This Row],[Guest_Age]]&gt;50,"Senior")</f>
        <v>Adults</v>
      </c>
      <c r="AB17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60" t="str" cm="1">
        <f t="array" ref="AC1760">_xlfn.IFS(Table2[[#This Row],[Satification_points]]&gt;=4.5,"GREAT",AND(Table2[[#This Row],[Satification_points]]&gt;=4,Table2[[#This Row],[Satification_points]]&lt;4.5),"GOOD",AND(Table2[[#This Row],[Satification_points]]&gt;=3,Table2[[#This Row],[Satification_points]]&lt;4),"AVERAGE",Table2[[#This Row],[Satification_points]]&lt;3,"POOR")</f>
        <v>POOR</v>
      </c>
    </row>
    <row r="1761" spans="1:29" x14ac:dyDescent="0.3">
      <c r="A1761">
        <v>1760</v>
      </c>
      <c r="B1761">
        <v>38387</v>
      </c>
      <c r="C1761" t="s">
        <v>1801</v>
      </c>
      <c r="D1761" t="s">
        <v>48</v>
      </c>
      <c r="E1761" t="s">
        <v>27</v>
      </c>
      <c r="F1761" s="1">
        <v>45177</v>
      </c>
      <c r="G1761" s="1">
        <v>45352</v>
      </c>
      <c r="H1761">
        <v>3</v>
      </c>
      <c r="I1761" t="s">
        <v>42</v>
      </c>
      <c r="J1761" t="s">
        <v>53</v>
      </c>
      <c r="K1761">
        <v>3</v>
      </c>
      <c r="L1761">
        <v>4</v>
      </c>
      <c r="M1761">
        <v>4</v>
      </c>
      <c r="N1761">
        <v>4</v>
      </c>
      <c r="O1761">
        <v>2</v>
      </c>
      <c r="P1761">
        <v>5</v>
      </c>
      <c r="Q1761">
        <v>1</v>
      </c>
      <c r="R1761">
        <v>5</v>
      </c>
      <c r="S1761">
        <v>1</v>
      </c>
      <c r="T1761">
        <v>1</v>
      </c>
      <c r="U1761" t="s">
        <v>30</v>
      </c>
      <c r="V1761" t="s">
        <v>46</v>
      </c>
      <c r="W1761" t="s">
        <v>39</v>
      </c>
      <c r="X1761" t="s">
        <v>44</v>
      </c>
      <c r="Y1761">
        <v>48</v>
      </c>
      <c r="Z1761" s="1">
        <v>45562</v>
      </c>
      <c r="AA1761" t="str" cm="1">
        <f t="array" ref="AA17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61" t="str" cm="1">
        <f t="array" ref="AC1761">_xlfn.IFS(Table2[[#This Row],[Satification_points]]&gt;=4.5,"GREAT",AND(Table2[[#This Row],[Satification_points]]&gt;=4,Table2[[#This Row],[Satification_points]]&lt;4.5),"GOOD",AND(Table2[[#This Row],[Satification_points]]&gt;=3,Table2[[#This Row],[Satification_points]]&lt;4),"AVERAGE",Table2[[#This Row],[Satification_points]]&lt;3,"POOR")</f>
        <v>AVERAGE</v>
      </c>
    </row>
    <row r="1762" spans="1:29" x14ac:dyDescent="0.3">
      <c r="A1762">
        <v>1761</v>
      </c>
      <c r="B1762">
        <v>41084</v>
      </c>
      <c r="C1762" t="s">
        <v>1802</v>
      </c>
      <c r="D1762" t="s">
        <v>34</v>
      </c>
      <c r="E1762" t="s">
        <v>27</v>
      </c>
      <c r="F1762" s="1">
        <v>45268</v>
      </c>
      <c r="G1762" s="1">
        <v>45543</v>
      </c>
      <c r="H1762">
        <v>14</v>
      </c>
      <c r="I1762" t="s">
        <v>49</v>
      </c>
      <c r="J1762" t="s">
        <v>43</v>
      </c>
      <c r="K1762">
        <v>1</v>
      </c>
      <c r="L1762">
        <v>4</v>
      </c>
      <c r="M1762">
        <v>4</v>
      </c>
      <c r="N1762">
        <v>1</v>
      </c>
      <c r="O1762">
        <v>2</v>
      </c>
      <c r="P1762">
        <v>1</v>
      </c>
      <c r="Q1762">
        <v>5</v>
      </c>
      <c r="R1762">
        <v>3</v>
      </c>
      <c r="S1762">
        <v>4</v>
      </c>
      <c r="T1762">
        <v>3</v>
      </c>
      <c r="U1762" t="s">
        <v>37</v>
      </c>
      <c r="V1762" t="s">
        <v>31</v>
      </c>
      <c r="W1762" t="s">
        <v>56</v>
      </c>
      <c r="X1762" t="s">
        <v>33</v>
      </c>
      <c r="Y1762">
        <v>45</v>
      </c>
      <c r="Z1762" s="1">
        <v>45543</v>
      </c>
      <c r="AA1762" t="str" cm="1">
        <f t="array" ref="AA176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62" t="str" cm="1">
        <f t="array" ref="AC1762">_xlfn.IFS(Table2[[#This Row],[Satification_points]]&gt;=4.5,"GREAT",AND(Table2[[#This Row],[Satification_points]]&gt;=4,Table2[[#This Row],[Satification_points]]&lt;4.5),"GOOD",AND(Table2[[#This Row],[Satification_points]]&gt;=3,Table2[[#This Row],[Satification_points]]&lt;4),"AVERAGE",Table2[[#This Row],[Satification_points]]&lt;3,"POOR")</f>
        <v>POOR</v>
      </c>
    </row>
    <row r="1763" spans="1:29" x14ac:dyDescent="0.3">
      <c r="A1763">
        <v>1762</v>
      </c>
      <c r="B1763">
        <v>10901</v>
      </c>
      <c r="C1763" t="s">
        <v>1803</v>
      </c>
      <c r="D1763" t="s">
        <v>51</v>
      </c>
      <c r="E1763" t="s">
        <v>45</v>
      </c>
      <c r="F1763" s="1">
        <v>45058</v>
      </c>
      <c r="G1763" s="1">
        <v>45363</v>
      </c>
      <c r="H1763">
        <v>2</v>
      </c>
      <c r="I1763" t="s">
        <v>49</v>
      </c>
      <c r="J1763" t="s">
        <v>40</v>
      </c>
      <c r="K1763">
        <v>3</v>
      </c>
      <c r="L1763">
        <v>4</v>
      </c>
      <c r="M1763">
        <v>1</v>
      </c>
      <c r="N1763">
        <v>1</v>
      </c>
      <c r="O1763">
        <v>3</v>
      </c>
      <c r="P1763">
        <v>4</v>
      </c>
      <c r="Q1763">
        <v>2</v>
      </c>
      <c r="R1763">
        <v>4</v>
      </c>
      <c r="S1763">
        <v>2</v>
      </c>
      <c r="T1763">
        <v>1</v>
      </c>
      <c r="U1763" t="s">
        <v>37</v>
      </c>
      <c r="V1763" t="s">
        <v>58</v>
      </c>
      <c r="W1763" t="s">
        <v>39</v>
      </c>
      <c r="X1763" t="s">
        <v>44</v>
      </c>
      <c r="Y1763">
        <v>20</v>
      </c>
      <c r="Z1763" s="1">
        <v>45363</v>
      </c>
      <c r="AA1763" t="str" cm="1">
        <f t="array" ref="AA1763">_xlfn.IFS(AND(Table2[[#This Row],[Guest_Age]]&gt;=18,Table2[[#This Row],[Guest_Age]]&lt;=25),"Young Adults",AND(Table2[[#This Row],[Guest_Age]]&gt;=26,Table2[[#This Row],[Guest_Age]]&lt;=35),"Adults",AND(Table2[[#This Row],[Guest_Age]]&gt;=36,Table2[[#This Row],[Guest_Age]]&lt;=50),"Middle Aged Adults",Table2[[#This Row],[Guest_Age]]&gt;50,"Senior")</f>
        <v>Young Adults</v>
      </c>
      <c r="AB17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763" t="str" cm="1">
        <f t="array" ref="AC1763">_xlfn.IFS(Table2[[#This Row],[Satification_points]]&gt;=4.5,"GREAT",AND(Table2[[#This Row],[Satification_points]]&gt;=4,Table2[[#This Row],[Satification_points]]&lt;4.5),"GOOD",AND(Table2[[#This Row],[Satification_points]]&gt;=3,Table2[[#This Row],[Satification_points]]&lt;4),"AVERAGE",Table2[[#This Row],[Satification_points]]&lt;3,"POOR")</f>
        <v>POOR</v>
      </c>
    </row>
    <row r="1764" spans="1:29" x14ac:dyDescent="0.3">
      <c r="A1764">
        <v>1763</v>
      </c>
      <c r="B1764">
        <v>40905</v>
      </c>
      <c r="C1764" t="s">
        <v>1804</v>
      </c>
      <c r="D1764" t="s">
        <v>26</v>
      </c>
      <c r="E1764" t="s">
        <v>57</v>
      </c>
      <c r="F1764" s="1">
        <v>45450</v>
      </c>
      <c r="G1764" s="1">
        <v>45451</v>
      </c>
      <c r="H1764">
        <v>1</v>
      </c>
      <c r="I1764" t="s">
        <v>49</v>
      </c>
      <c r="J1764" t="s">
        <v>36</v>
      </c>
      <c r="K1764">
        <v>2</v>
      </c>
      <c r="L1764">
        <v>1</v>
      </c>
      <c r="M1764">
        <v>3</v>
      </c>
      <c r="N1764">
        <v>3</v>
      </c>
      <c r="O1764">
        <v>4</v>
      </c>
      <c r="P1764">
        <v>4</v>
      </c>
      <c r="Q1764">
        <v>5</v>
      </c>
      <c r="R1764">
        <v>4</v>
      </c>
      <c r="S1764">
        <v>1</v>
      </c>
      <c r="T1764">
        <v>3</v>
      </c>
      <c r="U1764" t="s">
        <v>37</v>
      </c>
      <c r="V1764" t="s">
        <v>38</v>
      </c>
      <c r="W1764" t="s">
        <v>55</v>
      </c>
      <c r="X1764" t="s">
        <v>44</v>
      </c>
      <c r="Y1764">
        <v>59</v>
      </c>
      <c r="Z1764" s="1">
        <v>45451</v>
      </c>
      <c r="AA1764" t="str" cm="1">
        <f t="array" ref="AA1764">_xlfn.IFS(AND(Table2[[#This Row],[Guest_Age]]&gt;=18,Table2[[#This Row],[Guest_Age]]&lt;=25),"Young Adults",AND(Table2[[#This Row],[Guest_Age]]&gt;=26,Table2[[#This Row],[Guest_Age]]&lt;=35),"Adults",AND(Table2[[#This Row],[Guest_Age]]&gt;=36,Table2[[#This Row],[Guest_Age]]&lt;=50),"Middle Aged Adults",Table2[[#This Row],[Guest_Age]]&gt;50,"Senior")</f>
        <v>Senior</v>
      </c>
      <c r="AB17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64" t="str" cm="1">
        <f t="array" ref="AC1764">_xlfn.IFS(Table2[[#This Row],[Satification_points]]&gt;=4.5,"GREAT",AND(Table2[[#This Row],[Satification_points]]&gt;=4,Table2[[#This Row],[Satification_points]]&lt;4.5),"GOOD",AND(Table2[[#This Row],[Satification_points]]&gt;=3,Table2[[#This Row],[Satification_points]]&lt;4),"AVERAGE",Table2[[#This Row],[Satification_points]]&lt;3,"POOR")</f>
        <v>AVERAGE</v>
      </c>
    </row>
    <row r="1765" spans="1:29" x14ac:dyDescent="0.3">
      <c r="A1765">
        <v>1764</v>
      </c>
      <c r="B1765">
        <v>48733</v>
      </c>
      <c r="C1765" t="s">
        <v>1805</v>
      </c>
      <c r="D1765" t="s">
        <v>41</v>
      </c>
      <c r="E1765" t="s">
        <v>45</v>
      </c>
      <c r="F1765" s="1">
        <v>45581</v>
      </c>
      <c r="G1765" s="1">
        <v>45582</v>
      </c>
      <c r="H1765">
        <v>14</v>
      </c>
      <c r="I1765" t="s">
        <v>42</v>
      </c>
      <c r="J1765" t="s">
        <v>29</v>
      </c>
      <c r="K1765">
        <v>5</v>
      </c>
      <c r="L1765">
        <v>1</v>
      </c>
      <c r="M1765">
        <v>2</v>
      </c>
      <c r="N1765">
        <v>1</v>
      </c>
      <c r="O1765">
        <v>4</v>
      </c>
      <c r="P1765">
        <v>4</v>
      </c>
      <c r="Q1765">
        <v>5</v>
      </c>
      <c r="R1765">
        <v>5</v>
      </c>
      <c r="S1765">
        <v>5</v>
      </c>
      <c r="T1765">
        <v>1</v>
      </c>
      <c r="U1765" t="s">
        <v>37</v>
      </c>
      <c r="V1765" t="s">
        <v>46</v>
      </c>
      <c r="W1765" t="s">
        <v>55</v>
      </c>
      <c r="X1765" t="s">
        <v>33</v>
      </c>
      <c r="Y1765">
        <v>42</v>
      </c>
      <c r="Z1765" s="1">
        <v>45582</v>
      </c>
      <c r="AA1765" t="str" cm="1">
        <f t="array" ref="AA176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65" t="str" cm="1">
        <f t="array" ref="AC1765">_xlfn.IFS(Table2[[#This Row],[Satification_points]]&gt;=4.5,"GREAT",AND(Table2[[#This Row],[Satification_points]]&gt;=4,Table2[[#This Row],[Satification_points]]&lt;4.5),"GOOD",AND(Table2[[#This Row],[Satification_points]]&gt;=3,Table2[[#This Row],[Satification_points]]&lt;4),"AVERAGE",Table2[[#This Row],[Satification_points]]&lt;3,"POOR")</f>
        <v>AVERAGE</v>
      </c>
    </row>
    <row r="1766" spans="1:29" x14ac:dyDescent="0.3">
      <c r="A1766">
        <v>1765</v>
      </c>
      <c r="B1766">
        <v>40999</v>
      </c>
      <c r="C1766" t="s">
        <v>1806</v>
      </c>
      <c r="D1766" t="s">
        <v>34</v>
      </c>
      <c r="E1766" t="s">
        <v>35</v>
      </c>
      <c r="F1766" s="1">
        <v>45432</v>
      </c>
      <c r="G1766" s="1">
        <v>45433</v>
      </c>
      <c r="H1766">
        <v>5</v>
      </c>
      <c r="I1766" t="s">
        <v>42</v>
      </c>
      <c r="J1766" t="s">
        <v>43</v>
      </c>
      <c r="K1766">
        <v>2</v>
      </c>
      <c r="L1766">
        <v>4</v>
      </c>
      <c r="M1766">
        <v>2</v>
      </c>
      <c r="N1766">
        <v>4</v>
      </c>
      <c r="O1766">
        <v>5</v>
      </c>
      <c r="P1766">
        <v>3</v>
      </c>
      <c r="Q1766">
        <v>1</v>
      </c>
      <c r="R1766">
        <v>1</v>
      </c>
      <c r="S1766">
        <v>2</v>
      </c>
      <c r="T1766">
        <v>2</v>
      </c>
      <c r="U1766" t="s">
        <v>37</v>
      </c>
      <c r="V1766" t="s">
        <v>46</v>
      </c>
      <c r="W1766" t="s">
        <v>55</v>
      </c>
      <c r="X1766" t="s">
        <v>33</v>
      </c>
      <c r="Y1766">
        <v>50</v>
      </c>
      <c r="Z1766" s="1">
        <v>45610</v>
      </c>
      <c r="AA1766" t="str" cm="1">
        <f t="array" ref="AA176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766" t="str" cm="1">
        <f t="array" ref="AC1766">_xlfn.IFS(Table2[[#This Row],[Satification_points]]&gt;=4.5,"GREAT",AND(Table2[[#This Row],[Satification_points]]&gt;=4,Table2[[#This Row],[Satification_points]]&lt;4.5),"GOOD",AND(Table2[[#This Row],[Satification_points]]&gt;=3,Table2[[#This Row],[Satification_points]]&lt;4),"AVERAGE",Table2[[#This Row],[Satification_points]]&lt;3,"POOR")</f>
        <v>POOR</v>
      </c>
    </row>
    <row r="1767" spans="1:29" x14ac:dyDescent="0.3">
      <c r="A1767">
        <v>1766</v>
      </c>
      <c r="B1767">
        <v>66584</v>
      </c>
      <c r="C1767" t="s">
        <v>1807</v>
      </c>
      <c r="D1767" t="s">
        <v>34</v>
      </c>
      <c r="E1767" t="s">
        <v>27</v>
      </c>
      <c r="F1767" s="1">
        <v>45325</v>
      </c>
      <c r="G1767" s="1">
        <v>45379</v>
      </c>
      <c r="H1767">
        <v>1</v>
      </c>
      <c r="I1767" t="s">
        <v>49</v>
      </c>
      <c r="J1767" t="s">
        <v>29</v>
      </c>
      <c r="K1767">
        <v>3</v>
      </c>
      <c r="L1767">
        <v>3</v>
      </c>
      <c r="M1767">
        <v>2</v>
      </c>
      <c r="N1767">
        <v>5</v>
      </c>
      <c r="O1767">
        <v>2</v>
      </c>
      <c r="P1767">
        <v>4</v>
      </c>
      <c r="Q1767">
        <v>3</v>
      </c>
      <c r="R1767">
        <v>1</v>
      </c>
      <c r="S1767">
        <v>5</v>
      </c>
      <c r="T1767">
        <v>2</v>
      </c>
      <c r="U1767" t="s">
        <v>37</v>
      </c>
      <c r="V1767" t="s">
        <v>58</v>
      </c>
      <c r="W1767" t="s">
        <v>39</v>
      </c>
      <c r="X1767" t="s">
        <v>40</v>
      </c>
      <c r="Y1767">
        <v>50</v>
      </c>
      <c r="Z1767" s="1">
        <v>45379</v>
      </c>
      <c r="AA1767" t="str" cm="1">
        <f t="array" ref="AA176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67" t="str" cm="1">
        <f t="array" ref="AC1767">_xlfn.IFS(Table2[[#This Row],[Satification_points]]&gt;=4.5,"GREAT",AND(Table2[[#This Row],[Satification_points]]&gt;=4,Table2[[#This Row],[Satification_points]]&lt;4.5),"GOOD",AND(Table2[[#This Row],[Satification_points]]&gt;=3,Table2[[#This Row],[Satification_points]]&lt;4),"AVERAGE",Table2[[#This Row],[Satification_points]]&lt;3,"POOR")</f>
        <v>AVERAGE</v>
      </c>
    </row>
    <row r="1768" spans="1:29" x14ac:dyDescent="0.3">
      <c r="A1768">
        <v>1767</v>
      </c>
      <c r="B1768">
        <v>11693</v>
      </c>
      <c r="C1768" t="s">
        <v>1808</v>
      </c>
      <c r="D1768" t="s">
        <v>51</v>
      </c>
      <c r="E1768" t="s">
        <v>52</v>
      </c>
      <c r="F1768" s="1">
        <v>45044</v>
      </c>
      <c r="G1768" s="1">
        <v>45341</v>
      </c>
      <c r="H1768">
        <v>1</v>
      </c>
      <c r="I1768" t="s">
        <v>50</v>
      </c>
      <c r="J1768" t="s">
        <v>29</v>
      </c>
      <c r="K1768">
        <v>4</v>
      </c>
      <c r="L1768">
        <v>4</v>
      </c>
      <c r="M1768">
        <v>5</v>
      </c>
      <c r="N1768">
        <v>5</v>
      </c>
      <c r="O1768">
        <v>2</v>
      </c>
      <c r="P1768">
        <v>4</v>
      </c>
      <c r="Q1768">
        <v>3</v>
      </c>
      <c r="R1768">
        <v>1</v>
      </c>
      <c r="S1768">
        <v>1</v>
      </c>
      <c r="T1768">
        <v>2</v>
      </c>
      <c r="U1768" t="s">
        <v>30</v>
      </c>
      <c r="V1768" t="s">
        <v>31</v>
      </c>
      <c r="W1768" t="s">
        <v>56</v>
      </c>
      <c r="X1768" t="s">
        <v>44</v>
      </c>
      <c r="Y1768">
        <v>40</v>
      </c>
      <c r="Z1768" s="1">
        <v>45341</v>
      </c>
      <c r="AA1768" t="str" cm="1">
        <f t="array" ref="AA176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68" t="str" cm="1">
        <f t="array" ref="AC1768">_xlfn.IFS(Table2[[#This Row],[Satification_points]]&gt;=4.5,"GREAT",AND(Table2[[#This Row],[Satification_points]]&gt;=4,Table2[[#This Row],[Satification_points]]&lt;4.5),"GOOD",AND(Table2[[#This Row],[Satification_points]]&gt;=3,Table2[[#This Row],[Satification_points]]&lt;4),"AVERAGE",Table2[[#This Row],[Satification_points]]&lt;3,"POOR")</f>
        <v>AVERAGE</v>
      </c>
    </row>
    <row r="1769" spans="1:29" x14ac:dyDescent="0.3">
      <c r="A1769">
        <v>1768</v>
      </c>
      <c r="B1769">
        <v>65647</v>
      </c>
      <c r="C1769" t="s">
        <v>1809</v>
      </c>
      <c r="D1769" t="s">
        <v>41</v>
      </c>
      <c r="E1769" t="s">
        <v>45</v>
      </c>
      <c r="F1769" s="1">
        <v>44987</v>
      </c>
      <c r="G1769" s="1">
        <v>45187</v>
      </c>
      <c r="H1769">
        <v>5</v>
      </c>
      <c r="I1769" t="s">
        <v>50</v>
      </c>
      <c r="J1769" t="s">
        <v>53</v>
      </c>
      <c r="K1769">
        <v>4</v>
      </c>
      <c r="L1769">
        <v>3</v>
      </c>
      <c r="M1769">
        <v>5</v>
      </c>
      <c r="N1769">
        <v>1</v>
      </c>
      <c r="O1769">
        <v>4</v>
      </c>
      <c r="P1769">
        <v>2</v>
      </c>
      <c r="Q1769">
        <v>5</v>
      </c>
      <c r="R1769">
        <v>3</v>
      </c>
      <c r="S1769">
        <v>3</v>
      </c>
      <c r="T1769">
        <v>3</v>
      </c>
      <c r="U1769" t="s">
        <v>37</v>
      </c>
      <c r="V1769" t="s">
        <v>54</v>
      </c>
      <c r="W1769" t="s">
        <v>56</v>
      </c>
      <c r="X1769" t="s">
        <v>33</v>
      </c>
      <c r="Y1769">
        <v>45</v>
      </c>
      <c r="Z1769" s="1">
        <v>45187</v>
      </c>
      <c r="AA1769" t="str" cm="1">
        <f t="array" ref="AA17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69" t="str" cm="1">
        <f t="array" ref="AC1769">_xlfn.IFS(Table2[[#This Row],[Satification_points]]&gt;=4.5,"GREAT",AND(Table2[[#This Row],[Satification_points]]&gt;=4,Table2[[#This Row],[Satification_points]]&lt;4.5),"GOOD",AND(Table2[[#This Row],[Satification_points]]&gt;=3,Table2[[#This Row],[Satification_points]]&lt;4),"AVERAGE",Table2[[#This Row],[Satification_points]]&lt;3,"POOR")</f>
        <v>AVERAGE</v>
      </c>
    </row>
    <row r="1770" spans="1:29" x14ac:dyDescent="0.3">
      <c r="A1770">
        <v>1769</v>
      </c>
      <c r="B1770">
        <v>44897</v>
      </c>
      <c r="C1770" t="s">
        <v>1810</v>
      </c>
      <c r="D1770" t="s">
        <v>34</v>
      </c>
      <c r="E1770" t="s">
        <v>45</v>
      </c>
      <c r="F1770" s="1">
        <v>45107</v>
      </c>
      <c r="G1770" s="1">
        <v>45278</v>
      </c>
      <c r="H1770">
        <v>3</v>
      </c>
      <c r="I1770" t="s">
        <v>28</v>
      </c>
      <c r="J1770" t="s">
        <v>36</v>
      </c>
      <c r="K1770">
        <v>4</v>
      </c>
      <c r="L1770">
        <v>2</v>
      </c>
      <c r="M1770">
        <v>4</v>
      </c>
      <c r="N1770">
        <v>5</v>
      </c>
      <c r="O1770">
        <v>2</v>
      </c>
      <c r="P1770">
        <v>3</v>
      </c>
      <c r="Q1770">
        <v>1</v>
      </c>
      <c r="R1770">
        <v>5</v>
      </c>
      <c r="S1770">
        <v>5</v>
      </c>
      <c r="T1770">
        <v>2</v>
      </c>
      <c r="U1770" t="s">
        <v>30</v>
      </c>
      <c r="V1770" t="s">
        <v>58</v>
      </c>
      <c r="W1770" t="s">
        <v>39</v>
      </c>
      <c r="X1770" t="s">
        <v>33</v>
      </c>
      <c r="Y1770">
        <v>33</v>
      </c>
      <c r="Z1770" s="1">
        <v>45278</v>
      </c>
      <c r="AA1770" t="str" cm="1">
        <f t="array" ref="AA1770">_xlfn.IFS(AND(Table2[[#This Row],[Guest_Age]]&gt;=18,Table2[[#This Row],[Guest_Age]]&lt;=25),"Young Adults",AND(Table2[[#This Row],[Guest_Age]]&gt;=26,Table2[[#This Row],[Guest_Age]]&lt;=35),"Adults",AND(Table2[[#This Row],[Guest_Age]]&gt;=36,Table2[[#This Row],[Guest_Age]]&lt;=50),"Middle Aged Adults",Table2[[#This Row],[Guest_Age]]&gt;50,"Senior")</f>
        <v>Adults</v>
      </c>
      <c r="AB17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770" t="str" cm="1">
        <f t="array" ref="AC1770">_xlfn.IFS(Table2[[#This Row],[Satification_points]]&gt;=4.5,"GREAT",AND(Table2[[#This Row],[Satification_points]]&gt;=4,Table2[[#This Row],[Satification_points]]&lt;4.5),"GOOD",AND(Table2[[#This Row],[Satification_points]]&gt;=3,Table2[[#This Row],[Satification_points]]&lt;4),"AVERAGE",Table2[[#This Row],[Satification_points]]&lt;3,"POOR")</f>
        <v>AVERAGE</v>
      </c>
    </row>
    <row r="1771" spans="1:29" x14ac:dyDescent="0.3">
      <c r="A1771">
        <v>1770</v>
      </c>
      <c r="B1771">
        <v>46779</v>
      </c>
      <c r="C1771" t="s">
        <v>1811</v>
      </c>
      <c r="D1771" t="s">
        <v>41</v>
      </c>
      <c r="E1771" t="s">
        <v>27</v>
      </c>
      <c r="F1771" s="1">
        <v>45239</v>
      </c>
      <c r="G1771" s="1">
        <v>45635</v>
      </c>
      <c r="H1771">
        <v>10</v>
      </c>
      <c r="I1771" t="s">
        <v>42</v>
      </c>
      <c r="J1771" t="s">
        <v>53</v>
      </c>
      <c r="K1771">
        <v>2</v>
      </c>
      <c r="L1771">
        <v>1</v>
      </c>
      <c r="M1771">
        <v>3</v>
      </c>
      <c r="N1771">
        <v>4</v>
      </c>
      <c r="O1771">
        <v>2</v>
      </c>
      <c r="P1771">
        <v>3</v>
      </c>
      <c r="Q1771">
        <v>3</v>
      </c>
      <c r="R1771">
        <v>3</v>
      </c>
      <c r="S1771">
        <v>5</v>
      </c>
      <c r="T1771">
        <v>5</v>
      </c>
      <c r="U1771" t="s">
        <v>37</v>
      </c>
      <c r="V1771" t="s">
        <v>31</v>
      </c>
      <c r="W1771" t="s">
        <v>55</v>
      </c>
      <c r="X1771" t="s">
        <v>40</v>
      </c>
      <c r="Y1771">
        <v>54</v>
      </c>
      <c r="Z1771" s="1">
        <v>45635</v>
      </c>
      <c r="AA1771" t="str" cm="1">
        <f t="array" ref="AA1771">_xlfn.IFS(AND(Table2[[#This Row],[Guest_Age]]&gt;=18,Table2[[#This Row],[Guest_Age]]&lt;=25),"Young Adults",AND(Table2[[#This Row],[Guest_Age]]&gt;=26,Table2[[#This Row],[Guest_Age]]&lt;=35),"Adults",AND(Table2[[#This Row],[Guest_Age]]&gt;=36,Table2[[#This Row],[Guest_Age]]&lt;=50),"Middle Aged Adults",Table2[[#This Row],[Guest_Age]]&gt;50,"Senior")</f>
        <v>Senior</v>
      </c>
      <c r="AB17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71" t="str" cm="1">
        <f t="array" ref="AC1771">_xlfn.IFS(Table2[[#This Row],[Satification_points]]&gt;=4.5,"GREAT",AND(Table2[[#This Row],[Satification_points]]&gt;=4,Table2[[#This Row],[Satification_points]]&lt;4.5),"GOOD",AND(Table2[[#This Row],[Satification_points]]&gt;=3,Table2[[#This Row],[Satification_points]]&lt;4),"AVERAGE",Table2[[#This Row],[Satification_points]]&lt;3,"POOR")</f>
        <v>AVERAGE</v>
      </c>
    </row>
    <row r="1772" spans="1:29" x14ac:dyDescent="0.3">
      <c r="A1772">
        <v>1771</v>
      </c>
      <c r="B1772">
        <v>11365</v>
      </c>
      <c r="C1772" t="s">
        <v>1812</v>
      </c>
      <c r="D1772" t="s">
        <v>26</v>
      </c>
      <c r="E1772" t="s">
        <v>27</v>
      </c>
      <c r="F1772" s="1">
        <v>45191</v>
      </c>
      <c r="G1772" s="1">
        <v>45192</v>
      </c>
      <c r="H1772">
        <v>3</v>
      </c>
      <c r="I1772" t="s">
        <v>50</v>
      </c>
      <c r="J1772" t="s">
        <v>29</v>
      </c>
      <c r="K1772">
        <v>1</v>
      </c>
      <c r="L1772">
        <v>3</v>
      </c>
      <c r="M1772">
        <v>1</v>
      </c>
      <c r="N1772">
        <v>3</v>
      </c>
      <c r="O1772">
        <v>3</v>
      </c>
      <c r="P1772">
        <v>2</v>
      </c>
      <c r="Q1772">
        <v>5</v>
      </c>
      <c r="R1772">
        <v>4</v>
      </c>
      <c r="S1772">
        <v>2</v>
      </c>
      <c r="T1772">
        <v>3</v>
      </c>
      <c r="U1772" t="s">
        <v>30</v>
      </c>
      <c r="V1772" t="s">
        <v>31</v>
      </c>
      <c r="W1772" t="s">
        <v>39</v>
      </c>
      <c r="X1772" t="s">
        <v>44</v>
      </c>
      <c r="Y1772">
        <v>22</v>
      </c>
      <c r="Z1772" s="1">
        <v>45192</v>
      </c>
      <c r="AA1772" t="str" cm="1">
        <f t="array" ref="AA1772">_xlfn.IFS(AND(Table2[[#This Row],[Guest_Age]]&gt;=18,Table2[[#This Row],[Guest_Age]]&lt;=25),"Young Adults",AND(Table2[[#This Row],[Guest_Age]]&gt;=26,Table2[[#This Row],[Guest_Age]]&lt;=35),"Adults",AND(Table2[[#This Row],[Guest_Age]]&gt;=36,Table2[[#This Row],[Guest_Age]]&lt;=50),"Middle Aged Adults",Table2[[#This Row],[Guest_Age]]&gt;50,"Senior")</f>
        <v>Young Adults</v>
      </c>
      <c r="AB17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72" t="str" cm="1">
        <f t="array" ref="AC1772">_xlfn.IFS(Table2[[#This Row],[Satification_points]]&gt;=4.5,"GREAT",AND(Table2[[#This Row],[Satification_points]]&gt;=4,Table2[[#This Row],[Satification_points]]&lt;4.5),"GOOD",AND(Table2[[#This Row],[Satification_points]]&gt;=3,Table2[[#This Row],[Satification_points]]&lt;4),"AVERAGE",Table2[[#This Row],[Satification_points]]&lt;3,"POOR")</f>
        <v>POOR</v>
      </c>
    </row>
    <row r="1773" spans="1:29" x14ac:dyDescent="0.3">
      <c r="A1773">
        <v>1772</v>
      </c>
      <c r="B1773">
        <v>18387</v>
      </c>
      <c r="C1773" t="s">
        <v>1813</v>
      </c>
      <c r="D1773" t="s">
        <v>34</v>
      </c>
      <c r="E1773" t="s">
        <v>45</v>
      </c>
      <c r="F1773" s="1">
        <v>44955</v>
      </c>
      <c r="G1773" s="1">
        <v>45585</v>
      </c>
      <c r="H1773">
        <v>11</v>
      </c>
      <c r="I1773" t="s">
        <v>49</v>
      </c>
      <c r="J1773" t="s">
        <v>53</v>
      </c>
      <c r="K1773">
        <v>5</v>
      </c>
      <c r="L1773">
        <v>3</v>
      </c>
      <c r="M1773">
        <v>1</v>
      </c>
      <c r="N1773">
        <v>2</v>
      </c>
      <c r="O1773">
        <v>4</v>
      </c>
      <c r="P1773">
        <v>1</v>
      </c>
      <c r="Q1773">
        <v>2</v>
      </c>
      <c r="R1773">
        <v>4</v>
      </c>
      <c r="S1773">
        <v>4</v>
      </c>
      <c r="T1773">
        <v>2</v>
      </c>
      <c r="U1773" t="s">
        <v>30</v>
      </c>
      <c r="V1773" t="s">
        <v>46</v>
      </c>
      <c r="W1773" t="s">
        <v>39</v>
      </c>
      <c r="X1773" t="s">
        <v>40</v>
      </c>
      <c r="Y1773">
        <v>60</v>
      </c>
      <c r="Z1773" s="1">
        <v>45585</v>
      </c>
      <c r="AA1773" t="str" cm="1">
        <f t="array" ref="AA1773">_xlfn.IFS(AND(Table2[[#This Row],[Guest_Age]]&gt;=18,Table2[[#This Row],[Guest_Age]]&lt;=25),"Young Adults",AND(Table2[[#This Row],[Guest_Age]]&gt;=26,Table2[[#This Row],[Guest_Age]]&lt;=35),"Adults",AND(Table2[[#This Row],[Guest_Age]]&gt;=36,Table2[[#This Row],[Guest_Age]]&lt;=50),"Middle Aged Adults",Table2[[#This Row],[Guest_Age]]&gt;50,"Senior")</f>
        <v>Senior</v>
      </c>
      <c r="AB17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73" t="str" cm="1">
        <f t="array" ref="AC1773">_xlfn.IFS(Table2[[#This Row],[Satification_points]]&gt;=4.5,"GREAT",AND(Table2[[#This Row],[Satification_points]]&gt;=4,Table2[[#This Row],[Satification_points]]&lt;4.5),"GOOD",AND(Table2[[#This Row],[Satification_points]]&gt;=3,Table2[[#This Row],[Satification_points]]&lt;4),"AVERAGE",Table2[[#This Row],[Satification_points]]&lt;3,"POOR")</f>
        <v>POOR</v>
      </c>
    </row>
    <row r="1774" spans="1:29" x14ac:dyDescent="0.3">
      <c r="A1774">
        <v>1773</v>
      </c>
      <c r="B1774">
        <v>81739</v>
      </c>
      <c r="C1774" t="s">
        <v>1814</v>
      </c>
      <c r="D1774" t="s">
        <v>48</v>
      </c>
      <c r="E1774" t="s">
        <v>52</v>
      </c>
      <c r="F1774" s="1">
        <v>45189</v>
      </c>
      <c r="G1774" s="1">
        <v>45190</v>
      </c>
      <c r="H1774">
        <v>7</v>
      </c>
      <c r="I1774" t="s">
        <v>42</v>
      </c>
      <c r="J1774" t="s">
        <v>40</v>
      </c>
      <c r="K1774">
        <v>5</v>
      </c>
      <c r="L1774">
        <v>3</v>
      </c>
      <c r="M1774">
        <v>3</v>
      </c>
      <c r="N1774">
        <v>2</v>
      </c>
      <c r="O1774">
        <v>4</v>
      </c>
      <c r="P1774">
        <v>4</v>
      </c>
      <c r="Q1774">
        <v>2</v>
      </c>
      <c r="R1774">
        <v>1</v>
      </c>
      <c r="S1774">
        <v>3</v>
      </c>
      <c r="T1774">
        <v>2</v>
      </c>
      <c r="U1774" t="s">
        <v>30</v>
      </c>
      <c r="V1774" t="s">
        <v>46</v>
      </c>
      <c r="W1774" t="s">
        <v>47</v>
      </c>
      <c r="X1774" t="s">
        <v>44</v>
      </c>
      <c r="Y1774">
        <v>28</v>
      </c>
      <c r="Z1774" s="1">
        <v>45436</v>
      </c>
      <c r="AA1774" t="str" cm="1">
        <f t="array" ref="AA1774">_xlfn.IFS(AND(Table2[[#This Row],[Guest_Age]]&gt;=18,Table2[[#This Row],[Guest_Age]]&lt;=25),"Young Adults",AND(Table2[[#This Row],[Guest_Age]]&gt;=26,Table2[[#This Row],[Guest_Age]]&lt;=35),"Adults",AND(Table2[[#This Row],[Guest_Age]]&gt;=36,Table2[[#This Row],[Guest_Age]]&lt;=50),"Middle Aged Adults",Table2[[#This Row],[Guest_Age]]&gt;50,"Senior")</f>
        <v>Adults</v>
      </c>
      <c r="AB17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74" t="str" cm="1">
        <f t="array" ref="AC1774">_xlfn.IFS(Table2[[#This Row],[Satification_points]]&gt;=4.5,"GREAT",AND(Table2[[#This Row],[Satification_points]]&gt;=4,Table2[[#This Row],[Satification_points]]&lt;4.5),"GOOD",AND(Table2[[#This Row],[Satification_points]]&gt;=3,Table2[[#This Row],[Satification_points]]&lt;4),"AVERAGE",Table2[[#This Row],[Satification_points]]&lt;3,"POOR")</f>
        <v>POOR</v>
      </c>
    </row>
    <row r="1775" spans="1:29" x14ac:dyDescent="0.3">
      <c r="A1775">
        <v>1774</v>
      </c>
      <c r="B1775">
        <v>42918</v>
      </c>
      <c r="C1775" t="s">
        <v>1815</v>
      </c>
      <c r="D1775" t="s">
        <v>26</v>
      </c>
      <c r="E1775" t="s">
        <v>27</v>
      </c>
      <c r="F1775" s="1">
        <v>45638</v>
      </c>
      <c r="G1775" s="1">
        <v>45639</v>
      </c>
      <c r="H1775">
        <v>3</v>
      </c>
      <c r="I1775" t="s">
        <v>28</v>
      </c>
      <c r="J1775" t="s">
        <v>29</v>
      </c>
      <c r="K1775">
        <v>2</v>
      </c>
      <c r="L1775">
        <v>5</v>
      </c>
      <c r="M1775">
        <v>2</v>
      </c>
      <c r="N1775">
        <v>4</v>
      </c>
      <c r="O1775">
        <v>1</v>
      </c>
      <c r="P1775">
        <v>1</v>
      </c>
      <c r="Q1775">
        <v>4</v>
      </c>
      <c r="R1775">
        <v>1</v>
      </c>
      <c r="S1775">
        <v>2</v>
      </c>
      <c r="T1775">
        <v>1</v>
      </c>
      <c r="U1775" t="s">
        <v>37</v>
      </c>
      <c r="V1775" t="s">
        <v>38</v>
      </c>
      <c r="W1775" t="s">
        <v>47</v>
      </c>
      <c r="X1775" t="s">
        <v>33</v>
      </c>
      <c r="Y1775">
        <v>29</v>
      </c>
      <c r="Z1775" s="1">
        <v>45639</v>
      </c>
      <c r="AA1775" t="str" cm="1">
        <f t="array" ref="AA1775">_xlfn.IFS(AND(Table2[[#This Row],[Guest_Age]]&gt;=18,Table2[[#This Row],[Guest_Age]]&lt;=25),"Young Adults",AND(Table2[[#This Row],[Guest_Age]]&gt;=26,Table2[[#This Row],[Guest_Age]]&lt;=35),"Adults",AND(Table2[[#This Row],[Guest_Age]]&gt;=36,Table2[[#This Row],[Guest_Age]]&lt;=50),"Middle Aged Adults",Table2[[#This Row],[Guest_Age]]&gt;50,"Senior")</f>
        <v>Adults</v>
      </c>
      <c r="AB17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775" t="str" cm="1">
        <f t="array" ref="AC1775">_xlfn.IFS(Table2[[#This Row],[Satification_points]]&gt;=4.5,"GREAT",AND(Table2[[#This Row],[Satification_points]]&gt;=4,Table2[[#This Row],[Satification_points]]&lt;4.5),"GOOD",AND(Table2[[#This Row],[Satification_points]]&gt;=3,Table2[[#This Row],[Satification_points]]&lt;4),"AVERAGE",Table2[[#This Row],[Satification_points]]&lt;3,"POOR")</f>
        <v>POOR</v>
      </c>
    </row>
    <row r="1776" spans="1:29" x14ac:dyDescent="0.3">
      <c r="A1776">
        <v>1775</v>
      </c>
      <c r="B1776">
        <v>15180</v>
      </c>
      <c r="C1776" t="s">
        <v>1816</v>
      </c>
      <c r="D1776" t="s">
        <v>26</v>
      </c>
      <c r="E1776" t="s">
        <v>27</v>
      </c>
      <c r="F1776" s="1">
        <v>45543</v>
      </c>
      <c r="G1776" s="1">
        <v>45627</v>
      </c>
      <c r="H1776">
        <v>2</v>
      </c>
      <c r="I1776" t="s">
        <v>28</v>
      </c>
      <c r="J1776" t="s">
        <v>29</v>
      </c>
      <c r="K1776">
        <v>3</v>
      </c>
      <c r="L1776">
        <v>1</v>
      </c>
      <c r="M1776">
        <v>3</v>
      </c>
      <c r="N1776">
        <v>3</v>
      </c>
      <c r="O1776">
        <v>4</v>
      </c>
      <c r="P1776">
        <v>2</v>
      </c>
      <c r="Q1776">
        <v>4</v>
      </c>
      <c r="R1776">
        <v>5</v>
      </c>
      <c r="S1776">
        <v>2</v>
      </c>
      <c r="T1776">
        <v>5</v>
      </c>
      <c r="U1776" t="s">
        <v>30</v>
      </c>
      <c r="V1776" t="s">
        <v>46</v>
      </c>
      <c r="W1776" t="s">
        <v>32</v>
      </c>
      <c r="X1776" t="s">
        <v>40</v>
      </c>
      <c r="Y1776">
        <v>38</v>
      </c>
      <c r="Z1776" s="1">
        <v>45627</v>
      </c>
      <c r="AA1776" t="str" cm="1">
        <f t="array" ref="AA17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76" t="str" cm="1">
        <f t="array" ref="AC1776">_xlfn.IFS(Table2[[#This Row],[Satification_points]]&gt;=4.5,"GREAT",AND(Table2[[#This Row],[Satification_points]]&gt;=4,Table2[[#This Row],[Satification_points]]&lt;4.5),"GOOD",AND(Table2[[#This Row],[Satification_points]]&gt;=3,Table2[[#This Row],[Satification_points]]&lt;4),"AVERAGE",Table2[[#This Row],[Satification_points]]&lt;3,"POOR")</f>
        <v>AVERAGE</v>
      </c>
    </row>
    <row r="1777" spans="1:29" x14ac:dyDescent="0.3">
      <c r="A1777">
        <v>1776</v>
      </c>
      <c r="B1777">
        <v>40342</v>
      </c>
      <c r="C1777" t="s">
        <v>1817</v>
      </c>
      <c r="D1777" t="s">
        <v>34</v>
      </c>
      <c r="E1777" t="s">
        <v>35</v>
      </c>
      <c r="F1777" s="1">
        <v>45517</v>
      </c>
      <c r="G1777" s="1">
        <v>45545</v>
      </c>
      <c r="H1777">
        <v>3</v>
      </c>
      <c r="I1777" t="s">
        <v>42</v>
      </c>
      <c r="J1777" t="s">
        <v>40</v>
      </c>
      <c r="K1777">
        <v>2</v>
      </c>
      <c r="L1777">
        <v>5</v>
      </c>
      <c r="M1777">
        <v>1</v>
      </c>
      <c r="N1777">
        <v>4</v>
      </c>
      <c r="O1777">
        <v>4</v>
      </c>
      <c r="P1777">
        <v>2</v>
      </c>
      <c r="Q1777">
        <v>4</v>
      </c>
      <c r="R1777">
        <v>4</v>
      </c>
      <c r="S1777">
        <v>1</v>
      </c>
      <c r="T1777">
        <v>5</v>
      </c>
      <c r="U1777" t="s">
        <v>30</v>
      </c>
      <c r="V1777" t="s">
        <v>46</v>
      </c>
      <c r="W1777" t="s">
        <v>32</v>
      </c>
      <c r="X1777" t="s">
        <v>44</v>
      </c>
      <c r="Y1777">
        <v>35</v>
      </c>
      <c r="Z1777" s="1">
        <v>45545</v>
      </c>
      <c r="AA1777" t="str" cm="1">
        <f t="array" ref="AA1777">_xlfn.IFS(AND(Table2[[#This Row],[Guest_Age]]&gt;=18,Table2[[#This Row],[Guest_Age]]&lt;=25),"Young Adults",AND(Table2[[#This Row],[Guest_Age]]&gt;=26,Table2[[#This Row],[Guest_Age]]&lt;=35),"Adults",AND(Table2[[#This Row],[Guest_Age]]&gt;=36,Table2[[#This Row],[Guest_Age]]&lt;=50),"Middle Aged Adults",Table2[[#This Row],[Guest_Age]]&gt;50,"Senior")</f>
        <v>Adults</v>
      </c>
      <c r="AB17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777" t="str" cm="1">
        <f t="array" ref="AC1777">_xlfn.IFS(Table2[[#This Row],[Satification_points]]&gt;=4.5,"GREAT",AND(Table2[[#This Row],[Satification_points]]&gt;=4,Table2[[#This Row],[Satification_points]]&lt;4.5),"GOOD",AND(Table2[[#This Row],[Satification_points]]&gt;=3,Table2[[#This Row],[Satification_points]]&lt;4),"AVERAGE",Table2[[#This Row],[Satification_points]]&lt;3,"POOR")</f>
        <v>AVERAGE</v>
      </c>
    </row>
    <row r="1778" spans="1:29" x14ac:dyDescent="0.3">
      <c r="A1778">
        <v>1777</v>
      </c>
      <c r="B1778">
        <v>66246</v>
      </c>
      <c r="C1778" t="s">
        <v>1818</v>
      </c>
      <c r="D1778" t="s">
        <v>48</v>
      </c>
      <c r="E1778" t="s">
        <v>57</v>
      </c>
      <c r="F1778" s="1">
        <v>45582</v>
      </c>
      <c r="G1778" s="1">
        <v>45583</v>
      </c>
      <c r="H1778">
        <v>11</v>
      </c>
      <c r="I1778" t="s">
        <v>49</v>
      </c>
      <c r="J1778" t="s">
        <v>29</v>
      </c>
      <c r="K1778">
        <v>4</v>
      </c>
      <c r="L1778">
        <v>2</v>
      </c>
      <c r="M1778">
        <v>5</v>
      </c>
      <c r="N1778">
        <v>1</v>
      </c>
      <c r="O1778">
        <v>1</v>
      </c>
      <c r="P1778">
        <v>2</v>
      </c>
      <c r="Q1778">
        <v>3</v>
      </c>
      <c r="R1778">
        <v>5</v>
      </c>
      <c r="S1778">
        <v>4</v>
      </c>
      <c r="T1778">
        <v>3</v>
      </c>
      <c r="U1778" t="s">
        <v>30</v>
      </c>
      <c r="V1778" t="s">
        <v>31</v>
      </c>
      <c r="W1778" t="s">
        <v>39</v>
      </c>
      <c r="X1778" t="s">
        <v>33</v>
      </c>
      <c r="Y1778">
        <v>31</v>
      </c>
      <c r="Z1778" s="1">
        <v>45583</v>
      </c>
      <c r="AA1778" t="str" cm="1">
        <f t="array" ref="AA1778">_xlfn.IFS(AND(Table2[[#This Row],[Guest_Age]]&gt;=18,Table2[[#This Row],[Guest_Age]]&lt;=25),"Young Adults",AND(Table2[[#This Row],[Guest_Age]]&gt;=26,Table2[[#This Row],[Guest_Age]]&lt;=35),"Adults",AND(Table2[[#This Row],[Guest_Age]]&gt;=36,Table2[[#This Row],[Guest_Age]]&lt;=50),"Middle Aged Adults",Table2[[#This Row],[Guest_Age]]&gt;50,"Senior")</f>
        <v>Adults</v>
      </c>
      <c r="AB17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78" t="str" cm="1">
        <f t="array" ref="AC1778">_xlfn.IFS(Table2[[#This Row],[Satification_points]]&gt;=4.5,"GREAT",AND(Table2[[#This Row],[Satification_points]]&gt;=4,Table2[[#This Row],[Satification_points]]&lt;4.5),"GOOD",AND(Table2[[#This Row],[Satification_points]]&gt;=3,Table2[[#This Row],[Satification_points]]&lt;4),"AVERAGE",Table2[[#This Row],[Satification_points]]&lt;3,"POOR")</f>
        <v>AVERAGE</v>
      </c>
    </row>
    <row r="1779" spans="1:29" x14ac:dyDescent="0.3">
      <c r="A1779">
        <v>1778</v>
      </c>
      <c r="B1779">
        <v>62476</v>
      </c>
      <c r="C1779" t="s">
        <v>1819</v>
      </c>
      <c r="D1779" t="s">
        <v>41</v>
      </c>
      <c r="E1779" t="s">
        <v>35</v>
      </c>
      <c r="F1779" s="1">
        <v>45637</v>
      </c>
      <c r="G1779" s="1">
        <v>45638</v>
      </c>
      <c r="H1779">
        <v>4</v>
      </c>
      <c r="I1779" t="s">
        <v>50</v>
      </c>
      <c r="J1779" t="s">
        <v>43</v>
      </c>
      <c r="K1779">
        <v>3</v>
      </c>
      <c r="L1779">
        <v>3</v>
      </c>
      <c r="M1779">
        <v>3</v>
      </c>
      <c r="N1779">
        <v>3</v>
      </c>
      <c r="O1779">
        <v>2</v>
      </c>
      <c r="P1779">
        <v>2</v>
      </c>
      <c r="Q1779">
        <v>2</v>
      </c>
      <c r="R1779">
        <v>4</v>
      </c>
      <c r="S1779">
        <v>4</v>
      </c>
      <c r="T1779">
        <v>5</v>
      </c>
      <c r="U1779" t="s">
        <v>30</v>
      </c>
      <c r="V1779" t="s">
        <v>46</v>
      </c>
      <c r="W1779" t="s">
        <v>47</v>
      </c>
      <c r="X1779" t="s">
        <v>40</v>
      </c>
      <c r="Y1779">
        <v>50</v>
      </c>
      <c r="Z1779" s="1">
        <v>45638</v>
      </c>
      <c r="AA1779" t="str" cm="1">
        <f t="array" ref="AA177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79" t="str" cm="1">
        <f t="array" ref="AC1779">_xlfn.IFS(Table2[[#This Row],[Satification_points]]&gt;=4.5,"GREAT",AND(Table2[[#This Row],[Satification_points]]&gt;=4,Table2[[#This Row],[Satification_points]]&lt;4.5),"GOOD",AND(Table2[[#This Row],[Satification_points]]&gt;=3,Table2[[#This Row],[Satification_points]]&lt;4),"AVERAGE",Table2[[#This Row],[Satification_points]]&lt;3,"POOR")</f>
        <v>AVERAGE</v>
      </c>
    </row>
    <row r="1780" spans="1:29" x14ac:dyDescent="0.3">
      <c r="A1780">
        <v>1779</v>
      </c>
      <c r="B1780">
        <v>60106</v>
      </c>
      <c r="C1780" t="s">
        <v>1820</v>
      </c>
      <c r="D1780" t="s">
        <v>48</v>
      </c>
      <c r="E1780" t="s">
        <v>52</v>
      </c>
      <c r="F1780" s="1">
        <v>45544</v>
      </c>
      <c r="G1780" s="1">
        <v>45545</v>
      </c>
      <c r="H1780">
        <v>9</v>
      </c>
      <c r="I1780" t="s">
        <v>42</v>
      </c>
      <c r="J1780" t="s">
        <v>43</v>
      </c>
      <c r="K1780">
        <v>5</v>
      </c>
      <c r="L1780">
        <v>1</v>
      </c>
      <c r="M1780">
        <v>4</v>
      </c>
      <c r="N1780">
        <v>5</v>
      </c>
      <c r="O1780">
        <v>2</v>
      </c>
      <c r="P1780">
        <v>5</v>
      </c>
      <c r="Q1780">
        <v>2</v>
      </c>
      <c r="R1780">
        <v>2</v>
      </c>
      <c r="S1780">
        <v>3</v>
      </c>
      <c r="T1780">
        <v>2</v>
      </c>
      <c r="U1780" t="s">
        <v>37</v>
      </c>
      <c r="V1780" t="s">
        <v>46</v>
      </c>
      <c r="W1780" t="s">
        <v>55</v>
      </c>
      <c r="X1780" t="s">
        <v>40</v>
      </c>
      <c r="Y1780">
        <v>38</v>
      </c>
      <c r="Z1780" s="1">
        <v>45545</v>
      </c>
      <c r="AA1780" t="str" cm="1">
        <f t="array" ref="AA178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80" t="str" cm="1">
        <f t="array" ref="AC1780">_xlfn.IFS(Table2[[#This Row],[Satification_points]]&gt;=4.5,"GREAT",AND(Table2[[#This Row],[Satification_points]]&gt;=4,Table2[[#This Row],[Satification_points]]&lt;4.5),"GOOD",AND(Table2[[#This Row],[Satification_points]]&gt;=3,Table2[[#This Row],[Satification_points]]&lt;4),"AVERAGE",Table2[[#This Row],[Satification_points]]&lt;3,"POOR")</f>
        <v>AVERAGE</v>
      </c>
    </row>
    <row r="1781" spans="1:29" x14ac:dyDescent="0.3">
      <c r="A1781">
        <v>1780</v>
      </c>
      <c r="B1781">
        <v>54649</v>
      </c>
      <c r="C1781" t="s">
        <v>1821</v>
      </c>
      <c r="D1781" t="s">
        <v>26</v>
      </c>
      <c r="E1781" t="s">
        <v>57</v>
      </c>
      <c r="F1781" s="1">
        <v>45265</v>
      </c>
      <c r="G1781" s="1">
        <v>45653</v>
      </c>
      <c r="H1781">
        <v>12</v>
      </c>
      <c r="I1781" t="s">
        <v>49</v>
      </c>
      <c r="J1781" t="s">
        <v>36</v>
      </c>
      <c r="K1781">
        <v>2</v>
      </c>
      <c r="L1781">
        <v>1</v>
      </c>
      <c r="M1781">
        <v>5</v>
      </c>
      <c r="N1781">
        <v>1</v>
      </c>
      <c r="O1781">
        <v>5</v>
      </c>
      <c r="P1781">
        <v>2</v>
      </c>
      <c r="Q1781">
        <v>3</v>
      </c>
      <c r="R1781">
        <v>5</v>
      </c>
      <c r="S1781">
        <v>3</v>
      </c>
      <c r="T1781">
        <v>3</v>
      </c>
      <c r="U1781" t="s">
        <v>30</v>
      </c>
      <c r="V1781" t="s">
        <v>46</v>
      </c>
      <c r="W1781" t="s">
        <v>32</v>
      </c>
      <c r="X1781" t="s">
        <v>33</v>
      </c>
      <c r="Y1781">
        <v>43</v>
      </c>
      <c r="Z1781" s="1">
        <v>45653</v>
      </c>
      <c r="AA1781" t="str" cm="1">
        <f t="array" ref="AA178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81" t="str" cm="1">
        <f t="array" ref="AC1781">_xlfn.IFS(Table2[[#This Row],[Satification_points]]&gt;=4.5,"GREAT",AND(Table2[[#This Row],[Satification_points]]&gt;=4,Table2[[#This Row],[Satification_points]]&lt;4.5),"GOOD",AND(Table2[[#This Row],[Satification_points]]&gt;=3,Table2[[#This Row],[Satification_points]]&lt;4),"AVERAGE",Table2[[#This Row],[Satification_points]]&lt;3,"POOR")</f>
        <v>AVERAGE</v>
      </c>
    </row>
    <row r="1782" spans="1:29" x14ac:dyDescent="0.3">
      <c r="A1782">
        <v>1781</v>
      </c>
      <c r="B1782">
        <v>82936</v>
      </c>
      <c r="C1782" t="s">
        <v>1822</v>
      </c>
      <c r="D1782" t="s">
        <v>34</v>
      </c>
      <c r="E1782" t="s">
        <v>45</v>
      </c>
      <c r="F1782" s="1">
        <v>45348</v>
      </c>
      <c r="G1782" s="1">
        <v>45349</v>
      </c>
      <c r="H1782">
        <v>2</v>
      </c>
      <c r="I1782" t="s">
        <v>42</v>
      </c>
      <c r="J1782" t="s">
        <v>36</v>
      </c>
      <c r="K1782">
        <v>1</v>
      </c>
      <c r="L1782">
        <v>1</v>
      </c>
      <c r="M1782">
        <v>4</v>
      </c>
      <c r="N1782">
        <v>5</v>
      </c>
      <c r="O1782">
        <v>2</v>
      </c>
      <c r="P1782">
        <v>1</v>
      </c>
      <c r="Q1782">
        <v>2</v>
      </c>
      <c r="R1782">
        <v>2</v>
      </c>
      <c r="S1782">
        <v>4</v>
      </c>
      <c r="T1782">
        <v>4</v>
      </c>
      <c r="U1782" t="s">
        <v>30</v>
      </c>
      <c r="V1782" t="s">
        <v>54</v>
      </c>
      <c r="W1782" t="s">
        <v>55</v>
      </c>
      <c r="X1782" t="s">
        <v>44</v>
      </c>
      <c r="Y1782">
        <v>42</v>
      </c>
      <c r="Z1782" s="1">
        <v>45349</v>
      </c>
      <c r="AA1782" t="str" cm="1">
        <f t="array" ref="AA178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782" t="str" cm="1">
        <f t="array" ref="AC1782">_xlfn.IFS(Table2[[#This Row],[Satification_points]]&gt;=4.5,"GREAT",AND(Table2[[#This Row],[Satification_points]]&gt;=4,Table2[[#This Row],[Satification_points]]&lt;4.5),"GOOD",AND(Table2[[#This Row],[Satification_points]]&gt;=3,Table2[[#This Row],[Satification_points]]&lt;4),"AVERAGE",Table2[[#This Row],[Satification_points]]&lt;3,"POOR")</f>
        <v>POOR</v>
      </c>
    </row>
    <row r="1783" spans="1:29" x14ac:dyDescent="0.3">
      <c r="A1783">
        <v>1782</v>
      </c>
      <c r="B1783">
        <v>53908</v>
      </c>
      <c r="C1783" t="s">
        <v>1823</v>
      </c>
      <c r="D1783" t="s">
        <v>48</v>
      </c>
      <c r="E1783" t="s">
        <v>52</v>
      </c>
      <c r="F1783" s="1">
        <v>45015</v>
      </c>
      <c r="G1783" s="1">
        <v>45579</v>
      </c>
      <c r="H1783">
        <v>14</v>
      </c>
      <c r="I1783" t="s">
        <v>28</v>
      </c>
      <c r="J1783" t="s">
        <v>53</v>
      </c>
      <c r="K1783">
        <v>1</v>
      </c>
      <c r="L1783">
        <v>3</v>
      </c>
      <c r="M1783">
        <v>4</v>
      </c>
      <c r="N1783">
        <v>1</v>
      </c>
      <c r="O1783">
        <v>4</v>
      </c>
      <c r="P1783">
        <v>2</v>
      </c>
      <c r="Q1783">
        <v>2</v>
      </c>
      <c r="R1783">
        <v>3</v>
      </c>
      <c r="S1783">
        <v>5</v>
      </c>
      <c r="T1783">
        <v>1</v>
      </c>
      <c r="U1783" t="s">
        <v>30</v>
      </c>
      <c r="V1783" t="s">
        <v>54</v>
      </c>
      <c r="W1783" t="s">
        <v>55</v>
      </c>
      <c r="X1783" t="s">
        <v>44</v>
      </c>
      <c r="Y1783">
        <v>57</v>
      </c>
      <c r="Z1783" s="1">
        <v>45579</v>
      </c>
      <c r="AA1783" t="str" cm="1">
        <f t="array" ref="AA1783">_xlfn.IFS(AND(Table2[[#This Row],[Guest_Age]]&gt;=18,Table2[[#This Row],[Guest_Age]]&lt;=25),"Young Adults",AND(Table2[[#This Row],[Guest_Age]]&gt;=26,Table2[[#This Row],[Guest_Age]]&lt;=35),"Adults",AND(Table2[[#This Row],[Guest_Age]]&gt;=36,Table2[[#This Row],[Guest_Age]]&lt;=50),"Middle Aged Adults",Table2[[#This Row],[Guest_Age]]&gt;50,"Senior")</f>
        <v>Senior</v>
      </c>
      <c r="AB17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783" t="str" cm="1">
        <f t="array" ref="AC1783">_xlfn.IFS(Table2[[#This Row],[Satification_points]]&gt;=4.5,"GREAT",AND(Table2[[#This Row],[Satification_points]]&gt;=4,Table2[[#This Row],[Satification_points]]&lt;4.5),"GOOD",AND(Table2[[#This Row],[Satification_points]]&gt;=3,Table2[[#This Row],[Satification_points]]&lt;4),"AVERAGE",Table2[[#This Row],[Satification_points]]&lt;3,"POOR")</f>
        <v>POOR</v>
      </c>
    </row>
    <row r="1784" spans="1:29" x14ac:dyDescent="0.3">
      <c r="A1784">
        <v>1783</v>
      </c>
      <c r="B1784">
        <v>37817</v>
      </c>
      <c r="C1784" t="s">
        <v>1575</v>
      </c>
      <c r="D1784" t="s">
        <v>48</v>
      </c>
      <c r="E1784" t="s">
        <v>52</v>
      </c>
      <c r="F1784" s="1">
        <v>45258</v>
      </c>
      <c r="G1784" s="1">
        <v>45259</v>
      </c>
      <c r="H1784">
        <v>6</v>
      </c>
      <c r="I1784" t="s">
        <v>42</v>
      </c>
      <c r="J1784" t="s">
        <v>53</v>
      </c>
      <c r="K1784">
        <v>5</v>
      </c>
      <c r="L1784">
        <v>4</v>
      </c>
      <c r="M1784">
        <v>3</v>
      </c>
      <c r="N1784">
        <v>1</v>
      </c>
      <c r="O1784">
        <v>5</v>
      </c>
      <c r="P1784">
        <v>1</v>
      </c>
      <c r="Q1784">
        <v>5</v>
      </c>
      <c r="R1784">
        <v>4</v>
      </c>
      <c r="S1784">
        <v>5</v>
      </c>
      <c r="T1784">
        <v>1</v>
      </c>
      <c r="U1784" t="s">
        <v>30</v>
      </c>
      <c r="V1784" t="s">
        <v>38</v>
      </c>
      <c r="W1784" t="s">
        <v>32</v>
      </c>
      <c r="X1784" t="s">
        <v>40</v>
      </c>
      <c r="Y1784">
        <v>42</v>
      </c>
      <c r="Z1784" s="1">
        <v>45259</v>
      </c>
      <c r="AA1784" t="str" cm="1">
        <f t="array" ref="AA178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784" t="str" cm="1">
        <f t="array" ref="AC1784">_xlfn.IFS(Table2[[#This Row],[Satification_points]]&gt;=4.5,"GREAT",AND(Table2[[#This Row],[Satification_points]]&gt;=4,Table2[[#This Row],[Satification_points]]&lt;4.5),"GOOD",AND(Table2[[#This Row],[Satification_points]]&gt;=3,Table2[[#This Row],[Satification_points]]&lt;4),"AVERAGE",Table2[[#This Row],[Satification_points]]&lt;3,"POOR")</f>
        <v>AVERAGE</v>
      </c>
    </row>
    <row r="1785" spans="1:29" x14ac:dyDescent="0.3">
      <c r="A1785">
        <v>1784</v>
      </c>
      <c r="B1785">
        <v>65512</v>
      </c>
      <c r="C1785" t="s">
        <v>1824</v>
      </c>
      <c r="D1785" t="s">
        <v>26</v>
      </c>
      <c r="E1785" t="s">
        <v>35</v>
      </c>
      <c r="F1785" s="1">
        <v>45357</v>
      </c>
      <c r="G1785" s="1">
        <v>45358</v>
      </c>
      <c r="H1785">
        <v>5</v>
      </c>
      <c r="I1785" t="s">
        <v>49</v>
      </c>
      <c r="J1785" t="s">
        <v>40</v>
      </c>
      <c r="K1785">
        <v>3</v>
      </c>
      <c r="L1785">
        <v>4</v>
      </c>
      <c r="M1785">
        <v>4</v>
      </c>
      <c r="N1785">
        <v>1</v>
      </c>
      <c r="O1785">
        <v>5</v>
      </c>
      <c r="P1785">
        <v>2</v>
      </c>
      <c r="Q1785">
        <v>2</v>
      </c>
      <c r="R1785">
        <v>2</v>
      </c>
      <c r="S1785">
        <v>2</v>
      </c>
      <c r="T1785">
        <v>4</v>
      </c>
      <c r="U1785" t="s">
        <v>30</v>
      </c>
      <c r="V1785" t="s">
        <v>58</v>
      </c>
      <c r="W1785" t="s">
        <v>39</v>
      </c>
      <c r="X1785" t="s">
        <v>33</v>
      </c>
      <c r="Y1785">
        <v>52</v>
      </c>
      <c r="Z1785" s="1">
        <v>45358</v>
      </c>
      <c r="AA1785" t="str" cm="1">
        <f t="array" ref="AA1785">_xlfn.IFS(AND(Table2[[#This Row],[Guest_Age]]&gt;=18,Table2[[#This Row],[Guest_Age]]&lt;=25),"Young Adults",AND(Table2[[#This Row],[Guest_Age]]&gt;=26,Table2[[#This Row],[Guest_Age]]&lt;=35),"Adults",AND(Table2[[#This Row],[Guest_Age]]&gt;=36,Table2[[#This Row],[Guest_Age]]&lt;=50),"Middle Aged Adults",Table2[[#This Row],[Guest_Age]]&gt;50,"Senior")</f>
        <v>Senior</v>
      </c>
      <c r="AB17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85" t="str" cm="1">
        <f t="array" ref="AC1785">_xlfn.IFS(Table2[[#This Row],[Satification_points]]&gt;=4.5,"GREAT",AND(Table2[[#This Row],[Satification_points]]&gt;=4,Table2[[#This Row],[Satification_points]]&lt;4.5),"GOOD",AND(Table2[[#This Row],[Satification_points]]&gt;=3,Table2[[#This Row],[Satification_points]]&lt;4),"AVERAGE",Table2[[#This Row],[Satification_points]]&lt;3,"POOR")</f>
        <v>POOR</v>
      </c>
    </row>
    <row r="1786" spans="1:29" x14ac:dyDescent="0.3">
      <c r="A1786">
        <v>1785</v>
      </c>
      <c r="B1786">
        <v>86123</v>
      </c>
      <c r="C1786" t="s">
        <v>1825</v>
      </c>
      <c r="D1786" t="s">
        <v>41</v>
      </c>
      <c r="E1786" t="s">
        <v>57</v>
      </c>
      <c r="F1786" s="1">
        <v>45078</v>
      </c>
      <c r="G1786" s="1">
        <v>45420</v>
      </c>
      <c r="H1786">
        <v>6</v>
      </c>
      <c r="I1786" t="s">
        <v>49</v>
      </c>
      <c r="J1786" t="s">
        <v>40</v>
      </c>
      <c r="K1786">
        <v>4</v>
      </c>
      <c r="L1786">
        <v>4</v>
      </c>
      <c r="M1786">
        <v>2</v>
      </c>
      <c r="N1786">
        <v>1</v>
      </c>
      <c r="O1786">
        <v>2</v>
      </c>
      <c r="P1786">
        <v>2</v>
      </c>
      <c r="Q1786">
        <v>5</v>
      </c>
      <c r="R1786">
        <v>3</v>
      </c>
      <c r="S1786">
        <v>4</v>
      </c>
      <c r="T1786">
        <v>3</v>
      </c>
      <c r="U1786" t="s">
        <v>37</v>
      </c>
      <c r="V1786" t="s">
        <v>31</v>
      </c>
      <c r="W1786" t="s">
        <v>47</v>
      </c>
      <c r="X1786" t="s">
        <v>44</v>
      </c>
      <c r="Y1786">
        <v>67</v>
      </c>
      <c r="Z1786" s="1">
        <v>45651</v>
      </c>
      <c r="AA1786" t="str" cm="1">
        <f t="array" ref="AA1786">_xlfn.IFS(AND(Table2[[#This Row],[Guest_Age]]&gt;=18,Table2[[#This Row],[Guest_Age]]&lt;=25),"Young Adults",AND(Table2[[#This Row],[Guest_Age]]&gt;=26,Table2[[#This Row],[Guest_Age]]&lt;=35),"Adults",AND(Table2[[#This Row],[Guest_Age]]&gt;=36,Table2[[#This Row],[Guest_Age]]&lt;=50),"Middle Aged Adults",Table2[[#This Row],[Guest_Age]]&gt;50,"Senior")</f>
        <v>Senior</v>
      </c>
      <c r="AB17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786" t="str" cm="1">
        <f t="array" ref="AC1786">_xlfn.IFS(Table2[[#This Row],[Satification_points]]&gt;=4.5,"GREAT",AND(Table2[[#This Row],[Satification_points]]&gt;=4,Table2[[#This Row],[Satification_points]]&lt;4.5),"GOOD",AND(Table2[[#This Row],[Satification_points]]&gt;=3,Table2[[#This Row],[Satification_points]]&lt;4),"AVERAGE",Table2[[#This Row],[Satification_points]]&lt;3,"POOR")</f>
        <v>AVERAGE</v>
      </c>
    </row>
    <row r="1787" spans="1:29" x14ac:dyDescent="0.3">
      <c r="A1787">
        <v>1786</v>
      </c>
      <c r="B1787">
        <v>44812</v>
      </c>
      <c r="C1787" t="s">
        <v>1826</v>
      </c>
      <c r="D1787" t="s">
        <v>48</v>
      </c>
      <c r="E1787" t="s">
        <v>52</v>
      </c>
      <c r="F1787" s="1">
        <v>45634</v>
      </c>
      <c r="G1787" s="1">
        <v>45635</v>
      </c>
      <c r="H1787">
        <v>5</v>
      </c>
      <c r="I1787" t="s">
        <v>28</v>
      </c>
      <c r="J1787" t="s">
        <v>29</v>
      </c>
      <c r="K1787">
        <v>1</v>
      </c>
      <c r="L1787">
        <v>5</v>
      </c>
      <c r="M1787">
        <v>3</v>
      </c>
      <c r="N1787">
        <v>3</v>
      </c>
      <c r="O1787">
        <v>5</v>
      </c>
      <c r="P1787">
        <v>5</v>
      </c>
      <c r="Q1787">
        <v>4</v>
      </c>
      <c r="R1787">
        <v>5</v>
      </c>
      <c r="S1787">
        <v>2</v>
      </c>
      <c r="T1787">
        <v>4</v>
      </c>
      <c r="U1787" t="s">
        <v>30</v>
      </c>
      <c r="V1787" t="s">
        <v>38</v>
      </c>
      <c r="W1787" t="s">
        <v>32</v>
      </c>
      <c r="X1787" t="s">
        <v>44</v>
      </c>
      <c r="Y1787">
        <v>37</v>
      </c>
      <c r="Z1787" s="1">
        <v>45635</v>
      </c>
      <c r="AA1787" t="str" cm="1">
        <f t="array" ref="AA178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787" t="str" cm="1">
        <f t="array" ref="AC1787">_xlfn.IFS(Table2[[#This Row],[Satification_points]]&gt;=4.5,"GREAT",AND(Table2[[#This Row],[Satification_points]]&gt;=4,Table2[[#This Row],[Satification_points]]&lt;4.5),"GOOD",AND(Table2[[#This Row],[Satification_points]]&gt;=3,Table2[[#This Row],[Satification_points]]&lt;4),"AVERAGE",Table2[[#This Row],[Satification_points]]&lt;3,"POOR")</f>
        <v>AVERAGE</v>
      </c>
    </row>
    <row r="1788" spans="1:29" x14ac:dyDescent="0.3">
      <c r="A1788">
        <v>1787</v>
      </c>
      <c r="B1788">
        <v>48413</v>
      </c>
      <c r="C1788" t="s">
        <v>1827</v>
      </c>
      <c r="D1788" t="s">
        <v>48</v>
      </c>
      <c r="E1788" t="s">
        <v>57</v>
      </c>
      <c r="F1788" s="1">
        <v>45052</v>
      </c>
      <c r="G1788" s="1">
        <v>45271</v>
      </c>
      <c r="H1788">
        <v>6</v>
      </c>
      <c r="I1788" t="s">
        <v>49</v>
      </c>
      <c r="J1788" t="s">
        <v>36</v>
      </c>
      <c r="K1788">
        <v>1</v>
      </c>
      <c r="L1788">
        <v>3</v>
      </c>
      <c r="M1788">
        <v>1</v>
      </c>
      <c r="N1788">
        <v>3</v>
      </c>
      <c r="O1788">
        <v>1</v>
      </c>
      <c r="P1788">
        <v>2</v>
      </c>
      <c r="Q1788">
        <v>1</v>
      </c>
      <c r="R1788">
        <v>2</v>
      </c>
      <c r="S1788">
        <v>5</v>
      </c>
      <c r="T1788">
        <v>5</v>
      </c>
      <c r="U1788" t="s">
        <v>37</v>
      </c>
      <c r="V1788" t="s">
        <v>31</v>
      </c>
      <c r="W1788" t="s">
        <v>56</v>
      </c>
      <c r="X1788" t="s">
        <v>44</v>
      </c>
      <c r="Y1788">
        <v>19</v>
      </c>
      <c r="Z1788" s="1">
        <v>45543</v>
      </c>
      <c r="AA1788" t="str" cm="1">
        <f t="array" ref="AA1788">_xlfn.IFS(AND(Table2[[#This Row],[Guest_Age]]&gt;=18,Table2[[#This Row],[Guest_Age]]&lt;=25),"Young Adults",AND(Table2[[#This Row],[Guest_Age]]&gt;=26,Table2[[#This Row],[Guest_Age]]&lt;=35),"Adults",AND(Table2[[#This Row],[Guest_Age]]&gt;=36,Table2[[#This Row],[Guest_Age]]&lt;=50),"Middle Aged Adults",Table2[[#This Row],[Guest_Age]]&gt;50,"Senior")</f>
        <v>Young Adults</v>
      </c>
      <c r="AB17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788" t="str" cm="1">
        <f t="array" ref="AC1788">_xlfn.IFS(Table2[[#This Row],[Satification_points]]&gt;=4.5,"GREAT",AND(Table2[[#This Row],[Satification_points]]&gt;=4,Table2[[#This Row],[Satification_points]]&lt;4.5),"GOOD",AND(Table2[[#This Row],[Satification_points]]&gt;=3,Table2[[#This Row],[Satification_points]]&lt;4),"AVERAGE",Table2[[#This Row],[Satification_points]]&lt;3,"POOR")</f>
        <v>POOR</v>
      </c>
    </row>
    <row r="1789" spans="1:29" x14ac:dyDescent="0.3">
      <c r="A1789">
        <v>1788</v>
      </c>
      <c r="B1789">
        <v>98474</v>
      </c>
      <c r="C1789" t="s">
        <v>1828</v>
      </c>
      <c r="D1789" t="s">
        <v>51</v>
      </c>
      <c r="E1789" t="s">
        <v>45</v>
      </c>
      <c r="F1789" s="1">
        <v>44969</v>
      </c>
      <c r="G1789" s="1">
        <v>45426</v>
      </c>
      <c r="H1789">
        <v>12</v>
      </c>
      <c r="I1789" t="s">
        <v>49</v>
      </c>
      <c r="J1789" t="s">
        <v>36</v>
      </c>
      <c r="K1789">
        <v>2</v>
      </c>
      <c r="L1789">
        <v>2</v>
      </c>
      <c r="M1789">
        <v>2</v>
      </c>
      <c r="N1789">
        <v>1</v>
      </c>
      <c r="O1789">
        <v>5</v>
      </c>
      <c r="P1789">
        <v>4</v>
      </c>
      <c r="Q1789">
        <v>5</v>
      </c>
      <c r="R1789">
        <v>2</v>
      </c>
      <c r="S1789">
        <v>3</v>
      </c>
      <c r="T1789">
        <v>2</v>
      </c>
      <c r="U1789" t="s">
        <v>37</v>
      </c>
      <c r="V1789" t="s">
        <v>58</v>
      </c>
      <c r="W1789" t="s">
        <v>56</v>
      </c>
      <c r="X1789" t="s">
        <v>40</v>
      </c>
      <c r="Y1789">
        <v>58</v>
      </c>
      <c r="Z1789" s="1">
        <v>45533</v>
      </c>
      <c r="AA1789" t="str" cm="1">
        <f t="array" ref="AA1789">_xlfn.IFS(AND(Table2[[#This Row],[Guest_Age]]&gt;=18,Table2[[#This Row],[Guest_Age]]&lt;=25),"Young Adults",AND(Table2[[#This Row],[Guest_Age]]&gt;=26,Table2[[#This Row],[Guest_Age]]&lt;=35),"Adults",AND(Table2[[#This Row],[Guest_Age]]&gt;=36,Table2[[#This Row],[Guest_Age]]&lt;=50),"Middle Aged Adults",Table2[[#This Row],[Guest_Age]]&gt;50,"Senior")</f>
        <v>Senior</v>
      </c>
      <c r="AB17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89" t="str" cm="1">
        <f t="array" ref="AC1789">_xlfn.IFS(Table2[[#This Row],[Satification_points]]&gt;=4.5,"GREAT",AND(Table2[[#This Row],[Satification_points]]&gt;=4,Table2[[#This Row],[Satification_points]]&lt;4.5),"GOOD",AND(Table2[[#This Row],[Satification_points]]&gt;=3,Table2[[#This Row],[Satification_points]]&lt;4),"AVERAGE",Table2[[#This Row],[Satification_points]]&lt;3,"POOR")</f>
        <v>POOR</v>
      </c>
    </row>
    <row r="1790" spans="1:29" x14ac:dyDescent="0.3">
      <c r="A1790">
        <v>1789</v>
      </c>
      <c r="B1790">
        <v>29983</v>
      </c>
      <c r="C1790" t="s">
        <v>1829</v>
      </c>
      <c r="D1790" t="s">
        <v>26</v>
      </c>
      <c r="E1790" t="s">
        <v>57</v>
      </c>
      <c r="F1790" s="1">
        <v>45347</v>
      </c>
      <c r="G1790" s="1">
        <v>45348</v>
      </c>
      <c r="H1790">
        <v>4</v>
      </c>
      <c r="I1790" t="s">
        <v>28</v>
      </c>
      <c r="J1790" t="s">
        <v>36</v>
      </c>
      <c r="K1790">
        <v>5</v>
      </c>
      <c r="L1790">
        <v>5</v>
      </c>
      <c r="M1790">
        <v>5</v>
      </c>
      <c r="N1790">
        <v>4</v>
      </c>
      <c r="O1790">
        <v>3</v>
      </c>
      <c r="P1790">
        <v>5</v>
      </c>
      <c r="Q1790">
        <v>2</v>
      </c>
      <c r="R1790">
        <v>3</v>
      </c>
      <c r="S1790">
        <v>4</v>
      </c>
      <c r="T1790">
        <v>4</v>
      </c>
      <c r="U1790" t="s">
        <v>30</v>
      </c>
      <c r="V1790" t="s">
        <v>58</v>
      </c>
      <c r="W1790" t="s">
        <v>55</v>
      </c>
      <c r="X1790" t="s">
        <v>40</v>
      </c>
      <c r="Y1790">
        <v>68</v>
      </c>
      <c r="Z1790" s="1">
        <v>45504</v>
      </c>
      <c r="AA1790" t="str" cm="1">
        <f t="array" ref="AA1790">_xlfn.IFS(AND(Table2[[#This Row],[Guest_Age]]&gt;=18,Table2[[#This Row],[Guest_Age]]&lt;=25),"Young Adults",AND(Table2[[#This Row],[Guest_Age]]&gt;=26,Table2[[#This Row],[Guest_Age]]&lt;=35),"Adults",AND(Table2[[#This Row],[Guest_Age]]&gt;=36,Table2[[#This Row],[Guest_Age]]&lt;=50),"Middle Aged Adults",Table2[[#This Row],[Guest_Age]]&gt;50,"Senior")</f>
        <v>Senior</v>
      </c>
      <c r="AB17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790" t="str" cm="1">
        <f t="array" ref="AC1790">_xlfn.IFS(Table2[[#This Row],[Satification_points]]&gt;=4.5,"GREAT",AND(Table2[[#This Row],[Satification_points]]&gt;=4,Table2[[#This Row],[Satification_points]]&lt;4.5),"GOOD",AND(Table2[[#This Row],[Satification_points]]&gt;=3,Table2[[#This Row],[Satification_points]]&lt;4),"AVERAGE",Table2[[#This Row],[Satification_points]]&lt;3,"POOR")</f>
        <v>GOOD</v>
      </c>
    </row>
    <row r="1791" spans="1:29" x14ac:dyDescent="0.3">
      <c r="A1791">
        <v>1790</v>
      </c>
      <c r="B1791">
        <v>66026</v>
      </c>
      <c r="C1791" t="s">
        <v>1830</v>
      </c>
      <c r="D1791" t="s">
        <v>51</v>
      </c>
      <c r="E1791" t="s">
        <v>35</v>
      </c>
      <c r="F1791" s="1">
        <v>45611</v>
      </c>
      <c r="G1791" s="1">
        <v>45612</v>
      </c>
      <c r="H1791">
        <v>8</v>
      </c>
      <c r="I1791" t="s">
        <v>49</v>
      </c>
      <c r="J1791" t="s">
        <v>36</v>
      </c>
      <c r="K1791">
        <v>1</v>
      </c>
      <c r="L1791">
        <v>1</v>
      </c>
      <c r="M1791">
        <v>3</v>
      </c>
      <c r="N1791">
        <v>1</v>
      </c>
      <c r="O1791">
        <v>1</v>
      </c>
      <c r="P1791">
        <v>5</v>
      </c>
      <c r="Q1791">
        <v>4</v>
      </c>
      <c r="R1791">
        <v>2</v>
      </c>
      <c r="S1791">
        <v>1</v>
      </c>
      <c r="T1791">
        <v>4</v>
      </c>
      <c r="U1791" t="s">
        <v>37</v>
      </c>
      <c r="V1791" t="s">
        <v>38</v>
      </c>
      <c r="W1791" t="s">
        <v>56</v>
      </c>
      <c r="X1791" t="s">
        <v>40</v>
      </c>
      <c r="Y1791">
        <v>29</v>
      </c>
      <c r="Z1791" s="1">
        <v>45612</v>
      </c>
      <c r="AA1791" t="str" cm="1">
        <f t="array" ref="AA1791">_xlfn.IFS(AND(Table2[[#This Row],[Guest_Age]]&gt;=18,Table2[[#This Row],[Guest_Age]]&lt;=25),"Young Adults",AND(Table2[[#This Row],[Guest_Age]]&gt;=26,Table2[[#This Row],[Guest_Age]]&lt;=35),"Adults",AND(Table2[[#This Row],[Guest_Age]]&gt;=36,Table2[[#This Row],[Guest_Age]]&lt;=50),"Middle Aged Adults",Table2[[#This Row],[Guest_Age]]&gt;50,"Senior")</f>
        <v>Adults</v>
      </c>
      <c r="AB17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791" t="str" cm="1">
        <f t="array" ref="AC1791">_xlfn.IFS(Table2[[#This Row],[Satification_points]]&gt;=4.5,"GREAT",AND(Table2[[#This Row],[Satification_points]]&gt;=4,Table2[[#This Row],[Satification_points]]&lt;4.5),"GOOD",AND(Table2[[#This Row],[Satification_points]]&gt;=3,Table2[[#This Row],[Satification_points]]&lt;4),"AVERAGE",Table2[[#This Row],[Satification_points]]&lt;3,"POOR")</f>
        <v>POOR</v>
      </c>
    </row>
    <row r="1792" spans="1:29" x14ac:dyDescent="0.3">
      <c r="A1792">
        <v>1791</v>
      </c>
      <c r="B1792">
        <v>33425</v>
      </c>
      <c r="C1792" t="s">
        <v>843</v>
      </c>
      <c r="D1792" t="s">
        <v>26</v>
      </c>
      <c r="E1792" t="s">
        <v>35</v>
      </c>
      <c r="F1792" s="1">
        <v>45416</v>
      </c>
      <c r="G1792" s="1">
        <v>45428</v>
      </c>
      <c r="H1792">
        <v>12</v>
      </c>
      <c r="I1792" t="s">
        <v>49</v>
      </c>
      <c r="J1792" t="s">
        <v>53</v>
      </c>
      <c r="K1792">
        <v>2</v>
      </c>
      <c r="L1792">
        <v>4</v>
      </c>
      <c r="M1792">
        <v>1</v>
      </c>
      <c r="N1792">
        <v>1</v>
      </c>
      <c r="O1792">
        <v>4</v>
      </c>
      <c r="P1792">
        <v>4</v>
      </c>
      <c r="Q1792">
        <v>1</v>
      </c>
      <c r="R1792">
        <v>3</v>
      </c>
      <c r="S1792">
        <v>2</v>
      </c>
      <c r="T1792">
        <v>5</v>
      </c>
      <c r="U1792" t="s">
        <v>37</v>
      </c>
      <c r="V1792" t="s">
        <v>54</v>
      </c>
      <c r="W1792" t="s">
        <v>55</v>
      </c>
      <c r="X1792" t="s">
        <v>44</v>
      </c>
      <c r="Y1792">
        <v>49</v>
      </c>
      <c r="Z1792" s="1">
        <v>45428</v>
      </c>
      <c r="AA1792" t="str" cm="1">
        <f t="array" ref="AA179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792" t="str" cm="1">
        <f t="array" ref="AC1792">_xlfn.IFS(Table2[[#This Row],[Satification_points]]&gt;=4.5,"GREAT",AND(Table2[[#This Row],[Satification_points]]&gt;=4,Table2[[#This Row],[Satification_points]]&lt;4.5),"GOOD",AND(Table2[[#This Row],[Satification_points]]&gt;=3,Table2[[#This Row],[Satification_points]]&lt;4),"AVERAGE",Table2[[#This Row],[Satification_points]]&lt;3,"POOR")</f>
        <v>POOR</v>
      </c>
    </row>
    <row r="1793" spans="1:29" x14ac:dyDescent="0.3">
      <c r="A1793">
        <v>1792</v>
      </c>
      <c r="B1793">
        <v>15010</v>
      </c>
      <c r="C1793" t="s">
        <v>1831</v>
      </c>
      <c r="D1793" t="s">
        <v>26</v>
      </c>
      <c r="E1793" t="s">
        <v>52</v>
      </c>
      <c r="F1793" s="1">
        <v>45492</v>
      </c>
      <c r="G1793" s="1">
        <v>45493</v>
      </c>
      <c r="H1793">
        <v>9</v>
      </c>
      <c r="I1793" t="s">
        <v>42</v>
      </c>
      <c r="J1793" t="s">
        <v>43</v>
      </c>
      <c r="K1793">
        <v>3</v>
      </c>
      <c r="L1793">
        <v>1</v>
      </c>
      <c r="M1793">
        <v>1</v>
      </c>
      <c r="N1793">
        <v>4</v>
      </c>
      <c r="O1793">
        <v>2</v>
      </c>
      <c r="P1793">
        <v>5</v>
      </c>
      <c r="Q1793">
        <v>1</v>
      </c>
      <c r="R1793">
        <v>4</v>
      </c>
      <c r="S1793">
        <v>4</v>
      </c>
      <c r="T1793">
        <v>3</v>
      </c>
      <c r="U1793" t="s">
        <v>30</v>
      </c>
      <c r="V1793" t="s">
        <v>54</v>
      </c>
      <c r="W1793" t="s">
        <v>47</v>
      </c>
      <c r="X1793" t="s">
        <v>33</v>
      </c>
      <c r="Y1793">
        <v>60</v>
      </c>
      <c r="Z1793" s="1">
        <v>45493</v>
      </c>
      <c r="AA1793" t="str" cm="1">
        <f t="array" ref="AA1793">_xlfn.IFS(AND(Table2[[#This Row],[Guest_Age]]&gt;=18,Table2[[#This Row],[Guest_Age]]&lt;=25),"Young Adults",AND(Table2[[#This Row],[Guest_Age]]&gt;=26,Table2[[#This Row],[Guest_Age]]&lt;=35),"Adults",AND(Table2[[#This Row],[Guest_Age]]&gt;=36,Table2[[#This Row],[Guest_Age]]&lt;=50),"Middle Aged Adults",Table2[[#This Row],[Guest_Age]]&gt;50,"Senior")</f>
        <v>Senior</v>
      </c>
      <c r="AB17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93" t="str" cm="1">
        <f t="array" ref="AC1793">_xlfn.IFS(Table2[[#This Row],[Satification_points]]&gt;=4.5,"GREAT",AND(Table2[[#This Row],[Satification_points]]&gt;=4,Table2[[#This Row],[Satification_points]]&lt;4.5),"GOOD",AND(Table2[[#This Row],[Satification_points]]&gt;=3,Table2[[#This Row],[Satification_points]]&lt;4),"AVERAGE",Table2[[#This Row],[Satification_points]]&lt;3,"POOR")</f>
        <v>POOR</v>
      </c>
    </row>
    <row r="1794" spans="1:29" x14ac:dyDescent="0.3">
      <c r="A1794">
        <v>1793</v>
      </c>
      <c r="B1794">
        <v>63142</v>
      </c>
      <c r="C1794" t="s">
        <v>1832</v>
      </c>
      <c r="D1794" t="s">
        <v>51</v>
      </c>
      <c r="E1794" t="s">
        <v>57</v>
      </c>
      <c r="F1794" s="1">
        <v>45179</v>
      </c>
      <c r="G1794" s="1">
        <v>45180</v>
      </c>
      <c r="H1794">
        <v>10</v>
      </c>
      <c r="I1794" t="s">
        <v>42</v>
      </c>
      <c r="J1794" t="s">
        <v>40</v>
      </c>
      <c r="K1794">
        <v>1</v>
      </c>
      <c r="L1794">
        <v>5</v>
      </c>
      <c r="M1794">
        <v>3</v>
      </c>
      <c r="N1794">
        <v>4</v>
      </c>
      <c r="O1794">
        <v>2</v>
      </c>
      <c r="P1794">
        <v>2</v>
      </c>
      <c r="Q1794">
        <v>4</v>
      </c>
      <c r="R1794">
        <v>4</v>
      </c>
      <c r="S1794">
        <v>1</v>
      </c>
      <c r="T1794">
        <v>2</v>
      </c>
      <c r="U1794" t="s">
        <v>30</v>
      </c>
      <c r="V1794" t="s">
        <v>54</v>
      </c>
      <c r="W1794" t="s">
        <v>32</v>
      </c>
      <c r="X1794" t="s">
        <v>33</v>
      </c>
      <c r="Y1794">
        <v>50</v>
      </c>
      <c r="Z1794" s="1">
        <v>45263</v>
      </c>
      <c r="AA1794" t="str" cm="1">
        <f t="array" ref="AA179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94" t="str" cm="1">
        <f t="array" ref="AC1794">_xlfn.IFS(Table2[[#This Row],[Satification_points]]&gt;=4.5,"GREAT",AND(Table2[[#This Row],[Satification_points]]&gt;=4,Table2[[#This Row],[Satification_points]]&lt;4.5),"GOOD",AND(Table2[[#This Row],[Satification_points]]&gt;=3,Table2[[#This Row],[Satification_points]]&lt;4),"AVERAGE",Table2[[#This Row],[Satification_points]]&lt;3,"POOR")</f>
        <v>POOR</v>
      </c>
    </row>
    <row r="1795" spans="1:29" x14ac:dyDescent="0.3">
      <c r="A1795">
        <v>1794</v>
      </c>
      <c r="B1795">
        <v>83384</v>
      </c>
      <c r="C1795" t="s">
        <v>1833</v>
      </c>
      <c r="D1795" t="s">
        <v>41</v>
      </c>
      <c r="E1795" t="s">
        <v>35</v>
      </c>
      <c r="F1795" s="1">
        <v>45634</v>
      </c>
      <c r="G1795" s="1">
        <v>45635</v>
      </c>
      <c r="H1795">
        <v>7</v>
      </c>
      <c r="I1795" t="s">
        <v>42</v>
      </c>
      <c r="J1795" t="s">
        <v>40</v>
      </c>
      <c r="K1795">
        <v>5</v>
      </c>
      <c r="L1795">
        <v>4</v>
      </c>
      <c r="M1795">
        <v>2</v>
      </c>
      <c r="N1795">
        <v>1</v>
      </c>
      <c r="O1795">
        <v>3</v>
      </c>
      <c r="P1795">
        <v>4</v>
      </c>
      <c r="Q1795">
        <v>4</v>
      </c>
      <c r="R1795">
        <v>4</v>
      </c>
      <c r="S1795">
        <v>2</v>
      </c>
      <c r="T1795">
        <v>2</v>
      </c>
      <c r="U1795" t="s">
        <v>30</v>
      </c>
      <c r="V1795" t="s">
        <v>46</v>
      </c>
      <c r="W1795" t="s">
        <v>32</v>
      </c>
      <c r="X1795" t="s">
        <v>33</v>
      </c>
      <c r="Y1795">
        <v>65</v>
      </c>
      <c r="Z1795" s="1">
        <v>45635</v>
      </c>
      <c r="AA1795" t="str" cm="1">
        <f t="array" ref="AA1795">_xlfn.IFS(AND(Table2[[#This Row],[Guest_Age]]&gt;=18,Table2[[#This Row],[Guest_Age]]&lt;=25),"Young Adults",AND(Table2[[#This Row],[Guest_Age]]&gt;=26,Table2[[#This Row],[Guest_Age]]&lt;=35),"Adults",AND(Table2[[#This Row],[Guest_Age]]&gt;=36,Table2[[#This Row],[Guest_Age]]&lt;=50),"Middle Aged Adults",Table2[[#This Row],[Guest_Age]]&gt;50,"Senior")</f>
        <v>Senior</v>
      </c>
      <c r="AB17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795" t="str" cm="1">
        <f t="array" ref="AC1795">_xlfn.IFS(Table2[[#This Row],[Satification_points]]&gt;=4.5,"GREAT",AND(Table2[[#This Row],[Satification_points]]&gt;=4,Table2[[#This Row],[Satification_points]]&lt;4.5),"GOOD",AND(Table2[[#This Row],[Satification_points]]&gt;=3,Table2[[#This Row],[Satification_points]]&lt;4),"AVERAGE",Table2[[#This Row],[Satification_points]]&lt;3,"POOR")</f>
        <v>AVERAGE</v>
      </c>
    </row>
    <row r="1796" spans="1:29" x14ac:dyDescent="0.3">
      <c r="A1796">
        <v>1795</v>
      </c>
      <c r="B1796">
        <v>97565</v>
      </c>
      <c r="C1796" t="s">
        <v>1834</v>
      </c>
      <c r="D1796" t="s">
        <v>41</v>
      </c>
      <c r="E1796" t="s">
        <v>27</v>
      </c>
      <c r="F1796" s="1">
        <v>45410</v>
      </c>
      <c r="G1796" s="1">
        <v>45411</v>
      </c>
      <c r="H1796">
        <v>14</v>
      </c>
      <c r="I1796" t="s">
        <v>42</v>
      </c>
      <c r="J1796" t="s">
        <v>36</v>
      </c>
      <c r="K1796">
        <v>2</v>
      </c>
      <c r="L1796">
        <v>3</v>
      </c>
      <c r="M1796">
        <v>1</v>
      </c>
      <c r="N1796">
        <v>2</v>
      </c>
      <c r="O1796">
        <v>2</v>
      </c>
      <c r="P1796">
        <v>2</v>
      </c>
      <c r="Q1796">
        <v>1</v>
      </c>
      <c r="R1796">
        <v>2</v>
      </c>
      <c r="S1796">
        <v>5</v>
      </c>
      <c r="T1796">
        <v>1</v>
      </c>
      <c r="U1796" t="s">
        <v>37</v>
      </c>
      <c r="V1796" t="s">
        <v>46</v>
      </c>
      <c r="W1796" t="s">
        <v>47</v>
      </c>
      <c r="X1796" t="s">
        <v>40</v>
      </c>
      <c r="Y1796">
        <v>48</v>
      </c>
      <c r="Z1796" s="1">
        <v>45411</v>
      </c>
      <c r="AA1796" t="str" cm="1">
        <f t="array" ref="AA179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796" t="str" cm="1">
        <f t="array" ref="AC1796">_xlfn.IFS(Table2[[#This Row],[Satification_points]]&gt;=4.5,"GREAT",AND(Table2[[#This Row],[Satification_points]]&gt;=4,Table2[[#This Row],[Satification_points]]&lt;4.5),"GOOD",AND(Table2[[#This Row],[Satification_points]]&gt;=3,Table2[[#This Row],[Satification_points]]&lt;4),"AVERAGE",Table2[[#This Row],[Satification_points]]&lt;3,"POOR")</f>
        <v>POOR</v>
      </c>
    </row>
    <row r="1797" spans="1:29" x14ac:dyDescent="0.3">
      <c r="A1797">
        <v>1796</v>
      </c>
      <c r="B1797">
        <v>54974</v>
      </c>
      <c r="C1797" t="s">
        <v>1835</v>
      </c>
      <c r="D1797" t="s">
        <v>26</v>
      </c>
      <c r="E1797" t="s">
        <v>35</v>
      </c>
      <c r="F1797" s="1">
        <v>45219</v>
      </c>
      <c r="G1797" s="1">
        <v>45296</v>
      </c>
      <c r="H1797">
        <v>14</v>
      </c>
      <c r="I1797" t="s">
        <v>50</v>
      </c>
      <c r="J1797" t="s">
        <v>36</v>
      </c>
      <c r="K1797">
        <v>3</v>
      </c>
      <c r="L1797">
        <v>4</v>
      </c>
      <c r="M1797">
        <v>3</v>
      </c>
      <c r="N1797">
        <v>2</v>
      </c>
      <c r="O1797">
        <v>4</v>
      </c>
      <c r="P1797">
        <v>5</v>
      </c>
      <c r="Q1797">
        <v>1</v>
      </c>
      <c r="R1797">
        <v>2</v>
      </c>
      <c r="S1797">
        <v>2</v>
      </c>
      <c r="T1797">
        <v>2</v>
      </c>
      <c r="U1797" t="s">
        <v>30</v>
      </c>
      <c r="V1797" t="s">
        <v>38</v>
      </c>
      <c r="W1797" t="s">
        <v>55</v>
      </c>
      <c r="X1797" t="s">
        <v>44</v>
      </c>
      <c r="Y1797">
        <v>50</v>
      </c>
      <c r="Z1797" s="1">
        <v>45568</v>
      </c>
      <c r="AA1797" t="str" cm="1">
        <f t="array" ref="AA17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797" t="str" cm="1">
        <f t="array" ref="AC1797">_xlfn.IFS(Table2[[#This Row],[Satification_points]]&gt;=4.5,"GREAT",AND(Table2[[#This Row],[Satification_points]]&gt;=4,Table2[[#This Row],[Satification_points]]&lt;4.5),"GOOD",AND(Table2[[#This Row],[Satification_points]]&gt;=3,Table2[[#This Row],[Satification_points]]&lt;4),"AVERAGE",Table2[[#This Row],[Satification_points]]&lt;3,"POOR")</f>
        <v>POOR</v>
      </c>
    </row>
    <row r="1798" spans="1:29" x14ac:dyDescent="0.3">
      <c r="A1798">
        <v>1797</v>
      </c>
      <c r="B1798">
        <v>57346</v>
      </c>
      <c r="C1798" t="s">
        <v>1836</v>
      </c>
      <c r="D1798" t="s">
        <v>51</v>
      </c>
      <c r="E1798" t="s">
        <v>45</v>
      </c>
      <c r="F1798" s="1">
        <v>45143</v>
      </c>
      <c r="G1798" s="1">
        <v>45634</v>
      </c>
      <c r="H1798">
        <v>14</v>
      </c>
      <c r="I1798" t="s">
        <v>42</v>
      </c>
      <c r="J1798" t="s">
        <v>53</v>
      </c>
      <c r="K1798">
        <v>2</v>
      </c>
      <c r="L1798">
        <v>4</v>
      </c>
      <c r="M1798">
        <v>3</v>
      </c>
      <c r="N1798">
        <v>4</v>
      </c>
      <c r="O1798">
        <v>5</v>
      </c>
      <c r="P1798">
        <v>3</v>
      </c>
      <c r="Q1798">
        <v>2</v>
      </c>
      <c r="R1798">
        <v>1</v>
      </c>
      <c r="S1798">
        <v>3</v>
      </c>
      <c r="T1798">
        <v>2</v>
      </c>
      <c r="U1798" t="s">
        <v>37</v>
      </c>
      <c r="V1798" t="s">
        <v>46</v>
      </c>
      <c r="W1798" t="s">
        <v>39</v>
      </c>
      <c r="X1798" t="s">
        <v>44</v>
      </c>
      <c r="Y1798">
        <v>37</v>
      </c>
      <c r="Z1798" s="1">
        <v>45634</v>
      </c>
      <c r="AA1798" t="str" cm="1">
        <f t="array" ref="AA17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7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98" t="str" cm="1">
        <f t="array" ref="AC1798">_xlfn.IFS(Table2[[#This Row],[Satification_points]]&gt;=4.5,"GREAT",AND(Table2[[#This Row],[Satification_points]]&gt;=4,Table2[[#This Row],[Satification_points]]&lt;4.5),"GOOD",AND(Table2[[#This Row],[Satification_points]]&gt;=3,Table2[[#This Row],[Satification_points]]&lt;4),"AVERAGE",Table2[[#This Row],[Satification_points]]&lt;3,"POOR")</f>
        <v>POOR</v>
      </c>
    </row>
    <row r="1799" spans="1:29" x14ac:dyDescent="0.3">
      <c r="A1799">
        <v>1798</v>
      </c>
      <c r="B1799">
        <v>91726</v>
      </c>
      <c r="C1799" t="s">
        <v>1837</v>
      </c>
      <c r="D1799" t="s">
        <v>48</v>
      </c>
      <c r="E1799" t="s">
        <v>27</v>
      </c>
      <c r="F1799" s="1">
        <v>45095</v>
      </c>
      <c r="G1799" s="1">
        <v>45623</v>
      </c>
      <c r="H1799">
        <v>11</v>
      </c>
      <c r="I1799" t="s">
        <v>42</v>
      </c>
      <c r="J1799" t="s">
        <v>53</v>
      </c>
      <c r="K1799">
        <v>4</v>
      </c>
      <c r="L1799">
        <v>4</v>
      </c>
      <c r="M1799">
        <v>4</v>
      </c>
      <c r="N1799">
        <v>1</v>
      </c>
      <c r="O1799">
        <v>2</v>
      </c>
      <c r="P1799">
        <v>4</v>
      </c>
      <c r="Q1799">
        <v>5</v>
      </c>
      <c r="R1799">
        <v>1</v>
      </c>
      <c r="S1799">
        <v>2</v>
      </c>
      <c r="T1799">
        <v>2</v>
      </c>
      <c r="U1799" t="s">
        <v>30</v>
      </c>
      <c r="V1799" t="s">
        <v>31</v>
      </c>
      <c r="W1799" t="s">
        <v>56</v>
      </c>
      <c r="X1799" t="s">
        <v>33</v>
      </c>
      <c r="Y1799">
        <v>58</v>
      </c>
      <c r="Z1799" s="1">
        <v>45623</v>
      </c>
      <c r="AA1799" t="str" cm="1">
        <f t="array" ref="AA1799">_xlfn.IFS(AND(Table2[[#This Row],[Guest_Age]]&gt;=18,Table2[[#This Row],[Guest_Age]]&lt;=25),"Young Adults",AND(Table2[[#This Row],[Guest_Age]]&gt;=26,Table2[[#This Row],[Guest_Age]]&lt;=35),"Adults",AND(Table2[[#This Row],[Guest_Age]]&gt;=36,Table2[[#This Row],[Guest_Age]]&lt;=50),"Middle Aged Adults",Table2[[#This Row],[Guest_Age]]&gt;50,"Senior")</f>
        <v>Senior</v>
      </c>
      <c r="AB17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799" t="str" cm="1">
        <f t="array" ref="AC1799">_xlfn.IFS(Table2[[#This Row],[Satification_points]]&gt;=4.5,"GREAT",AND(Table2[[#This Row],[Satification_points]]&gt;=4,Table2[[#This Row],[Satification_points]]&lt;4.5),"GOOD",AND(Table2[[#This Row],[Satification_points]]&gt;=3,Table2[[#This Row],[Satification_points]]&lt;4),"AVERAGE",Table2[[#This Row],[Satification_points]]&lt;3,"POOR")</f>
        <v>POOR</v>
      </c>
    </row>
    <row r="1800" spans="1:29" x14ac:dyDescent="0.3">
      <c r="A1800">
        <v>1799</v>
      </c>
      <c r="B1800">
        <v>59113</v>
      </c>
      <c r="C1800" t="s">
        <v>1838</v>
      </c>
      <c r="D1800" t="s">
        <v>26</v>
      </c>
      <c r="E1800" t="s">
        <v>57</v>
      </c>
      <c r="F1800" s="1">
        <v>45566</v>
      </c>
      <c r="G1800" s="1">
        <v>45567</v>
      </c>
      <c r="H1800">
        <v>12</v>
      </c>
      <c r="I1800" t="s">
        <v>42</v>
      </c>
      <c r="J1800" t="s">
        <v>40</v>
      </c>
      <c r="K1800">
        <v>5</v>
      </c>
      <c r="L1800">
        <v>5</v>
      </c>
      <c r="M1800">
        <v>3</v>
      </c>
      <c r="N1800">
        <v>5</v>
      </c>
      <c r="O1800">
        <v>4</v>
      </c>
      <c r="P1800">
        <v>1</v>
      </c>
      <c r="Q1800">
        <v>5</v>
      </c>
      <c r="R1800">
        <v>3</v>
      </c>
      <c r="S1800">
        <v>2</v>
      </c>
      <c r="T1800">
        <v>2</v>
      </c>
      <c r="U1800" t="s">
        <v>30</v>
      </c>
      <c r="V1800" t="s">
        <v>38</v>
      </c>
      <c r="W1800" t="s">
        <v>47</v>
      </c>
      <c r="X1800" t="s">
        <v>44</v>
      </c>
      <c r="Y1800">
        <v>54</v>
      </c>
      <c r="Z1800" s="1">
        <v>45567</v>
      </c>
      <c r="AA1800" t="str" cm="1">
        <f t="array" ref="AA1800">_xlfn.IFS(AND(Table2[[#This Row],[Guest_Age]]&gt;=18,Table2[[#This Row],[Guest_Age]]&lt;=25),"Young Adults",AND(Table2[[#This Row],[Guest_Age]]&gt;=26,Table2[[#This Row],[Guest_Age]]&lt;=35),"Adults",AND(Table2[[#This Row],[Guest_Age]]&gt;=36,Table2[[#This Row],[Guest_Age]]&lt;=50),"Middle Aged Adults",Table2[[#This Row],[Guest_Age]]&gt;50,"Senior")</f>
        <v>Senior</v>
      </c>
      <c r="AB18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800" t="str" cm="1">
        <f t="array" ref="AC1800">_xlfn.IFS(Table2[[#This Row],[Satification_points]]&gt;=4.5,"GREAT",AND(Table2[[#This Row],[Satification_points]]&gt;=4,Table2[[#This Row],[Satification_points]]&lt;4.5),"GOOD",AND(Table2[[#This Row],[Satification_points]]&gt;=3,Table2[[#This Row],[Satification_points]]&lt;4),"AVERAGE",Table2[[#This Row],[Satification_points]]&lt;3,"POOR")</f>
        <v>AVERAGE</v>
      </c>
    </row>
    <row r="1801" spans="1:29" x14ac:dyDescent="0.3">
      <c r="A1801">
        <v>1800</v>
      </c>
      <c r="B1801">
        <v>69399</v>
      </c>
      <c r="C1801" t="s">
        <v>1839</v>
      </c>
      <c r="D1801" t="s">
        <v>26</v>
      </c>
      <c r="E1801" t="s">
        <v>52</v>
      </c>
      <c r="F1801" s="1">
        <v>45311</v>
      </c>
      <c r="G1801" s="1">
        <v>45312</v>
      </c>
      <c r="H1801">
        <v>1</v>
      </c>
      <c r="I1801" t="s">
        <v>28</v>
      </c>
      <c r="J1801" t="s">
        <v>36</v>
      </c>
      <c r="K1801">
        <v>5</v>
      </c>
      <c r="L1801">
        <v>4</v>
      </c>
      <c r="M1801">
        <v>1</v>
      </c>
      <c r="N1801">
        <v>5</v>
      </c>
      <c r="O1801">
        <v>1</v>
      </c>
      <c r="P1801">
        <v>5</v>
      </c>
      <c r="Q1801">
        <v>1</v>
      </c>
      <c r="R1801">
        <v>2</v>
      </c>
      <c r="S1801">
        <v>4</v>
      </c>
      <c r="T1801">
        <v>5</v>
      </c>
      <c r="U1801" t="s">
        <v>37</v>
      </c>
      <c r="V1801" t="s">
        <v>38</v>
      </c>
      <c r="W1801" t="s">
        <v>56</v>
      </c>
      <c r="X1801" t="s">
        <v>33</v>
      </c>
      <c r="Y1801">
        <v>54</v>
      </c>
      <c r="Z1801" s="1">
        <v>45568</v>
      </c>
      <c r="AA1801" t="str" cm="1">
        <f t="array" ref="AA1801">_xlfn.IFS(AND(Table2[[#This Row],[Guest_Age]]&gt;=18,Table2[[#This Row],[Guest_Age]]&lt;=25),"Young Adults",AND(Table2[[#This Row],[Guest_Age]]&gt;=26,Table2[[#This Row],[Guest_Age]]&lt;=35),"Adults",AND(Table2[[#This Row],[Guest_Age]]&gt;=36,Table2[[#This Row],[Guest_Age]]&lt;=50),"Middle Aged Adults",Table2[[#This Row],[Guest_Age]]&gt;50,"Senior")</f>
        <v>Senior</v>
      </c>
      <c r="AB18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01" t="str" cm="1">
        <f t="array" ref="AC1801">_xlfn.IFS(Table2[[#This Row],[Satification_points]]&gt;=4.5,"GREAT",AND(Table2[[#This Row],[Satification_points]]&gt;=4,Table2[[#This Row],[Satification_points]]&lt;4.5),"GOOD",AND(Table2[[#This Row],[Satification_points]]&gt;=3,Table2[[#This Row],[Satification_points]]&lt;4),"AVERAGE",Table2[[#This Row],[Satification_points]]&lt;3,"POOR")</f>
        <v>AVERAGE</v>
      </c>
    </row>
    <row r="1802" spans="1:29" x14ac:dyDescent="0.3">
      <c r="A1802">
        <v>1801</v>
      </c>
      <c r="B1802">
        <v>27959</v>
      </c>
      <c r="C1802" t="s">
        <v>1840</v>
      </c>
      <c r="D1802" t="s">
        <v>34</v>
      </c>
      <c r="E1802" t="s">
        <v>27</v>
      </c>
      <c r="F1802" s="1">
        <v>44942</v>
      </c>
      <c r="G1802" s="1">
        <v>45661</v>
      </c>
      <c r="H1802">
        <v>5</v>
      </c>
      <c r="I1802" t="s">
        <v>42</v>
      </c>
      <c r="J1802" t="s">
        <v>36</v>
      </c>
      <c r="K1802">
        <v>1</v>
      </c>
      <c r="L1802">
        <v>5</v>
      </c>
      <c r="M1802">
        <v>4</v>
      </c>
      <c r="N1802">
        <v>1</v>
      </c>
      <c r="O1802">
        <v>4</v>
      </c>
      <c r="P1802">
        <v>3</v>
      </c>
      <c r="Q1802">
        <v>1</v>
      </c>
      <c r="R1802">
        <v>3</v>
      </c>
      <c r="S1802">
        <v>4</v>
      </c>
      <c r="T1802">
        <v>1</v>
      </c>
      <c r="U1802" t="s">
        <v>30</v>
      </c>
      <c r="V1802" t="s">
        <v>58</v>
      </c>
      <c r="W1802" t="s">
        <v>39</v>
      </c>
      <c r="X1802" t="s">
        <v>40</v>
      </c>
      <c r="Y1802">
        <v>57</v>
      </c>
      <c r="Z1802" s="1">
        <v>45661</v>
      </c>
      <c r="AA1802" t="str" cm="1">
        <f t="array" ref="AA1802">_xlfn.IFS(AND(Table2[[#This Row],[Guest_Age]]&gt;=18,Table2[[#This Row],[Guest_Age]]&lt;=25),"Young Adults",AND(Table2[[#This Row],[Guest_Age]]&gt;=26,Table2[[#This Row],[Guest_Age]]&lt;=35),"Adults",AND(Table2[[#This Row],[Guest_Age]]&gt;=36,Table2[[#This Row],[Guest_Age]]&lt;=50),"Middle Aged Adults",Table2[[#This Row],[Guest_Age]]&gt;50,"Senior")</f>
        <v>Senior</v>
      </c>
      <c r="AB18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802" t="str" cm="1">
        <f t="array" ref="AC1802">_xlfn.IFS(Table2[[#This Row],[Satification_points]]&gt;=4.5,"GREAT",AND(Table2[[#This Row],[Satification_points]]&gt;=4,Table2[[#This Row],[Satification_points]]&lt;4.5),"GOOD",AND(Table2[[#This Row],[Satification_points]]&gt;=3,Table2[[#This Row],[Satification_points]]&lt;4),"AVERAGE",Table2[[#This Row],[Satification_points]]&lt;3,"POOR")</f>
        <v>POOR</v>
      </c>
    </row>
    <row r="1803" spans="1:29" x14ac:dyDescent="0.3">
      <c r="A1803">
        <v>1802</v>
      </c>
      <c r="B1803">
        <v>81290</v>
      </c>
      <c r="C1803" t="s">
        <v>1841</v>
      </c>
      <c r="D1803" t="s">
        <v>41</v>
      </c>
      <c r="E1803" t="s">
        <v>35</v>
      </c>
      <c r="F1803" s="1">
        <v>44963</v>
      </c>
      <c r="G1803" s="1">
        <v>45461</v>
      </c>
      <c r="H1803">
        <v>7</v>
      </c>
      <c r="I1803" t="s">
        <v>50</v>
      </c>
      <c r="J1803" t="s">
        <v>40</v>
      </c>
      <c r="K1803">
        <v>2</v>
      </c>
      <c r="L1803">
        <v>1</v>
      </c>
      <c r="M1803">
        <v>1</v>
      </c>
      <c r="N1803">
        <v>1</v>
      </c>
      <c r="O1803">
        <v>3</v>
      </c>
      <c r="P1803">
        <v>5</v>
      </c>
      <c r="Q1803">
        <v>3</v>
      </c>
      <c r="R1803">
        <v>5</v>
      </c>
      <c r="S1803">
        <v>5</v>
      </c>
      <c r="T1803">
        <v>4</v>
      </c>
      <c r="U1803" t="s">
        <v>37</v>
      </c>
      <c r="V1803" t="s">
        <v>58</v>
      </c>
      <c r="W1803" t="s">
        <v>55</v>
      </c>
      <c r="X1803" t="s">
        <v>33</v>
      </c>
      <c r="Y1803">
        <v>31</v>
      </c>
      <c r="Z1803" s="1">
        <v>45461</v>
      </c>
      <c r="AA1803" t="str" cm="1">
        <f t="array" ref="AA1803">_xlfn.IFS(AND(Table2[[#This Row],[Guest_Age]]&gt;=18,Table2[[#This Row],[Guest_Age]]&lt;=25),"Young Adults",AND(Table2[[#This Row],[Guest_Age]]&gt;=26,Table2[[#This Row],[Guest_Age]]&lt;=35),"Adults",AND(Table2[[#This Row],[Guest_Age]]&gt;=36,Table2[[#This Row],[Guest_Age]]&lt;=50),"Middle Aged Adults",Table2[[#This Row],[Guest_Age]]&gt;50,"Senior")</f>
        <v>Adults</v>
      </c>
      <c r="AB18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03" t="str" cm="1">
        <f t="array" ref="AC1803">_xlfn.IFS(Table2[[#This Row],[Satification_points]]&gt;=4.5,"GREAT",AND(Table2[[#This Row],[Satification_points]]&gt;=4,Table2[[#This Row],[Satification_points]]&lt;4.5),"GOOD",AND(Table2[[#This Row],[Satification_points]]&gt;=3,Table2[[#This Row],[Satification_points]]&lt;4),"AVERAGE",Table2[[#This Row],[Satification_points]]&lt;3,"POOR")</f>
        <v>AVERAGE</v>
      </c>
    </row>
    <row r="1804" spans="1:29" x14ac:dyDescent="0.3">
      <c r="A1804">
        <v>1803</v>
      </c>
      <c r="B1804">
        <v>12213</v>
      </c>
      <c r="C1804" t="s">
        <v>1842</v>
      </c>
      <c r="D1804" t="s">
        <v>51</v>
      </c>
      <c r="E1804" t="s">
        <v>52</v>
      </c>
      <c r="F1804" s="1">
        <v>45347</v>
      </c>
      <c r="G1804" s="1">
        <v>45348</v>
      </c>
      <c r="H1804">
        <v>5</v>
      </c>
      <c r="I1804" t="s">
        <v>50</v>
      </c>
      <c r="J1804" t="s">
        <v>53</v>
      </c>
      <c r="K1804">
        <v>3</v>
      </c>
      <c r="L1804">
        <v>3</v>
      </c>
      <c r="M1804">
        <v>2</v>
      </c>
      <c r="N1804">
        <v>1</v>
      </c>
      <c r="O1804">
        <v>4</v>
      </c>
      <c r="P1804">
        <v>2</v>
      </c>
      <c r="Q1804">
        <v>1</v>
      </c>
      <c r="R1804">
        <v>2</v>
      </c>
      <c r="S1804">
        <v>3</v>
      </c>
      <c r="T1804">
        <v>1</v>
      </c>
      <c r="U1804" t="s">
        <v>37</v>
      </c>
      <c r="V1804" t="s">
        <v>38</v>
      </c>
      <c r="W1804" t="s">
        <v>56</v>
      </c>
      <c r="X1804" t="s">
        <v>40</v>
      </c>
      <c r="Y1804">
        <v>53</v>
      </c>
      <c r="Z1804" s="1">
        <v>45472</v>
      </c>
      <c r="AA1804" t="str" cm="1">
        <f t="array" ref="AA1804">_xlfn.IFS(AND(Table2[[#This Row],[Guest_Age]]&gt;=18,Table2[[#This Row],[Guest_Age]]&lt;=25),"Young Adults",AND(Table2[[#This Row],[Guest_Age]]&gt;=26,Table2[[#This Row],[Guest_Age]]&lt;=35),"Adults",AND(Table2[[#This Row],[Guest_Age]]&gt;=36,Table2[[#This Row],[Guest_Age]]&lt;=50),"Middle Aged Adults",Table2[[#This Row],[Guest_Age]]&gt;50,"Senior")</f>
        <v>Senior</v>
      </c>
      <c r="AB18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804" t="str" cm="1">
        <f t="array" ref="AC1804">_xlfn.IFS(Table2[[#This Row],[Satification_points]]&gt;=4.5,"GREAT",AND(Table2[[#This Row],[Satification_points]]&gt;=4,Table2[[#This Row],[Satification_points]]&lt;4.5),"GOOD",AND(Table2[[#This Row],[Satification_points]]&gt;=3,Table2[[#This Row],[Satification_points]]&lt;4),"AVERAGE",Table2[[#This Row],[Satification_points]]&lt;3,"POOR")</f>
        <v>POOR</v>
      </c>
    </row>
    <row r="1805" spans="1:29" x14ac:dyDescent="0.3">
      <c r="A1805">
        <v>1804</v>
      </c>
      <c r="B1805">
        <v>60378</v>
      </c>
      <c r="C1805" t="s">
        <v>1843</v>
      </c>
      <c r="D1805" t="s">
        <v>48</v>
      </c>
      <c r="E1805" t="s">
        <v>52</v>
      </c>
      <c r="F1805" s="1">
        <v>45222</v>
      </c>
      <c r="G1805" s="1">
        <v>45605</v>
      </c>
      <c r="H1805">
        <v>5</v>
      </c>
      <c r="I1805" t="s">
        <v>50</v>
      </c>
      <c r="J1805" t="s">
        <v>40</v>
      </c>
      <c r="K1805">
        <v>1</v>
      </c>
      <c r="L1805">
        <v>4</v>
      </c>
      <c r="M1805">
        <v>2</v>
      </c>
      <c r="N1805">
        <v>5</v>
      </c>
      <c r="O1805">
        <v>2</v>
      </c>
      <c r="P1805">
        <v>2</v>
      </c>
      <c r="Q1805">
        <v>5</v>
      </c>
      <c r="R1805">
        <v>5</v>
      </c>
      <c r="S1805">
        <v>3</v>
      </c>
      <c r="T1805">
        <v>3</v>
      </c>
      <c r="U1805" t="s">
        <v>30</v>
      </c>
      <c r="V1805" t="s">
        <v>54</v>
      </c>
      <c r="W1805" t="s">
        <v>55</v>
      </c>
      <c r="X1805" t="s">
        <v>44</v>
      </c>
      <c r="Y1805">
        <v>29</v>
      </c>
      <c r="Z1805" s="1">
        <v>45605</v>
      </c>
      <c r="AA1805" t="str" cm="1">
        <f t="array" ref="AA1805">_xlfn.IFS(AND(Table2[[#This Row],[Guest_Age]]&gt;=18,Table2[[#This Row],[Guest_Age]]&lt;=25),"Young Adults",AND(Table2[[#This Row],[Guest_Age]]&gt;=26,Table2[[#This Row],[Guest_Age]]&lt;=35),"Adults",AND(Table2[[#This Row],[Guest_Age]]&gt;=36,Table2[[#This Row],[Guest_Age]]&lt;=50),"Middle Aged Adults",Table2[[#This Row],[Guest_Age]]&gt;50,"Senior")</f>
        <v>Adults</v>
      </c>
      <c r="AB18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05" t="str" cm="1">
        <f t="array" ref="AC1805">_xlfn.IFS(Table2[[#This Row],[Satification_points]]&gt;=4.5,"GREAT",AND(Table2[[#This Row],[Satification_points]]&gt;=4,Table2[[#This Row],[Satification_points]]&lt;4.5),"GOOD",AND(Table2[[#This Row],[Satification_points]]&gt;=3,Table2[[#This Row],[Satification_points]]&lt;4),"AVERAGE",Table2[[#This Row],[Satification_points]]&lt;3,"POOR")</f>
        <v>AVERAGE</v>
      </c>
    </row>
    <row r="1806" spans="1:29" x14ac:dyDescent="0.3">
      <c r="A1806">
        <v>1805</v>
      </c>
      <c r="B1806">
        <v>19855</v>
      </c>
      <c r="C1806" t="s">
        <v>1844</v>
      </c>
      <c r="D1806" t="s">
        <v>48</v>
      </c>
      <c r="E1806" t="s">
        <v>52</v>
      </c>
      <c r="F1806" s="1">
        <v>45361</v>
      </c>
      <c r="G1806" s="1">
        <v>45362</v>
      </c>
      <c r="H1806">
        <v>12</v>
      </c>
      <c r="I1806" t="s">
        <v>49</v>
      </c>
      <c r="J1806" t="s">
        <v>53</v>
      </c>
      <c r="K1806">
        <v>5</v>
      </c>
      <c r="L1806">
        <v>5</v>
      </c>
      <c r="M1806">
        <v>1</v>
      </c>
      <c r="N1806">
        <v>5</v>
      </c>
      <c r="O1806">
        <v>5</v>
      </c>
      <c r="P1806">
        <v>2</v>
      </c>
      <c r="Q1806">
        <v>2</v>
      </c>
      <c r="R1806">
        <v>2</v>
      </c>
      <c r="S1806">
        <v>5</v>
      </c>
      <c r="T1806">
        <v>4</v>
      </c>
      <c r="U1806" t="s">
        <v>37</v>
      </c>
      <c r="V1806" t="s">
        <v>58</v>
      </c>
      <c r="W1806" t="s">
        <v>39</v>
      </c>
      <c r="X1806" t="s">
        <v>44</v>
      </c>
      <c r="Y1806">
        <v>43</v>
      </c>
      <c r="Z1806" s="1">
        <v>45362</v>
      </c>
      <c r="AA1806" t="str" cm="1">
        <f t="array" ref="AA180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806" t="str" cm="1">
        <f t="array" ref="AC1806">_xlfn.IFS(Table2[[#This Row],[Satification_points]]&gt;=4.5,"GREAT",AND(Table2[[#This Row],[Satification_points]]&gt;=4,Table2[[#This Row],[Satification_points]]&lt;4.5),"GOOD",AND(Table2[[#This Row],[Satification_points]]&gt;=3,Table2[[#This Row],[Satification_points]]&lt;4),"AVERAGE",Table2[[#This Row],[Satification_points]]&lt;3,"POOR")</f>
        <v>AVERAGE</v>
      </c>
    </row>
    <row r="1807" spans="1:29" x14ac:dyDescent="0.3">
      <c r="A1807">
        <v>1806</v>
      </c>
      <c r="B1807">
        <v>84091</v>
      </c>
      <c r="C1807" t="s">
        <v>1845</v>
      </c>
      <c r="D1807" t="s">
        <v>26</v>
      </c>
      <c r="E1807" t="s">
        <v>52</v>
      </c>
      <c r="F1807" s="1">
        <v>45246</v>
      </c>
      <c r="G1807" s="1">
        <v>45247</v>
      </c>
      <c r="H1807">
        <v>5</v>
      </c>
      <c r="I1807" t="s">
        <v>28</v>
      </c>
      <c r="J1807" t="s">
        <v>53</v>
      </c>
      <c r="K1807">
        <v>2</v>
      </c>
      <c r="L1807">
        <v>4</v>
      </c>
      <c r="M1807">
        <v>5</v>
      </c>
      <c r="N1807">
        <v>4</v>
      </c>
      <c r="O1807">
        <v>4</v>
      </c>
      <c r="P1807">
        <v>3</v>
      </c>
      <c r="Q1807">
        <v>3</v>
      </c>
      <c r="R1807">
        <v>4</v>
      </c>
      <c r="S1807">
        <v>1</v>
      </c>
      <c r="T1807">
        <v>1</v>
      </c>
      <c r="U1807" t="s">
        <v>30</v>
      </c>
      <c r="V1807" t="s">
        <v>46</v>
      </c>
      <c r="W1807" t="s">
        <v>55</v>
      </c>
      <c r="X1807" t="s">
        <v>40</v>
      </c>
      <c r="Y1807">
        <v>51</v>
      </c>
      <c r="Z1807" s="1">
        <v>45247</v>
      </c>
      <c r="AA1807" t="str" cm="1">
        <f t="array" ref="AA1807">_xlfn.IFS(AND(Table2[[#This Row],[Guest_Age]]&gt;=18,Table2[[#This Row],[Guest_Age]]&lt;=25),"Young Adults",AND(Table2[[#This Row],[Guest_Age]]&gt;=26,Table2[[#This Row],[Guest_Age]]&lt;=35),"Adults",AND(Table2[[#This Row],[Guest_Age]]&gt;=36,Table2[[#This Row],[Guest_Age]]&lt;=50),"Middle Aged Adults",Table2[[#This Row],[Guest_Age]]&gt;50,"Senior")</f>
        <v>Senior</v>
      </c>
      <c r="AB18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07" t="str" cm="1">
        <f t="array" ref="AC1807">_xlfn.IFS(Table2[[#This Row],[Satification_points]]&gt;=4.5,"GREAT",AND(Table2[[#This Row],[Satification_points]]&gt;=4,Table2[[#This Row],[Satification_points]]&lt;4.5),"GOOD",AND(Table2[[#This Row],[Satification_points]]&gt;=3,Table2[[#This Row],[Satification_points]]&lt;4),"AVERAGE",Table2[[#This Row],[Satification_points]]&lt;3,"POOR")</f>
        <v>AVERAGE</v>
      </c>
    </row>
    <row r="1808" spans="1:29" x14ac:dyDescent="0.3">
      <c r="A1808">
        <v>1807</v>
      </c>
      <c r="B1808">
        <v>58279</v>
      </c>
      <c r="C1808" t="s">
        <v>1846</v>
      </c>
      <c r="D1808" t="s">
        <v>48</v>
      </c>
      <c r="E1808" t="s">
        <v>57</v>
      </c>
      <c r="F1808" s="1">
        <v>45552</v>
      </c>
      <c r="G1808" s="1">
        <v>45553</v>
      </c>
      <c r="H1808">
        <v>5</v>
      </c>
      <c r="I1808" t="s">
        <v>42</v>
      </c>
      <c r="J1808" t="s">
        <v>53</v>
      </c>
      <c r="K1808">
        <v>3</v>
      </c>
      <c r="L1808">
        <v>4</v>
      </c>
      <c r="M1808">
        <v>5</v>
      </c>
      <c r="N1808">
        <v>3</v>
      </c>
      <c r="O1808">
        <v>3</v>
      </c>
      <c r="P1808">
        <v>2</v>
      </c>
      <c r="Q1808">
        <v>5</v>
      </c>
      <c r="R1808">
        <v>3</v>
      </c>
      <c r="S1808">
        <v>2</v>
      </c>
      <c r="T1808">
        <v>1</v>
      </c>
      <c r="U1808" t="s">
        <v>30</v>
      </c>
      <c r="V1808" t="s">
        <v>38</v>
      </c>
      <c r="W1808" t="s">
        <v>39</v>
      </c>
      <c r="X1808" t="s">
        <v>44</v>
      </c>
      <c r="Y1808">
        <v>23</v>
      </c>
      <c r="Z1808" s="1">
        <v>45553</v>
      </c>
      <c r="AA1808" t="str" cm="1">
        <f t="array" ref="AA1808">_xlfn.IFS(AND(Table2[[#This Row],[Guest_Age]]&gt;=18,Table2[[#This Row],[Guest_Age]]&lt;=25),"Young Adults",AND(Table2[[#This Row],[Guest_Age]]&gt;=26,Table2[[#This Row],[Guest_Age]]&lt;=35),"Adults",AND(Table2[[#This Row],[Guest_Age]]&gt;=36,Table2[[#This Row],[Guest_Age]]&lt;=50),"Middle Aged Adults",Table2[[#This Row],[Guest_Age]]&gt;50,"Senior")</f>
        <v>Young Adults</v>
      </c>
      <c r="AB18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08" t="str" cm="1">
        <f t="array" ref="AC1808">_xlfn.IFS(Table2[[#This Row],[Satification_points]]&gt;=4.5,"GREAT",AND(Table2[[#This Row],[Satification_points]]&gt;=4,Table2[[#This Row],[Satification_points]]&lt;4.5),"GOOD",AND(Table2[[#This Row],[Satification_points]]&gt;=3,Table2[[#This Row],[Satification_points]]&lt;4),"AVERAGE",Table2[[#This Row],[Satification_points]]&lt;3,"POOR")</f>
        <v>AVERAGE</v>
      </c>
    </row>
    <row r="1809" spans="1:29" x14ac:dyDescent="0.3">
      <c r="A1809">
        <v>1808</v>
      </c>
      <c r="B1809">
        <v>15544</v>
      </c>
      <c r="C1809" t="s">
        <v>1847</v>
      </c>
      <c r="D1809" t="s">
        <v>48</v>
      </c>
      <c r="E1809" t="s">
        <v>57</v>
      </c>
      <c r="F1809" s="1">
        <v>45460</v>
      </c>
      <c r="G1809" s="1">
        <v>45461</v>
      </c>
      <c r="H1809">
        <v>13</v>
      </c>
      <c r="I1809" t="s">
        <v>42</v>
      </c>
      <c r="J1809" t="s">
        <v>36</v>
      </c>
      <c r="K1809">
        <v>5</v>
      </c>
      <c r="L1809">
        <v>4</v>
      </c>
      <c r="M1809">
        <v>5</v>
      </c>
      <c r="N1809">
        <v>4</v>
      </c>
      <c r="O1809">
        <v>1</v>
      </c>
      <c r="P1809">
        <v>5</v>
      </c>
      <c r="Q1809">
        <v>2</v>
      </c>
      <c r="R1809">
        <v>1</v>
      </c>
      <c r="S1809">
        <v>4</v>
      </c>
      <c r="T1809">
        <v>1</v>
      </c>
      <c r="U1809" t="s">
        <v>30</v>
      </c>
      <c r="V1809" t="s">
        <v>31</v>
      </c>
      <c r="W1809" t="s">
        <v>32</v>
      </c>
      <c r="X1809" t="s">
        <v>40</v>
      </c>
      <c r="Y1809">
        <v>63</v>
      </c>
      <c r="Z1809" s="1">
        <v>45461</v>
      </c>
      <c r="AA1809" t="str" cm="1">
        <f t="array" ref="AA1809">_xlfn.IFS(AND(Table2[[#This Row],[Guest_Age]]&gt;=18,Table2[[#This Row],[Guest_Age]]&lt;=25),"Young Adults",AND(Table2[[#This Row],[Guest_Age]]&gt;=26,Table2[[#This Row],[Guest_Age]]&lt;=35),"Adults",AND(Table2[[#This Row],[Guest_Age]]&gt;=36,Table2[[#This Row],[Guest_Age]]&lt;=50),"Middle Aged Adults",Table2[[#This Row],[Guest_Age]]&gt;50,"Senior")</f>
        <v>Senior</v>
      </c>
      <c r="AB18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09" t="str" cm="1">
        <f t="array" ref="AC1809">_xlfn.IFS(Table2[[#This Row],[Satification_points]]&gt;=4.5,"GREAT",AND(Table2[[#This Row],[Satification_points]]&gt;=4,Table2[[#This Row],[Satification_points]]&lt;4.5),"GOOD",AND(Table2[[#This Row],[Satification_points]]&gt;=3,Table2[[#This Row],[Satification_points]]&lt;4),"AVERAGE",Table2[[#This Row],[Satification_points]]&lt;3,"POOR")</f>
        <v>AVERAGE</v>
      </c>
    </row>
    <row r="1810" spans="1:29" x14ac:dyDescent="0.3">
      <c r="A1810">
        <v>1809</v>
      </c>
      <c r="B1810">
        <v>31137</v>
      </c>
      <c r="C1810" t="s">
        <v>1848</v>
      </c>
      <c r="D1810" t="s">
        <v>26</v>
      </c>
      <c r="E1810" t="s">
        <v>57</v>
      </c>
      <c r="F1810" s="1">
        <v>45225</v>
      </c>
      <c r="G1810" s="1">
        <v>45269</v>
      </c>
      <c r="H1810">
        <v>11</v>
      </c>
      <c r="I1810" t="s">
        <v>49</v>
      </c>
      <c r="J1810" t="s">
        <v>40</v>
      </c>
      <c r="K1810">
        <v>3</v>
      </c>
      <c r="L1810">
        <v>2</v>
      </c>
      <c r="M1810">
        <v>1</v>
      </c>
      <c r="N1810">
        <v>4</v>
      </c>
      <c r="O1810">
        <v>3</v>
      </c>
      <c r="P1810">
        <v>5</v>
      </c>
      <c r="Q1810">
        <v>3</v>
      </c>
      <c r="R1810">
        <v>4</v>
      </c>
      <c r="S1810">
        <v>5</v>
      </c>
      <c r="T1810">
        <v>1</v>
      </c>
      <c r="U1810" t="s">
        <v>37</v>
      </c>
      <c r="V1810" t="s">
        <v>38</v>
      </c>
      <c r="W1810" t="s">
        <v>56</v>
      </c>
      <c r="X1810" t="s">
        <v>33</v>
      </c>
      <c r="Y1810">
        <v>30</v>
      </c>
      <c r="Z1810" s="1">
        <v>45269</v>
      </c>
      <c r="AA1810" t="str" cm="1">
        <f t="array" ref="AA1810">_xlfn.IFS(AND(Table2[[#This Row],[Guest_Age]]&gt;=18,Table2[[#This Row],[Guest_Age]]&lt;=25),"Young Adults",AND(Table2[[#This Row],[Guest_Age]]&gt;=26,Table2[[#This Row],[Guest_Age]]&lt;=35),"Adults",AND(Table2[[#This Row],[Guest_Age]]&gt;=36,Table2[[#This Row],[Guest_Age]]&lt;=50),"Middle Aged Adults",Table2[[#This Row],[Guest_Age]]&gt;50,"Senior")</f>
        <v>Adults</v>
      </c>
      <c r="AB18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10" t="str" cm="1">
        <f t="array" ref="AC1810">_xlfn.IFS(Table2[[#This Row],[Satification_points]]&gt;=4.5,"GREAT",AND(Table2[[#This Row],[Satification_points]]&gt;=4,Table2[[#This Row],[Satification_points]]&lt;4.5),"GOOD",AND(Table2[[#This Row],[Satification_points]]&gt;=3,Table2[[#This Row],[Satification_points]]&lt;4),"AVERAGE",Table2[[#This Row],[Satification_points]]&lt;3,"POOR")</f>
        <v>AVERAGE</v>
      </c>
    </row>
    <row r="1811" spans="1:29" x14ac:dyDescent="0.3">
      <c r="A1811">
        <v>1810</v>
      </c>
      <c r="B1811">
        <v>81124</v>
      </c>
      <c r="C1811" t="s">
        <v>1849</v>
      </c>
      <c r="D1811" t="s">
        <v>41</v>
      </c>
      <c r="E1811" t="s">
        <v>35</v>
      </c>
      <c r="F1811" s="1">
        <v>45500</v>
      </c>
      <c r="G1811" s="1">
        <v>45501</v>
      </c>
      <c r="H1811">
        <v>5</v>
      </c>
      <c r="I1811" t="s">
        <v>28</v>
      </c>
      <c r="J1811" t="s">
        <v>53</v>
      </c>
      <c r="K1811">
        <v>2</v>
      </c>
      <c r="L1811">
        <v>3</v>
      </c>
      <c r="M1811">
        <v>3</v>
      </c>
      <c r="N1811">
        <v>2</v>
      </c>
      <c r="O1811">
        <v>1</v>
      </c>
      <c r="P1811">
        <v>5</v>
      </c>
      <c r="Q1811">
        <v>3</v>
      </c>
      <c r="R1811">
        <v>1</v>
      </c>
      <c r="S1811">
        <v>5</v>
      </c>
      <c r="T1811">
        <v>1</v>
      </c>
      <c r="U1811" t="s">
        <v>37</v>
      </c>
      <c r="V1811" t="s">
        <v>31</v>
      </c>
      <c r="W1811" t="s">
        <v>56</v>
      </c>
      <c r="X1811" t="s">
        <v>40</v>
      </c>
      <c r="Y1811">
        <v>39</v>
      </c>
      <c r="Z1811" s="1">
        <v>45532</v>
      </c>
      <c r="AA1811" t="str" cm="1">
        <f t="array" ref="AA181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811" t="str" cm="1">
        <f t="array" ref="AC1811">_xlfn.IFS(Table2[[#This Row],[Satification_points]]&gt;=4.5,"GREAT",AND(Table2[[#This Row],[Satification_points]]&gt;=4,Table2[[#This Row],[Satification_points]]&lt;4.5),"GOOD",AND(Table2[[#This Row],[Satification_points]]&gt;=3,Table2[[#This Row],[Satification_points]]&lt;4),"AVERAGE",Table2[[#This Row],[Satification_points]]&lt;3,"POOR")</f>
        <v>POOR</v>
      </c>
    </row>
    <row r="1812" spans="1:29" x14ac:dyDescent="0.3">
      <c r="A1812">
        <v>1811</v>
      </c>
      <c r="B1812">
        <v>49426</v>
      </c>
      <c r="C1812" t="s">
        <v>1850</v>
      </c>
      <c r="D1812" t="s">
        <v>34</v>
      </c>
      <c r="E1812" t="s">
        <v>57</v>
      </c>
      <c r="F1812" s="1">
        <v>45620</v>
      </c>
      <c r="G1812" s="1">
        <v>45621</v>
      </c>
      <c r="H1812">
        <v>1</v>
      </c>
      <c r="I1812" t="s">
        <v>49</v>
      </c>
      <c r="J1812" t="s">
        <v>43</v>
      </c>
      <c r="K1812">
        <v>3</v>
      </c>
      <c r="L1812">
        <v>3</v>
      </c>
      <c r="M1812">
        <v>4</v>
      </c>
      <c r="N1812">
        <v>4</v>
      </c>
      <c r="O1812">
        <v>4</v>
      </c>
      <c r="P1812">
        <v>4</v>
      </c>
      <c r="Q1812">
        <v>3</v>
      </c>
      <c r="R1812">
        <v>2</v>
      </c>
      <c r="S1812">
        <v>4</v>
      </c>
      <c r="T1812">
        <v>1</v>
      </c>
      <c r="U1812" t="s">
        <v>37</v>
      </c>
      <c r="V1812" t="s">
        <v>58</v>
      </c>
      <c r="W1812" t="s">
        <v>39</v>
      </c>
      <c r="X1812" t="s">
        <v>33</v>
      </c>
      <c r="Y1812">
        <v>52</v>
      </c>
      <c r="Z1812" s="1">
        <v>45621</v>
      </c>
      <c r="AA1812" t="str" cm="1">
        <f t="array" ref="AA1812">_xlfn.IFS(AND(Table2[[#This Row],[Guest_Age]]&gt;=18,Table2[[#This Row],[Guest_Age]]&lt;=25),"Young Adults",AND(Table2[[#This Row],[Guest_Age]]&gt;=26,Table2[[#This Row],[Guest_Age]]&lt;=35),"Adults",AND(Table2[[#This Row],[Guest_Age]]&gt;=36,Table2[[#This Row],[Guest_Age]]&lt;=50),"Middle Aged Adults",Table2[[#This Row],[Guest_Age]]&gt;50,"Senior")</f>
        <v>Senior</v>
      </c>
      <c r="AB18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12" t="str" cm="1">
        <f t="array" ref="AC1812">_xlfn.IFS(Table2[[#This Row],[Satification_points]]&gt;=4.5,"GREAT",AND(Table2[[#This Row],[Satification_points]]&gt;=4,Table2[[#This Row],[Satification_points]]&lt;4.5),"GOOD",AND(Table2[[#This Row],[Satification_points]]&gt;=3,Table2[[#This Row],[Satification_points]]&lt;4),"AVERAGE",Table2[[#This Row],[Satification_points]]&lt;3,"POOR")</f>
        <v>AVERAGE</v>
      </c>
    </row>
    <row r="1813" spans="1:29" x14ac:dyDescent="0.3">
      <c r="A1813">
        <v>1812</v>
      </c>
      <c r="B1813">
        <v>74588</v>
      </c>
      <c r="C1813" t="s">
        <v>1851</v>
      </c>
      <c r="D1813" t="s">
        <v>41</v>
      </c>
      <c r="E1813" t="s">
        <v>52</v>
      </c>
      <c r="F1813" s="1">
        <v>44942</v>
      </c>
      <c r="G1813" s="1">
        <v>45061</v>
      </c>
      <c r="H1813">
        <v>12</v>
      </c>
      <c r="I1813" t="s">
        <v>50</v>
      </c>
      <c r="J1813" t="s">
        <v>53</v>
      </c>
      <c r="K1813">
        <v>1</v>
      </c>
      <c r="L1813">
        <v>5</v>
      </c>
      <c r="M1813">
        <v>3</v>
      </c>
      <c r="N1813">
        <v>4</v>
      </c>
      <c r="O1813">
        <v>5</v>
      </c>
      <c r="P1813">
        <v>5</v>
      </c>
      <c r="Q1813">
        <v>3</v>
      </c>
      <c r="R1813">
        <v>5</v>
      </c>
      <c r="S1813">
        <v>4</v>
      </c>
      <c r="T1813">
        <v>5</v>
      </c>
      <c r="U1813" t="s">
        <v>30</v>
      </c>
      <c r="V1813" t="s">
        <v>54</v>
      </c>
      <c r="W1813" t="s">
        <v>39</v>
      </c>
      <c r="X1813" t="s">
        <v>44</v>
      </c>
      <c r="Y1813">
        <v>36</v>
      </c>
      <c r="Z1813" s="1">
        <v>45309</v>
      </c>
      <c r="AA1813" t="str" cm="1">
        <f t="array" ref="AA181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813" t="str" cm="1">
        <f t="array" ref="AC1813">_xlfn.IFS(Table2[[#This Row],[Satification_points]]&gt;=4.5,"GREAT",AND(Table2[[#This Row],[Satification_points]]&gt;=4,Table2[[#This Row],[Satification_points]]&lt;4.5),"GOOD",AND(Table2[[#This Row],[Satification_points]]&gt;=3,Table2[[#This Row],[Satification_points]]&lt;4),"AVERAGE",Table2[[#This Row],[Satification_points]]&lt;3,"POOR")</f>
        <v>GOOD</v>
      </c>
    </row>
    <row r="1814" spans="1:29" x14ac:dyDescent="0.3">
      <c r="A1814">
        <v>1813</v>
      </c>
      <c r="B1814">
        <v>85173</v>
      </c>
      <c r="C1814" t="s">
        <v>1852</v>
      </c>
      <c r="D1814" t="s">
        <v>41</v>
      </c>
      <c r="E1814" t="s">
        <v>27</v>
      </c>
      <c r="F1814" s="1">
        <v>45321</v>
      </c>
      <c r="G1814" s="1">
        <v>45322</v>
      </c>
      <c r="H1814">
        <v>6</v>
      </c>
      <c r="I1814" t="s">
        <v>49</v>
      </c>
      <c r="J1814" t="s">
        <v>53</v>
      </c>
      <c r="K1814">
        <v>1</v>
      </c>
      <c r="L1814">
        <v>1</v>
      </c>
      <c r="M1814">
        <v>1</v>
      </c>
      <c r="N1814">
        <v>4</v>
      </c>
      <c r="O1814">
        <v>3</v>
      </c>
      <c r="P1814">
        <v>2</v>
      </c>
      <c r="Q1814">
        <v>3</v>
      </c>
      <c r="R1814">
        <v>5</v>
      </c>
      <c r="S1814">
        <v>1</v>
      </c>
      <c r="T1814">
        <v>5</v>
      </c>
      <c r="U1814" t="s">
        <v>30</v>
      </c>
      <c r="V1814" t="s">
        <v>31</v>
      </c>
      <c r="W1814" t="s">
        <v>47</v>
      </c>
      <c r="X1814" t="s">
        <v>33</v>
      </c>
      <c r="Y1814">
        <v>54</v>
      </c>
      <c r="Z1814" s="1">
        <v>45376</v>
      </c>
      <c r="AA1814" t="str" cm="1">
        <f t="array" ref="AA1814">_xlfn.IFS(AND(Table2[[#This Row],[Guest_Age]]&gt;=18,Table2[[#This Row],[Guest_Age]]&lt;=25),"Young Adults",AND(Table2[[#This Row],[Guest_Age]]&gt;=26,Table2[[#This Row],[Guest_Age]]&lt;=35),"Adults",AND(Table2[[#This Row],[Guest_Age]]&gt;=36,Table2[[#This Row],[Guest_Age]]&lt;=50),"Middle Aged Adults",Table2[[#This Row],[Guest_Age]]&gt;50,"Senior")</f>
        <v>Senior</v>
      </c>
      <c r="AB18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814" t="str" cm="1">
        <f t="array" ref="AC1814">_xlfn.IFS(Table2[[#This Row],[Satification_points]]&gt;=4.5,"GREAT",AND(Table2[[#This Row],[Satification_points]]&gt;=4,Table2[[#This Row],[Satification_points]]&lt;4.5),"GOOD",AND(Table2[[#This Row],[Satification_points]]&gt;=3,Table2[[#This Row],[Satification_points]]&lt;4),"AVERAGE",Table2[[#This Row],[Satification_points]]&lt;3,"POOR")</f>
        <v>POOR</v>
      </c>
    </row>
    <row r="1815" spans="1:29" x14ac:dyDescent="0.3">
      <c r="A1815">
        <v>1814</v>
      </c>
      <c r="B1815">
        <v>14827</v>
      </c>
      <c r="C1815" t="s">
        <v>1853</v>
      </c>
      <c r="D1815" t="s">
        <v>34</v>
      </c>
      <c r="E1815" t="s">
        <v>27</v>
      </c>
      <c r="F1815" s="1">
        <v>45203</v>
      </c>
      <c r="G1815" s="1">
        <v>45400</v>
      </c>
      <c r="H1815">
        <v>11</v>
      </c>
      <c r="I1815" t="s">
        <v>28</v>
      </c>
      <c r="J1815" t="s">
        <v>53</v>
      </c>
      <c r="K1815">
        <v>2</v>
      </c>
      <c r="L1815">
        <v>1</v>
      </c>
      <c r="M1815">
        <v>3</v>
      </c>
      <c r="N1815">
        <v>4</v>
      </c>
      <c r="O1815">
        <v>5</v>
      </c>
      <c r="P1815">
        <v>4</v>
      </c>
      <c r="Q1815">
        <v>3</v>
      </c>
      <c r="R1815">
        <v>4</v>
      </c>
      <c r="S1815">
        <v>3</v>
      </c>
      <c r="T1815">
        <v>4</v>
      </c>
      <c r="U1815" t="s">
        <v>30</v>
      </c>
      <c r="V1815" t="s">
        <v>54</v>
      </c>
      <c r="W1815" t="s">
        <v>39</v>
      </c>
      <c r="X1815" t="s">
        <v>33</v>
      </c>
      <c r="Y1815">
        <v>40</v>
      </c>
      <c r="Z1815" s="1">
        <v>45400</v>
      </c>
      <c r="AA1815" t="str" cm="1">
        <f t="array" ref="AA181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15" t="str" cm="1">
        <f t="array" ref="AC1815">_xlfn.IFS(Table2[[#This Row],[Satification_points]]&gt;=4.5,"GREAT",AND(Table2[[#This Row],[Satification_points]]&gt;=4,Table2[[#This Row],[Satification_points]]&lt;4.5),"GOOD",AND(Table2[[#This Row],[Satification_points]]&gt;=3,Table2[[#This Row],[Satification_points]]&lt;4),"AVERAGE",Table2[[#This Row],[Satification_points]]&lt;3,"POOR")</f>
        <v>AVERAGE</v>
      </c>
    </row>
    <row r="1816" spans="1:29" x14ac:dyDescent="0.3">
      <c r="A1816">
        <v>1815</v>
      </c>
      <c r="B1816">
        <v>48906</v>
      </c>
      <c r="C1816" t="s">
        <v>1854</v>
      </c>
      <c r="D1816" t="s">
        <v>26</v>
      </c>
      <c r="E1816" t="s">
        <v>27</v>
      </c>
      <c r="F1816" s="1">
        <v>45575</v>
      </c>
      <c r="G1816" s="1">
        <v>45576</v>
      </c>
      <c r="H1816">
        <v>11</v>
      </c>
      <c r="I1816" t="s">
        <v>49</v>
      </c>
      <c r="J1816" t="s">
        <v>29</v>
      </c>
      <c r="K1816">
        <v>5</v>
      </c>
      <c r="L1816">
        <v>1</v>
      </c>
      <c r="M1816">
        <v>2</v>
      </c>
      <c r="N1816">
        <v>3</v>
      </c>
      <c r="O1816">
        <v>4</v>
      </c>
      <c r="P1816">
        <v>4</v>
      </c>
      <c r="Q1816">
        <v>4</v>
      </c>
      <c r="R1816">
        <v>1</v>
      </c>
      <c r="S1816">
        <v>4</v>
      </c>
      <c r="T1816">
        <v>2</v>
      </c>
      <c r="U1816" t="s">
        <v>37</v>
      </c>
      <c r="V1816" t="s">
        <v>31</v>
      </c>
      <c r="W1816" t="s">
        <v>39</v>
      </c>
      <c r="X1816" t="s">
        <v>44</v>
      </c>
      <c r="Y1816">
        <v>67</v>
      </c>
      <c r="Z1816" s="1">
        <v>45576</v>
      </c>
      <c r="AA1816" t="str" cm="1">
        <f t="array" ref="AA1816">_xlfn.IFS(AND(Table2[[#This Row],[Guest_Age]]&gt;=18,Table2[[#This Row],[Guest_Age]]&lt;=25),"Young Adults",AND(Table2[[#This Row],[Guest_Age]]&gt;=26,Table2[[#This Row],[Guest_Age]]&lt;=35),"Adults",AND(Table2[[#This Row],[Guest_Age]]&gt;=36,Table2[[#This Row],[Guest_Age]]&lt;=50),"Middle Aged Adults",Table2[[#This Row],[Guest_Age]]&gt;50,"Senior")</f>
        <v>Senior</v>
      </c>
      <c r="AB18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16" t="str" cm="1">
        <f t="array" ref="AC1816">_xlfn.IFS(Table2[[#This Row],[Satification_points]]&gt;=4.5,"GREAT",AND(Table2[[#This Row],[Satification_points]]&gt;=4,Table2[[#This Row],[Satification_points]]&lt;4.5),"GOOD",AND(Table2[[#This Row],[Satification_points]]&gt;=3,Table2[[#This Row],[Satification_points]]&lt;4),"AVERAGE",Table2[[#This Row],[Satification_points]]&lt;3,"POOR")</f>
        <v>AVERAGE</v>
      </c>
    </row>
    <row r="1817" spans="1:29" x14ac:dyDescent="0.3">
      <c r="A1817">
        <v>1816</v>
      </c>
      <c r="B1817">
        <v>87184</v>
      </c>
      <c r="C1817" t="s">
        <v>1855</v>
      </c>
      <c r="D1817" t="s">
        <v>41</v>
      </c>
      <c r="E1817" t="s">
        <v>27</v>
      </c>
      <c r="F1817" s="1">
        <v>45209</v>
      </c>
      <c r="G1817" s="1">
        <v>45525</v>
      </c>
      <c r="H1817">
        <v>12</v>
      </c>
      <c r="I1817" t="s">
        <v>28</v>
      </c>
      <c r="J1817" t="s">
        <v>43</v>
      </c>
      <c r="K1817">
        <v>4</v>
      </c>
      <c r="L1817">
        <v>4</v>
      </c>
      <c r="M1817">
        <v>4</v>
      </c>
      <c r="N1817">
        <v>2</v>
      </c>
      <c r="O1817">
        <v>5</v>
      </c>
      <c r="P1817">
        <v>4</v>
      </c>
      <c r="Q1817">
        <v>2</v>
      </c>
      <c r="R1817">
        <v>3</v>
      </c>
      <c r="S1817">
        <v>5</v>
      </c>
      <c r="T1817">
        <v>1</v>
      </c>
      <c r="U1817" t="s">
        <v>37</v>
      </c>
      <c r="V1817" t="s">
        <v>54</v>
      </c>
      <c r="W1817" t="s">
        <v>55</v>
      </c>
      <c r="X1817" t="s">
        <v>44</v>
      </c>
      <c r="Y1817">
        <v>49</v>
      </c>
      <c r="Z1817" s="1">
        <v>45525</v>
      </c>
      <c r="AA1817" t="str" cm="1">
        <f t="array" ref="AA18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17" t="str" cm="1">
        <f t="array" ref="AC1817">_xlfn.IFS(Table2[[#This Row],[Satification_points]]&gt;=4.5,"GREAT",AND(Table2[[#This Row],[Satification_points]]&gt;=4,Table2[[#This Row],[Satification_points]]&lt;4.5),"GOOD",AND(Table2[[#This Row],[Satification_points]]&gt;=3,Table2[[#This Row],[Satification_points]]&lt;4),"AVERAGE",Table2[[#This Row],[Satification_points]]&lt;3,"POOR")</f>
        <v>AVERAGE</v>
      </c>
    </row>
    <row r="1818" spans="1:29" x14ac:dyDescent="0.3">
      <c r="A1818">
        <v>1817</v>
      </c>
      <c r="B1818">
        <v>48747</v>
      </c>
      <c r="C1818" t="s">
        <v>1856</v>
      </c>
      <c r="D1818" t="s">
        <v>51</v>
      </c>
      <c r="E1818" t="s">
        <v>27</v>
      </c>
      <c r="F1818" s="1">
        <v>45565</v>
      </c>
      <c r="G1818" s="1">
        <v>45566</v>
      </c>
      <c r="H1818">
        <v>13</v>
      </c>
      <c r="I1818" t="s">
        <v>49</v>
      </c>
      <c r="J1818" t="s">
        <v>36</v>
      </c>
      <c r="K1818">
        <v>4</v>
      </c>
      <c r="L1818">
        <v>5</v>
      </c>
      <c r="M1818">
        <v>1</v>
      </c>
      <c r="N1818">
        <v>5</v>
      </c>
      <c r="O1818">
        <v>5</v>
      </c>
      <c r="P1818">
        <v>4</v>
      </c>
      <c r="Q1818">
        <v>5</v>
      </c>
      <c r="R1818">
        <v>3</v>
      </c>
      <c r="S1818">
        <v>2</v>
      </c>
      <c r="T1818">
        <v>2</v>
      </c>
      <c r="U1818" t="s">
        <v>30</v>
      </c>
      <c r="V1818" t="s">
        <v>31</v>
      </c>
      <c r="W1818" t="s">
        <v>55</v>
      </c>
      <c r="X1818" t="s">
        <v>33</v>
      </c>
      <c r="Y1818">
        <v>61</v>
      </c>
      <c r="Z1818" s="1">
        <v>45601</v>
      </c>
      <c r="AA1818" t="str" cm="1">
        <f t="array" ref="AA1818">_xlfn.IFS(AND(Table2[[#This Row],[Guest_Age]]&gt;=18,Table2[[#This Row],[Guest_Age]]&lt;=25),"Young Adults",AND(Table2[[#This Row],[Guest_Age]]&gt;=26,Table2[[#This Row],[Guest_Age]]&lt;=35),"Adults",AND(Table2[[#This Row],[Guest_Age]]&gt;=36,Table2[[#This Row],[Guest_Age]]&lt;=50),"Middle Aged Adults",Table2[[#This Row],[Guest_Age]]&gt;50,"Senior")</f>
        <v>Senior</v>
      </c>
      <c r="AB18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818" t="str" cm="1">
        <f t="array" ref="AC1818">_xlfn.IFS(Table2[[#This Row],[Satification_points]]&gt;=4.5,"GREAT",AND(Table2[[#This Row],[Satification_points]]&gt;=4,Table2[[#This Row],[Satification_points]]&lt;4.5),"GOOD",AND(Table2[[#This Row],[Satification_points]]&gt;=3,Table2[[#This Row],[Satification_points]]&lt;4),"AVERAGE",Table2[[#This Row],[Satification_points]]&lt;3,"POOR")</f>
        <v>AVERAGE</v>
      </c>
    </row>
    <row r="1819" spans="1:29" x14ac:dyDescent="0.3">
      <c r="A1819">
        <v>1818</v>
      </c>
      <c r="B1819">
        <v>25738</v>
      </c>
      <c r="C1819" t="s">
        <v>1857</v>
      </c>
      <c r="D1819" t="s">
        <v>51</v>
      </c>
      <c r="E1819" t="s">
        <v>45</v>
      </c>
      <c r="F1819" s="1">
        <v>45012</v>
      </c>
      <c r="G1819" s="1">
        <v>45063</v>
      </c>
      <c r="H1819">
        <v>6</v>
      </c>
      <c r="I1819" t="s">
        <v>28</v>
      </c>
      <c r="J1819" t="s">
        <v>40</v>
      </c>
      <c r="K1819">
        <v>4</v>
      </c>
      <c r="L1819">
        <v>4</v>
      </c>
      <c r="M1819">
        <v>4</v>
      </c>
      <c r="N1819">
        <v>1</v>
      </c>
      <c r="O1819">
        <v>3</v>
      </c>
      <c r="P1819">
        <v>3</v>
      </c>
      <c r="Q1819">
        <v>1</v>
      </c>
      <c r="R1819">
        <v>3</v>
      </c>
      <c r="S1819">
        <v>1</v>
      </c>
      <c r="T1819">
        <v>5</v>
      </c>
      <c r="U1819" t="s">
        <v>30</v>
      </c>
      <c r="V1819" t="s">
        <v>38</v>
      </c>
      <c r="W1819" t="s">
        <v>56</v>
      </c>
      <c r="X1819" t="s">
        <v>40</v>
      </c>
      <c r="Y1819">
        <v>28</v>
      </c>
      <c r="Z1819" s="1">
        <v>45560</v>
      </c>
      <c r="AA1819" t="str" cm="1">
        <f t="array" ref="AA1819">_xlfn.IFS(AND(Table2[[#This Row],[Guest_Age]]&gt;=18,Table2[[#This Row],[Guest_Age]]&lt;=25),"Young Adults",AND(Table2[[#This Row],[Guest_Age]]&gt;=26,Table2[[#This Row],[Guest_Age]]&lt;=35),"Adults",AND(Table2[[#This Row],[Guest_Age]]&gt;=36,Table2[[#This Row],[Guest_Age]]&lt;=50),"Middle Aged Adults",Table2[[#This Row],[Guest_Age]]&gt;50,"Senior")</f>
        <v>Adults</v>
      </c>
      <c r="AB18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19" t="str" cm="1">
        <f t="array" ref="AC1819">_xlfn.IFS(Table2[[#This Row],[Satification_points]]&gt;=4.5,"GREAT",AND(Table2[[#This Row],[Satification_points]]&gt;=4,Table2[[#This Row],[Satification_points]]&lt;4.5),"GOOD",AND(Table2[[#This Row],[Satification_points]]&gt;=3,Table2[[#This Row],[Satification_points]]&lt;4),"AVERAGE",Table2[[#This Row],[Satification_points]]&lt;3,"POOR")</f>
        <v>POOR</v>
      </c>
    </row>
    <row r="1820" spans="1:29" x14ac:dyDescent="0.3">
      <c r="A1820">
        <v>1819</v>
      </c>
      <c r="B1820">
        <v>89075</v>
      </c>
      <c r="C1820" t="s">
        <v>1858</v>
      </c>
      <c r="D1820" t="s">
        <v>34</v>
      </c>
      <c r="E1820" t="s">
        <v>27</v>
      </c>
      <c r="F1820" s="1">
        <v>45133</v>
      </c>
      <c r="G1820" s="1">
        <v>45217</v>
      </c>
      <c r="H1820">
        <v>8</v>
      </c>
      <c r="I1820" t="s">
        <v>42</v>
      </c>
      <c r="J1820" t="s">
        <v>40</v>
      </c>
      <c r="K1820">
        <v>5</v>
      </c>
      <c r="L1820">
        <v>2</v>
      </c>
      <c r="M1820">
        <v>5</v>
      </c>
      <c r="N1820">
        <v>5</v>
      </c>
      <c r="O1820">
        <v>4</v>
      </c>
      <c r="P1820">
        <v>5</v>
      </c>
      <c r="Q1820">
        <v>5</v>
      </c>
      <c r="R1820">
        <v>1</v>
      </c>
      <c r="S1820">
        <v>2</v>
      </c>
      <c r="T1820">
        <v>3</v>
      </c>
      <c r="U1820" t="s">
        <v>37</v>
      </c>
      <c r="V1820" t="s">
        <v>38</v>
      </c>
      <c r="W1820" t="s">
        <v>55</v>
      </c>
      <c r="X1820" t="s">
        <v>33</v>
      </c>
      <c r="Y1820">
        <v>21</v>
      </c>
      <c r="Z1820" s="1">
        <v>45217</v>
      </c>
      <c r="AA1820" t="str" cm="1">
        <f t="array" ref="AA1820">_xlfn.IFS(AND(Table2[[#This Row],[Guest_Age]]&gt;=18,Table2[[#This Row],[Guest_Age]]&lt;=25),"Young Adults",AND(Table2[[#This Row],[Guest_Age]]&gt;=26,Table2[[#This Row],[Guest_Age]]&lt;=35),"Adults",AND(Table2[[#This Row],[Guest_Age]]&gt;=36,Table2[[#This Row],[Guest_Age]]&lt;=50),"Middle Aged Adults",Table2[[#This Row],[Guest_Age]]&gt;50,"Senior")</f>
        <v>Young Adults</v>
      </c>
      <c r="AB18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820" t="str" cm="1">
        <f t="array" ref="AC1820">_xlfn.IFS(Table2[[#This Row],[Satification_points]]&gt;=4.5,"GREAT",AND(Table2[[#This Row],[Satification_points]]&gt;=4,Table2[[#This Row],[Satification_points]]&lt;4.5),"GOOD",AND(Table2[[#This Row],[Satification_points]]&gt;=3,Table2[[#This Row],[Satification_points]]&lt;4),"AVERAGE",Table2[[#This Row],[Satification_points]]&lt;3,"POOR")</f>
        <v>AVERAGE</v>
      </c>
    </row>
    <row r="1821" spans="1:29" x14ac:dyDescent="0.3">
      <c r="A1821">
        <v>1820</v>
      </c>
      <c r="B1821">
        <v>20357</v>
      </c>
      <c r="C1821" t="s">
        <v>1859</v>
      </c>
      <c r="D1821" t="s">
        <v>51</v>
      </c>
      <c r="E1821" t="s">
        <v>27</v>
      </c>
      <c r="F1821" s="1">
        <v>45589</v>
      </c>
      <c r="G1821" s="1">
        <v>45590</v>
      </c>
      <c r="H1821">
        <v>14</v>
      </c>
      <c r="I1821" t="s">
        <v>50</v>
      </c>
      <c r="J1821" t="s">
        <v>40</v>
      </c>
      <c r="K1821">
        <v>1</v>
      </c>
      <c r="L1821">
        <v>5</v>
      </c>
      <c r="M1821">
        <v>5</v>
      </c>
      <c r="N1821">
        <v>2</v>
      </c>
      <c r="O1821">
        <v>5</v>
      </c>
      <c r="P1821">
        <v>3</v>
      </c>
      <c r="Q1821">
        <v>4</v>
      </c>
      <c r="R1821">
        <v>5</v>
      </c>
      <c r="S1821">
        <v>2</v>
      </c>
      <c r="T1821">
        <v>1</v>
      </c>
      <c r="U1821" t="s">
        <v>37</v>
      </c>
      <c r="V1821" t="s">
        <v>58</v>
      </c>
      <c r="W1821" t="s">
        <v>55</v>
      </c>
      <c r="X1821" t="s">
        <v>44</v>
      </c>
      <c r="Y1821">
        <v>29</v>
      </c>
      <c r="Z1821" s="1">
        <v>45590</v>
      </c>
      <c r="AA1821" t="str" cm="1">
        <f t="array" ref="AA1821">_xlfn.IFS(AND(Table2[[#This Row],[Guest_Age]]&gt;=18,Table2[[#This Row],[Guest_Age]]&lt;=25),"Young Adults",AND(Table2[[#This Row],[Guest_Age]]&gt;=26,Table2[[#This Row],[Guest_Age]]&lt;=35),"Adults",AND(Table2[[#This Row],[Guest_Age]]&gt;=36,Table2[[#This Row],[Guest_Age]]&lt;=50),"Middle Aged Adults",Table2[[#This Row],[Guest_Age]]&gt;50,"Senior")</f>
        <v>Adults</v>
      </c>
      <c r="AB18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21" t="str" cm="1">
        <f t="array" ref="AC1821">_xlfn.IFS(Table2[[#This Row],[Satification_points]]&gt;=4.5,"GREAT",AND(Table2[[#This Row],[Satification_points]]&gt;=4,Table2[[#This Row],[Satification_points]]&lt;4.5),"GOOD",AND(Table2[[#This Row],[Satification_points]]&gt;=3,Table2[[#This Row],[Satification_points]]&lt;4),"AVERAGE",Table2[[#This Row],[Satification_points]]&lt;3,"POOR")</f>
        <v>AVERAGE</v>
      </c>
    </row>
    <row r="1822" spans="1:29" x14ac:dyDescent="0.3">
      <c r="A1822">
        <v>1821</v>
      </c>
      <c r="B1822">
        <v>91130</v>
      </c>
      <c r="C1822" t="s">
        <v>1860</v>
      </c>
      <c r="D1822" t="s">
        <v>26</v>
      </c>
      <c r="E1822" t="s">
        <v>27</v>
      </c>
      <c r="F1822" s="1">
        <v>45489</v>
      </c>
      <c r="G1822" s="1">
        <v>45579</v>
      </c>
      <c r="H1822">
        <v>5</v>
      </c>
      <c r="I1822" t="s">
        <v>28</v>
      </c>
      <c r="J1822" t="s">
        <v>36</v>
      </c>
      <c r="K1822">
        <v>1</v>
      </c>
      <c r="L1822">
        <v>5</v>
      </c>
      <c r="M1822">
        <v>2</v>
      </c>
      <c r="N1822">
        <v>4</v>
      </c>
      <c r="O1822">
        <v>1</v>
      </c>
      <c r="P1822">
        <v>1</v>
      </c>
      <c r="Q1822">
        <v>4</v>
      </c>
      <c r="R1822">
        <v>5</v>
      </c>
      <c r="S1822">
        <v>3</v>
      </c>
      <c r="T1822">
        <v>4</v>
      </c>
      <c r="U1822" t="s">
        <v>37</v>
      </c>
      <c r="V1822" t="s">
        <v>38</v>
      </c>
      <c r="W1822" t="s">
        <v>56</v>
      </c>
      <c r="X1822" t="s">
        <v>40</v>
      </c>
      <c r="Y1822">
        <v>68</v>
      </c>
      <c r="Z1822" s="1">
        <v>45579</v>
      </c>
      <c r="AA1822" t="str" cm="1">
        <f t="array" ref="AA1822">_xlfn.IFS(AND(Table2[[#This Row],[Guest_Age]]&gt;=18,Table2[[#This Row],[Guest_Age]]&lt;=25),"Young Adults",AND(Table2[[#This Row],[Guest_Age]]&gt;=26,Table2[[#This Row],[Guest_Age]]&lt;=35),"Adults",AND(Table2[[#This Row],[Guest_Age]]&gt;=36,Table2[[#This Row],[Guest_Age]]&lt;=50),"Middle Aged Adults",Table2[[#This Row],[Guest_Age]]&gt;50,"Senior")</f>
        <v>Senior</v>
      </c>
      <c r="AB18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22" t="str" cm="1">
        <f t="array" ref="AC1822">_xlfn.IFS(Table2[[#This Row],[Satification_points]]&gt;=4.5,"GREAT",AND(Table2[[#This Row],[Satification_points]]&gt;=4,Table2[[#This Row],[Satification_points]]&lt;4.5),"GOOD",AND(Table2[[#This Row],[Satification_points]]&gt;=3,Table2[[#This Row],[Satification_points]]&lt;4),"AVERAGE",Table2[[#This Row],[Satification_points]]&lt;3,"POOR")</f>
        <v>AVERAGE</v>
      </c>
    </row>
    <row r="1823" spans="1:29" x14ac:dyDescent="0.3">
      <c r="A1823">
        <v>1822</v>
      </c>
      <c r="B1823">
        <v>48055</v>
      </c>
      <c r="C1823" t="s">
        <v>1861</v>
      </c>
      <c r="D1823" t="s">
        <v>48</v>
      </c>
      <c r="E1823" t="s">
        <v>35</v>
      </c>
      <c r="F1823" s="1">
        <v>45403</v>
      </c>
      <c r="G1823" s="1">
        <v>45404</v>
      </c>
      <c r="H1823">
        <v>2</v>
      </c>
      <c r="I1823" t="s">
        <v>49</v>
      </c>
      <c r="J1823" t="s">
        <v>53</v>
      </c>
      <c r="K1823">
        <v>1</v>
      </c>
      <c r="L1823">
        <v>5</v>
      </c>
      <c r="M1823">
        <v>1</v>
      </c>
      <c r="N1823">
        <v>5</v>
      </c>
      <c r="O1823">
        <v>2</v>
      </c>
      <c r="P1823">
        <v>3</v>
      </c>
      <c r="Q1823">
        <v>3</v>
      </c>
      <c r="R1823">
        <v>4</v>
      </c>
      <c r="S1823">
        <v>2</v>
      </c>
      <c r="T1823">
        <v>2</v>
      </c>
      <c r="U1823" t="s">
        <v>37</v>
      </c>
      <c r="V1823" t="s">
        <v>46</v>
      </c>
      <c r="W1823" t="s">
        <v>32</v>
      </c>
      <c r="X1823" t="s">
        <v>33</v>
      </c>
      <c r="Y1823">
        <v>56</v>
      </c>
      <c r="Z1823" s="1">
        <v>45404</v>
      </c>
      <c r="AA1823" t="str" cm="1">
        <f t="array" ref="AA1823">_xlfn.IFS(AND(Table2[[#This Row],[Guest_Age]]&gt;=18,Table2[[#This Row],[Guest_Age]]&lt;=25),"Young Adults",AND(Table2[[#This Row],[Guest_Age]]&gt;=26,Table2[[#This Row],[Guest_Age]]&lt;=35),"Adults",AND(Table2[[#This Row],[Guest_Age]]&gt;=36,Table2[[#This Row],[Guest_Age]]&lt;=50),"Middle Aged Adults",Table2[[#This Row],[Guest_Age]]&gt;50,"Senior")</f>
        <v>Senior</v>
      </c>
      <c r="AB18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23" t="str" cm="1">
        <f t="array" ref="AC1823">_xlfn.IFS(Table2[[#This Row],[Satification_points]]&gt;=4.5,"GREAT",AND(Table2[[#This Row],[Satification_points]]&gt;=4,Table2[[#This Row],[Satification_points]]&lt;4.5),"GOOD",AND(Table2[[#This Row],[Satification_points]]&gt;=3,Table2[[#This Row],[Satification_points]]&lt;4),"AVERAGE",Table2[[#This Row],[Satification_points]]&lt;3,"POOR")</f>
        <v>POOR</v>
      </c>
    </row>
    <row r="1824" spans="1:29" x14ac:dyDescent="0.3">
      <c r="A1824">
        <v>1823</v>
      </c>
      <c r="B1824">
        <v>53779</v>
      </c>
      <c r="C1824" t="s">
        <v>1862</v>
      </c>
      <c r="D1824" t="s">
        <v>26</v>
      </c>
      <c r="E1824" t="s">
        <v>45</v>
      </c>
      <c r="F1824" s="1">
        <v>45518</v>
      </c>
      <c r="G1824" s="1">
        <v>45519</v>
      </c>
      <c r="H1824">
        <v>13</v>
      </c>
      <c r="I1824" t="s">
        <v>49</v>
      </c>
      <c r="J1824" t="s">
        <v>43</v>
      </c>
      <c r="K1824">
        <v>2</v>
      </c>
      <c r="L1824">
        <v>2</v>
      </c>
      <c r="M1824">
        <v>5</v>
      </c>
      <c r="N1824">
        <v>4</v>
      </c>
      <c r="O1824">
        <v>1</v>
      </c>
      <c r="P1824">
        <v>4</v>
      </c>
      <c r="Q1824">
        <v>4</v>
      </c>
      <c r="R1824">
        <v>1</v>
      </c>
      <c r="S1824">
        <v>5</v>
      </c>
      <c r="T1824">
        <v>4</v>
      </c>
      <c r="U1824" t="s">
        <v>30</v>
      </c>
      <c r="V1824" t="s">
        <v>58</v>
      </c>
      <c r="W1824" t="s">
        <v>47</v>
      </c>
      <c r="X1824" t="s">
        <v>44</v>
      </c>
      <c r="Y1824">
        <v>47</v>
      </c>
      <c r="Z1824" s="1">
        <v>45520</v>
      </c>
      <c r="AA1824" t="str" cm="1">
        <f t="array" ref="AA182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24" t="str" cm="1">
        <f t="array" ref="AC1824">_xlfn.IFS(Table2[[#This Row],[Satification_points]]&gt;=4.5,"GREAT",AND(Table2[[#This Row],[Satification_points]]&gt;=4,Table2[[#This Row],[Satification_points]]&lt;4.5),"GOOD",AND(Table2[[#This Row],[Satification_points]]&gt;=3,Table2[[#This Row],[Satification_points]]&lt;4),"AVERAGE",Table2[[#This Row],[Satification_points]]&lt;3,"POOR")</f>
        <v>AVERAGE</v>
      </c>
    </row>
    <row r="1825" spans="1:29" x14ac:dyDescent="0.3">
      <c r="A1825">
        <v>1824</v>
      </c>
      <c r="B1825">
        <v>58033</v>
      </c>
      <c r="C1825" t="s">
        <v>1863</v>
      </c>
      <c r="D1825" t="s">
        <v>34</v>
      </c>
      <c r="E1825" t="s">
        <v>27</v>
      </c>
      <c r="F1825" s="1">
        <v>45057</v>
      </c>
      <c r="G1825" s="1">
        <v>45058</v>
      </c>
      <c r="H1825">
        <v>7</v>
      </c>
      <c r="I1825" t="s">
        <v>50</v>
      </c>
      <c r="J1825" t="s">
        <v>40</v>
      </c>
      <c r="K1825">
        <v>1</v>
      </c>
      <c r="L1825">
        <v>5</v>
      </c>
      <c r="M1825">
        <v>4</v>
      </c>
      <c r="N1825">
        <v>3</v>
      </c>
      <c r="O1825">
        <v>5</v>
      </c>
      <c r="P1825">
        <v>5</v>
      </c>
      <c r="Q1825">
        <v>5</v>
      </c>
      <c r="R1825">
        <v>2</v>
      </c>
      <c r="S1825">
        <v>5</v>
      </c>
      <c r="T1825">
        <v>1</v>
      </c>
      <c r="U1825" t="s">
        <v>37</v>
      </c>
      <c r="V1825" t="s">
        <v>38</v>
      </c>
      <c r="W1825" t="s">
        <v>55</v>
      </c>
      <c r="X1825" t="s">
        <v>40</v>
      </c>
      <c r="Y1825">
        <v>27</v>
      </c>
      <c r="Z1825" s="1">
        <v>45414</v>
      </c>
      <c r="AA1825" t="str" cm="1">
        <f t="array" ref="AA1825">_xlfn.IFS(AND(Table2[[#This Row],[Guest_Age]]&gt;=18,Table2[[#This Row],[Guest_Age]]&lt;=25),"Young Adults",AND(Table2[[#This Row],[Guest_Age]]&gt;=26,Table2[[#This Row],[Guest_Age]]&lt;=35),"Adults",AND(Table2[[#This Row],[Guest_Age]]&gt;=36,Table2[[#This Row],[Guest_Age]]&lt;=50),"Middle Aged Adults",Table2[[#This Row],[Guest_Age]]&gt;50,"Senior")</f>
        <v>Adults</v>
      </c>
      <c r="AB18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825" t="str" cm="1">
        <f t="array" ref="AC1825">_xlfn.IFS(Table2[[#This Row],[Satification_points]]&gt;=4.5,"GREAT",AND(Table2[[#This Row],[Satification_points]]&gt;=4,Table2[[#This Row],[Satification_points]]&lt;4.5),"GOOD",AND(Table2[[#This Row],[Satification_points]]&gt;=3,Table2[[#This Row],[Satification_points]]&lt;4),"AVERAGE",Table2[[#This Row],[Satification_points]]&lt;3,"POOR")</f>
        <v>AVERAGE</v>
      </c>
    </row>
    <row r="1826" spans="1:29" x14ac:dyDescent="0.3">
      <c r="A1826">
        <v>1825</v>
      </c>
      <c r="B1826">
        <v>69072</v>
      </c>
      <c r="C1826" t="s">
        <v>1864</v>
      </c>
      <c r="D1826" t="s">
        <v>48</v>
      </c>
      <c r="E1826" t="s">
        <v>57</v>
      </c>
      <c r="F1826" s="1">
        <v>45326</v>
      </c>
      <c r="G1826" s="1">
        <v>45609</v>
      </c>
      <c r="H1826">
        <v>14</v>
      </c>
      <c r="I1826" t="s">
        <v>42</v>
      </c>
      <c r="J1826" t="s">
        <v>29</v>
      </c>
      <c r="K1826">
        <v>1</v>
      </c>
      <c r="L1826">
        <v>2</v>
      </c>
      <c r="M1826">
        <v>4</v>
      </c>
      <c r="N1826">
        <v>3</v>
      </c>
      <c r="O1826">
        <v>4</v>
      </c>
      <c r="P1826">
        <v>5</v>
      </c>
      <c r="Q1826">
        <v>4</v>
      </c>
      <c r="R1826">
        <v>2</v>
      </c>
      <c r="S1826">
        <v>4</v>
      </c>
      <c r="T1826">
        <v>2</v>
      </c>
      <c r="U1826" t="s">
        <v>37</v>
      </c>
      <c r="V1826" t="s">
        <v>38</v>
      </c>
      <c r="W1826" t="s">
        <v>32</v>
      </c>
      <c r="X1826" t="s">
        <v>44</v>
      </c>
      <c r="Y1826">
        <v>68</v>
      </c>
      <c r="Z1826" s="1">
        <v>45609</v>
      </c>
      <c r="AA1826" t="str" cm="1">
        <f t="array" ref="AA1826">_xlfn.IFS(AND(Table2[[#This Row],[Guest_Age]]&gt;=18,Table2[[#This Row],[Guest_Age]]&lt;=25),"Young Adults",AND(Table2[[#This Row],[Guest_Age]]&gt;=26,Table2[[#This Row],[Guest_Age]]&lt;=35),"Adults",AND(Table2[[#This Row],[Guest_Age]]&gt;=36,Table2[[#This Row],[Guest_Age]]&lt;=50),"Middle Aged Adults",Table2[[#This Row],[Guest_Age]]&gt;50,"Senior")</f>
        <v>Senior</v>
      </c>
      <c r="AB18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26" t="str" cm="1">
        <f t="array" ref="AC1826">_xlfn.IFS(Table2[[#This Row],[Satification_points]]&gt;=4.5,"GREAT",AND(Table2[[#This Row],[Satification_points]]&gt;=4,Table2[[#This Row],[Satification_points]]&lt;4.5),"GOOD",AND(Table2[[#This Row],[Satification_points]]&gt;=3,Table2[[#This Row],[Satification_points]]&lt;4),"AVERAGE",Table2[[#This Row],[Satification_points]]&lt;3,"POOR")</f>
        <v>AVERAGE</v>
      </c>
    </row>
    <row r="1827" spans="1:29" x14ac:dyDescent="0.3">
      <c r="A1827">
        <v>1826</v>
      </c>
      <c r="B1827">
        <v>14617</v>
      </c>
      <c r="C1827" t="s">
        <v>1865</v>
      </c>
      <c r="D1827" t="s">
        <v>51</v>
      </c>
      <c r="E1827" t="s">
        <v>35</v>
      </c>
      <c r="F1827" s="1">
        <v>45062</v>
      </c>
      <c r="G1827" s="1">
        <v>45600</v>
      </c>
      <c r="H1827">
        <v>1</v>
      </c>
      <c r="I1827" t="s">
        <v>42</v>
      </c>
      <c r="J1827" t="s">
        <v>29</v>
      </c>
      <c r="K1827">
        <v>1</v>
      </c>
      <c r="L1827">
        <v>1</v>
      </c>
      <c r="M1827">
        <v>2</v>
      </c>
      <c r="N1827">
        <v>2</v>
      </c>
      <c r="O1827">
        <v>1</v>
      </c>
      <c r="P1827">
        <v>2</v>
      </c>
      <c r="Q1827">
        <v>5</v>
      </c>
      <c r="R1827">
        <v>3</v>
      </c>
      <c r="S1827">
        <v>3</v>
      </c>
      <c r="T1827">
        <v>2</v>
      </c>
      <c r="U1827" t="s">
        <v>30</v>
      </c>
      <c r="V1827" t="s">
        <v>46</v>
      </c>
      <c r="W1827" t="s">
        <v>47</v>
      </c>
      <c r="X1827" t="s">
        <v>40</v>
      </c>
      <c r="Y1827">
        <v>41</v>
      </c>
      <c r="Z1827" s="1">
        <v>45600</v>
      </c>
      <c r="AA1827" t="str" cm="1">
        <f t="array" ref="AA182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827" t="str" cm="1">
        <f t="array" ref="AC1827">_xlfn.IFS(Table2[[#This Row],[Satification_points]]&gt;=4.5,"GREAT",AND(Table2[[#This Row],[Satification_points]]&gt;=4,Table2[[#This Row],[Satification_points]]&lt;4.5),"GOOD",AND(Table2[[#This Row],[Satification_points]]&gt;=3,Table2[[#This Row],[Satification_points]]&lt;4),"AVERAGE",Table2[[#This Row],[Satification_points]]&lt;3,"POOR")</f>
        <v>POOR</v>
      </c>
    </row>
    <row r="1828" spans="1:29" x14ac:dyDescent="0.3">
      <c r="A1828">
        <v>1827</v>
      </c>
      <c r="B1828">
        <v>61536</v>
      </c>
      <c r="C1828" t="s">
        <v>1866</v>
      </c>
      <c r="D1828" t="s">
        <v>41</v>
      </c>
      <c r="E1828" t="s">
        <v>45</v>
      </c>
      <c r="F1828" s="1">
        <v>45272</v>
      </c>
      <c r="G1828" s="1">
        <v>45273</v>
      </c>
      <c r="H1828">
        <v>5</v>
      </c>
      <c r="I1828" t="s">
        <v>42</v>
      </c>
      <c r="J1828" t="s">
        <v>43</v>
      </c>
      <c r="K1828">
        <v>4</v>
      </c>
      <c r="L1828">
        <v>5</v>
      </c>
      <c r="M1828">
        <v>5</v>
      </c>
      <c r="N1828">
        <v>5</v>
      </c>
      <c r="O1828">
        <v>4</v>
      </c>
      <c r="P1828">
        <v>3</v>
      </c>
      <c r="Q1828">
        <v>3</v>
      </c>
      <c r="R1828">
        <v>5</v>
      </c>
      <c r="S1828">
        <v>4</v>
      </c>
      <c r="T1828">
        <v>1</v>
      </c>
      <c r="U1828" t="s">
        <v>30</v>
      </c>
      <c r="V1828" t="s">
        <v>54</v>
      </c>
      <c r="W1828" t="s">
        <v>56</v>
      </c>
      <c r="X1828" t="s">
        <v>33</v>
      </c>
      <c r="Y1828">
        <v>40</v>
      </c>
      <c r="Z1828" s="1">
        <v>45408</v>
      </c>
      <c r="AA1828" t="str" cm="1">
        <f t="array" ref="AA182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828" t="str" cm="1">
        <f t="array" ref="AC1828">_xlfn.IFS(Table2[[#This Row],[Satification_points]]&gt;=4.5,"GREAT",AND(Table2[[#This Row],[Satification_points]]&gt;=4,Table2[[#This Row],[Satification_points]]&lt;4.5),"GOOD",AND(Table2[[#This Row],[Satification_points]]&gt;=3,Table2[[#This Row],[Satification_points]]&lt;4),"AVERAGE",Table2[[#This Row],[Satification_points]]&lt;3,"POOR")</f>
        <v>AVERAGE</v>
      </c>
    </row>
    <row r="1829" spans="1:29" x14ac:dyDescent="0.3">
      <c r="A1829">
        <v>1828</v>
      </c>
      <c r="B1829">
        <v>52342</v>
      </c>
      <c r="C1829" t="s">
        <v>1867</v>
      </c>
      <c r="D1829" t="s">
        <v>51</v>
      </c>
      <c r="E1829" t="s">
        <v>57</v>
      </c>
      <c r="F1829" s="1">
        <v>45096</v>
      </c>
      <c r="G1829" s="1">
        <v>45097</v>
      </c>
      <c r="H1829">
        <v>12</v>
      </c>
      <c r="I1829" t="s">
        <v>28</v>
      </c>
      <c r="J1829" t="s">
        <v>40</v>
      </c>
      <c r="K1829">
        <v>3</v>
      </c>
      <c r="L1829">
        <v>4</v>
      </c>
      <c r="M1829">
        <v>3</v>
      </c>
      <c r="N1829">
        <v>3</v>
      </c>
      <c r="O1829">
        <v>1</v>
      </c>
      <c r="P1829">
        <v>5</v>
      </c>
      <c r="Q1829">
        <v>3</v>
      </c>
      <c r="R1829">
        <v>5</v>
      </c>
      <c r="S1829">
        <v>2</v>
      </c>
      <c r="T1829">
        <v>3</v>
      </c>
      <c r="U1829" t="s">
        <v>30</v>
      </c>
      <c r="V1829" t="s">
        <v>38</v>
      </c>
      <c r="W1829" t="s">
        <v>55</v>
      </c>
      <c r="X1829" t="s">
        <v>40</v>
      </c>
      <c r="Y1829">
        <v>18</v>
      </c>
      <c r="Z1829" s="1">
        <v>45626</v>
      </c>
      <c r="AA1829" t="str" cm="1">
        <f t="array" ref="AA1829">_xlfn.IFS(AND(Table2[[#This Row],[Guest_Age]]&gt;=18,Table2[[#This Row],[Guest_Age]]&lt;=25),"Young Adults",AND(Table2[[#This Row],[Guest_Age]]&gt;=26,Table2[[#This Row],[Guest_Age]]&lt;=35),"Adults",AND(Table2[[#This Row],[Guest_Age]]&gt;=36,Table2[[#This Row],[Guest_Age]]&lt;=50),"Middle Aged Adults",Table2[[#This Row],[Guest_Age]]&gt;50,"Senior")</f>
        <v>Young Adults</v>
      </c>
      <c r="AB18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29" t="str" cm="1">
        <f t="array" ref="AC1829">_xlfn.IFS(Table2[[#This Row],[Satification_points]]&gt;=4.5,"GREAT",AND(Table2[[#This Row],[Satification_points]]&gt;=4,Table2[[#This Row],[Satification_points]]&lt;4.5),"GOOD",AND(Table2[[#This Row],[Satification_points]]&gt;=3,Table2[[#This Row],[Satification_points]]&lt;4),"AVERAGE",Table2[[#This Row],[Satification_points]]&lt;3,"POOR")</f>
        <v>AVERAGE</v>
      </c>
    </row>
    <row r="1830" spans="1:29" x14ac:dyDescent="0.3">
      <c r="A1830">
        <v>1829</v>
      </c>
      <c r="B1830">
        <v>20687</v>
      </c>
      <c r="C1830" t="s">
        <v>1868</v>
      </c>
      <c r="D1830" t="s">
        <v>26</v>
      </c>
      <c r="E1830" t="s">
        <v>57</v>
      </c>
      <c r="F1830" s="1">
        <v>45089</v>
      </c>
      <c r="G1830" s="1">
        <v>45659</v>
      </c>
      <c r="H1830">
        <v>5</v>
      </c>
      <c r="I1830" t="s">
        <v>50</v>
      </c>
      <c r="J1830" t="s">
        <v>53</v>
      </c>
      <c r="K1830">
        <v>1</v>
      </c>
      <c r="L1830">
        <v>3</v>
      </c>
      <c r="M1830">
        <v>5</v>
      </c>
      <c r="N1830">
        <v>2</v>
      </c>
      <c r="O1830">
        <v>4</v>
      </c>
      <c r="P1830">
        <v>1</v>
      </c>
      <c r="Q1830">
        <v>4</v>
      </c>
      <c r="R1830">
        <v>1</v>
      </c>
      <c r="S1830">
        <v>5</v>
      </c>
      <c r="T1830">
        <v>1</v>
      </c>
      <c r="U1830" t="s">
        <v>30</v>
      </c>
      <c r="V1830" t="s">
        <v>31</v>
      </c>
      <c r="W1830" t="s">
        <v>55</v>
      </c>
      <c r="X1830" t="s">
        <v>40</v>
      </c>
      <c r="Y1830">
        <v>65</v>
      </c>
      <c r="Z1830" s="1">
        <v>45659</v>
      </c>
      <c r="AA1830" t="str" cm="1">
        <f t="array" ref="AA1830">_xlfn.IFS(AND(Table2[[#This Row],[Guest_Age]]&gt;=18,Table2[[#This Row],[Guest_Age]]&lt;=25),"Young Adults",AND(Table2[[#This Row],[Guest_Age]]&gt;=26,Table2[[#This Row],[Guest_Age]]&lt;=35),"Adults",AND(Table2[[#This Row],[Guest_Age]]&gt;=36,Table2[[#This Row],[Guest_Age]]&lt;=50),"Middle Aged Adults",Table2[[#This Row],[Guest_Age]]&gt;50,"Senior")</f>
        <v>Senior</v>
      </c>
      <c r="AB18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830" t="str" cm="1">
        <f t="array" ref="AC1830">_xlfn.IFS(Table2[[#This Row],[Satification_points]]&gt;=4.5,"GREAT",AND(Table2[[#This Row],[Satification_points]]&gt;=4,Table2[[#This Row],[Satification_points]]&lt;4.5),"GOOD",AND(Table2[[#This Row],[Satification_points]]&gt;=3,Table2[[#This Row],[Satification_points]]&lt;4),"AVERAGE",Table2[[#This Row],[Satification_points]]&lt;3,"POOR")</f>
        <v>POOR</v>
      </c>
    </row>
    <row r="1831" spans="1:29" x14ac:dyDescent="0.3">
      <c r="A1831">
        <v>1830</v>
      </c>
      <c r="B1831">
        <v>16796</v>
      </c>
      <c r="C1831" t="s">
        <v>1869</v>
      </c>
      <c r="D1831" t="s">
        <v>26</v>
      </c>
      <c r="E1831" t="s">
        <v>35</v>
      </c>
      <c r="F1831" s="1">
        <v>45125</v>
      </c>
      <c r="G1831" s="1">
        <v>45622</v>
      </c>
      <c r="H1831">
        <v>12</v>
      </c>
      <c r="I1831" t="s">
        <v>28</v>
      </c>
      <c r="J1831" t="s">
        <v>40</v>
      </c>
      <c r="K1831">
        <v>3</v>
      </c>
      <c r="L1831">
        <v>2</v>
      </c>
      <c r="M1831">
        <v>2</v>
      </c>
      <c r="N1831">
        <v>2</v>
      </c>
      <c r="O1831">
        <v>5</v>
      </c>
      <c r="P1831">
        <v>1</v>
      </c>
      <c r="Q1831">
        <v>1</v>
      </c>
      <c r="R1831">
        <v>1</v>
      </c>
      <c r="S1831">
        <v>4</v>
      </c>
      <c r="T1831">
        <v>4</v>
      </c>
      <c r="U1831" t="s">
        <v>37</v>
      </c>
      <c r="V1831" t="s">
        <v>54</v>
      </c>
      <c r="W1831" t="s">
        <v>39</v>
      </c>
      <c r="X1831" t="s">
        <v>33</v>
      </c>
      <c r="Y1831">
        <v>21</v>
      </c>
      <c r="Z1831" s="1">
        <v>45622</v>
      </c>
      <c r="AA1831" t="str" cm="1">
        <f t="array" ref="AA1831">_xlfn.IFS(AND(Table2[[#This Row],[Guest_Age]]&gt;=18,Table2[[#This Row],[Guest_Age]]&lt;=25),"Young Adults",AND(Table2[[#This Row],[Guest_Age]]&gt;=26,Table2[[#This Row],[Guest_Age]]&lt;=35),"Adults",AND(Table2[[#This Row],[Guest_Age]]&gt;=36,Table2[[#This Row],[Guest_Age]]&lt;=50),"Middle Aged Adults",Table2[[#This Row],[Guest_Age]]&gt;50,"Senior")</f>
        <v>Young Adults</v>
      </c>
      <c r="AB18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831" t="str" cm="1">
        <f t="array" ref="AC1831">_xlfn.IFS(Table2[[#This Row],[Satification_points]]&gt;=4.5,"GREAT",AND(Table2[[#This Row],[Satification_points]]&gt;=4,Table2[[#This Row],[Satification_points]]&lt;4.5),"GOOD",AND(Table2[[#This Row],[Satification_points]]&gt;=3,Table2[[#This Row],[Satification_points]]&lt;4),"AVERAGE",Table2[[#This Row],[Satification_points]]&lt;3,"POOR")</f>
        <v>POOR</v>
      </c>
    </row>
    <row r="1832" spans="1:29" x14ac:dyDescent="0.3">
      <c r="A1832">
        <v>1831</v>
      </c>
      <c r="B1832">
        <v>62757</v>
      </c>
      <c r="C1832" t="s">
        <v>1432</v>
      </c>
      <c r="D1832" t="s">
        <v>34</v>
      </c>
      <c r="E1832" t="s">
        <v>57</v>
      </c>
      <c r="F1832" s="1">
        <v>44974</v>
      </c>
      <c r="G1832" s="1">
        <v>45187</v>
      </c>
      <c r="H1832">
        <v>3</v>
      </c>
      <c r="I1832" t="s">
        <v>28</v>
      </c>
      <c r="J1832" t="s">
        <v>53</v>
      </c>
      <c r="K1832">
        <v>1</v>
      </c>
      <c r="L1832">
        <v>1</v>
      </c>
      <c r="M1832">
        <v>5</v>
      </c>
      <c r="N1832">
        <v>2</v>
      </c>
      <c r="O1832">
        <v>3</v>
      </c>
      <c r="P1832">
        <v>3</v>
      </c>
      <c r="Q1832">
        <v>3</v>
      </c>
      <c r="R1832">
        <v>4</v>
      </c>
      <c r="S1832">
        <v>5</v>
      </c>
      <c r="T1832">
        <v>5</v>
      </c>
      <c r="U1832" t="s">
        <v>30</v>
      </c>
      <c r="V1832" t="s">
        <v>31</v>
      </c>
      <c r="W1832" t="s">
        <v>55</v>
      </c>
      <c r="X1832" t="s">
        <v>40</v>
      </c>
      <c r="Y1832">
        <v>45</v>
      </c>
      <c r="Z1832" s="1">
        <v>45476</v>
      </c>
      <c r="AA1832" t="str" cm="1">
        <f t="array" ref="AA183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32" t="str" cm="1">
        <f t="array" ref="AC1832">_xlfn.IFS(Table2[[#This Row],[Satification_points]]&gt;=4.5,"GREAT",AND(Table2[[#This Row],[Satification_points]]&gt;=4,Table2[[#This Row],[Satification_points]]&lt;4.5),"GOOD",AND(Table2[[#This Row],[Satification_points]]&gt;=3,Table2[[#This Row],[Satification_points]]&lt;4),"AVERAGE",Table2[[#This Row],[Satification_points]]&lt;3,"POOR")</f>
        <v>AVERAGE</v>
      </c>
    </row>
    <row r="1833" spans="1:29" x14ac:dyDescent="0.3">
      <c r="A1833">
        <v>1832</v>
      </c>
      <c r="B1833">
        <v>69191</v>
      </c>
      <c r="C1833" t="s">
        <v>1870</v>
      </c>
      <c r="D1833" t="s">
        <v>41</v>
      </c>
      <c r="E1833" t="s">
        <v>52</v>
      </c>
      <c r="F1833" s="1">
        <v>45420</v>
      </c>
      <c r="G1833" s="1">
        <v>45421</v>
      </c>
      <c r="H1833">
        <v>2</v>
      </c>
      <c r="I1833" t="s">
        <v>28</v>
      </c>
      <c r="J1833" t="s">
        <v>40</v>
      </c>
      <c r="K1833">
        <v>4</v>
      </c>
      <c r="L1833">
        <v>1</v>
      </c>
      <c r="M1833">
        <v>1</v>
      </c>
      <c r="N1833">
        <v>5</v>
      </c>
      <c r="O1833">
        <v>1</v>
      </c>
      <c r="P1833">
        <v>2</v>
      </c>
      <c r="Q1833">
        <v>2</v>
      </c>
      <c r="R1833">
        <v>1</v>
      </c>
      <c r="S1833">
        <v>4</v>
      </c>
      <c r="T1833">
        <v>5</v>
      </c>
      <c r="U1833" t="s">
        <v>37</v>
      </c>
      <c r="V1833" t="s">
        <v>54</v>
      </c>
      <c r="W1833" t="s">
        <v>55</v>
      </c>
      <c r="X1833" t="s">
        <v>33</v>
      </c>
      <c r="Y1833">
        <v>61</v>
      </c>
      <c r="Z1833" s="1">
        <v>45421</v>
      </c>
      <c r="AA1833" t="str" cm="1">
        <f t="array" ref="AA1833">_xlfn.IFS(AND(Table2[[#This Row],[Guest_Age]]&gt;=18,Table2[[#This Row],[Guest_Age]]&lt;=25),"Young Adults",AND(Table2[[#This Row],[Guest_Age]]&gt;=26,Table2[[#This Row],[Guest_Age]]&lt;=35),"Adults",AND(Table2[[#This Row],[Guest_Age]]&gt;=36,Table2[[#This Row],[Guest_Age]]&lt;=50),"Middle Aged Adults",Table2[[#This Row],[Guest_Age]]&gt;50,"Senior")</f>
        <v>Senior</v>
      </c>
      <c r="AB18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833" t="str" cm="1">
        <f t="array" ref="AC1833">_xlfn.IFS(Table2[[#This Row],[Satification_points]]&gt;=4.5,"GREAT",AND(Table2[[#This Row],[Satification_points]]&gt;=4,Table2[[#This Row],[Satification_points]]&lt;4.5),"GOOD",AND(Table2[[#This Row],[Satification_points]]&gt;=3,Table2[[#This Row],[Satification_points]]&lt;4),"AVERAGE",Table2[[#This Row],[Satification_points]]&lt;3,"POOR")</f>
        <v>POOR</v>
      </c>
    </row>
    <row r="1834" spans="1:29" x14ac:dyDescent="0.3">
      <c r="A1834">
        <v>1833</v>
      </c>
      <c r="B1834">
        <v>49801</v>
      </c>
      <c r="C1834" t="s">
        <v>1871</v>
      </c>
      <c r="D1834" t="s">
        <v>41</v>
      </c>
      <c r="E1834" t="s">
        <v>35</v>
      </c>
      <c r="F1834" s="1">
        <v>45029</v>
      </c>
      <c r="G1834" s="1">
        <v>45398</v>
      </c>
      <c r="H1834">
        <v>11</v>
      </c>
      <c r="I1834" t="s">
        <v>28</v>
      </c>
      <c r="J1834" t="s">
        <v>29</v>
      </c>
      <c r="K1834">
        <v>4</v>
      </c>
      <c r="L1834">
        <v>3</v>
      </c>
      <c r="M1834">
        <v>2</v>
      </c>
      <c r="N1834">
        <v>5</v>
      </c>
      <c r="O1834">
        <v>4</v>
      </c>
      <c r="P1834">
        <v>1</v>
      </c>
      <c r="Q1834">
        <v>2</v>
      </c>
      <c r="R1834">
        <v>4</v>
      </c>
      <c r="S1834">
        <v>1</v>
      </c>
      <c r="T1834">
        <v>5</v>
      </c>
      <c r="U1834" t="s">
        <v>37</v>
      </c>
      <c r="V1834" t="s">
        <v>31</v>
      </c>
      <c r="W1834" t="s">
        <v>32</v>
      </c>
      <c r="X1834" t="s">
        <v>44</v>
      </c>
      <c r="Y1834">
        <v>62</v>
      </c>
      <c r="Z1834" s="1">
        <v>45398</v>
      </c>
      <c r="AA1834" t="str" cm="1">
        <f t="array" ref="AA1834">_xlfn.IFS(AND(Table2[[#This Row],[Guest_Age]]&gt;=18,Table2[[#This Row],[Guest_Age]]&lt;=25),"Young Adults",AND(Table2[[#This Row],[Guest_Age]]&gt;=26,Table2[[#This Row],[Guest_Age]]&lt;=35),"Adults",AND(Table2[[#This Row],[Guest_Age]]&gt;=36,Table2[[#This Row],[Guest_Age]]&lt;=50),"Middle Aged Adults",Table2[[#This Row],[Guest_Age]]&gt;50,"Senior")</f>
        <v>Senior</v>
      </c>
      <c r="AB18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34" t="str" cm="1">
        <f t="array" ref="AC1834">_xlfn.IFS(Table2[[#This Row],[Satification_points]]&gt;=4.5,"GREAT",AND(Table2[[#This Row],[Satification_points]]&gt;=4,Table2[[#This Row],[Satification_points]]&lt;4.5),"GOOD",AND(Table2[[#This Row],[Satification_points]]&gt;=3,Table2[[#This Row],[Satification_points]]&lt;4),"AVERAGE",Table2[[#This Row],[Satification_points]]&lt;3,"POOR")</f>
        <v>AVERAGE</v>
      </c>
    </row>
    <row r="1835" spans="1:29" x14ac:dyDescent="0.3">
      <c r="A1835">
        <v>1834</v>
      </c>
      <c r="B1835">
        <v>69071</v>
      </c>
      <c r="C1835" t="s">
        <v>1872</v>
      </c>
      <c r="D1835" t="s">
        <v>48</v>
      </c>
      <c r="E1835" t="s">
        <v>35</v>
      </c>
      <c r="F1835" s="1">
        <v>45474</v>
      </c>
      <c r="G1835" s="1">
        <v>45475</v>
      </c>
      <c r="H1835">
        <v>4</v>
      </c>
      <c r="I1835" t="s">
        <v>49</v>
      </c>
      <c r="J1835" t="s">
        <v>36</v>
      </c>
      <c r="K1835">
        <v>3</v>
      </c>
      <c r="L1835">
        <v>5</v>
      </c>
      <c r="M1835">
        <v>3</v>
      </c>
      <c r="N1835">
        <v>2</v>
      </c>
      <c r="O1835">
        <v>1</v>
      </c>
      <c r="P1835">
        <v>2</v>
      </c>
      <c r="Q1835">
        <v>3</v>
      </c>
      <c r="R1835">
        <v>3</v>
      </c>
      <c r="S1835">
        <v>3</v>
      </c>
      <c r="T1835">
        <v>2</v>
      </c>
      <c r="U1835" t="s">
        <v>37</v>
      </c>
      <c r="V1835" t="s">
        <v>38</v>
      </c>
      <c r="W1835" t="s">
        <v>32</v>
      </c>
      <c r="X1835" t="s">
        <v>44</v>
      </c>
      <c r="Y1835">
        <v>20</v>
      </c>
      <c r="Z1835" s="1">
        <v>45475</v>
      </c>
      <c r="AA1835" t="str" cm="1">
        <f t="array" ref="AA1835">_xlfn.IFS(AND(Table2[[#This Row],[Guest_Age]]&gt;=18,Table2[[#This Row],[Guest_Age]]&lt;=25),"Young Adults",AND(Table2[[#This Row],[Guest_Age]]&gt;=26,Table2[[#This Row],[Guest_Age]]&lt;=35),"Adults",AND(Table2[[#This Row],[Guest_Age]]&gt;=36,Table2[[#This Row],[Guest_Age]]&lt;=50),"Middle Aged Adults",Table2[[#This Row],[Guest_Age]]&gt;50,"Senior")</f>
        <v>Young Adults</v>
      </c>
      <c r="AB18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835" t="str" cm="1">
        <f t="array" ref="AC1835">_xlfn.IFS(Table2[[#This Row],[Satification_points]]&gt;=4.5,"GREAT",AND(Table2[[#This Row],[Satification_points]]&gt;=4,Table2[[#This Row],[Satification_points]]&lt;4.5),"GOOD",AND(Table2[[#This Row],[Satification_points]]&gt;=3,Table2[[#This Row],[Satification_points]]&lt;4),"AVERAGE",Table2[[#This Row],[Satification_points]]&lt;3,"POOR")</f>
        <v>POOR</v>
      </c>
    </row>
    <row r="1836" spans="1:29" x14ac:dyDescent="0.3">
      <c r="A1836">
        <v>1835</v>
      </c>
      <c r="B1836">
        <v>16747</v>
      </c>
      <c r="C1836" t="s">
        <v>1873</v>
      </c>
      <c r="D1836" t="s">
        <v>48</v>
      </c>
      <c r="E1836" t="s">
        <v>52</v>
      </c>
      <c r="F1836" s="1">
        <v>44932</v>
      </c>
      <c r="G1836" s="1">
        <v>45173</v>
      </c>
      <c r="H1836">
        <v>7</v>
      </c>
      <c r="I1836" t="s">
        <v>49</v>
      </c>
      <c r="J1836" t="s">
        <v>43</v>
      </c>
      <c r="K1836">
        <v>4</v>
      </c>
      <c r="L1836">
        <v>4</v>
      </c>
      <c r="M1836">
        <v>4</v>
      </c>
      <c r="N1836">
        <v>1</v>
      </c>
      <c r="O1836">
        <v>4</v>
      </c>
      <c r="P1836">
        <v>3</v>
      </c>
      <c r="Q1836">
        <v>4</v>
      </c>
      <c r="R1836">
        <v>3</v>
      </c>
      <c r="S1836">
        <v>4</v>
      </c>
      <c r="T1836">
        <v>2</v>
      </c>
      <c r="U1836" t="s">
        <v>30</v>
      </c>
      <c r="V1836" t="s">
        <v>31</v>
      </c>
      <c r="W1836" t="s">
        <v>55</v>
      </c>
      <c r="X1836" t="s">
        <v>44</v>
      </c>
      <c r="Y1836">
        <v>65</v>
      </c>
      <c r="Z1836" s="1">
        <v>45390</v>
      </c>
      <c r="AA1836" t="str" cm="1">
        <f t="array" ref="AA1836">_xlfn.IFS(AND(Table2[[#This Row],[Guest_Age]]&gt;=18,Table2[[#This Row],[Guest_Age]]&lt;=25),"Young Adults",AND(Table2[[#This Row],[Guest_Age]]&gt;=26,Table2[[#This Row],[Guest_Age]]&lt;=35),"Adults",AND(Table2[[#This Row],[Guest_Age]]&gt;=36,Table2[[#This Row],[Guest_Age]]&lt;=50),"Middle Aged Adults",Table2[[#This Row],[Guest_Age]]&gt;50,"Senior")</f>
        <v>Senior</v>
      </c>
      <c r="AB18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36" t="str" cm="1">
        <f t="array" ref="AC1836">_xlfn.IFS(Table2[[#This Row],[Satification_points]]&gt;=4.5,"GREAT",AND(Table2[[#This Row],[Satification_points]]&gt;=4,Table2[[#This Row],[Satification_points]]&lt;4.5),"GOOD",AND(Table2[[#This Row],[Satification_points]]&gt;=3,Table2[[#This Row],[Satification_points]]&lt;4),"AVERAGE",Table2[[#This Row],[Satification_points]]&lt;3,"POOR")</f>
        <v>AVERAGE</v>
      </c>
    </row>
    <row r="1837" spans="1:29" x14ac:dyDescent="0.3">
      <c r="A1837">
        <v>1836</v>
      </c>
      <c r="B1837">
        <v>67996</v>
      </c>
      <c r="C1837" t="s">
        <v>1874</v>
      </c>
      <c r="D1837" t="s">
        <v>26</v>
      </c>
      <c r="E1837" t="s">
        <v>35</v>
      </c>
      <c r="F1837" s="1">
        <v>45637</v>
      </c>
      <c r="G1837" s="1">
        <v>45638</v>
      </c>
      <c r="H1837">
        <v>10</v>
      </c>
      <c r="I1837" t="s">
        <v>49</v>
      </c>
      <c r="J1837" t="s">
        <v>53</v>
      </c>
      <c r="K1837">
        <v>2</v>
      </c>
      <c r="L1837">
        <v>3</v>
      </c>
      <c r="M1837">
        <v>5</v>
      </c>
      <c r="N1837">
        <v>5</v>
      </c>
      <c r="O1837">
        <v>4</v>
      </c>
      <c r="P1837">
        <v>5</v>
      </c>
      <c r="Q1837">
        <v>3</v>
      </c>
      <c r="R1837">
        <v>5</v>
      </c>
      <c r="S1837">
        <v>2</v>
      </c>
      <c r="T1837">
        <v>1</v>
      </c>
      <c r="U1837" t="s">
        <v>30</v>
      </c>
      <c r="V1837" t="s">
        <v>38</v>
      </c>
      <c r="W1837" t="s">
        <v>47</v>
      </c>
      <c r="X1837" t="s">
        <v>33</v>
      </c>
      <c r="Y1837">
        <v>19</v>
      </c>
      <c r="Z1837" s="1">
        <v>45638</v>
      </c>
      <c r="AA1837" t="str" cm="1">
        <f t="array" ref="AA1837">_xlfn.IFS(AND(Table2[[#This Row],[Guest_Age]]&gt;=18,Table2[[#This Row],[Guest_Age]]&lt;=25),"Young Adults",AND(Table2[[#This Row],[Guest_Age]]&gt;=26,Table2[[#This Row],[Guest_Age]]&lt;=35),"Adults",AND(Table2[[#This Row],[Guest_Age]]&gt;=36,Table2[[#This Row],[Guest_Age]]&lt;=50),"Middle Aged Adults",Table2[[#This Row],[Guest_Age]]&gt;50,"Senior")</f>
        <v>Young Adults</v>
      </c>
      <c r="AB18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837" t="str" cm="1">
        <f t="array" ref="AC1837">_xlfn.IFS(Table2[[#This Row],[Satification_points]]&gt;=4.5,"GREAT",AND(Table2[[#This Row],[Satification_points]]&gt;=4,Table2[[#This Row],[Satification_points]]&lt;4.5),"GOOD",AND(Table2[[#This Row],[Satification_points]]&gt;=3,Table2[[#This Row],[Satification_points]]&lt;4),"AVERAGE",Table2[[#This Row],[Satification_points]]&lt;3,"POOR")</f>
        <v>AVERAGE</v>
      </c>
    </row>
    <row r="1838" spans="1:29" x14ac:dyDescent="0.3">
      <c r="A1838">
        <v>1837</v>
      </c>
      <c r="B1838">
        <v>17936</v>
      </c>
      <c r="C1838" t="s">
        <v>1875</v>
      </c>
      <c r="D1838" t="s">
        <v>34</v>
      </c>
      <c r="E1838" t="s">
        <v>57</v>
      </c>
      <c r="F1838" s="1">
        <v>44938</v>
      </c>
      <c r="G1838" s="1">
        <v>45497</v>
      </c>
      <c r="H1838">
        <v>3</v>
      </c>
      <c r="I1838" t="s">
        <v>28</v>
      </c>
      <c r="J1838" t="s">
        <v>36</v>
      </c>
      <c r="K1838">
        <v>5</v>
      </c>
      <c r="L1838">
        <v>5</v>
      </c>
      <c r="M1838">
        <v>4</v>
      </c>
      <c r="N1838">
        <v>5</v>
      </c>
      <c r="O1838">
        <v>3</v>
      </c>
      <c r="P1838">
        <v>2</v>
      </c>
      <c r="Q1838">
        <v>4</v>
      </c>
      <c r="R1838">
        <v>5</v>
      </c>
      <c r="S1838">
        <v>5</v>
      </c>
      <c r="T1838">
        <v>2</v>
      </c>
      <c r="U1838" t="s">
        <v>37</v>
      </c>
      <c r="V1838" t="s">
        <v>46</v>
      </c>
      <c r="W1838" t="s">
        <v>56</v>
      </c>
      <c r="X1838" t="s">
        <v>33</v>
      </c>
      <c r="Y1838">
        <v>58</v>
      </c>
      <c r="Z1838" s="1">
        <v>45643</v>
      </c>
      <c r="AA1838" t="str" cm="1">
        <f t="array" ref="AA1838">_xlfn.IFS(AND(Table2[[#This Row],[Guest_Age]]&gt;=18,Table2[[#This Row],[Guest_Age]]&lt;=25),"Young Adults",AND(Table2[[#This Row],[Guest_Age]]&gt;=26,Table2[[#This Row],[Guest_Age]]&lt;=35),"Adults",AND(Table2[[#This Row],[Guest_Age]]&gt;=36,Table2[[#This Row],[Guest_Age]]&lt;=50),"Middle Aged Adults",Table2[[#This Row],[Guest_Age]]&gt;50,"Senior")</f>
        <v>Senior</v>
      </c>
      <c r="AB18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838" t="str" cm="1">
        <f t="array" ref="AC1838">_xlfn.IFS(Table2[[#This Row],[Satification_points]]&gt;=4.5,"GREAT",AND(Table2[[#This Row],[Satification_points]]&gt;=4,Table2[[#This Row],[Satification_points]]&lt;4.5),"GOOD",AND(Table2[[#This Row],[Satification_points]]&gt;=3,Table2[[#This Row],[Satification_points]]&lt;4),"AVERAGE",Table2[[#This Row],[Satification_points]]&lt;3,"POOR")</f>
        <v>GOOD</v>
      </c>
    </row>
    <row r="1839" spans="1:29" x14ac:dyDescent="0.3">
      <c r="A1839">
        <v>1838</v>
      </c>
      <c r="B1839">
        <v>42293</v>
      </c>
      <c r="C1839" t="s">
        <v>1876</v>
      </c>
      <c r="D1839" t="s">
        <v>26</v>
      </c>
      <c r="E1839" t="s">
        <v>57</v>
      </c>
      <c r="F1839" s="1">
        <v>45029</v>
      </c>
      <c r="G1839" s="1">
        <v>45436</v>
      </c>
      <c r="H1839">
        <v>13</v>
      </c>
      <c r="I1839" t="s">
        <v>42</v>
      </c>
      <c r="J1839" t="s">
        <v>53</v>
      </c>
      <c r="K1839">
        <v>5</v>
      </c>
      <c r="L1839">
        <v>5</v>
      </c>
      <c r="M1839">
        <v>2</v>
      </c>
      <c r="N1839">
        <v>1</v>
      </c>
      <c r="O1839">
        <v>4</v>
      </c>
      <c r="P1839">
        <v>1</v>
      </c>
      <c r="Q1839">
        <v>5</v>
      </c>
      <c r="R1839">
        <v>5</v>
      </c>
      <c r="S1839">
        <v>5</v>
      </c>
      <c r="T1839">
        <v>4</v>
      </c>
      <c r="U1839" t="s">
        <v>37</v>
      </c>
      <c r="V1839" t="s">
        <v>31</v>
      </c>
      <c r="W1839" t="s">
        <v>32</v>
      </c>
      <c r="X1839" t="s">
        <v>33</v>
      </c>
      <c r="Y1839">
        <v>23</v>
      </c>
      <c r="Z1839" s="1">
        <v>45436</v>
      </c>
      <c r="AA1839" t="str" cm="1">
        <f t="array" ref="AA1839">_xlfn.IFS(AND(Table2[[#This Row],[Guest_Age]]&gt;=18,Table2[[#This Row],[Guest_Age]]&lt;=25),"Young Adults",AND(Table2[[#This Row],[Guest_Age]]&gt;=26,Table2[[#This Row],[Guest_Age]]&lt;=35),"Adults",AND(Table2[[#This Row],[Guest_Age]]&gt;=36,Table2[[#This Row],[Guest_Age]]&lt;=50),"Middle Aged Adults",Table2[[#This Row],[Guest_Age]]&gt;50,"Senior")</f>
        <v>Young Adults</v>
      </c>
      <c r="AB18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839" t="str" cm="1">
        <f t="array" ref="AC1839">_xlfn.IFS(Table2[[#This Row],[Satification_points]]&gt;=4.5,"GREAT",AND(Table2[[#This Row],[Satification_points]]&gt;=4,Table2[[#This Row],[Satification_points]]&lt;4.5),"GOOD",AND(Table2[[#This Row],[Satification_points]]&gt;=3,Table2[[#This Row],[Satification_points]]&lt;4),"AVERAGE",Table2[[#This Row],[Satification_points]]&lt;3,"POOR")</f>
        <v>AVERAGE</v>
      </c>
    </row>
    <row r="1840" spans="1:29" x14ac:dyDescent="0.3">
      <c r="A1840">
        <v>1839</v>
      </c>
      <c r="B1840">
        <v>92678</v>
      </c>
      <c r="C1840" t="s">
        <v>1877</v>
      </c>
      <c r="D1840" t="s">
        <v>41</v>
      </c>
      <c r="E1840" t="s">
        <v>57</v>
      </c>
      <c r="F1840" s="1">
        <v>45625</v>
      </c>
      <c r="G1840" s="1">
        <v>45626</v>
      </c>
      <c r="H1840">
        <v>14</v>
      </c>
      <c r="I1840" t="s">
        <v>49</v>
      </c>
      <c r="J1840" t="s">
        <v>43</v>
      </c>
      <c r="K1840">
        <v>1</v>
      </c>
      <c r="L1840">
        <v>2</v>
      </c>
      <c r="M1840">
        <v>4</v>
      </c>
      <c r="N1840">
        <v>5</v>
      </c>
      <c r="O1840">
        <v>1</v>
      </c>
      <c r="P1840">
        <v>2</v>
      </c>
      <c r="Q1840">
        <v>1</v>
      </c>
      <c r="R1840">
        <v>2</v>
      </c>
      <c r="S1840">
        <v>3</v>
      </c>
      <c r="T1840">
        <v>1</v>
      </c>
      <c r="U1840" t="s">
        <v>30</v>
      </c>
      <c r="V1840" t="s">
        <v>58</v>
      </c>
      <c r="W1840" t="s">
        <v>47</v>
      </c>
      <c r="X1840" t="s">
        <v>33</v>
      </c>
      <c r="Y1840">
        <v>59</v>
      </c>
      <c r="Z1840" s="1">
        <v>45626</v>
      </c>
      <c r="AA1840" t="str" cm="1">
        <f t="array" ref="AA1840">_xlfn.IFS(AND(Table2[[#This Row],[Guest_Age]]&gt;=18,Table2[[#This Row],[Guest_Age]]&lt;=25),"Young Adults",AND(Table2[[#This Row],[Guest_Age]]&gt;=26,Table2[[#This Row],[Guest_Age]]&lt;=35),"Adults",AND(Table2[[#This Row],[Guest_Age]]&gt;=36,Table2[[#This Row],[Guest_Age]]&lt;=50),"Middle Aged Adults",Table2[[#This Row],[Guest_Age]]&gt;50,"Senior")</f>
        <v>Senior</v>
      </c>
      <c r="AB18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840" t="str" cm="1">
        <f t="array" ref="AC1840">_xlfn.IFS(Table2[[#This Row],[Satification_points]]&gt;=4.5,"GREAT",AND(Table2[[#This Row],[Satification_points]]&gt;=4,Table2[[#This Row],[Satification_points]]&lt;4.5),"GOOD",AND(Table2[[#This Row],[Satification_points]]&gt;=3,Table2[[#This Row],[Satification_points]]&lt;4),"AVERAGE",Table2[[#This Row],[Satification_points]]&lt;3,"POOR")</f>
        <v>POOR</v>
      </c>
    </row>
    <row r="1841" spans="1:29" x14ac:dyDescent="0.3">
      <c r="A1841">
        <v>1840</v>
      </c>
      <c r="B1841">
        <v>22696</v>
      </c>
      <c r="C1841" t="s">
        <v>1878</v>
      </c>
      <c r="D1841" t="s">
        <v>41</v>
      </c>
      <c r="E1841" t="s">
        <v>52</v>
      </c>
      <c r="F1841" s="1">
        <v>45616</v>
      </c>
      <c r="G1841" s="1">
        <v>45617</v>
      </c>
      <c r="H1841">
        <v>6</v>
      </c>
      <c r="I1841" t="s">
        <v>50</v>
      </c>
      <c r="J1841" t="s">
        <v>36</v>
      </c>
      <c r="K1841">
        <v>4</v>
      </c>
      <c r="L1841">
        <v>4</v>
      </c>
      <c r="M1841">
        <v>1</v>
      </c>
      <c r="N1841">
        <v>5</v>
      </c>
      <c r="O1841">
        <v>5</v>
      </c>
      <c r="P1841">
        <v>5</v>
      </c>
      <c r="Q1841">
        <v>1</v>
      </c>
      <c r="R1841">
        <v>4</v>
      </c>
      <c r="S1841">
        <v>3</v>
      </c>
      <c r="T1841">
        <v>4</v>
      </c>
      <c r="U1841" t="s">
        <v>30</v>
      </c>
      <c r="V1841" t="s">
        <v>58</v>
      </c>
      <c r="W1841" t="s">
        <v>55</v>
      </c>
      <c r="X1841" t="s">
        <v>44</v>
      </c>
      <c r="Y1841">
        <v>34</v>
      </c>
      <c r="Z1841" s="1">
        <v>45617</v>
      </c>
      <c r="AA1841" t="str" cm="1">
        <f t="array" ref="AA1841">_xlfn.IFS(AND(Table2[[#This Row],[Guest_Age]]&gt;=18,Table2[[#This Row],[Guest_Age]]&lt;=25),"Young Adults",AND(Table2[[#This Row],[Guest_Age]]&gt;=26,Table2[[#This Row],[Guest_Age]]&lt;=35),"Adults",AND(Table2[[#This Row],[Guest_Age]]&gt;=36,Table2[[#This Row],[Guest_Age]]&lt;=50),"Middle Aged Adults",Table2[[#This Row],[Guest_Age]]&gt;50,"Senior")</f>
        <v>Adults</v>
      </c>
      <c r="AB18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841" t="str" cm="1">
        <f t="array" ref="AC1841">_xlfn.IFS(Table2[[#This Row],[Satification_points]]&gt;=4.5,"GREAT",AND(Table2[[#This Row],[Satification_points]]&gt;=4,Table2[[#This Row],[Satification_points]]&lt;4.5),"GOOD",AND(Table2[[#This Row],[Satification_points]]&gt;=3,Table2[[#This Row],[Satification_points]]&lt;4),"AVERAGE",Table2[[#This Row],[Satification_points]]&lt;3,"POOR")</f>
        <v>AVERAGE</v>
      </c>
    </row>
    <row r="1842" spans="1:29" x14ac:dyDescent="0.3">
      <c r="A1842">
        <v>1841</v>
      </c>
      <c r="B1842">
        <v>23097</v>
      </c>
      <c r="C1842" t="s">
        <v>1879</v>
      </c>
      <c r="D1842" t="s">
        <v>26</v>
      </c>
      <c r="E1842" t="s">
        <v>57</v>
      </c>
      <c r="F1842" s="1">
        <v>45353</v>
      </c>
      <c r="G1842" s="1">
        <v>45354</v>
      </c>
      <c r="H1842">
        <v>7</v>
      </c>
      <c r="I1842" t="s">
        <v>49</v>
      </c>
      <c r="J1842" t="s">
        <v>36</v>
      </c>
      <c r="K1842">
        <v>5</v>
      </c>
      <c r="L1842">
        <v>4</v>
      </c>
      <c r="M1842">
        <v>2</v>
      </c>
      <c r="N1842">
        <v>3</v>
      </c>
      <c r="O1842">
        <v>2</v>
      </c>
      <c r="P1842">
        <v>5</v>
      </c>
      <c r="Q1842">
        <v>5</v>
      </c>
      <c r="R1842">
        <v>3</v>
      </c>
      <c r="S1842">
        <v>1</v>
      </c>
      <c r="T1842">
        <v>5</v>
      </c>
      <c r="U1842" t="s">
        <v>37</v>
      </c>
      <c r="V1842" t="s">
        <v>31</v>
      </c>
      <c r="W1842" t="s">
        <v>39</v>
      </c>
      <c r="X1842" t="s">
        <v>33</v>
      </c>
      <c r="Y1842">
        <v>54</v>
      </c>
      <c r="Z1842" s="1">
        <v>45432</v>
      </c>
      <c r="AA1842" t="str" cm="1">
        <f t="array" ref="AA1842">_xlfn.IFS(AND(Table2[[#This Row],[Guest_Age]]&gt;=18,Table2[[#This Row],[Guest_Age]]&lt;=25),"Young Adults",AND(Table2[[#This Row],[Guest_Age]]&gt;=26,Table2[[#This Row],[Guest_Age]]&lt;=35),"Adults",AND(Table2[[#This Row],[Guest_Age]]&gt;=36,Table2[[#This Row],[Guest_Age]]&lt;=50),"Middle Aged Adults",Table2[[#This Row],[Guest_Age]]&gt;50,"Senior")</f>
        <v>Senior</v>
      </c>
      <c r="AB18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842" t="str" cm="1">
        <f t="array" ref="AC1842">_xlfn.IFS(Table2[[#This Row],[Satification_points]]&gt;=4.5,"GREAT",AND(Table2[[#This Row],[Satification_points]]&gt;=4,Table2[[#This Row],[Satification_points]]&lt;4.5),"GOOD",AND(Table2[[#This Row],[Satification_points]]&gt;=3,Table2[[#This Row],[Satification_points]]&lt;4),"AVERAGE",Table2[[#This Row],[Satification_points]]&lt;3,"POOR")</f>
        <v>AVERAGE</v>
      </c>
    </row>
    <row r="1843" spans="1:29" x14ac:dyDescent="0.3">
      <c r="A1843">
        <v>1842</v>
      </c>
      <c r="B1843">
        <v>16228</v>
      </c>
      <c r="C1843" t="s">
        <v>1880</v>
      </c>
      <c r="D1843" t="s">
        <v>41</v>
      </c>
      <c r="E1843" t="s">
        <v>52</v>
      </c>
      <c r="F1843" s="1">
        <v>45097</v>
      </c>
      <c r="G1843" s="1">
        <v>45642</v>
      </c>
      <c r="H1843">
        <v>13</v>
      </c>
      <c r="I1843" t="s">
        <v>28</v>
      </c>
      <c r="J1843" t="s">
        <v>43</v>
      </c>
      <c r="K1843">
        <v>3</v>
      </c>
      <c r="L1843">
        <v>2</v>
      </c>
      <c r="M1843">
        <v>2</v>
      </c>
      <c r="N1843">
        <v>1</v>
      </c>
      <c r="O1843">
        <v>4</v>
      </c>
      <c r="P1843">
        <v>1</v>
      </c>
      <c r="Q1843">
        <v>5</v>
      </c>
      <c r="R1843">
        <v>4</v>
      </c>
      <c r="S1843">
        <v>4</v>
      </c>
      <c r="T1843">
        <v>4</v>
      </c>
      <c r="U1843" t="s">
        <v>30</v>
      </c>
      <c r="V1843" t="s">
        <v>38</v>
      </c>
      <c r="W1843" t="s">
        <v>32</v>
      </c>
      <c r="X1843" t="s">
        <v>44</v>
      </c>
      <c r="Y1843">
        <v>61</v>
      </c>
      <c r="Z1843" s="1">
        <v>45642</v>
      </c>
      <c r="AA1843" t="str" cm="1">
        <f t="array" ref="AA1843">_xlfn.IFS(AND(Table2[[#This Row],[Guest_Age]]&gt;=18,Table2[[#This Row],[Guest_Age]]&lt;=25),"Young Adults",AND(Table2[[#This Row],[Guest_Age]]&gt;=26,Table2[[#This Row],[Guest_Age]]&lt;=35),"Adults",AND(Table2[[#This Row],[Guest_Age]]&gt;=36,Table2[[#This Row],[Guest_Age]]&lt;=50),"Middle Aged Adults",Table2[[#This Row],[Guest_Age]]&gt;50,"Senior")</f>
        <v>Senior</v>
      </c>
      <c r="AB18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43" t="str" cm="1">
        <f t="array" ref="AC1843">_xlfn.IFS(Table2[[#This Row],[Satification_points]]&gt;=4.5,"GREAT",AND(Table2[[#This Row],[Satification_points]]&gt;=4,Table2[[#This Row],[Satification_points]]&lt;4.5),"GOOD",AND(Table2[[#This Row],[Satification_points]]&gt;=3,Table2[[#This Row],[Satification_points]]&lt;4),"AVERAGE",Table2[[#This Row],[Satification_points]]&lt;3,"POOR")</f>
        <v>AVERAGE</v>
      </c>
    </row>
    <row r="1844" spans="1:29" x14ac:dyDescent="0.3">
      <c r="A1844">
        <v>1843</v>
      </c>
      <c r="B1844">
        <v>70832</v>
      </c>
      <c r="C1844" t="s">
        <v>1881</v>
      </c>
      <c r="D1844" t="s">
        <v>48</v>
      </c>
      <c r="E1844" t="s">
        <v>52</v>
      </c>
      <c r="F1844" s="1">
        <v>45615</v>
      </c>
      <c r="G1844" s="1">
        <v>45616</v>
      </c>
      <c r="H1844">
        <v>2</v>
      </c>
      <c r="I1844" t="s">
        <v>28</v>
      </c>
      <c r="J1844" t="s">
        <v>43</v>
      </c>
      <c r="K1844">
        <v>3</v>
      </c>
      <c r="L1844">
        <v>5</v>
      </c>
      <c r="M1844">
        <v>5</v>
      </c>
      <c r="N1844">
        <v>3</v>
      </c>
      <c r="O1844">
        <v>2</v>
      </c>
      <c r="P1844">
        <v>2</v>
      </c>
      <c r="Q1844">
        <v>5</v>
      </c>
      <c r="R1844">
        <v>2</v>
      </c>
      <c r="S1844">
        <v>1</v>
      </c>
      <c r="T1844">
        <v>5</v>
      </c>
      <c r="U1844" t="s">
        <v>30</v>
      </c>
      <c r="V1844" t="s">
        <v>54</v>
      </c>
      <c r="W1844" t="s">
        <v>32</v>
      </c>
      <c r="X1844" t="s">
        <v>40</v>
      </c>
      <c r="Y1844">
        <v>40</v>
      </c>
      <c r="Z1844" s="1">
        <v>45616</v>
      </c>
      <c r="AA1844" t="str" cm="1">
        <f t="array" ref="AA18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44" t="str" cm="1">
        <f t="array" ref="AC1844">_xlfn.IFS(Table2[[#This Row],[Satification_points]]&gt;=4.5,"GREAT",AND(Table2[[#This Row],[Satification_points]]&gt;=4,Table2[[#This Row],[Satification_points]]&lt;4.5),"GOOD",AND(Table2[[#This Row],[Satification_points]]&gt;=3,Table2[[#This Row],[Satification_points]]&lt;4),"AVERAGE",Table2[[#This Row],[Satification_points]]&lt;3,"POOR")</f>
        <v>AVERAGE</v>
      </c>
    </row>
    <row r="1845" spans="1:29" x14ac:dyDescent="0.3">
      <c r="A1845">
        <v>1844</v>
      </c>
      <c r="B1845">
        <v>58056</v>
      </c>
      <c r="C1845" t="s">
        <v>1882</v>
      </c>
      <c r="D1845" t="s">
        <v>41</v>
      </c>
      <c r="E1845" t="s">
        <v>52</v>
      </c>
      <c r="F1845" s="1">
        <v>45015</v>
      </c>
      <c r="G1845" s="1">
        <v>45246</v>
      </c>
      <c r="H1845">
        <v>3</v>
      </c>
      <c r="I1845" t="s">
        <v>28</v>
      </c>
      <c r="J1845" t="s">
        <v>53</v>
      </c>
      <c r="K1845">
        <v>3</v>
      </c>
      <c r="L1845">
        <v>5</v>
      </c>
      <c r="M1845">
        <v>2</v>
      </c>
      <c r="N1845">
        <v>1</v>
      </c>
      <c r="O1845">
        <v>5</v>
      </c>
      <c r="P1845">
        <v>2</v>
      </c>
      <c r="Q1845">
        <v>1</v>
      </c>
      <c r="R1845">
        <v>2</v>
      </c>
      <c r="S1845">
        <v>4</v>
      </c>
      <c r="T1845">
        <v>2</v>
      </c>
      <c r="U1845" t="s">
        <v>37</v>
      </c>
      <c r="V1845" t="s">
        <v>46</v>
      </c>
      <c r="W1845" t="s">
        <v>39</v>
      </c>
      <c r="X1845" t="s">
        <v>40</v>
      </c>
      <c r="Y1845">
        <v>57</v>
      </c>
      <c r="Z1845" s="1">
        <v>45246</v>
      </c>
      <c r="AA1845" t="str" cm="1">
        <f t="array" ref="AA1845">_xlfn.IFS(AND(Table2[[#This Row],[Guest_Age]]&gt;=18,Table2[[#This Row],[Guest_Age]]&lt;=25),"Young Adults",AND(Table2[[#This Row],[Guest_Age]]&gt;=26,Table2[[#This Row],[Guest_Age]]&lt;=35),"Adults",AND(Table2[[#This Row],[Guest_Age]]&gt;=36,Table2[[#This Row],[Guest_Age]]&lt;=50),"Middle Aged Adults",Table2[[#This Row],[Guest_Age]]&gt;50,"Senior")</f>
        <v>Senior</v>
      </c>
      <c r="AB18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845" t="str" cm="1">
        <f t="array" ref="AC1845">_xlfn.IFS(Table2[[#This Row],[Satification_points]]&gt;=4.5,"GREAT",AND(Table2[[#This Row],[Satification_points]]&gt;=4,Table2[[#This Row],[Satification_points]]&lt;4.5),"GOOD",AND(Table2[[#This Row],[Satification_points]]&gt;=3,Table2[[#This Row],[Satification_points]]&lt;4),"AVERAGE",Table2[[#This Row],[Satification_points]]&lt;3,"POOR")</f>
        <v>POOR</v>
      </c>
    </row>
    <row r="1846" spans="1:29" x14ac:dyDescent="0.3">
      <c r="A1846">
        <v>1845</v>
      </c>
      <c r="B1846">
        <v>66868</v>
      </c>
      <c r="C1846" t="s">
        <v>1883</v>
      </c>
      <c r="D1846" t="s">
        <v>48</v>
      </c>
      <c r="E1846" t="s">
        <v>35</v>
      </c>
      <c r="F1846" s="1">
        <v>45642</v>
      </c>
      <c r="G1846" s="1">
        <v>45643</v>
      </c>
      <c r="H1846">
        <v>9</v>
      </c>
      <c r="I1846" t="s">
        <v>49</v>
      </c>
      <c r="J1846" t="s">
        <v>36</v>
      </c>
      <c r="K1846">
        <v>1</v>
      </c>
      <c r="L1846">
        <v>4</v>
      </c>
      <c r="M1846">
        <v>1</v>
      </c>
      <c r="N1846">
        <v>1</v>
      </c>
      <c r="O1846">
        <v>2</v>
      </c>
      <c r="P1846">
        <v>4</v>
      </c>
      <c r="Q1846">
        <v>3</v>
      </c>
      <c r="R1846">
        <v>3</v>
      </c>
      <c r="S1846">
        <v>4</v>
      </c>
      <c r="T1846">
        <v>1</v>
      </c>
      <c r="U1846" t="s">
        <v>30</v>
      </c>
      <c r="V1846" t="s">
        <v>31</v>
      </c>
      <c r="W1846" t="s">
        <v>55</v>
      </c>
      <c r="X1846" t="s">
        <v>44</v>
      </c>
      <c r="Y1846">
        <v>38</v>
      </c>
      <c r="Z1846" s="1">
        <v>45643</v>
      </c>
      <c r="AA1846" t="str" cm="1">
        <f t="array" ref="AA18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846" t="str" cm="1">
        <f t="array" ref="AC1846">_xlfn.IFS(Table2[[#This Row],[Satification_points]]&gt;=4.5,"GREAT",AND(Table2[[#This Row],[Satification_points]]&gt;=4,Table2[[#This Row],[Satification_points]]&lt;4.5),"GOOD",AND(Table2[[#This Row],[Satification_points]]&gt;=3,Table2[[#This Row],[Satification_points]]&lt;4),"AVERAGE",Table2[[#This Row],[Satification_points]]&lt;3,"POOR")</f>
        <v>POOR</v>
      </c>
    </row>
    <row r="1847" spans="1:29" x14ac:dyDescent="0.3">
      <c r="A1847">
        <v>1846</v>
      </c>
      <c r="B1847">
        <v>72136</v>
      </c>
      <c r="C1847" t="s">
        <v>1884</v>
      </c>
      <c r="D1847" t="s">
        <v>51</v>
      </c>
      <c r="E1847" t="s">
        <v>45</v>
      </c>
      <c r="F1847" s="1">
        <v>45365</v>
      </c>
      <c r="G1847" s="1">
        <v>45416</v>
      </c>
      <c r="H1847">
        <v>1</v>
      </c>
      <c r="I1847" t="s">
        <v>42</v>
      </c>
      <c r="J1847" t="s">
        <v>43</v>
      </c>
      <c r="K1847">
        <v>5</v>
      </c>
      <c r="L1847">
        <v>4</v>
      </c>
      <c r="M1847">
        <v>5</v>
      </c>
      <c r="N1847">
        <v>1</v>
      </c>
      <c r="O1847">
        <v>4</v>
      </c>
      <c r="P1847">
        <v>1</v>
      </c>
      <c r="Q1847">
        <v>2</v>
      </c>
      <c r="R1847">
        <v>3</v>
      </c>
      <c r="S1847">
        <v>3</v>
      </c>
      <c r="T1847">
        <v>3</v>
      </c>
      <c r="U1847" t="s">
        <v>37</v>
      </c>
      <c r="V1847" t="s">
        <v>46</v>
      </c>
      <c r="W1847" t="s">
        <v>32</v>
      </c>
      <c r="X1847" t="s">
        <v>40</v>
      </c>
      <c r="Y1847">
        <v>61</v>
      </c>
      <c r="Z1847" s="1">
        <v>45416</v>
      </c>
      <c r="AA1847" t="str" cm="1">
        <f t="array" ref="AA1847">_xlfn.IFS(AND(Table2[[#This Row],[Guest_Age]]&gt;=18,Table2[[#This Row],[Guest_Age]]&lt;=25),"Young Adults",AND(Table2[[#This Row],[Guest_Age]]&gt;=26,Table2[[#This Row],[Guest_Age]]&lt;=35),"Adults",AND(Table2[[#This Row],[Guest_Age]]&gt;=36,Table2[[#This Row],[Guest_Age]]&lt;=50),"Middle Aged Adults",Table2[[#This Row],[Guest_Age]]&gt;50,"Senior")</f>
        <v>Senior</v>
      </c>
      <c r="AB18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47" t="str" cm="1">
        <f t="array" ref="AC1847">_xlfn.IFS(Table2[[#This Row],[Satification_points]]&gt;=4.5,"GREAT",AND(Table2[[#This Row],[Satification_points]]&gt;=4,Table2[[#This Row],[Satification_points]]&lt;4.5),"GOOD",AND(Table2[[#This Row],[Satification_points]]&gt;=3,Table2[[#This Row],[Satification_points]]&lt;4),"AVERAGE",Table2[[#This Row],[Satification_points]]&lt;3,"POOR")</f>
        <v>AVERAGE</v>
      </c>
    </row>
    <row r="1848" spans="1:29" x14ac:dyDescent="0.3">
      <c r="A1848">
        <v>1847</v>
      </c>
      <c r="B1848">
        <v>63345</v>
      </c>
      <c r="C1848" t="s">
        <v>1885</v>
      </c>
      <c r="D1848" t="s">
        <v>34</v>
      </c>
      <c r="E1848" t="s">
        <v>52</v>
      </c>
      <c r="F1848" s="1">
        <v>45273</v>
      </c>
      <c r="G1848" s="1">
        <v>45274</v>
      </c>
      <c r="H1848">
        <v>8</v>
      </c>
      <c r="I1848" t="s">
        <v>28</v>
      </c>
      <c r="J1848" t="s">
        <v>53</v>
      </c>
      <c r="K1848">
        <v>5</v>
      </c>
      <c r="L1848">
        <v>4</v>
      </c>
      <c r="M1848">
        <v>1</v>
      </c>
      <c r="N1848">
        <v>5</v>
      </c>
      <c r="O1848">
        <v>1</v>
      </c>
      <c r="P1848">
        <v>2</v>
      </c>
      <c r="Q1848">
        <v>4</v>
      </c>
      <c r="R1848">
        <v>5</v>
      </c>
      <c r="S1848">
        <v>3</v>
      </c>
      <c r="T1848">
        <v>4</v>
      </c>
      <c r="U1848" t="s">
        <v>30</v>
      </c>
      <c r="V1848" t="s">
        <v>38</v>
      </c>
      <c r="W1848" t="s">
        <v>55</v>
      </c>
      <c r="X1848" t="s">
        <v>44</v>
      </c>
      <c r="Y1848">
        <v>48</v>
      </c>
      <c r="Z1848" s="1">
        <v>45497</v>
      </c>
      <c r="AA1848" t="str" cm="1">
        <f t="array" ref="AA184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48" t="str" cm="1">
        <f t="array" ref="AC1848">_xlfn.IFS(Table2[[#This Row],[Satification_points]]&gt;=4.5,"GREAT",AND(Table2[[#This Row],[Satification_points]]&gt;=4,Table2[[#This Row],[Satification_points]]&lt;4.5),"GOOD",AND(Table2[[#This Row],[Satification_points]]&gt;=3,Table2[[#This Row],[Satification_points]]&lt;4),"AVERAGE",Table2[[#This Row],[Satification_points]]&lt;3,"POOR")</f>
        <v>AVERAGE</v>
      </c>
    </row>
    <row r="1849" spans="1:29" x14ac:dyDescent="0.3">
      <c r="A1849">
        <v>1848</v>
      </c>
      <c r="B1849">
        <v>24141</v>
      </c>
      <c r="C1849" t="s">
        <v>1886</v>
      </c>
      <c r="D1849" t="s">
        <v>34</v>
      </c>
      <c r="E1849" t="s">
        <v>57</v>
      </c>
      <c r="F1849" s="1">
        <v>45137</v>
      </c>
      <c r="G1849" s="1">
        <v>45436</v>
      </c>
      <c r="H1849">
        <v>1</v>
      </c>
      <c r="I1849" t="s">
        <v>50</v>
      </c>
      <c r="J1849" t="s">
        <v>40</v>
      </c>
      <c r="K1849">
        <v>5</v>
      </c>
      <c r="L1849">
        <v>4</v>
      </c>
      <c r="M1849">
        <v>3</v>
      </c>
      <c r="N1849">
        <v>2</v>
      </c>
      <c r="O1849">
        <v>3</v>
      </c>
      <c r="P1849">
        <v>3</v>
      </c>
      <c r="Q1849">
        <v>2</v>
      </c>
      <c r="R1849">
        <v>2</v>
      </c>
      <c r="S1849">
        <v>4</v>
      </c>
      <c r="T1849">
        <v>1</v>
      </c>
      <c r="U1849" t="s">
        <v>37</v>
      </c>
      <c r="V1849" t="s">
        <v>58</v>
      </c>
      <c r="W1849" t="s">
        <v>47</v>
      </c>
      <c r="X1849" t="s">
        <v>33</v>
      </c>
      <c r="Y1849">
        <v>29</v>
      </c>
      <c r="Z1849" s="1">
        <v>45436</v>
      </c>
      <c r="AA1849" t="str" cm="1">
        <f t="array" ref="AA1849">_xlfn.IFS(AND(Table2[[#This Row],[Guest_Age]]&gt;=18,Table2[[#This Row],[Guest_Age]]&lt;=25),"Young Adults",AND(Table2[[#This Row],[Guest_Age]]&gt;=26,Table2[[#This Row],[Guest_Age]]&lt;=35),"Adults",AND(Table2[[#This Row],[Guest_Age]]&gt;=36,Table2[[#This Row],[Guest_Age]]&lt;=50),"Middle Aged Adults",Table2[[#This Row],[Guest_Age]]&gt;50,"Senior")</f>
        <v>Adults</v>
      </c>
      <c r="AB18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49" t="str" cm="1">
        <f t="array" ref="AC1849">_xlfn.IFS(Table2[[#This Row],[Satification_points]]&gt;=4.5,"GREAT",AND(Table2[[#This Row],[Satification_points]]&gt;=4,Table2[[#This Row],[Satification_points]]&lt;4.5),"GOOD",AND(Table2[[#This Row],[Satification_points]]&gt;=3,Table2[[#This Row],[Satification_points]]&lt;4),"AVERAGE",Table2[[#This Row],[Satification_points]]&lt;3,"POOR")</f>
        <v>POOR</v>
      </c>
    </row>
    <row r="1850" spans="1:29" x14ac:dyDescent="0.3">
      <c r="A1850">
        <v>1849</v>
      </c>
      <c r="B1850">
        <v>95890</v>
      </c>
      <c r="C1850" t="s">
        <v>1887</v>
      </c>
      <c r="D1850" t="s">
        <v>41</v>
      </c>
      <c r="E1850" t="s">
        <v>52</v>
      </c>
      <c r="F1850" s="1">
        <v>45651</v>
      </c>
      <c r="G1850" s="1">
        <v>45652</v>
      </c>
      <c r="H1850">
        <v>3</v>
      </c>
      <c r="I1850" t="s">
        <v>28</v>
      </c>
      <c r="J1850" t="s">
        <v>43</v>
      </c>
      <c r="K1850">
        <v>3</v>
      </c>
      <c r="L1850">
        <v>5</v>
      </c>
      <c r="M1850">
        <v>5</v>
      </c>
      <c r="N1850">
        <v>4</v>
      </c>
      <c r="O1850">
        <v>4</v>
      </c>
      <c r="P1850">
        <v>4</v>
      </c>
      <c r="Q1850">
        <v>4</v>
      </c>
      <c r="R1850">
        <v>5</v>
      </c>
      <c r="S1850">
        <v>3</v>
      </c>
      <c r="T1850">
        <v>3</v>
      </c>
      <c r="U1850" t="s">
        <v>37</v>
      </c>
      <c r="V1850" t="s">
        <v>38</v>
      </c>
      <c r="W1850" t="s">
        <v>32</v>
      </c>
      <c r="X1850" t="s">
        <v>44</v>
      </c>
      <c r="Y1850">
        <v>46</v>
      </c>
      <c r="Z1850" s="1">
        <v>45652</v>
      </c>
      <c r="AA1850" t="str" cm="1">
        <f t="array" ref="AA18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850" t="str" cm="1">
        <f t="array" ref="AC1850">_xlfn.IFS(Table2[[#This Row],[Satification_points]]&gt;=4.5,"GREAT",AND(Table2[[#This Row],[Satification_points]]&gt;=4,Table2[[#This Row],[Satification_points]]&lt;4.5),"GOOD",AND(Table2[[#This Row],[Satification_points]]&gt;=3,Table2[[#This Row],[Satification_points]]&lt;4),"AVERAGE",Table2[[#This Row],[Satification_points]]&lt;3,"POOR")</f>
        <v>GOOD</v>
      </c>
    </row>
    <row r="1851" spans="1:29" x14ac:dyDescent="0.3">
      <c r="A1851">
        <v>1850</v>
      </c>
      <c r="B1851">
        <v>77062</v>
      </c>
      <c r="C1851" t="s">
        <v>1888</v>
      </c>
      <c r="D1851" t="s">
        <v>34</v>
      </c>
      <c r="E1851" t="s">
        <v>27</v>
      </c>
      <c r="F1851" s="1">
        <v>45360</v>
      </c>
      <c r="G1851" s="1">
        <v>45361</v>
      </c>
      <c r="H1851">
        <v>6</v>
      </c>
      <c r="I1851" t="s">
        <v>42</v>
      </c>
      <c r="J1851" t="s">
        <v>36</v>
      </c>
      <c r="K1851">
        <v>3</v>
      </c>
      <c r="L1851">
        <v>4</v>
      </c>
      <c r="M1851">
        <v>2</v>
      </c>
      <c r="N1851">
        <v>2</v>
      </c>
      <c r="O1851">
        <v>4</v>
      </c>
      <c r="P1851">
        <v>1</v>
      </c>
      <c r="Q1851">
        <v>1</v>
      </c>
      <c r="R1851">
        <v>3</v>
      </c>
      <c r="S1851">
        <v>4</v>
      </c>
      <c r="T1851">
        <v>1</v>
      </c>
      <c r="U1851" t="s">
        <v>30</v>
      </c>
      <c r="V1851" t="s">
        <v>38</v>
      </c>
      <c r="W1851" t="s">
        <v>55</v>
      </c>
      <c r="X1851" t="s">
        <v>33</v>
      </c>
      <c r="Y1851">
        <v>59</v>
      </c>
      <c r="Z1851" s="1">
        <v>45464</v>
      </c>
      <c r="AA1851" t="str" cm="1">
        <f t="array" ref="AA1851">_xlfn.IFS(AND(Table2[[#This Row],[Guest_Age]]&gt;=18,Table2[[#This Row],[Guest_Age]]&lt;=25),"Young Adults",AND(Table2[[#This Row],[Guest_Age]]&gt;=26,Table2[[#This Row],[Guest_Age]]&lt;=35),"Adults",AND(Table2[[#This Row],[Guest_Age]]&gt;=36,Table2[[#This Row],[Guest_Age]]&lt;=50),"Middle Aged Adults",Table2[[#This Row],[Guest_Age]]&gt;50,"Senior")</f>
        <v>Senior</v>
      </c>
      <c r="AB18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851" t="str" cm="1">
        <f t="array" ref="AC1851">_xlfn.IFS(Table2[[#This Row],[Satification_points]]&gt;=4.5,"GREAT",AND(Table2[[#This Row],[Satification_points]]&gt;=4,Table2[[#This Row],[Satification_points]]&lt;4.5),"GOOD",AND(Table2[[#This Row],[Satification_points]]&gt;=3,Table2[[#This Row],[Satification_points]]&lt;4),"AVERAGE",Table2[[#This Row],[Satification_points]]&lt;3,"POOR")</f>
        <v>POOR</v>
      </c>
    </row>
    <row r="1852" spans="1:29" x14ac:dyDescent="0.3">
      <c r="A1852">
        <v>1851</v>
      </c>
      <c r="B1852">
        <v>42958</v>
      </c>
      <c r="C1852" t="s">
        <v>1889</v>
      </c>
      <c r="D1852" t="s">
        <v>51</v>
      </c>
      <c r="E1852" t="s">
        <v>35</v>
      </c>
      <c r="F1852" s="1">
        <v>45459</v>
      </c>
      <c r="G1852" s="1">
        <v>45460</v>
      </c>
      <c r="H1852">
        <v>11</v>
      </c>
      <c r="I1852" t="s">
        <v>42</v>
      </c>
      <c r="J1852" t="s">
        <v>40</v>
      </c>
      <c r="K1852">
        <v>1</v>
      </c>
      <c r="L1852">
        <v>5</v>
      </c>
      <c r="M1852">
        <v>2</v>
      </c>
      <c r="N1852">
        <v>5</v>
      </c>
      <c r="O1852">
        <v>3</v>
      </c>
      <c r="P1852">
        <v>5</v>
      </c>
      <c r="Q1852">
        <v>3</v>
      </c>
      <c r="R1852">
        <v>2</v>
      </c>
      <c r="S1852">
        <v>3</v>
      </c>
      <c r="T1852">
        <v>3</v>
      </c>
      <c r="U1852" t="s">
        <v>30</v>
      </c>
      <c r="V1852" t="s">
        <v>31</v>
      </c>
      <c r="W1852" t="s">
        <v>47</v>
      </c>
      <c r="X1852" t="s">
        <v>40</v>
      </c>
      <c r="Y1852">
        <v>30</v>
      </c>
      <c r="Z1852" s="1">
        <v>45470</v>
      </c>
      <c r="AA1852" t="str" cm="1">
        <f t="array" ref="AA1852">_xlfn.IFS(AND(Table2[[#This Row],[Guest_Age]]&gt;=18,Table2[[#This Row],[Guest_Age]]&lt;=25),"Young Adults",AND(Table2[[#This Row],[Guest_Age]]&gt;=26,Table2[[#This Row],[Guest_Age]]&lt;=35),"Adults",AND(Table2[[#This Row],[Guest_Age]]&gt;=36,Table2[[#This Row],[Guest_Age]]&lt;=50),"Middle Aged Adults",Table2[[#This Row],[Guest_Age]]&gt;50,"Senior")</f>
        <v>Adults</v>
      </c>
      <c r="AB18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52" t="str" cm="1">
        <f t="array" ref="AC1852">_xlfn.IFS(Table2[[#This Row],[Satification_points]]&gt;=4.5,"GREAT",AND(Table2[[#This Row],[Satification_points]]&gt;=4,Table2[[#This Row],[Satification_points]]&lt;4.5),"GOOD",AND(Table2[[#This Row],[Satification_points]]&gt;=3,Table2[[#This Row],[Satification_points]]&lt;4),"AVERAGE",Table2[[#This Row],[Satification_points]]&lt;3,"POOR")</f>
        <v>AVERAGE</v>
      </c>
    </row>
    <row r="1853" spans="1:29" x14ac:dyDescent="0.3">
      <c r="A1853">
        <v>1852</v>
      </c>
      <c r="B1853">
        <v>77409</v>
      </c>
      <c r="C1853" t="s">
        <v>1890</v>
      </c>
      <c r="D1853" t="s">
        <v>41</v>
      </c>
      <c r="E1853" t="s">
        <v>57</v>
      </c>
      <c r="F1853" s="1">
        <v>45526</v>
      </c>
      <c r="G1853" s="1">
        <v>45527</v>
      </c>
      <c r="H1853">
        <v>8</v>
      </c>
      <c r="I1853" t="s">
        <v>42</v>
      </c>
      <c r="J1853" t="s">
        <v>43</v>
      </c>
      <c r="K1853">
        <v>2</v>
      </c>
      <c r="L1853">
        <v>2</v>
      </c>
      <c r="M1853">
        <v>2</v>
      </c>
      <c r="N1853">
        <v>5</v>
      </c>
      <c r="O1853">
        <v>3</v>
      </c>
      <c r="P1853">
        <v>1</v>
      </c>
      <c r="Q1853">
        <v>2</v>
      </c>
      <c r="R1853">
        <v>2</v>
      </c>
      <c r="S1853">
        <v>2</v>
      </c>
      <c r="T1853">
        <v>1</v>
      </c>
      <c r="U1853" t="s">
        <v>30</v>
      </c>
      <c r="V1853" t="s">
        <v>46</v>
      </c>
      <c r="W1853" t="s">
        <v>32</v>
      </c>
      <c r="X1853" t="s">
        <v>44</v>
      </c>
      <c r="Y1853">
        <v>43</v>
      </c>
      <c r="Z1853" s="1">
        <v>45527</v>
      </c>
      <c r="AA1853" t="str" cm="1">
        <f t="array" ref="AA185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853" t="str" cm="1">
        <f t="array" ref="AC1853">_xlfn.IFS(Table2[[#This Row],[Satification_points]]&gt;=4.5,"GREAT",AND(Table2[[#This Row],[Satification_points]]&gt;=4,Table2[[#This Row],[Satification_points]]&lt;4.5),"GOOD",AND(Table2[[#This Row],[Satification_points]]&gt;=3,Table2[[#This Row],[Satification_points]]&lt;4),"AVERAGE",Table2[[#This Row],[Satification_points]]&lt;3,"POOR")</f>
        <v>POOR</v>
      </c>
    </row>
    <row r="1854" spans="1:29" x14ac:dyDescent="0.3">
      <c r="A1854">
        <v>1853</v>
      </c>
      <c r="B1854">
        <v>17958</v>
      </c>
      <c r="C1854" t="s">
        <v>1891</v>
      </c>
      <c r="D1854" t="s">
        <v>48</v>
      </c>
      <c r="E1854" t="s">
        <v>35</v>
      </c>
      <c r="F1854" s="1">
        <v>45451</v>
      </c>
      <c r="G1854" s="1">
        <v>45452</v>
      </c>
      <c r="H1854">
        <v>7</v>
      </c>
      <c r="I1854" t="s">
        <v>28</v>
      </c>
      <c r="J1854" t="s">
        <v>29</v>
      </c>
      <c r="K1854">
        <v>5</v>
      </c>
      <c r="L1854">
        <v>1</v>
      </c>
      <c r="M1854">
        <v>3</v>
      </c>
      <c r="N1854">
        <v>4</v>
      </c>
      <c r="O1854">
        <v>3</v>
      </c>
      <c r="P1854">
        <v>3</v>
      </c>
      <c r="Q1854">
        <v>5</v>
      </c>
      <c r="R1854">
        <v>1</v>
      </c>
      <c r="S1854">
        <v>4</v>
      </c>
      <c r="T1854">
        <v>5</v>
      </c>
      <c r="U1854" t="s">
        <v>37</v>
      </c>
      <c r="V1854" t="s">
        <v>54</v>
      </c>
      <c r="W1854" t="s">
        <v>56</v>
      </c>
      <c r="X1854" t="s">
        <v>33</v>
      </c>
      <c r="Y1854">
        <v>50</v>
      </c>
      <c r="Z1854" s="1">
        <v>45452</v>
      </c>
      <c r="AA1854" t="str" cm="1">
        <f t="array" ref="AA185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54" t="str" cm="1">
        <f t="array" ref="AC1854">_xlfn.IFS(Table2[[#This Row],[Satification_points]]&gt;=4.5,"GREAT",AND(Table2[[#This Row],[Satification_points]]&gt;=4,Table2[[#This Row],[Satification_points]]&lt;4.5),"GOOD",AND(Table2[[#This Row],[Satification_points]]&gt;=3,Table2[[#This Row],[Satification_points]]&lt;4),"AVERAGE",Table2[[#This Row],[Satification_points]]&lt;3,"POOR")</f>
        <v>AVERAGE</v>
      </c>
    </row>
    <row r="1855" spans="1:29" x14ac:dyDescent="0.3">
      <c r="A1855">
        <v>1854</v>
      </c>
      <c r="B1855">
        <v>86743</v>
      </c>
      <c r="C1855" t="s">
        <v>1892</v>
      </c>
      <c r="D1855" t="s">
        <v>51</v>
      </c>
      <c r="E1855" t="s">
        <v>35</v>
      </c>
      <c r="F1855" s="1">
        <v>45352</v>
      </c>
      <c r="G1855" s="1">
        <v>45535</v>
      </c>
      <c r="H1855">
        <v>3</v>
      </c>
      <c r="I1855" t="s">
        <v>50</v>
      </c>
      <c r="J1855" t="s">
        <v>36</v>
      </c>
      <c r="K1855">
        <v>1</v>
      </c>
      <c r="L1855">
        <v>2</v>
      </c>
      <c r="M1855">
        <v>1</v>
      </c>
      <c r="N1855">
        <v>5</v>
      </c>
      <c r="O1855">
        <v>3</v>
      </c>
      <c r="P1855">
        <v>3</v>
      </c>
      <c r="Q1855">
        <v>5</v>
      </c>
      <c r="R1855">
        <v>2</v>
      </c>
      <c r="S1855">
        <v>5</v>
      </c>
      <c r="T1855">
        <v>3</v>
      </c>
      <c r="U1855" t="s">
        <v>30</v>
      </c>
      <c r="V1855" t="s">
        <v>46</v>
      </c>
      <c r="W1855" t="s">
        <v>55</v>
      </c>
      <c r="X1855" t="s">
        <v>44</v>
      </c>
      <c r="Y1855">
        <v>51</v>
      </c>
      <c r="Z1855" s="1">
        <v>45535</v>
      </c>
      <c r="AA1855" t="str" cm="1">
        <f t="array" ref="AA1855">_xlfn.IFS(AND(Table2[[#This Row],[Guest_Age]]&gt;=18,Table2[[#This Row],[Guest_Age]]&lt;=25),"Young Adults",AND(Table2[[#This Row],[Guest_Age]]&gt;=26,Table2[[#This Row],[Guest_Age]]&lt;=35),"Adults",AND(Table2[[#This Row],[Guest_Age]]&gt;=36,Table2[[#This Row],[Guest_Age]]&lt;=50),"Middle Aged Adults",Table2[[#This Row],[Guest_Age]]&gt;50,"Senior")</f>
        <v>Senior</v>
      </c>
      <c r="AB18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55" t="str" cm="1">
        <f t="array" ref="AC1855">_xlfn.IFS(Table2[[#This Row],[Satification_points]]&gt;=4.5,"GREAT",AND(Table2[[#This Row],[Satification_points]]&gt;=4,Table2[[#This Row],[Satification_points]]&lt;4.5),"GOOD",AND(Table2[[#This Row],[Satification_points]]&gt;=3,Table2[[#This Row],[Satification_points]]&lt;4),"AVERAGE",Table2[[#This Row],[Satification_points]]&lt;3,"POOR")</f>
        <v>AVERAGE</v>
      </c>
    </row>
    <row r="1856" spans="1:29" x14ac:dyDescent="0.3">
      <c r="A1856">
        <v>1855</v>
      </c>
      <c r="B1856">
        <v>82904</v>
      </c>
      <c r="C1856" t="s">
        <v>1893</v>
      </c>
      <c r="D1856" t="s">
        <v>51</v>
      </c>
      <c r="E1856" t="s">
        <v>27</v>
      </c>
      <c r="F1856" s="1">
        <v>45046</v>
      </c>
      <c r="G1856" s="1">
        <v>45569</v>
      </c>
      <c r="H1856">
        <v>12</v>
      </c>
      <c r="I1856" t="s">
        <v>50</v>
      </c>
      <c r="J1856" t="s">
        <v>36</v>
      </c>
      <c r="K1856">
        <v>3</v>
      </c>
      <c r="L1856">
        <v>2</v>
      </c>
      <c r="M1856">
        <v>2</v>
      </c>
      <c r="N1856">
        <v>1</v>
      </c>
      <c r="O1856">
        <v>3</v>
      </c>
      <c r="P1856">
        <v>5</v>
      </c>
      <c r="Q1856">
        <v>5</v>
      </c>
      <c r="R1856">
        <v>5</v>
      </c>
      <c r="S1856">
        <v>2</v>
      </c>
      <c r="T1856">
        <v>1</v>
      </c>
      <c r="U1856" t="s">
        <v>37</v>
      </c>
      <c r="V1856" t="s">
        <v>54</v>
      </c>
      <c r="W1856" t="s">
        <v>47</v>
      </c>
      <c r="X1856" t="s">
        <v>44</v>
      </c>
      <c r="Y1856">
        <v>37</v>
      </c>
      <c r="Z1856" s="1">
        <v>45569</v>
      </c>
      <c r="AA1856" t="str" cm="1">
        <f t="array" ref="AA185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56" t="str" cm="1">
        <f t="array" ref="AC1856">_xlfn.IFS(Table2[[#This Row],[Satification_points]]&gt;=4.5,"GREAT",AND(Table2[[#This Row],[Satification_points]]&gt;=4,Table2[[#This Row],[Satification_points]]&lt;4.5),"GOOD",AND(Table2[[#This Row],[Satification_points]]&gt;=3,Table2[[#This Row],[Satification_points]]&lt;4),"AVERAGE",Table2[[#This Row],[Satification_points]]&lt;3,"POOR")</f>
        <v>POOR</v>
      </c>
    </row>
    <row r="1857" spans="1:29" x14ac:dyDescent="0.3">
      <c r="A1857">
        <v>1856</v>
      </c>
      <c r="B1857">
        <v>17489</v>
      </c>
      <c r="C1857" t="s">
        <v>1894</v>
      </c>
      <c r="D1857" t="s">
        <v>34</v>
      </c>
      <c r="E1857" t="s">
        <v>52</v>
      </c>
      <c r="F1857" s="1">
        <v>45104</v>
      </c>
      <c r="G1857" s="1">
        <v>45105</v>
      </c>
      <c r="H1857">
        <v>6</v>
      </c>
      <c r="I1857" t="s">
        <v>28</v>
      </c>
      <c r="J1857" t="s">
        <v>53</v>
      </c>
      <c r="K1857">
        <v>2</v>
      </c>
      <c r="L1857">
        <v>3</v>
      </c>
      <c r="M1857">
        <v>4</v>
      </c>
      <c r="N1857">
        <v>3</v>
      </c>
      <c r="O1857">
        <v>4</v>
      </c>
      <c r="P1857">
        <v>5</v>
      </c>
      <c r="Q1857">
        <v>2</v>
      </c>
      <c r="R1857">
        <v>1</v>
      </c>
      <c r="S1857">
        <v>1</v>
      </c>
      <c r="T1857">
        <v>3</v>
      </c>
      <c r="U1857" t="s">
        <v>37</v>
      </c>
      <c r="V1857" t="s">
        <v>58</v>
      </c>
      <c r="W1857" t="s">
        <v>56</v>
      </c>
      <c r="X1857" t="s">
        <v>44</v>
      </c>
      <c r="Y1857">
        <v>64</v>
      </c>
      <c r="Z1857" s="1">
        <v>45105</v>
      </c>
      <c r="AA1857" t="str" cm="1">
        <f t="array" ref="AA1857">_xlfn.IFS(AND(Table2[[#This Row],[Guest_Age]]&gt;=18,Table2[[#This Row],[Guest_Age]]&lt;=25),"Young Adults",AND(Table2[[#This Row],[Guest_Age]]&gt;=26,Table2[[#This Row],[Guest_Age]]&lt;=35),"Adults",AND(Table2[[#This Row],[Guest_Age]]&gt;=36,Table2[[#This Row],[Guest_Age]]&lt;=50),"Middle Aged Adults",Table2[[#This Row],[Guest_Age]]&gt;50,"Senior")</f>
        <v>Senior</v>
      </c>
      <c r="AB18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57" t="str" cm="1">
        <f t="array" ref="AC1857">_xlfn.IFS(Table2[[#This Row],[Satification_points]]&gt;=4.5,"GREAT",AND(Table2[[#This Row],[Satification_points]]&gt;=4,Table2[[#This Row],[Satification_points]]&lt;4.5),"GOOD",AND(Table2[[#This Row],[Satification_points]]&gt;=3,Table2[[#This Row],[Satification_points]]&lt;4),"AVERAGE",Table2[[#This Row],[Satification_points]]&lt;3,"POOR")</f>
        <v>POOR</v>
      </c>
    </row>
    <row r="1858" spans="1:29" x14ac:dyDescent="0.3">
      <c r="A1858">
        <v>1857</v>
      </c>
      <c r="B1858">
        <v>34833</v>
      </c>
      <c r="C1858" t="s">
        <v>1895</v>
      </c>
      <c r="D1858" t="s">
        <v>48</v>
      </c>
      <c r="E1858" t="s">
        <v>57</v>
      </c>
      <c r="F1858" s="1">
        <v>45055</v>
      </c>
      <c r="G1858" s="1">
        <v>45544</v>
      </c>
      <c r="H1858">
        <v>1</v>
      </c>
      <c r="I1858" t="s">
        <v>49</v>
      </c>
      <c r="J1858" t="s">
        <v>29</v>
      </c>
      <c r="K1858">
        <v>4</v>
      </c>
      <c r="L1858">
        <v>2</v>
      </c>
      <c r="M1858">
        <v>2</v>
      </c>
      <c r="N1858">
        <v>3</v>
      </c>
      <c r="O1858">
        <v>2</v>
      </c>
      <c r="P1858">
        <v>5</v>
      </c>
      <c r="Q1858">
        <v>3</v>
      </c>
      <c r="R1858">
        <v>2</v>
      </c>
      <c r="S1858">
        <v>3</v>
      </c>
      <c r="T1858">
        <v>5</v>
      </c>
      <c r="U1858" t="s">
        <v>30</v>
      </c>
      <c r="V1858" t="s">
        <v>46</v>
      </c>
      <c r="W1858" t="s">
        <v>55</v>
      </c>
      <c r="X1858" t="s">
        <v>40</v>
      </c>
      <c r="Y1858">
        <v>27</v>
      </c>
      <c r="Z1858" s="1">
        <v>45544</v>
      </c>
      <c r="AA1858" t="str" cm="1">
        <f t="array" ref="AA1858">_xlfn.IFS(AND(Table2[[#This Row],[Guest_Age]]&gt;=18,Table2[[#This Row],[Guest_Age]]&lt;=25),"Young Adults",AND(Table2[[#This Row],[Guest_Age]]&gt;=26,Table2[[#This Row],[Guest_Age]]&lt;=35),"Adults",AND(Table2[[#This Row],[Guest_Age]]&gt;=36,Table2[[#This Row],[Guest_Age]]&lt;=50),"Middle Aged Adults",Table2[[#This Row],[Guest_Age]]&gt;50,"Senior")</f>
        <v>Adults</v>
      </c>
      <c r="AB18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58" t="str" cm="1">
        <f t="array" ref="AC1858">_xlfn.IFS(Table2[[#This Row],[Satification_points]]&gt;=4.5,"GREAT",AND(Table2[[#This Row],[Satification_points]]&gt;=4,Table2[[#This Row],[Satification_points]]&lt;4.5),"GOOD",AND(Table2[[#This Row],[Satification_points]]&gt;=3,Table2[[#This Row],[Satification_points]]&lt;4),"AVERAGE",Table2[[#This Row],[Satification_points]]&lt;3,"POOR")</f>
        <v>AVERAGE</v>
      </c>
    </row>
    <row r="1859" spans="1:29" x14ac:dyDescent="0.3">
      <c r="A1859">
        <v>1858</v>
      </c>
      <c r="B1859">
        <v>18346</v>
      </c>
      <c r="C1859" t="s">
        <v>1896</v>
      </c>
      <c r="D1859" t="s">
        <v>26</v>
      </c>
      <c r="E1859" t="s">
        <v>45</v>
      </c>
      <c r="F1859" s="1">
        <v>45489</v>
      </c>
      <c r="G1859" s="1">
        <v>45638</v>
      </c>
      <c r="H1859">
        <v>8</v>
      </c>
      <c r="I1859" t="s">
        <v>49</v>
      </c>
      <c r="J1859" t="s">
        <v>43</v>
      </c>
      <c r="K1859">
        <v>2</v>
      </c>
      <c r="L1859">
        <v>3</v>
      </c>
      <c r="M1859">
        <v>5</v>
      </c>
      <c r="N1859">
        <v>1</v>
      </c>
      <c r="O1859">
        <v>1</v>
      </c>
      <c r="P1859">
        <v>4</v>
      </c>
      <c r="Q1859">
        <v>3</v>
      </c>
      <c r="R1859">
        <v>1</v>
      </c>
      <c r="S1859">
        <v>1</v>
      </c>
      <c r="T1859">
        <v>3</v>
      </c>
      <c r="U1859" t="s">
        <v>37</v>
      </c>
      <c r="V1859" t="s">
        <v>54</v>
      </c>
      <c r="W1859" t="s">
        <v>32</v>
      </c>
      <c r="X1859" t="s">
        <v>33</v>
      </c>
      <c r="Y1859">
        <v>18</v>
      </c>
      <c r="Z1859" s="1">
        <v>45638</v>
      </c>
      <c r="AA1859" t="str" cm="1">
        <f t="array" ref="AA1859">_xlfn.IFS(AND(Table2[[#This Row],[Guest_Age]]&gt;=18,Table2[[#This Row],[Guest_Age]]&lt;=25),"Young Adults",AND(Table2[[#This Row],[Guest_Age]]&gt;=26,Table2[[#This Row],[Guest_Age]]&lt;=35),"Adults",AND(Table2[[#This Row],[Guest_Age]]&gt;=36,Table2[[#This Row],[Guest_Age]]&lt;=50),"Middle Aged Adults",Table2[[#This Row],[Guest_Age]]&gt;50,"Senior")</f>
        <v>Young Adults</v>
      </c>
      <c r="AB18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859" t="str" cm="1">
        <f t="array" ref="AC1859">_xlfn.IFS(Table2[[#This Row],[Satification_points]]&gt;=4.5,"GREAT",AND(Table2[[#This Row],[Satification_points]]&gt;=4,Table2[[#This Row],[Satification_points]]&lt;4.5),"GOOD",AND(Table2[[#This Row],[Satification_points]]&gt;=3,Table2[[#This Row],[Satification_points]]&lt;4),"AVERAGE",Table2[[#This Row],[Satification_points]]&lt;3,"POOR")</f>
        <v>POOR</v>
      </c>
    </row>
    <row r="1860" spans="1:29" x14ac:dyDescent="0.3">
      <c r="A1860">
        <v>1859</v>
      </c>
      <c r="B1860">
        <v>48374</v>
      </c>
      <c r="C1860" t="s">
        <v>1897</v>
      </c>
      <c r="D1860" t="s">
        <v>51</v>
      </c>
      <c r="E1860" t="s">
        <v>35</v>
      </c>
      <c r="F1860" s="1">
        <v>45344</v>
      </c>
      <c r="G1860" s="1">
        <v>45345</v>
      </c>
      <c r="H1860">
        <v>9</v>
      </c>
      <c r="I1860" t="s">
        <v>50</v>
      </c>
      <c r="J1860" t="s">
        <v>29</v>
      </c>
      <c r="K1860">
        <v>1</v>
      </c>
      <c r="L1860">
        <v>3</v>
      </c>
      <c r="M1860">
        <v>5</v>
      </c>
      <c r="N1860">
        <v>2</v>
      </c>
      <c r="O1860">
        <v>4</v>
      </c>
      <c r="P1860">
        <v>3</v>
      </c>
      <c r="Q1860">
        <v>5</v>
      </c>
      <c r="R1860">
        <v>2</v>
      </c>
      <c r="S1860">
        <v>5</v>
      </c>
      <c r="T1860">
        <v>3</v>
      </c>
      <c r="U1860" t="s">
        <v>37</v>
      </c>
      <c r="V1860" t="s">
        <v>46</v>
      </c>
      <c r="W1860" t="s">
        <v>55</v>
      </c>
      <c r="X1860" t="s">
        <v>40</v>
      </c>
      <c r="Y1860">
        <v>69</v>
      </c>
      <c r="Z1860" s="1">
        <v>45345</v>
      </c>
      <c r="AA1860" t="str" cm="1">
        <f t="array" ref="AA1860">_xlfn.IFS(AND(Table2[[#This Row],[Guest_Age]]&gt;=18,Table2[[#This Row],[Guest_Age]]&lt;=25),"Young Adults",AND(Table2[[#This Row],[Guest_Age]]&gt;=26,Table2[[#This Row],[Guest_Age]]&lt;=35),"Adults",AND(Table2[[#This Row],[Guest_Age]]&gt;=36,Table2[[#This Row],[Guest_Age]]&lt;=50),"Middle Aged Adults",Table2[[#This Row],[Guest_Age]]&gt;50,"Senior")</f>
        <v>Senior</v>
      </c>
      <c r="AB18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60" t="str" cm="1">
        <f t="array" ref="AC1860">_xlfn.IFS(Table2[[#This Row],[Satification_points]]&gt;=4.5,"GREAT",AND(Table2[[#This Row],[Satification_points]]&gt;=4,Table2[[#This Row],[Satification_points]]&lt;4.5),"GOOD",AND(Table2[[#This Row],[Satification_points]]&gt;=3,Table2[[#This Row],[Satification_points]]&lt;4),"AVERAGE",Table2[[#This Row],[Satification_points]]&lt;3,"POOR")</f>
        <v>AVERAGE</v>
      </c>
    </row>
    <row r="1861" spans="1:29" x14ac:dyDescent="0.3">
      <c r="A1861">
        <v>1860</v>
      </c>
      <c r="B1861">
        <v>55053</v>
      </c>
      <c r="C1861" t="s">
        <v>1898</v>
      </c>
      <c r="D1861" t="s">
        <v>34</v>
      </c>
      <c r="E1861" t="s">
        <v>45</v>
      </c>
      <c r="F1861" s="1">
        <v>45480</v>
      </c>
      <c r="G1861" s="1">
        <v>45481</v>
      </c>
      <c r="H1861">
        <v>9</v>
      </c>
      <c r="I1861" t="s">
        <v>49</v>
      </c>
      <c r="J1861" t="s">
        <v>43</v>
      </c>
      <c r="K1861">
        <v>2</v>
      </c>
      <c r="L1861">
        <v>3</v>
      </c>
      <c r="M1861">
        <v>4</v>
      </c>
      <c r="N1861">
        <v>3</v>
      </c>
      <c r="O1861">
        <v>5</v>
      </c>
      <c r="P1861">
        <v>5</v>
      </c>
      <c r="Q1861">
        <v>2</v>
      </c>
      <c r="R1861">
        <v>4</v>
      </c>
      <c r="S1861">
        <v>3</v>
      </c>
      <c r="T1861">
        <v>1</v>
      </c>
      <c r="U1861" t="s">
        <v>37</v>
      </c>
      <c r="V1861" t="s">
        <v>38</v>
      </c>
      <c r="W1861" t="s">
        <v>47</v>
      </c>
      <c r="X1861" t="s">
        <v>33</v>
      </c>
      <c r="Y1861">
        <v>46</v>
      </c>
      <c r="Z1861" s="1">
        <v>45481</v>
      </c>
      <c r="AA1861" t="str" cm="1">
        <f t="array" ref="AA186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61" t="str" cm="1">
        <f t="array" ref="AC1861">_xlfn.IFS(Table2[[#This Row],[Satification_points]]&gt;=4.5,"GREAT",AND(Table2[[#This Row],[Satification_points]]&gt;=4,Table2[[#This Row],[Satification_points]]&lt;4.5),"GOOD",AND(Table2[[#This Row],[Satification_points]]&gt;=3,Table2[[#This Row],[Satification_points]]&lt;4),"AVERAGE",Table2[[#This Row],[Satification_points]]&lt;3,"POOR")</f>
        <v>AVERAGE</v>
      </c>
    </row>
    <row r="1862" spans="1:29" x14ac:dyDescent="0.3">
      <c r="A1862">
        <v>1861</v>
      </c>
      <c r="B1862">
        <v>95822</v>
      </c>
      <c r="C1862" t="s">
        <v>1899</v>
      </c>
      <c r="D1862" t="s">
        <v>51</v>
      </c>
      <c r="E1862" t="s">
        <v>45</v>
      </c>
      <c r="F1862" s="1">
        <v>45244</v>
      </c>
      <c r="G1862" s="1">
        <v>45532</v>
      </c>
      <c r="H1862">
        <v>14</v>
      </c>
      <c r="I1862" t="s">
        <v>49</v>
      </c>
      <c r="J1862" t="s">
        <v>53</v>
      </c>
      <c r="K1862">
        <v>3</v>
      </c>
      <c r="L1862">
        <v>2</v>
      </c>
      <c r="M1862">
        <v>3</v>
      </c>
      <c r="N1862">
        <v>1</v>
      </c>
      <c r="O1862">
        <v>4</v>
      </c>
      <c r="P1862">
        <v>3</v>
      </c>
      <c r="Q1862">
        <v>5</v>
      </c>
      <c r="R1862">
        <v>5</v>
      </c>
      <c r="S1862">
        <v>1</v>
      </c>
      <c r="T1862">
        <v>4</v>
      </c>
      <c r="U1862" t="s">
        <v>30</v>
      </c>
      <c r="V1862" t="s">
        <v>58</v>
      </c>
      <c r="W1862" t="s">
        <v>32</v>
      </c>
      <c r="X1862" t="s">
        <v>44</v>
      </c>
      <c r="Y1862">
        <v>39</v>
      </c>
      <c r="Z1862" s="1">
        <v>45532</v>
      </c>
      <c r="AA1862" t="str" cm="1">
        <f t="array" ref="AA186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62" t="str" cm="1">
        <f t="array" ref="AC1862">_xlfn.IFS(Table2[[#This Row],[Satification_points]]&gt;=4.5,"GREAT",AND(Table2[[#This Row],[Satification_points]]&gt;=4,Table2[[#This Row],[Satification_points]]&lt;4.5),"GOOD",AND(Table2[[#This Row],[Satification_points]]&gt;=3,Table2[[#This Row],[Satification_points]]&lt;4),"AVERAGE",Table2[[#This Row],[Satification_points]]&lt;3,"POOR")</f>
        <v>AVERAGE</v>
      </c>
    </row>
    <row r="1863" spans="1:29" x14ac:dyDescent="0.3">
      <c r="A1863">
        <v>1862</v>
      </c>
      <c r="B1863">
        <v>53235</v>
      </c>
      <c r="C1863" t="s">
        <v>1900</v>
      </c>
      <c r="D1863" t="s">
        <v>48</v>
      </c>
      <c r="E1863" t="s">
        <v>52</v>
      </c>
      <c r="F1863" s="1">
        <v>45533</v>
      </c>
      <c r="G1863" s="1">
        <v>45534</v>
      </c>
      <c r="H1863">
        <v>4</v>
      </c>
      <c r="I1863" t="s">
        <v>50</v>
      </c>
      <c r="J1863" t="s">
        <v>40</v>
      </c>
      <c r="K1863">
        <v>2</v>
      </c>
      <c r="L1863">
        <v>1</v>
      </c>
      <c r="M1863">
        <v>5</v>
      </c>
      <c r="N1863">
        <v>2</v>
      </c>
      <c r="O1863">
        <v>4</v>
      </c>
      <c r="P1863">
        <v>4</v>
      </c>
      <c r="Q1863">
        <v>4</v>
      </c>
      <c r="R1863">
        <v>5</v>
      </c>
      <c r="S1863">
        <v>2</v>
      </c>
      <c r="T1863">
        <v>5</v>
      </c>
      <c r="U1863" t="s">
        <v>30</v>
      </c>
      <c r="V1863" t="s">
        <v>46</v>
      </c>
      <c r="W1863" t="s">
        <v>32</v>
      </c>
      <c r="X1863" t="s">
        <v>40</v>
      </c>
      <c r="Y1863">
        <v>67</v>
      </c>
      <c r="Z1863" s="1">
        <v>45534</v>
      </c>
      <c r="AA1863" t="str" cm="1">
        <f t="array" ref="AA1863">_xlfn.IFS(AND(Table2[[#This Row],[Guest_Age]]&gt;=18,Table2[[#This Row],[Guest_Age]]&lt;=25),"Young Adults",AND(Table2[[#This Row],[Guest_Age]]&gt;=26,Table2[[#This Row],[Guest_Age]]&lt;=35),"Adults",AND(Table2[[#This Row],[Guest_Age]]&gt;=36,Table2[[#This Row],[Guest_Age]]&lt;=50),"Middle Aged Adults",Table2[[#This Row],[Guest_Age]]&gt;50,"Senior")</f>
        <v>Senior</v>
      </c>
      <c r="AB18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63" t="str" cm="1">
        <f t="array" ref="AC1863">_xlfn.IFS(Table2[[#This Row],[Satification_points]]&gt;=4.5,"GREAT",AND(Table2[[#This Row],[Satification_points]]&gt;=4,Table2[[#This Row],[Satification_points]]&lt;4.5),"GOOD",AND(Table2[[#This Row],[Satification_points]]&gt;=3,Table2[[#This Row],[Satification_points]]&lt;4),"AVERAGE",Table2[[#This Row],[Satification_points]]&lt;3,"POOR")</f>
        <v>AVERAGE</v>
      </c>
    </row>
    <row r="1864" spans="1:29" x14ac:dyDescent="0.3">
      <c r="A1864">
        <v>1863</v>
      </c>
      <c r="B1864">
        <v>49428</v>
      </c>
      <c r="C1864" t="s">
        <v>1901</v>
      </c>
      <c r="D1864" t="s">
        <v>48</v>
      </c>
      <c r="E1864" t="s">
        <v>45</v>
      </c>
      <c r="F1864" s="1">
        <v>45168</v>
      </c>
      <c r="G1864" s="1">
        <v>45169</v>
      </c>
      <c r="H1864">
        <v>4</v>
      </c>
      <c r="I1864" t="s">
        <v>49</v>
      </c>
      <c r="J1864" t="s">
        <v>29</v>
      </c>
      <c r="K1864">
        <v>3</v>
      </c>
      <c r="L1864">
        <v>3</v>
      </c>
      <c r="M1864">
        <v>3</v>
      </c>
      <c r="N1864">
        <v>3</v>
      </c>
      <c r="O1864">
        <v>2</v>
      </c>
      <c r="P1864">
        <v>4</v>
      </c>
      <c r="Q1864">
        <v>4</v>
      </c>
      <c r="R1864">
        <v>1</v>
      </c>
      <c r="S1864">
        <v>1</v>
      </c>
      <c r="T1864">
        <v>1</v>
      </c>
      <c r="U1864" t="s">
        <v>30</v>
      </c>
      <c r="V1864" t="s">
        <v>38</v>
      </c>
      <c r="W1864" t="s">
        <v>32</v>
      </c>
      <c r="X1864" t="s">
        <v>33</v>
      </c>
      <c r="Y1864">
        <v>18</v>
      </c>
      <c r="Z1864" s="1">
        <v>45169</v>
      </c>
      <c r="AA1864" t="str" cm="1">
        <f t="array" ref="AA1864">_xlfn.IFS(AND(Table2[[#This Row],[Guest_Age]]&gt;=18,Table2[[#This Row],[Guest_Age]]&lt;=25),"Young Adults",AND(Table2[[#This Row],[Guest_Age]]&gt;=26,Table2[[#This Row],[Guest_Age]]&lt;=35),"Adults",AND(Table2[[#This Row],[Guest_Age]]&gt;=36,Table2[[#This Row],[Guest_Age]]&lt;=50),"Middle Aged Adults",Table2[[#This Row],[Guest_Age]]&gt;50,"Senior")</f>
        <v>Young Adults</v>
      </c>
      <c r="AB18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864" t="str" cm="1">
        <f t="array" ref="AC1864">_xlfn.IFS(Table2[[#This Row],[Satification_points]]&gt;=4.5,"GREAT",AND(Table2[[#This Row],[Satification_points]]&gt;=4,Table2[[#This Row],[Satification_points]]&lt;4.5),"GOOD",AND(Table2[[#This Row],[Satification_points]]&gt;=3,Table2[[#This Row],[Satification_points]]&lt;4),"AVERAGE",Table2[[#This Row],[Satification_points]]&lt;3,"POOR")</f>
        <v>POOR</v>
      </c>
    </row>
    <row r="1865" spans="1:29" x14ac:dyDescent="0.3">
      <c r="A1865">
        <v>1864</v>
      </c>
      <c r="B1865">
        <v>67237</v>
      </c>
      <c r="C1865" t="s">
        <v>1902</v>
      </c>
      <c r="D1865" t="s">
        <v>41</v>
      </c>
      <c r="E1865" t="s">
        <v>57</v>
      </c>
      <c r="F1865" s="1">
        <v>45282</v>
      </c>
      <c r="G1865" s="1">
        <v>45312</v>
      </c>
      <c r="H1865">
        <v>7</v>
      </c>
      <c r="I1865" t="s">
        <v>49</v>
      </c>
      <c r="J1865" t="s">
        <v>36</v>
      </c>
      <c r="K1865">
        <v>2</v>
      </c>
      <c r="L1865">
        <v>4</v>
      </c>
      <c r="M1865">
        <v>3</v>
      </c>
      <c r="N1865">
        <v>1</v>
      </c>
      <c r="O1865">
        <v>3</v>
      </c>
      <c r="P1865">
        <v>3</v>
      </c>
      <c r="Q1865">
        <v>2</v>
      </c>
      <c r="R1865">
        <v>4</v>
      </c>
      <c r="S1865">
        <v>3</v>
      </c>
      <c r="T1865">
        <v>2</v>
      </c>
      <c r="U1865" t="s">
        <v>30</v>
      </c>
      <c r="V1865" t="s">
        <v>38</v>
      </c>
      <c r="W1865" t="s">
        <v>39</v>
      </c>
      <c r="X1865" t="s">
        <v>33</v>
      </c>
      <c r="Y1865">
        <v>61</v>
      </c>
      <c r="Z1865" s="1">
        <v>45643</v>
      </c>
      <c r="AA1865" t="str" cm="1">
        <f t="array" ref="AA1865">_xlfn.IFS(AND(Table2[[#This Row],[Guest_Age]]&gt;=18,Table2[[#This Row],[Guest_Age]]&lt;=25),"Young Adults",AND(Table2[[#This Row],[Guest_Age]]&gt;=26,Table2[[#This Row],[Guest_Age]]&lt;=35),"Adults",AND(Table2[[#This Row],[Guest_Age]]&gt;=36,Table2[[#This Row],[Guest_Age]]&lt;=50),"Middle Aged Adults",Table2[[#This Row],[Guest_Age]]&gt;50,"Senior")</f>
        <v>Senior</v>
      </c>
      <c r="AB18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865" t="str" cm="1">
        <f t="array" ref="AC1865">_xlfn.IFS(Table2[[#This Row],[Satification_points]]&gt;=4.5,"GREAT",AND(Table2[[#This Row],[Satification_points]]&gt;=4,Table2[[#This Row],[Satification_points]]&lt;4.5),"GOOD",AND(Table2[[#This Row],[Satification_points]]&gt;=3,Table2[[#This Row],[Satification_points]]&lt;4),"AVERAGE",Table2[[#This Row],[Satification_points]]&lt;3,"POOR")</f>
        <v>POOR</v>
      </c>
    </row>
    <row r="1866" spans="1:29" x14ac:dyDescent="0.3">
      <c r="A1866">
        <v>1865</v>
      </c>
      <c r="B1866">
        <v>28796</v>
      </c>
      <c r="C1866" t="s">
        <v>1903</v>
      </c>
      <c r="D1866" t="s">
        <v>26</v>
      </c>
      <c r="E1866" t="s">
        <v>52</v>
      </c>
      <c r="F1866" s="1">
        <v>45499</v>
      </c>
      <c r="G1866" s="1">
        <v>45500</v>
      </c>
      <c r="H1866">
        <v>7</v>
      </c>
      <c r="I1866" t="s">
        <v>28</v>
      </c>
      <c r="J1866" t="s">
        <v>43</v>
      </c>
      <c r="K1866">
        <v>1</v>
      </c>
      <c r="L1866">
        <v>4</v>
      </c>
      <c r="M1866">
        <v>4</v>
      </c>
      <c r="N1866">
        <v>3</v>
      </c>
      <c r="O1866">
        <v>5</v>
      </c>
      <c r="P1866">
        <v>5</v>
      </c>
      <c r="Q1866">
        <v>4</v>
      </c>
      <c r="R1866">
        <v>1</v>
      </c>
      <c r="S1866">
        <v>2</v>
      </c>
      <c r="T1866">
        <v>3</v>
      </c>
      <c r="U1866" t="s">
        <v>30</v>
      </c>
      <c r="V1866" t="s">
        <v>58</v>
      </c>
      <c r="W1866" t="s">
        <v>47</v>
      </c>
      <c r="X1866" t="s">
        <v>40</v>
      </c>
      <c r="Y1866">
        <v>25</v>
      </c>
      <c r="Z1866" s="1">
        <v>45500</v>
      </c>
      <c r="AA1866" t="str" cm="1">
        <f t="array" ref="AA1866">_xlfn.IFS(AND(Table2[[#This Row],[Guest_Age]]&gt;=18,Table2[[#This Row],[Guest_Age]]&lt;=25),"Young Adults",AND(Table2[[#This Row],[Guest_Age]]&gt;=26,Table2[[#This Row],[Guest_Age]]&lt;=35),"Adults",AND(Table2[[#This Row],[Guest_Age]]&gt;=36,Table2[[#This Row],[Guest_Age]]&lt;=50),"Middle Aged Adults",Table2[[#This Row],[Guest_Age]]&gt;50,"Senior")</f>
        <v>Young Adults</v>
      </c>
      <c r="AB18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66" t="str" cm="1">
        <f t="array" ref="AC1866">_xlfn.IFS(Table2[[#This Row],[Satification_points]]&gt;=4.5,"GREAT",AND(Table2[[#This Row],[Satification_points]]&gt;=4,Table2[[#This Row],[Satification_points]]&lt;4.5),"GOOD",AND(Table2[[#This Row],[Satification_points]]&gt;=3,Table2[[#This Row],[Satification_points]]&lt;4),"AVERAGE",Table2[[#This Row],[Satification_points]]&lt;3,"POOR")</f>
        <v>AVERAGE</v>
      </c>
    </row>
    <row r="1867" spans="1:29" x14ac:dyDescent="0.3">
      <c r="A1867">
        <v>1866</v>
      </c>
      <c r="B1867">
        <v>57566</v>
      </c>
      <c r="C1867" t="s">
        <v>1904</v>
      </c>
      <c r="D1867" t="s">
        <v>26</v>
      </c>
      <c r="E1867" t="s">
        <v>45</v>
      </c>
      <c r="F1867" s="1">
        <v>45364</v>
      </c>
      <c r="G1867" s="1">
        <v>45634</v>
      </c>
      <c r="H1867">
        <v>11</v>
      </c>
      <c r="I1867" t="s">
        <v>49</v>
      </c>
      <c r="J1867" t="s">
        <v>29</v>
      </c>
      <c r="K1867">
        <v>4</v>
      </c>
      <c r="L1867">
        <v>5</v>
      </c>
      <c r="M1867">
        <v>5</v>
      </c>
      <c r="N1867">
        <v>3</v>
      </c>
      <c r="O1867">
        <v>2</v>
      </c>
      <c r="P1867">
        <v>1</v>
      </c>
      <c r="Q1867">
        <v>1</v>
      </c>
      <c r="R1867">
        <v>1</v>
      </c>
      <c r="S1867">
        <v>5</v>
      </c>
      <c r="T1867">
        <v>2</v>
      </c>
      <c r="U1867" t="s">
        <v>30</v>
      </c>
      <c r="V1867" t="s">
        <v>46</v>
      </c>
      <c r="W1867" t="s">
        <v>56</v>
      </c>
      <c r="X1867" t="s">
        <v>33</v>
      </c>
      <c r="Y1867">
        <v>26</v>
      </c>
      <c r="Z1867" s="1">
        <v>45634</v>
      </c>
      <c r="AA1867" t="str" cm="1">
        <f t="array" ref="AA1867">_xlfn.IFS(AND(Table2[[#This Row],[Guest_Age]]&gt;=18,Table2[[#This Row],[Guest_Age]]&lt;=25),"Young Adults",AND(Table2[[#This Row],[Guest_Age]]&gt;=26,Table2[[#This Row],[Guest_Age]]&lt;=35),"Adults",AND(Table2[[#This Row],[Guest_Age]]&gt;=36,Table2[[#This Row],[Guest_Age]]&lt;=50),"Middle Aged Adults",Table2[[#This Row],[Guest_Age]]&gt;50,"Senior")</f>
        <v>Adults</v>
      </c>
      <c r="AB18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67" t="str" cm="1">
        <f t="array" ref="AC1867">_xlfn.IFS(Table2[[#This Row],[Satification_points]]&gt;=4.5,"GREAT",AND(Table2[[#This Row],[Satification_points]]&gt;=4,Table2[[#This Row],[Satification_points]]&lt;4.5),"GOOD",AND(Table2[[#This Row],[Satification_points]]&gt;=3,Table2[[#This Row],[Satification_points]]&lt;4),"AVERAGE",Table2[[#This Row],[Satification_points]]&lt;3,"POOR")</f>
        <v>POOR</v>
      </c>
    </row>
    <row r="1868" spans="1:29" x14ac:dyDescent="0.3">
      <c r="A1868">
        <v>1867</v>
      </c>
      <c r="B1868">
        <v>65776</v>
      </c>
      <c r="C1868" t="s">
        <v>1905</v>
      </c>
      <c r="D1868" t="s">
        <v>34</v>
      </c>
      <c r="E1868" t="s">
        <v>52</v>
      </c>
      <c r="F1868" s="1">
        <v>45384</v>
      </c>
      <c r="G1868" s="1">
        <v>45385</v>
      </c>
      <c r="H1868">
        <v>6</v>
      </c>
      <c r="I1868" t="s">
        <v>50</v>
      </c>
      <c r="J1868" t="s">
        <v>43</v>
      </c>
      <c r="K1868">
        <v>5</v>
      </c>
      <c r="L1868">
        <v>4</v>
      </c>
      <c r="M1868">
        <v>2</v>
      </c>
      <c r="N1868">
        <v>3</v>
      </c>
      <c r="O1868">
        <v>1</v>
      </c>
      <c r="P1868">
        <v>2</v>
      </c>
      <c r="Q1868">
        <v>1</v>
      </c>
      <c r="R1868">
        <v>3</v>
      </c>
      <c r="S1868">
        <v>1</v>
      </c>
      <c r="T1868">
        <v>1</v>
      </c>
      <c r="U1868" t="s">
        <v>30</v>
      </c>
      <c r="V1868" t="s">
        <v>31</v>
      </c>
      <c r="W1868" t="s">
        <v>32</v>
      </c>
      <c r="X1868" t="s">
        <v>33</v>
      </c>
      <c r="Y1868">
        <v>40</v>
      </c>
      <c r="Z1868" s="1">
        <v>45480</v>
      </c>
      <c r="AA1868" t="str" cm="1">
        <f t="array" ref="AA186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868" t="str" cm="1">
        <f t="array" ref="AC1868">_xlfn.IFS(Table2[[#This Row],[Satification_points]]&gt;=4.5,"GREAT",AND(Table2[[#This Row],[Satification_points]]&gt;=4,Table2[[#This Row],[Satification_points]]&lt;4.5),"GOOD",AND(Table2[[#This Row],[Satification_points]]&gt;=3,Table2[[#This Row],[Satification_points]]&lt;4),"AVERAGE",Table2[[#This Row],[Satification_points]]&lt;3,"POOR")</f>
        <v>POOR</v>
      </c>
    </row>
    <row r="1869" spans="1:29" x14ac:dyDescent="0.3">
      <c r="A1869">
        <v>1868</v>
      </c>
      <c r="B1869">
        <v>75457</v>
      </c>
      <c r="C1869" t="s">
        <v>1906</v>
      </c>
      <c r="D1869" t="s">
        <v>26</v>
      </c>
      <c r="E1869" t="s">
        <v>57</v>
      </c>
      <c r="F1869" s="1">
        <v>45368</v>
      </c>
      <c r="G1869" s="1">
        <v>45369</v>
      </c>
      <c r="H1869">
        <v>7</v>
      </c>
      <c r="I1869" t="s">
        <v>28</v>
      </c>
      <c r="J1869" t="s">
        <v>29</v>
      </c>
      <c r="K1869">
        <v>2</v>
      </c>
      <c r="L1869">
        <v>4</v>
      </c>
      <c r="M1869">
        <v>3</v>
      </c>
      <c r="N1869">
        <v>4</v>
      </c>
      <c r="O1869">
        <v>5</v>
      </c>
      <c r="P1869">
        <v>3</v>
      </c>
      <c r="Q1869">
        <v>1</v>
      </c>
      <c r="R1869">
        <v>1</v>
      </c>
      <c r="S1869">
        <v>4</v>
      </c>
      <c r="T1869">
        <v>4</v>
      </c>
      <c r="U1869" t="s">
        <v>30</v>
      </c>
      <c r="V1869" t="s">
        <v>31</v>
      </c>
      <c r="W1869" t="s">
        <v>47</v>
      </c>
      <c r="X1869" t="s">
        <v>44</v>
      </c>
      <c r="Y1869">
        <v>37</v>
      </c>
      <c r="Z1869" s="1">
        <v>45614</v>
      </c>
      <c r="AA1869" t="str" cm="1">
        <f t="array" ref="AA186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69" t="str" cm="1">
        <f t="array" ref="AC1869">_xlfn.IFS(Table2[[#This Row],[Satification_points]]&gt;=4.5,"GREAT",AND(Table2[[#This Row],[Satification_points]]&gt;=4,Table2[[#This Row],[Satification_points]]&lt;4.5),"GOOD",AND(Table2[[#This Row],[Satification_points]]&gt;=3,Table2[[#This Row],[Satification_points]]&lt;4),"AVERAGE",Table2[[#This Row],[Satification_points]]&lt;3,"POOR")</f>
        <v>AVERAGE</v>
      </c>
    </row>
    <row r="1870" spans="1:29" x14ac:dyDescent="0.3">
      <c r="A1870">
        <v>1869</v>
      </c>
      <c r="B1870">
        <v>78696</v>
      </c>
      <c r="C1870" t="s">
        <v>1907</v>
      </c>
      <c r="D1870" t="s">
        <v>48</v>
      </c>
      <c r="E1870" t="s">
        <v>35</v>
      </c>
      <c r="F1870" s="1">
        <v>45154</v>
      </c>
      <c r="G1870" s="1">
        <v>45470</v>
      </c>
      <c r="H1870">
        <v>14</v>
      </c>
      <c r="I1870" t="s">
        <v>50</v>
      </c>
      <c r="J1870" t="s">
        <v>36</v>
      </c>
      <c r="K1870">
        <v>4</v>
      </c>
      <c r="L1870">
        <v>3</v>
      </c>
      <c r="M1870">
        <v>3</v>
      </c>
      <c r="N1870">
        <v>2</v>
      </c>
      <c r="O1870">
        <v>5</v>
      </c>
      <c r="P1870">
        <v>4</v>
      </c>
      <c r="Q1870">
        <v>4</v>
      </c>
      <c r="R1870">
        <v>2</v>
      </c>
      <c r="S1870">
        <v>3</v>
      </c>
      <c r="T1870">
        <v>5</v>
      </c>
      <c r="U1870" t="s">
        <v>37</v>
      </c>
      <c r="V1870" t="s">
        <v>31</v>
      </c>
      <c r="W1870" t="s">
        <v>39</v>
      </c>
      <c r="X1870" t="s">
        <v>33</v>
      </c>
      <c r="Y1870">
        <v>51</v>
      </c>
      <c r="Z1870" s="1">
        <v>45470</v>
      </c>
      <c r="AA1870" t="str" cm="1">
        <f t="array" ref="AA1870">_xlfn.IFS(AND(Table2[[#This Row],[Guest_Age]]&gt;=18,Table2[[#This Row],[Guest_Age]]&lt;=25),"Young Adults",AND(Table2[[#This Row],[Guest_Age]]&gt;=26,Table2[[#This Row],[Guest_Age]]&lt;=35),"Adults",AND(Table2[[#This Row],[Guest_Age]]&gt;=36,Table2[[#This Row],[Guest_Age]]&lt;=50),"Middle Aged Adults",Table2[[#This Row],[Guest_Age]]&gt;50,"Senior")</f>
        <v>Senior</v>
      </c>
      <c r="AB18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870" t="str" cm="1">
        <f t="array" ref="AC1870">_xlfn.IFS(Table2[[#This Row],[Satification_points]]&gt;=4.5,"GREAT",AND(Table2[[#This Row],[Satification_points]]&gt;=4,Table2[[#This Row],[Satification_points]]&lt;4.5),"GOOD",AND(Table2[[#This Row],[Satification_points]]&gt;=3,Table2[[#This Row],[Satification_points]]&lt;4),"AVERAGE",Table2[[#This Row],[Satification_points]]&lt;3,"POOR")</f>
        <v>AVERAGE</v>
      </c>
    </row>
    <row r="1871" spans="1:29" x14ac:dyDescent="0.3">
      <c r="A1871">
        <v>1870</v>
      </c>
      <c r="B1871">
        <v>38181</v>
      </c>
      <c r="C1871" t="s">
        <v>1908</v>
      </c>
      <c r="D1871" t="s">
        <v>26</v>
      </c>
      <c r="E1871" t="s">
        <v>27</v>
      </c>
      <c r="F1871" s="1">
        <v>45334</v>
      </c>
      <c r="G1871" s="1">
        <v>45335</v>
      </c>
      <c r="H1871">
        <v>1</v>
      </c>
      <c r="I1871" t="s">
        <v>28</v>
      </c>
      <c r="J1871" t="s">
        <v>43</v>
      </c>
      <c r="K1871">
        <v>2</v>
      </c>
      <c r="L1871">
        <v>2</v>
      </c>
      <c r="M1871">
        <v>5</v>
      </c>
      <c r="N1871">
        <v>3</v>
      </c>
      <c r="O1871">
        <v>2</v>
      </c>
      <c r="P1871">
        <v>5</v>
      </c>
      <c r="Q1871">
        <v>3</v>
      </c>
      <c r="R1871">
        <v>3</v>
      </c>
      <c r="S1871">
        <v>4</v>
      </c>
      <c r="T1871">
        <v>1</v>
      </c>
      <c r="U1871" t="s">
        <v>37</v>
      </c>
      <c r="V1871" t="s">
        <v>38</v>
      </c>
      <c r="W1871" t="s">
        <v>39</v>
      </c>
      <c r="X1871" t="s">
        <v>33</v>
      </c>
      <c r="Y1871">
        <v>33</v>
      </c>
      <c r="Z1871" s="1">
        <v>45335</v>
      </c>
      <c r="AA1871" t="str" cm="1">
        <f t="array" ref="AA1871">_xlfn.IFS(AND(Table2[[#This Row],[Guest_Age]]&gt;=18,Table2[[#This Row],[Guest_Age]]&lt;=25),"Young Adults",AND(Table2[[#This Row],[Guest_Age]]&gt;=26,Table2[[#This Row],[Guest_Age]]&lt;=35),"Adults",AND(Table2[[#This Row],[Guest_Age]]&gt;=36,Table2[[#This Row],[Guest_Age]]&lt;=50),"Middle Aged Adults",Table2[[#This Row],[Guest_Age]]&gt;50,"Senior")</f>
        <v>Adults</v>
      </c>
      <c r="AB18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71" t="str" cm="1">
        <f t="array" ref="AC1871">_xlfn.IFS(Table2[[#This Row],[Satification_points]]&gt;=4.5,"GREAT",AND(Table2[[#This Row],[Satification_points]]&gt;=4,Table2[[#This Row],[Satification_points]]&lt;4.5),"GOOD",AND(Table2[[#This Row],[Satification_points]]&gt;=3,Table2[[#This Row],[Satification_points]]&lt;4),"AVERAGE",Table2[[#This Row],[Satification_points]]&lt;3,"POOR")</f>
        <v>AVERAGE</v>
      </c>
    </row>
    <row r="1872" spans="1:29" x14ac:dyDescent="0.3">
      <c r="A1872">
        <v>1871</v>
      </c>
      <c r="B1872">
        <v>13371</v>
      </c>
      <c r="C1872" t="s">
        <v>1909</v>
      </c>
      <c r="D1872" t="s">
        <v>34</v>
      </c>
      <c r="E1872" t="s">
        <v>52</v>
      </c>
      <c r="F1872" s="1">
        <v>45203</v>
      </c>
      <c r="G1872" s="1">
        <v>45204</v>
      </c>
      <c r="H1872">
        <v>9</v>
      </c>
      <c r="I1872" t="s">
        <v>50</v>
      </c>
      <c r="J1872" t="s">
        <v>43</v>
      </c>
      <c r="K1872">
        <v>4</v>
      </c>
      <c r="L1872">
        <v>4</v>
      </c>
      <c r="M1872">
        <v>5</v>
      </c>
      <c r="N1872">
        <v>1</v>
      </c>
      <c r="O1872">
        <v>5</v>
      </c>
      <c r="P1872">
        <v>2</v>
      </c>
      <c r="Q1872">
        <v>1</v>
      </c>
      <c r="R1872">
        <v>3</v>
      </c>
      <c r="S1872">
        <v>4</v>
      </c>
      <c r="T1872">
        <v>4</v>
      </c>
      <c r="U1872" t="s">
        <v>30</v>
      </c>
      <c r="V1872" t="s">
        <v>46</v>
      </c>
      <c r="W1872" t="s">
        <v>32</v>
      </c>
      <c r="X1872" t="s">
        <v>40</v>
      </c>
      <c r="Y1872">
        <v>39</v>
      </c>
      <c r="Z1872" s="1">
        <v>45597</v>
      </c>
      <c r="AA1872" t="str" cm="1">
        <f t="array" ref="AA187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72" t="str" cm="1">
        <f t="array" ref="AC1872">_xlfn.IFS(Table2[[#This Row],[Satification_points]]&gt;=4.5,"GREAT",AND(Table2[[#This Row],[Satification_points]]&gt;=4,Table2[[#This Row],[Satification_points]]&lt;4.5),"GOOD",AND(Table2[[#This Row],[Satification_points]]&gt;=3,Table2[[#This Row],[Satification_points]]&lt;4),"AVERAGE",Table2[[#This Row],[Satification_points]]&lt;3,"POOR")</f>
        <v>AVERAGE</v>
      </c>
    </row>
    <row r="1873" spans="1:29" x14ac:dyDescent="0.3">
      <c r="A1873">
        <v>1872</v>
      </c>
      <c r="B1873">
        <v>69435</v>
      </c>
      <c r="C1873" t="s">
        <v>1910</v>
      </c>
      <c r="D1873" t="s">
        <v>51</v>
      </c>
      <c r="E1873" t="s">
        <v>27</v>
      </c>
      <c r="F1873" s="1">
        <v>44944</v>
      </c>
      <c r="G1873" s="1">
        <v>45285</v>
      </c>
      <c r="H1873">
        <v>14</v>
      </c>
      <c r="I1873" t="s">
        <v>42</v>
      </c>
      <c r="J1873" t="s">
        <v>40</v>
      </c>
      <c r="K1873">
        <v>3</v>
      </c>
      <c r="L1873">
        <v>2</v>
      </c>
      <c r="M1873">
        <v>4</v>
      </c>
      <c r="N1873">
        <v>4</v>
      </c>
      <c r="O1873">
        <v>4</v>
      </c>
      <c r="P1873">
        <v>3</v>
      </c>
      <c r="Q1873">
        <v>5</v>
      </c>
      <c r="R1873">
        <v>1</v>
      </c>
      <c r="S1873">
        <v>1</v>
      </c>
      <c r="T1873">
        <v>1</v>
      </c>
      <c r="U1873" t="s">
        <v>37</v>
      </c>
      <c r="V1873" t="s">
        <v>54</v>
      </c>
      <c r="W1873" t="s">
        <v>47</v>
      </c>
      <c r="X1873" t="s">
        <v>33</v>
      </c>
      <c r="Y1873">
        <v>63</v>
      </c>
      <c r="Z1873" s="1">
        <v>45564</v>
      </c>
      <c r="AA1873" t="str" cm="1">
        <f t="array" ref="AA1873">_xlfn.IFS(AND(Table2[[#This Row],[Guest_Age]]&gt;=18,Table2[[#This Row],[Guest_Age]]&lt;=25),"Young Adults",AND(Table2[[#This Row],[Guest_Age]]&gt;=26,Table2[[#This Row],[Guest_Age]]&lt;=35),"Adults",AND(Table2[[#This Row],[Guest_Age]]&gt;=36,Table2[[#This Row],[Guest_Age]]&lt;=50),"Middle Aged Adults",Table2[[#This Row],[Guest_Age]]&gt;50,"Senior")</f>
        <v>Senior</v>
      </c>
      <c r="AB18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73" t="str" cm="1">
        <f t="array" ref="AC1873">_xlfn.IFS(Table2[[#This Row],[Satification_points]]&gt;=4.5,"GREAT",AND(Table2[[#This Row],[Satification_points]]&gt;=4,Table2[[#This Row],[Satification_points]]&lt;4.5),"GOOD",AND(Table2[[#This Row],[Satification_points]]&gt;=3,Table2[[#This Row],[Satification_points]]&lt;4),"AVERAGE",Table2[[#This Row],[Satification_points]]&lt;3,"POOR")</f>
        <v>POOR</v>
      </c>
    </row>
    <row r="1874" spans="1:29" x14ac:dyDescent="0.3">
      <c r="A1874">
        <v>1873</v>
      </c>
      <c r="B1874">
        <v>52020</v>
      </c>
      <c r="C1874" t="s">
        <v>1911</v>
      </c>
      <c r="D1874" t="s">
        <v>26</v>
      </c>
      <c r="E1874" t="s">
        <v>35</v>
      </c>
      <c r="F1874" s="1">
        <v>45237</v>
      </c>
      <c r="G1874" s="1">
        <v>45238</v>
      </c>
      <c r="H1874">
        <v>13</v>
      </c>
      <c r="I1874" t="s">
        <v>28</v>
      </c>
      <c r="J1874" t="s">
        <v>53</v>
      </c>
      <c r="K1874">
        <v>4</v>
      </c>
      <c r="L1874">
        <v>1</v>
      </c>
      <c r="M1874">
        <v>1</v>
      </c>
      <c r="N1874">
        <v>5</v>
      </c>
      <c r="O1874">
        <v>4</v>
      </c>
      <c r="P1874">
        <v>1</v>
      </c>
      <c r="Q1874">
        <v>3</v>
      </c>
      <c r="R1874">
        <v>3</v>
      </c>
      <c r="S1874">
        <v>4</v>
      </c>
      <c r="T1874">
        <v>4</v>
      </c>
      <c r="U1874" t="s">
        <v>37</v>
      </c>
      <c r="V1874" t="s">
        <v>46</v>
      </c>
      <c r="W1874" t="s">
        <v>39</v>
      </c>
      <c r="X1874" t="s">
        <v>44</v>
      </c>
      <c r="Y1874">
        <v>40</v>
      </c>
      <c r="Z1874" s="1">
        <v>45311</v>
      </c>
      <c r="AA1874" t="str" cm="1">
        <f t="array" ref="AA187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74" t="str" cm="1">
        <f t="array" ref="AC1874">_xlfn.IFS(Table2[[#This Row],[Satification_points]]&gt;=4.5,"GREAT",AND(Table2[[#This Row],[Satification_points]]&gt;=4,Table2[[#This Row],[Satification_points]]&lt;4.5),"GOOD",AND(Table2[[#This Row],[Satification_points]]&gt;=3,Table2[[#This Row],[Satification_points]]&lt;4),"AVERAGE",Table2[[#This Row],[Satification_points]]&lt;3,"POOR")</f>
        <v>AVERAGE</v>
      </c>
    </row>
    <row r="1875" spans="1:29" x14ac:dyDescent="0.3">
      <c r="A1875">
        <v>1874</v>
      </c>
      <c r="B1875">
        <v>46119</v>
      </c>
      <c r="C1875" t="s">
        <v>1912</v>
      </c>
      <c r="D1875" t="s">
        <v>26</v>
      </c>
      <c r="E1875" t="s">
        <v>57</v>
      </c>
      <c r="F1875" s="1">
        <v>45250</v>
      </c>
      <c r="G1875" s="1">
        <v>45406</v>
      </c>
      <c r="H1875">
        <v>6</v>
      </c>
      <c r="I1875" t="s">
        <v>28</v>
      </c>
      <c r="J1875" t="s">
        <v>29</v>
      </c>
      <c r="K1875">
        <v>5</v>
      </c>
      <c r="L1875">
        <v>4</v>
      </c>
      <c r="M1875">
        <v>1</v>
      </c>
      <c r="N1875">
        <v>5</v>
      </c>
      <c r="O1875">
        <v>3</v>
      </c>
      <c r="P1875">
        <v>1</v>
      </c>
      <c r="Q1875">
        <v>2</v>
      </c>
      <c r="R1875">
        <v>5</v>
      </c>
      <c r="S1875">
        <v>2</v>
      </c>
      <c r="T1875">
        <v>2</v>
      </c>
      <c r="U1875" t="s">
        <v>30</v>
      </c>
      <c r="V1875" t="s">
        <v>58</v>
      </c>
      <c r="W1875" t="s">
        <v>32</v>
      </c>
      <c r="X1875" t="s">
        <v>40</v>
      </c>
      <c r="Y1875">
        <v>18</v>
      </c>
      <c r="Z1875" s="1">
        <v>45406</v>
      </c>
      <c r="AA1875" t="str" cm="1">
        <f t="array" ref="AA1875">_xlfn.IFS(AND(Table2[[#This Row],[Guest_Age]]&gt;=18,Table2[[#This Row],[Guest_Age]]&lt;=25),"Young Adults",AND(Table2[[#This Row],[Guest_Age]]&gt;=26,Table2[[#This Row],[Guest_Age]]&lt;=35),"Adults",AND(Table2[[#This Row],[Guest_Age]]&gt;=36,Table2[[#This Row],[Guest_Age]]&lt;=50),"Middle Aged Adults",Table2[[#This Row],[Guest_Age]]&gt;50,"Senior")</f>
        <v>Young Adults</v>
      </c>
      <c r="AB18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75" t="str" cm="1">
        <f t="array" ref="AC1875">_xlfn.IFS(Table2[[#This Row],[Satification_points]]&gt;=4.5,"GREAT",AND(Table2[[#This Row],[Satification_points]]&gt;=4,Table2[[#This Row],[Satification_points]]&lt;4.5),"GOOD",AND(Table2[[#This Row],[Satification_points]]&gt;=3,Table2[[#This Row],[Satification_points]]&lt;4),"AVERAGE",Table2[[#This Row],[Satification_points]]&lt;3,"POOR")</f>
        <v>AVERAGE</v>
      </c>
    </row>
    <row r="1876" spans="1:29" x14ac:dyDescent="0.3">
      <c r="A1876">
        <v>1875</v>
      </c>
      <c r="B1876">
        <v>77653</v>
      </c>
      <c r="C1876" t="s">
        <v>1649</v>
      </c>
      <c r="D1876" t="s">
        <v>48</v>
      </c>
      <c r="E1876" t="s">
        <v>35</v>
      </c>
      <c r="F1876" s="1">
        <v>44973</v>
      </c>
      <c r="G1876" s="1">
        <v>45604</v>
      </c>
      <c r="H1876">
        <v>8</v>
      </c>
      <c r="I1876" t="s">
        <v>28</v>
      </c>
      <c r="J1876" t="s">
        <v>36</v>
      </c>
      <c r="K1876">
        <v>4</v>
      </c>
      <c r="L1876">
        <v>1</v>
      </c>
      <c r="M1876">
        <v>1</v>
      </c>
      <c r="N1876">
        <v>2</v>
      </c>
      <c r="O1876">
        <v>2</v>
      </c>
      <c r="P1876">
        <v>4</v>
      </c>
      <c r="Q1876">
        <v>4</v>
      </c>
      <c r="R1876">
        <v>3</v>
      </c>
      <c r="S1876">
        <v>5</v>
      </c>
      <c r="T1876">
        <v>4</v>
      </c>
      <c r="U1876" t="s">
        <v>30</v>
      </c>
      <c r="V1876" t="s">
        <v>54</v>
      </c>
      <c r="W1876" t="s">
        <v>55</v>
      </c>
      <c r="X1876" t="s">
        <v>40</v>
      </c>
      <c r="Y1876">
        <v>31</v>
      </c>
      <c r="Z1876" s="1">
        <v>45604</v>
      </c>
      <c r="AA1876" t="str" cm="1">
        <f t="array" ref="AA1876">_xlfn.IFS(AND(Table2[[#This Row],[Guest_Age]]&gt;=18,Table2[[#This Row],[Guest_Age]]&lt;=25),"Young Adults",AND(Table2[[#This Row],[Guest_Age]]&gt;=26,Table2[[#This Row],[Guest_Age]]&lt;=35),"Adults",AND(Table2[[#This Row],[Guest_Age]]&gt;=36,Table2[[#This Row],[Guest_Age]]&lt;=50),"Middle Aged Adults",Table2[[#This Row],[Guest_Age]]&gt;50,"Senior")</f>
        <v>Adults</v>
      </c>
      <c r="AB18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76" t="str" cm="1">
        <f t="array" ref="AC1876">_xlfn.IFS(Table2[[#This Row],[Satification_points]]&gt;=4.5,"GREAT",AND(Table2[[#This Row],[Satification_points]]&gt;=4,Table2[[#This Row],[Satification_points]]&lt;4.5),"GOOD",AND(Table2[[#This Row],[Satification_points]]&gt;=3,Table2[[#This Row],[Satification_points]]&lt;4),"AVERAGE",Table2[[#This Row],[Satification_points]]&lt;3,"POOR")</f>
        <v>AVERAGE</v>
      </c>
    </row>
    <row r="1877" spans="1:29" x14ac:dyDescent="0.3">
      <c r="A1877">
        <v>1876</v>
      </c>
      <c r="B1877">
        <v>81892</v>
      </c>
      <c r="C1877" t="s">
        <v>1913</v>
      </c>
      <c r="D1877" t="s">
        <v>48</v>
      </c>
      <c r="E1877" t="s">
        <v>27</v>
      </c>
      <c r="F1877" s="1">
        <v>45456</v>
      </c>
      <c r="G1877" s="1">
        <v>45457</v>
      </c>
      <c r="H1877">
        <v>13</v>
      </c>
      <c r="I1877" t="s">
        <v>50</v>
      </c>
      <c r="J1877" t="s">
        <v>40</v>
      </c>
      <c r="K1877">
        <v>5</v>
      </c>
      <c r="L1877">
        <v>1</v>
      </c>
      <c r="M1877">
        <v>3</v>
      </c>
      <c r="N1877">
        <v>1</v>
      </c>
      <c r="O1877">
        <v>4</v>
      </c>
      <c r="P1877">
        <v>4</v>
      </c>
      <c r="Q1877">
        <v>5</v>
      </c>
      <c r="R1877">
        <v>3</v>
      </c>
      <c r="S1877">
        <v>5</v>
      </c>
      <c r="T1877">
        <v>5</v>
      </c>
      <c r="U1877" t="s">
        <v>30</v>
      </c>
      <c r="V1877" t="s">
        <v>58</v>
      </c>
      <c r="W1877" t="s">
        <v>55</v>
      </c>
      <c r="X1877" t="s">
        <v>33</v>
      </c>
      <c r="Y1877">
        <v>69</v>
      </c>
      <c r="Z1877" s="1">
        <v>45554</v>
      </c>
      <c r="AA1877" t="str" cm="1">
        <f t="array" ref="AA1877">_xlfn.IFS(AND(Table2[[#This Row],[Guest_Age]]&gt;=18,Table2[[#This Row],[Guest_Age]]&lt;=25),"Young Adults",AND(Table2[[#This Row],[Guest_Age]]&gt;=26,Table2[[#This Row],[Guest_Age]]&lt;=35),"Adults",AND(Table2[[#This Row],[Guest_Age]]&gt;=36,Table2[[#This Row],[Guest_Age]]&lt;=50),"Middle Aged Adults",Table2[[#This Row],[Guest_Age]]&gt;50,"Senior")</f>
        <v>Senior</v>
      </c>
      <c r="AB18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877" t="str" cm="1">
        <f t="array" ref="AC1877">_xlfn.IFS(Table2[[#This Row],[Satification_points]]&gt;=4.5,"GREAT",AND(Table2[[#This Row],[Satification_points]]&gt;=4,Table2[[#This Row],[Satification_points]]&lt;4.5),"GOOD",AND(Table2[[#This Row],[Satification_points]]&gt;=3,Table2[[#This Row],[Satification_points]]&lt;4),"AVERAGE",Table2[[#This Row],[Satification_points]]&lt;3,"POOR")</f>
        <v>AVERAGE</v>
      </c>
    </row>
    <row r="1878" spans="1:29" x14ac:dyDescent="0.3">
      <c r="A1878">
        <v>1877</v>
      </c>
      <c r="B1878">
        <v>44374</v>
      </c>
      <c r="C1878" t="s">
        <v>1914</v>
      </c>
      <c r="D1878" t="s">
        <v>51</v>
      </c>
      <c r="E1878" t="s">
        <v>57</v>
      </c>
      <c r="F1878" s="1">
        <v>45639</v>
      </c>
      <c r="G1878" s="1">
        <v>45640</v>
      </c>
      <c r="H1878">
        <v>5</v>
      </c>
      <c r="I1878" t="s">
        <v>42</v>
      </c>
      <c r="J1878" t="s">
        <v>40</v>
      </c>
      <c r="K1878">
        <v>5</v>
      </c>
      <c r="L1878">
        <v>5</v>
      </c>
      <c r="M1878">
        <v>4</v>
      </c>
      <c r="N1878">
        <v>4</v>
      </c>
      <c r="O1878">
        <v>5</v>
      </c>
      <c r="P1878">
        <v>4</v>
      </c>
      <c r="Q1878">
        <v>2</v>
      </c>
      <c r="R1878">
        <v>2</v>
      </c>
      <c r="S1878">
        <v>4</v>
      </c>
      <c r="T1878">
        <v>2</v>
      </c>
      <c r="U1878" t="s">
        <v>30</v>
      </c>
      <c r="V1878" t="s">
        <v>46</v>
      </c>
      <c r="W1878" t="s">
        <v>55</v>
      </c>
      <c r="X1878" t="s">
        <v>40</v>
      </c>
      <c r="Y1878">
        <v>66</v>
      </c>
      <c r="Z1878" s="1">
        <v>45640</v>
      </c>
      <c r="AA1878" t="str" cm="1">
        <f t="array" ref="AA1878">_xlfn.IFS(AND(Table2[[#This Row],[Guest_Age]]&gt;=18,Table2[[#This Row],[Guest_Age]]&lt;=25),"Young Adults",AND(Table2[[#This Row],[Guest_Age]]&gt;=26,Table2[[#This Row],[Guest_Age]]&lt;=35),"Adults",AND(Table2[[#This Row],[Guest_Age]]&gt;=36,Table2[[#This Row],[Guest_Age]]&lt;=50),"Middle Aged Adults",Table2[[#This Row],[Guest_Age]]&gt;50,"Senior")</f>
        <v>Senior</v>
      </c>
      <c r="AB18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878" t="str" cm="1">
        <f t="array" ref="AC1878">_xlfn.IFS(Table2[[#This Row],[Satification_points]]&gt;=4.5,"GREAT",AND(Table2[[#This Row],[Satification_points]]&gt;=4,Table2[[#This Row],[Satification_points]]&lt;4.5),"GOOD",AND(Table2[[#This Row],[Satification_points]]&gt;=3,Table2[[#This Row],[Satification_points]]&lt;4),"AVERAGE",Table2[[#This Row],[Satification_points]]&lt;3,"POOR")</f>
        <v>AVERAGE</v>
      </c>
    </row>
    <row r="1879" spans="1:29" x14ac:dyDescent="0.3">
      <c r="A1879">
        <v>1878</v>
      </c>
      <c r="B1879">
        <v>42839</v>
      </c>
      <c r="C1879" t="s">
        <v>1915</v>
      </c>
      <c r="D1879" t="s">
        <v>41</v>
      </c>
      <c r="E1879" t="s">
        <v>45</v>
      </c>
      <c r="F1879" s="1">
        <v>45426</v>
      </c>
      <c r="G1879" s="1">
        <v>45427</v>
      </c>
      <c r="H1879">
        <v>12</v>
      </c>
      <c r="I1879" t="s">
        <v>28</v>
      </c>
      <c r="J1879" t="s">
        <v>53</v>
      </c>
      <c r="K1879">
        <v>4</v>
      </c>
      <c r="L1879">
        <v>2</v>
      </c>
      <c r="M1879">
        <v>1</v>
      </c>
      <c r="N1879">
        <v>1</v>
      </c>
      <c r="O1879">
        <v>5</v>
      </c>
      <c r="P1879">
        <v>3</v>
      </c>
      <c r="Q1879">
        <v>4</v>
      </c>
      <c r="R1879">
        <v>5</v>
      </c>
      <c r="S1879">
        <v>3</v>
      </c>
      <c r="T1879">
        <v>3</v>
      </c>
      <c r="U1879" t="s">
        <v>30</v>
      </c>
      <c r="V1879" t="s">
        <v>58</v>
      </c>
      <c r="W1879" t="s">
        <v>56</v>
      </c>
      <c r="X1879" t="s">
        <v>40</v>
      </c>
      <c r="Y1879">
        <v>40</v>
      </c>
      <c r="Z1879" s="1">
        <v>45507</v>
      </c>
      <c r="AA1879" t="str" cm="1">
        <f t="array" ref="AA187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79" t="str" cm="1">
        <f t="array" ref="AC1879">_xlfn.IFS(Table2[[#This Row],[Satification_points]]&gt;=4.5,"GREAT",AND(Table2[[#This Row],[Satification_points]]&gt;=4,Table2[[#This Row],[Satification_points]]&lt;4.5),"GOOD",AND(Table2[[#This Row],[Satification_points]]&gt;=3,Table2[[#This Row],[Satification_points]]&lt;4),"AVERAGE",Table2[[#This Row],[Satification_points]]&lt;3,"POOR")</f>
        <v>AVERAGE</v>
      </c>
    </row>
    <row r="1880" spans="1:29" x14ac:dyDescent="0.3">
      <c r="A1880">
        <v>1879</v>
      </c>
      <c r="B1880">
        <v>81887</v>
      </c>
      <c r="C1880" t="s">
        <v>1916</v>
      </c>
      <c r="D1880" t="s">
        <v>26</v>
      </c>
      <c r="E1880" t="s">
        <v>45</v>
      </c>
      <c r="F1880" s="1">
        <v>45118</v>
      </c>
      <c r="G1880" s="1">
        <v>45579</v>
      </c>
      <c r="H1880">
        <v>7</v>
      </c>
      <c r="I1880" t="s">
        <v>42</v>
      </c>
      <c r="J1880" t="s">
        <v>36</v>
      </c>
      <c r="K1880">
        <v>5</v>
      </c>
      <c r="L1880">
        <v>2</v>
      </c>
      <c r="M1880">
        <v>5</v>
      </c>
      <c r="N1880">
        <v>4</v>
      </c>
      <c r="O1880">
        <v>4</v>
      </c>
      <c r="P1880">
        <v>1</v>
      </c>
      <c r="Q1880">
        <v>4</v>
      </c>
      <c r="R1880">
        <v>3</v>
      </c>
      <c r="S1880">
        <v>4</v>
      </c>
      <c r="T1880">
        <v>2</v>
      </c>
      <c r="U1880" t="s">
        <v>30</v>
      </c>
      <c r="V1880" t="s">
        <v>38</v>
      </c>
      <c r="W1880" t="s">
        <v>47</v>
      </c>
      <c r="X1880" t="s">
        <v>40</v>
      </c>
      <c r="Y1880">
        <v>55</v>
      </c>
      <c r="Z1880" s="1">
        <v>45579</v>
      </c>
      <c r="AA1880" t="str" cm="1">
        <f t="array" ref="AA1880">_xlfn.IFS(AND(Table2[[#This Row],[Guest_Age]]&gt;=18,Table2[[#This Row],[Guest_Age]]&lt;=25),"Young Adults",AND(Table2[[#This Row],[Guest_Age]]&gt;=26,Table2[[#This Row],[Guest_Age]]&lt;=35),"Adults",AND(Table2[[#This Row],[Guest_Age]]&gt;=36,Table2[[#This Row],[Guest_Age]]&lt;=50),"Middle Aged Adults",Table2[[#This Row],[Guest_Age]]&gt;50,"Senior")</f>
        <v>Senior</v>
      </c>
      <c r="AB18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80" t="str" cm="1">
        <f t="array" ref="AC1880">_xlfn.IFS(Table2[[#This Row],[Satification_points]]&gt;=4.5,"GREAT",AND(Table2[[#This Row],[Satification_points]]&gt;=4,Table2[[#This Row],[Satification_points]]&lt;4.5),"GOOD",AND(Table2[[#This Row],[Satification_points]]&gt;=3,Table2[[#This Row],[Satification_points]]&lt;4),"AVERAGE",Table2[[#This Row],[Satification_points]]&lt;3,"POOR")</f>
        <v>AVERAGE</v>
      </c>
    </row>
    <row r="1881" spans="1:29" x14ac:dyDescent="0.3">
      <c r="A1881">
        <v>1880</v>
      </c>
      <c r="B1881">
        <v>22464</v>
      </c>
      <c r="C1881" t="s">
        <v>1917</v>
      </c>
      <c r="D1881" t="s">
        <v>48</v>
      </c>
      <c r="E1881" t="s">
        <v>52</v>
      </c>
      <c r="F1881" s="1">
        <v>44975</v>
      </c>
      <c r="G1881" s="1">
        <v>44976</v>
      </c>
      <c r="H1881">
        <v>3</v>
      </c>
      <c r="I1881" t="s">
        <v>49</v>
      </c>
      <c r="J1881" t="s">
        <v>29</v>
      </c>
      <c r="K1881">
        <v>5</v>
      </c>
      <c r="L1881">
        <v>5</v>
      </c>
      <c r="M1881">
        <v>3</v>
      </c>
      <c r="N1881">
        <v>4</v>
      </c>
      <c r="O1881">
        <v>2</v>
      </c>
      <c r="P1881">
        <v>1</v>
      </c>
      <c r="Q1881">
        <v>5</v>
      </c>
      <c r="R1881">
        <v>2</v>
      </c>
      <c r="S1881">
        <v>3</v>
      </c>
      <c r="T1881">
        <v>2</v>
      </c>
      <c r="U1881" t="s">
        <v>30</v>
      </c>
      <c r="V1881" t="s">
        <v>31</v>
      </c>
      <c r="W1881" t="s">
        <v>55</v>
      </c>
      <c r="X1881" t="s">
        <v>44</v>
      </c>
      <c r="Y1881">
        <v>57</v>
      </c>
      <c r="Z1881" s="1">
        <v>45129</v>
      </c>
      <c r="AA1881" t="str" cm="1">
        <f t="array" ref="AA1881">_xlfn.IFS(AND(Table2[[#This Row],[Guest_Age]]&gt;=18,Table2[[#This Row],[Guest_Age]]&lt;=25),"Young Adults",AND(Table2[[#This Row],[Guest_Age]]&gt;=26,Table2[[#This Row],[Guest_Age]]&lt;=35),"Adults",AND(Table2[[#This Row],[Guest_Age]]&gt;=36,Table2[[#This Row],[Guest_Age]]&lt;=50),"Middle Aged Adults",Table2[[#This Row],[Guest_Age]]&gt;50,"Senior")</f>
        <v>Senior</v>
      </c>
      <c r="AB18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81" t="str" cm="1">
        <f t="array" ref="AC1881">_xlfn.IFS(Table2[[#This Row],[Satification_points]]&gt;=4.5,"GREAT",AND(Table2[[#This Row],[Satification_points]]&gt;=4,Table2[[#This Row],[Satification_points]]&lt;4.5),"GOOD",AND(Table2[[#This Row],[Satification_points]]&gt;=3,Table2[[#This Row],[Satification_points]]&lt;4),"AVERAGE",Table2[[#This Row],[Satification_points]]&lt;3,"POOR")</f>
        <v>AVERAGE</v>
      </c>
    </row>
    <row r="1882" spans="1:29" x14ac:dyDescent="0.3">
      <c r="A1882">
        <v>1881</v>
      </c>
      <c r="B1882">
        <v>10706</v>
      </c>
      <c r="C1882" t="s">
        <v>1918</v>
      </c>
      <c r="D1882" t="s">
        <v>41</v>
      </c>
      <c r="E1882" t="s">
        <v>45</v>
      </c>
      <c r="F1882" s="1">
        <v>45020</v>
      </c>
      <c r="G1882" s="1">
        <v>45213</v>
      </c>
      <c r="H1882">
        <v>10</v>
      </c>
      <c r="I1882" t="s">
        <v>28</v>
      </c>
      <c r="J1882" t="s">
        <v>43</v>
      </c>
      <c r="K1882">
        <v>3</v>
      </c>
      <c r="L1882">
        <v>3</v>
      </c>
      <c r="M1882">
        <v>3</v>
      </c>
      <c r="N1882">
        <v>5</v>
      </c>
      <c r="O1882">
        <v>2</v>
      </c>
      <c r="P1882">
        <v>4</v>
      </c>
      <c r="Q1882">
        <v>4</v>
      </c>
      <c r="R1882">
        <v>5</v>
      </c>
      <c r="S1882">
        <v>5</v>
      </c>
      <c r="T1882">
        <v>3</v>
      </c>
      <c r="U1882" t="s">
        <v>37</v>
      </c>
      <c r="V1882" t="s">
        <v>46</v>
      </c>
      <c r="W1882" t="s">
        <v>39</v>
      </c>
      <c r="X1882" t="s">
        <v>44</v>
      </c>
      <c r="Y1882">
        <v>67</v>
      </c>
      <c r="Z1882" s="1">
        <v>45213</v>
      </c>
      <c r="AA1882" t="str" cm="1">
        <f t="array" ref="AA1882">_xlfn.IFS(AND(Table2[[#This Row],[Guest_Age]]&gt;=18,Table2[[#This Row],[Guest_Age]]&lt;=25),"Young Adults",AND(Table2[[#This Row],[Guest_Age]]&gt;=26,Table2[[#This Row],[Guest_Age]]&lt;=35),"Adults",AND(Table2[[#This Row],[Guest_Age]]&gt;=36,Table2[[#This Row],[Guest_Age]]&lt;=50),"Middle Aged Adults",Table2[[#This Row],[Guest_Age]]&gt;50,"Senior")</f>
        <v>Senior</v>
      </c>
      <c r="AB18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882" t="str" cm="1">
        <f t="array" ref="AC1882">_xlfn.IFS(Table2[[#This Row],[Satification_points]]&gt;=4.5,"GREAT",AND(Table2[[#This Row],[Satification_points]]&gt;=4,Table2[[#This Row],[Satification_points]]&lt;4.5),"GOOD",AND(Table2[[#This Row],[Satification_points]]&gt;=3,Table2[[#This Row],[Satification_points]]&lt;4),"AVERAGE",Table2[[#This Row],[Satification_points]]&lt;3,"POOR")</f>
        <v>AVERAGE</v>
      </c>
    </row>
    <row r="1883" spans="1:29" x14ac:dyDescent="0.3">
      <c r="A1883">
        <v>1882</v>
      </c>
      <c r="B1883">
        <v>25660</v>
      </c>
      <c r="C1883" t="s">
        <v>1919</v>
      </c>
      <c r="D1883" t="s">
        <v>26</v>
      </c>
      <c r="E1883" t="s">
        <v>27</v>
      </c>
      <c r="F1883" s="1">
        <v>45093</v>
      </c>
      <c r="G1883" s="1">
        <v>45385</v>
      </c>
      <c r="H1883">
        <v>1</v>
      </c>
      <c r="I1883" t="s">
        <v>49</v>
      </c>
      <c r="J1883" t="s">
        <v>53</v>
      </c>
      <c r="K1883">
        <v>1</v>
      </c>
      <c r="L1883">
        <v>5</v>
      </c>
      <c r="M1883">
        <v>5</v>
      </c>
      <c r="N1883">
        <v>2</v>
      </c>
      <c r="O1883">
        <v>1</v>
      </c>
      <c r="P1883">
        <v>4</v>
      </c>
      <c r="Q1883">
        <v>4</v>
      </c>
      <c r="R1883">
        <v>3</v>
      </c>
      <c r="S1883">
        <v>2</v>
      </c>
      <c r="T1883">
        <v>2</v>
      </c>
      <c r="U1883" t="s">
        <v>30</v>
      </c>
      <c r="V1883" t="s">
        <v>54</v>
      </c>
      <c r="W1883" t="s">
        <v>56</v>
      </c>
      <c r="X1883" t="s">
        <v>33</v>
      </c>
      <c r="Y1883">
        <v>25</v>
      </c>
      <c r="Z1883" s="1">
        <v>45539</v>
      </c>
      <c r="AA1883" t="str" cm="1">
        <f t="array" ref="AA1883">_xlfn.IFS(AND(Table2[[#This Row],[Guest_Age]]&gt;=18,Table2[[#This Row],[Guest_Age]]&lt;=25),"Young Adults",AND(Table2[[#This Row],[Guest_Age]]&gt;=26,Table2[[#This Row],[Guest_Age]]&lt;=35),"Adults",AND(Table2[[#This Row],[Guest_Age]]&gt;=36,Table2[[#This Row],[Guest_Age]]&lt;=50),"Middle Aged Adults",Table2[[#This Row],[Guest_Age]]&gt;50,"Senior")</f>
        <v>Young Adults</v>
      </c>
      <c r="AB18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883" t="str" cm="1">
        <f t="array" ref="AC1883">_xlfn.IFS(Table2[[#This Row],[Satification_points]]&gt;=4.5,"GREAT",AND(Table2[[#This Row],[Satification_points]]&gt;=4,Table2[[#This Row],[Satification_points]]&lt;4.5),"GOOD",AND(Table2[[#This Row],[Satification_points]]&gt;=3,Table2[[#This Row],[Satification_points]]&lt;4),"AVERAGE",Table2[[#This Row],[Satification_points]]&lt;3,"POOR")</f>
        <v>POOR</v>
      </c>
    </row>
    <row r="1884" spans="1:29" x14ac:dyDescent="0.3">
      <c r="A1884">
        <v>1883</v>
      </c>
      <c r="B1884">
        <v>93848</v>
      </c>
      <c r="C1884" t="s">
        <v>241</v>
      </c>
      <c r="D1884" t="s">
        <v>26</v>
      </c>
      <c r="E1884" t="s">
        <v>45</v>
      </c>
      <c r="F1884" s="1">
        <v>45420</v>
      </c>
      <c r="G1884" s="1">
        <v>45421</v>
      </c>
      <c r="H1884">
        <v>7</v>
      </c>
      <c r="I1884" t="s">
        <v>28</v>
      </c>
      <c r="J1884" t="s">
        <v>43</v>
      </c>
      <c r="K1884">
        <v>3</v>
      </c>
      <c r="L1884">
        <v>5</v>
      </c>
      <c r="M1884">
        <v>4</v>
      </c>
      <c r="N1884">
        <v>2</v>
      </c>
      <c r="O1884">
        <v>2</v>
      </c>
      <c r="P1884">
        <v>5</v>
      </c>
      <c r="Q1884">
        <v>4</v>
      </c>
      <c r="R1884">
        <v>1</v>
      </c>
      <c r="S1884">
        <v>3</v>
      </c>
      <c r="T1884">
        <v>2</v>
      </c>
      <c r="U1884" t="s">
        <v>37</v>
      </c>
      <c r="V1884" t="s">
        <v>54</v>
      </c>
      <c r="W1884" t="s">
        <v>55</v>
      </c>
      <c r="X1884" t="s">
        <v>44</v>
      </c>
      <c r="Y1884">
        <v>49</v>
      </c>
      <c r="Z1884" s="1">
        <v>45625</v>
      </c>
      <c r="AA1884" t="str" cm="1">
        <f t="array" ref="AA188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84" t="str" cm="1">
        <f t="array" ref="AC1884">_xlfn.IFS(Table2[[#This Row],[Satification_points]]&gt;=4.5,"GREAT",AND(Table2[[#This Row],[Satification_points]]&gt;=4,Table2[[#This Row],[Satification_points]]&lt;4.5),"GOOD",AND(Table2[[#This Row],[Satification_points]]&gt;=3,Table2[[#This Row],[Satification_points]]&lt;4),"AVERAGE",Table2[[#This Row],[Satification_points]]&lt;3,"POOR")</f>
        <v>AVERAGE</v>
      </c>
    </row>
    <row r="1885" spans="1:29" x14ac:dyDescent="0.3">
      <c r="A1885">
        <v>1884</v>
      </c>
      <c r="B1885">
        <v>72323</v>
      </c>
      <c r="C1885" t="s">
        <v>1920</v>
      </c>
      <c r="D1885" t="s">
        <v>41</v>
      </c>
      <c r="E1885" t="s">
        <v>52</v>
      </c>
      <c r="F1885" s="1">
        <v>45180</v>
      </c>
      <c r="G1885" s="1">
        <v>45518</v>
      </c>
      <c r="H1885">
        <v>5</v>
      </c>
      <c r="I1885" t="s">
        <v>42</v>
      </c>
      <c r="J1885" t="s">
        <v>40</v>
      </c>
      <c r="K1885">
        <v>1</v>
      </c>
      <c r="L1885">
        <v>5</v>
      </c>
      <c r="M1885">
        <v>4</v>
      </c>
      <c r="N1885">
        <v>1</v>
      </c>
      <c r="O1885">
        <v>4</v>
      </c>
      <c r="P1885">
        <v>1</v>
      </c>
      <c r="Q1885">
        <v>3</v>
      </c>
      <c r="R1885">
        <v>3</v>
      </c>
      <c r="S1885">
        <v>5</v>
      </c>
      <c r="T1885">
        <v>3</v>
      </c>
      <c r="U1885" t="s">
        <v>37</v>
      </c>
      <c r="V1885" t="s">
        <v>58</v>
      </c>
      <c r="W1885" t="s">
        <v>32</v>
      </c>
      <c r="X1885" t="s">
        <v>33</v>
      </c>
      <c r="Y1885">
        <v>57</v>
      </c>
      <c r="Z1885" s="1">
        <v>45518</v>
      </c>
      <c r="AA1885" t="str" cm="1">
        <f t="array" ref="AA1885">_xlfn.IFS(AND(Table2[[#This Row],[Guest_Age]]&gt;=18,Table2[[#This Row],[Guest_Age]]&lt;=25),"Young Adults",AND(Table2[[#This Row],[Guest_Age]]&gt;=26,Table2[[#This Row],[Guest_Age]]&lt;=35),"Adults",AND(Table2[[#This Row],[Guest_Age]]&gt;=36,Table2[[#This Row],[Guest_Age]]&lt;=50),"Middle Aged Adults",Table2[[#This Row],[Guest_Age]]&gt;50,"Senior")</f>
        <v>Senior</v>
      </c>
      <c r="AB18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85" t="str" cm="1">
        <f t="array" ref="AC1885">_xlfn.IFS(Table2[[#This Row],[Satification_points]]&gt;=4.5,"GREAT",AND(Table2[[#This Row],[Satification_points]]&gt;=4,Table2[[#This Row],[Satification_points]]&lt;4.5),"GOOD",AND(Table2[[#This Row],[Satification_points]]&gt;=3,Table2[[#This Row],[Satification_points]]&lt;4),"AVERAGE",Table2[[#This Row],[Satification_points]]&lt;3,"POOR")</f>
        <v>AVERAGE</v>
      </c>
    </row>
    <row r="1886" spans="1:29" x14ac:dyDescent="0.3">
      <c r="A1886">
        <v>1885</v>
      </c>
      <c r="B1886">
        <v>12798</v>
      </c>
      <c r="C1886" t="s">
        <v>1921</v>
      </c>
      <c r="D1886" t="s">
        <v>48</v>
      </c>
      <c r="E1886" t="s">
        <v>57</v>
      </c>
      <c r="F1886" s="1">
        <v>44983</v>
      </c>
      <c r="G1886" s="1">
        <v>45567</v>
      </c>
      <c r="H1886">
        <v>1</v>
      </c>
      <c r="I1886" t="s">
        <v>49</v>
      </c>
      <c r="J1886" t="s">
        <v>43</v>
      </c>
      <c r="K1886">
        <v>1</v>
      </c>
      <c r="L1886">
        <v>1</v>
      </c>
      <c r="M1886">
        <v>1</v>
      </c>
      <c r="N1886">
        <v>4</v>
      </c>
      <c r="O1886">
        <v>1</v>
      </c>
      <c r="P1886">
        <v>4</v>
      </c>
      <c r="Q1886">
        <v>1</v>
      </c>
      <c r="R1886">
        <v>5</v>
      </c>
      <c r="S1886">
        <v>1</v>
      </c>
      <c r="T1886">
        <v>3</v>
      </c>
      <c r="U1886" t="s">
        <v>30</v>
      </c>
      <c r="V1886" t="s">
        <v>31</v>
      </c>
      <c r="W1886" t="s">
        <v>39</v>
      </c>
      <c r="X1886" t="s">
        <v>40</v>
      </c>
      <c r="Y1886">
        <v>19</v>
      </c>
      <c r="Z1886" s="1">
        <v>45567</v>
      </c>
      <c r="AA1886" t="str" cm="1">
        <f t="array" ref="AA1886">_xlfn.IFS(AND(Table2[[#This Row],[Guest_Age]]&gt;=18,Table2[[#This Row],[Guest_Age]]&lt;=25),"Young Adults",AND(Table2[[#This Row],[Guest_Age]]&gt;=26,Table2[[#This Row],[Guest_Age]]&lt;=35),"Adults",AND(Table2[[#This Row],[Guest_Age]]&gt;=36,Table2[[#This Row],[Guest_Age]]&lt;=50),"Middle Aged Adults",Table2[[#This Row],[Guest_Age]]&gt;50,"Senior")</f>
        <v>Young Adults</v>
      </c>
      <c r="AB18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886" t="str" cm="1">
        <f t="array" ref="AC1886">_xlfn.IFS(Table2[[#This Row],[Satification_points]]&gt;=4.5,"GREAT",AND(Table2[[#This Row],[Satification_points]]&gt;=4,Table2[[#This Row],[Satification_points]]&lt;4.5),"GOOD",AND(Table2[[#This Row],[Satification_points]]&gt;=3,Table2[[#This Row],[Satification_points]]&lt;4),"AVERAGE",Table2[[#This Row],[Satification_points]]&lt;3,"POOR")</f>
        <v>POOR</v>
      </c>
    </row>
    <row r="1887" spans="1:29" x14ac:dyDescent="0.3">
      <c r="A1887">
        <v>1886</v>
      </c>
      <c r="B1887">
        <v>35753</v>
      </c>
      <c r="C1887" t="s">
        <v>1922</v>
      </c>
      <c r="D1887" t="s">
        <v>51</v>
      </c>
      <c r="E1887" t="s">
        <v>45</v>
      </c>
      <c r="F1887" s="1">
        <v>44932</v>
      </c>
      <c r="G1887" s="1">
        <v>45012</v>
      </c>
      <c r="H1887">
        <v>9</v>
      </c>
      <c r="I1887" t="s">
        <v>50</v>
      </c>
      <c r="J1887" t="s">
        <v>29</v>
      </c>
      <c r="K1887">
        <v>3</v>
      </c>
      <c r="L1887">
        <v>2</v>
      </c>
      <c r="M1887">
        <v>5</v>
      </c>
      <c r="N1887">
        <v>4</v>
      </c>
      <c r="O1887">
        <v>5</v>
      </c>
      <c r="P1887">
        <v>4</v>
      </c>
      <c r="Q1887">
        <v>5</v>
      </c>
      <c r="R1887">
        <v>3</v>
      </c>
      <c r="S1887">
        <v>4</v>
      </c>
      <c r="T1887">
        <v>5</v>
      </c>
      <c r="U1887" t="s">
        <v>30</v>
      </c>
      <c r="V1887" t="s">
        <v>46</v>
      </c>
      <c r="W1887" t="s">
        <v>56</v>
      </c>
      <c r="X1887" t="s">
        <v>44</v>
      </c>
      <c r="Y1887">
        <v>65</v>
      </c>
      <c r="Z1887" s="1">
        <v>45186</v>
      </c>
      <c r="AA1887" t="str" cm="1">
        <f t="array" ref="AA1887">_xlfn.IFS(AND(Table2[[#This Row],[Guest_Age]]&gt;=18,Table2[[#This Row],[Guest_Age]]&lt;=25),"Young Adults",AND(Table2[[#This Row],[Guest_Age]]&gt;=26,Table2[[#This Row],[Guest_Age]]&lt;=35),"Adults",AND(Table2[[#This Row],[Guest_Age]]&gt;=36,Table2[[#This Row],[Guest_Age]]&lt;=50),"Middle Aged Adults",Table2[[#This Row],[Guest_Age]]&gt;50,"Senior")</f>
        <v>Senior</v>
      </c>
      <c r="AB18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887" t="str" cm="1">
        <f t="array" ref="AC1887">_xlfn.IFS(Table2[[#This Row],[Satification_points]]&gt;=4.5,"GREAT",AND(Table2[[#This Row],[Satification_points]]&gt;=4,Table2[[#This Row],[Satification_points]]&lt;4.5),"GOOD",AND(Table2[[#This Row],[Satification_points]]&gt;=3,Table2[[#This Row],[Satification_points]]&lt;4),"AVERAGE",Table2[[#This Row],[Satification_points]]&lt;3,"POOR")</f>
        <v>GOOD</v>
      </c>
    </row>
    <row r="1888" spans="1:29" x14ac:dyDescent="0.3">
      <c r="A1888">
        <v>1887</v>
      </c>
      <c r="B1888">
        <v>51113</v>
      </c>
      <c r="C1888" t="s">
        <v>1923</v>
      </c>
      <c r="D1888" t="s">
        <v>26</v>
      </c>
      <c r="E1888" t="s">
        <v>52</v>
      </c>
      <c r="F1888" s="1">
        <v>45164</v>
      </c>
      <c r="G1888" s="1">
        <v>45503</v>
      </c>
      <c r="H1888">
        <v>9</v>
      </c>
      <c r="I1888" t="s">
        <v>28</v>
      </c>
      <c r="J1888" t="s">
        <v>29</v>
      </c>
      <c r="K1888">
        <v>5</v>
      </c>
      <c r="L1888">
        <v>3</v>
      </c>
      <c r="M1888">
        <v>2</v>
      </c>
      <c r="N1888">
        <v>3</v>
      </c>
      <c r="O1888">
        <v>4</v>
      </c>
      <c r="P1888">
        <v>4</v>
      </c>
      <c r="Q1888">
        <v>3</v>
      </c>
      <c r="R1888">
        <v>5</v>
      </c>
      <c r="S1888">
        <v>3</v>
      </c>
      <c r="T1888">
        <v>2</v>
      </c>
      <c r="U1888" t="s">
        <v>37</v>
      </c>
      <c r="V1888" t="s">
        <v>38</v>
      </c>
      <c r="W1888" t="s">
        <v>56</v>
      </c>
      <c r="X1888" t="s">
        <v>44</v>
      </c>
      <c r="Y1888">
        <v>30</v>
      </c>
      <c r="Z1888" s="1">
        <v>45503</v>
      </c>
      <c r="AA1888" t="str" cm="1">
        <f t="array" ref="AA1888">_xlfn.IFS(AND(Table2[[#This Row],[Guest_Age]]&gt;=18,Table2[[#This Row],[Guest_Age]]&lt;=25),"Young Adults",AND(Table2[[#This Row],[Guest_Age]]&gt;=26,Table2[[#This Row],[Guest_Age]]&lt;=35),"Adults",AND(Table2[[#This Row],[Guest_Age]]&gt;=36,Table2[[#This Row],[Guest_Age]]&lt;=50),"Middle Aged Adults",Table2[[#This Row],[Guest_Age]]&gt;50,"Senior")</f>
        <v>Adults</v>
      </c>
      <c r="AB18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888" t="str" cm="1">
        <f t="array" ref="AC1888">_xlfn.IFS(Table2[[#This Row],[Satification_points]]&gt;=4.5,"GREAT",AND(Table2[[#This Row],[Satification_points]]&gt;=4,Table2[[#This Row],[Satification_points]]&lt;4.5),"GOOD",AND(Table2[[#This Row],[Satification_points]]&gt;=3,Table2[[#This Row],[Satification_points]]&lt;4),"AVERAGE",Table2[[#This Row],[Satification_points]]&lt;3,"POOR")</f>
        <v>AVERAGE</v>
      </c>
    </row>
    <row r="1889" spans="1:29" x14ac:dyDescent="0.3">
      <c r="A1889">
        <v>1888</v>
      </c>
      <c r="B1889">
        <v>59181</v>
      </c>
      <c r="C1889" t="s">
        <v>1924</v>
      </c>
      <c r="D1889" t="s">
        <v>34</v>
      </c>
      <c r="E1889" t="s">
        <v>45</v>
      </c>
      <c r="F1889" s="1">
        <v>45150</v>
      </c>
      <c r="G1889" s="1">
        <v>45201</v>
      </c>
      <c r="H1889">
        <v>6</v>
      </c>
      <c r="I1889" t="s">
        <v>28</v>
      </c>
      <c r="J1889" t="s">
        <v>43</v>
      </c>
      <c r="K1889">
        <v>3</v>
      </c>
      <c r="L1889">
        <v>4</v>
      </c>
      <c r="M1889">
        <v>4</v>
      </c>
      <c r="N1889">
        <v>2</v>
      </c>
      <c r="O1889">
        <v>3</v>
      </c>
      <c r="P1889">
        <v>5</v>
      </c>
      <c r="Q1889">
        <v>5</v>
      </c>
      <c r="R1889">
        <v>1</v>
      </c>
      <c r="S1889">
        <v>2</v>
      </c>
      <c r="T1889">
        <v>2</v>
      </c>
      <c r="U1889" t="s">
        <v>30</v>
      </c>
      <c r="V1889" t="s">
        <v>58</v>
      </c>
      <c r="W1889" t="s">
        <v>39</v>
      </c>
      <c r="X1889" t="s">
        <v>44</v>
      </c>
      <c r="Y1889">
        <v>44</v>
      </c>
      <c r="Z1889" s="1">
        <v>45231</v>
      </c>
      <c r="AA1889" t="str" cm="1">
        <f t="array" ref="AA18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89" t="str" cm="1">
        <f t="array" ref="AC1889">_xlfn.IFS(Table2[[#This Row],[Satification_points]]&gt;=4.5,"GREAT",AND(Table2[[#This Row],[Satification_points]]&gt;=4,Table2[[#This Row],[Satification_points]]&lt;4.5),"GOOD",AND(Table2[[#This Row],[Satification_points]]&gt;=3,Table2[[#This Row],[Satification_points]]&lt;4),"AVERAGE",Table2[[#This Row],[Satification_points]]&lt;3,"POOR")</f>
        <v>AVERAGE</v>
      </c>
    </row>
    <row r="1890" spans="1:29" x14ac:dyDescent="0.3">
      <c r="A1890">
        <v>1889</v>
      </c>
      <c r="B1890">
        <v>39722</v>
      </c>
      <c r="C1890" t="s">
        <v>1925</v>
      </c>
      <c r="D1890" t="s">
        <v>34</v>
      </c>
      <c r="E1890" t="s">
        <v>45</v>
      </c>
      <c r="F1890" s="1">
        <v>45516</v>
      </c>
      <c r="G1890" s="1">
        <v>45517</v>
      </c>
      <c r="H1890">
        <v>11</v>
      </c>
      <c r="I1890" t="s">
        <v>42</v>
      </c>
      <c r="J1890" t="s">
        <v>43</v>
      </c>
      <c r="K1890">
        <v>5</v>
      </c>
      <c r="L1890">
        <v>4</v>
      </c>
      <c r="M1890">
        <v>1</v>
      </c>
      <c r="N1890">
        <v>4</v>
      </c>
      <c r="O1890">
        <v>3</v>
      </c>
      <c r="P1890">
        <v>1</v>
      </c>
      <c r="Q1890">
        <v>3</v>
      </c>
      <c r="R1890">
        <v>3</v>
      </c>
      <c r="S1890">
        <v>4</v>
      </c>
      <c r="T1890">
        <v>2</v>
      </c>
      <c r="U1890" t="s">
        <v>37</v>
      </c>
      <c r="V1890" t="s">
        <v>46</v>
      </c>
      <c r="W1890" t="s">
        <v>55</v>
      </c>
      <c r="X1890" t="s">
        <v>44</v>
      </c>
      <c r="Y1890">
        <v>63</v>
      </c>
      <c r="Z1890" s="1">
        <v>45517</v>
      </c>
      <c r="AA1890" t="str" cm="1">
        <f t="array" ref="AA1890">_xlfn.IFS(AND(Table2[[#This Row],[Guest_Age]]&gt;=18,Table2[[#This Row],[Guest_Age]]&lt;=25),"Young Adults",AND(Table2[[#This Row],[Guest_Age]]&gt;=26,Table2[[#This Row],[Guest_Age]]&lt;=35),"Adults",AND(Table2[[#This Row],[Guest_Age]]&gt;=36,Table2[[#This Row],[Guest_Age]]&lt;=50),"Middle Aged Adults",Table2[[#This Row],[Guest_Age]]&gt;50,"Senior")</f>
        <v>Senior</v>
      </c>
      <c r="AB18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90" t="str" cm="1">
        <f t="array" ref="AC1890">_xlfn.IFS(Table2[[#This Row],[Satification_points]]&gt;=4.5,"GREAT",AND(Table2[[#This Row],[Satification_points]]&gt;=4,Table2[[#This Row],[Satification_points]]&lt;4.5),"GOOD",AND(Table2[[#This Row],[Satification_points]]&gt;=3,Table2[[#This Row],[Satification_points]]&lt;4),"AVERAGE",Table2[[#This Row],[Satification_points]]&lt;3,"POOR")</f>
        <v>AVERAGE</v>
      </c>
    </row>
    <row r="1891" spans="1:29" x14ac:dyDescent="0.3">
      <c r="A1891">
        <v>1890</v>
      </c>
      <c r="B1891">
        <v>96991</v>
      </c>
      <c r="C1891" t="s">
        <v>1926</v>
      </c>
      <c r="D1891" t="s">
        <v>34</v>
      </c>
      <c r="E1891" t="s">
        <v>27</v>
      </c>
      <c r="F1891" s="1">
        <v>44946</v>
      </c>
      <c r="G1891" s="1">
        <v>45180</v>
      </c>
      <c r="H1891">
        <v>9</v>
      </c>
      <c r="I1891" t="s">
        <v>50</v>
      </c>
      <c r="J1891" t="s">
        <v>53</v>
      </c>
      <c r="K1891">
        <v>3</v>
      </c>
      <c r="L1891">
        <v>4</v>
      </c>
      <c r="M1891">
        <v>3</v>
      </c>
      <c r="N1891">
        <v>1</v>
      </c>
      <c r="O1891">
        <v>2</v>
      </c>
      <c r="P1891">
        <v>1</v>
      </c>
      <c r="Q1891">
        <v>4</v>
      </c>
      <c r="R1891">
        <v>5</v>
      </c>
      <c r="S1891">
        <v>5</v>
      </c>
      <c r="T1891">
        <v>5</v>
      </c>
      <c r="U1891" t="s">
        <v>37</v>
      </c>
      <c r="V1891" t="s">
        <v>46</v>
      </c>
      <c r="W1891" t="s">
        <v>32</v>
      </c>
      <c r="X1891" t="s">
        <v>40</v>
      </c>
      <c r="Y1891">
        <v>24</v>
      </c>
      <c r="Z1891" s="1">
        <v>45180</v>
      </c>
      <c r="AA1891" t="str" cm="1">
        <f t="array" ref="AA1891">_xlfn.IFS(AND(Table2[[#This Row],[Guest_Age]]&gt;=18,Table2[[#This Row],[Guest_Age]]&lt;=25),"Young Adults",AND(Table2[[#This Row],[Guest_Age]]&gt;=26,Table2[[#This Row],[Guest_Age]]&lt;=35),"Adults",AND(Table2[[#This Row],[Guest_Age]]&gt;=36,Table2[[#This Row],[Guest_Age]]&lt;=50),"Middle Aged Adults",Table2[[#This Row],[Guest_Age]]&gt;50,"Senior")</f>
        <v>Young Adults</v>
      </c>
      <c r="AB18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91" t="str" cm="1">
        <f t="array" ref="AC1891">_xlfn.IFS(Table2[[#This Row],[Satification_points]]&gt;=4.5,"GREAT",AND(Table2[[#This Row],[Satification_points]]&gt;=4,Table2[[#This Row],[Satification_points]]&lt;4.5),"GOOD",AND(Table2[[#This Row],[Satification_points]]&gt;=3,Table2[[#This Row],[Satification_points]]&lt;4),"AVERAGE",Table2[[#This Row],[Satification_points]]&lt;3,"POOR")</f>
        <v>AVERAGE</v>
      </c>
    </row>
    <row r="1892" spans="1:29" x14ac:dyDescent="0.3">
      <c r="A1892">
        <v>1891</v>
      </c>
      <c r="B1892">
        <v>78847</v>
      </c>
      <c r="C1892" t="s">
        <v>1927</v>
      </c>
      <c r="D1892" t="s">
        <v>51</v>
      </c>
      <c r="E1892" t="s">
        <v>52</v>
      </c>
      <c r="F1892" s="1">
        <v>45130</v>
      </c>
      <c r="G1892" s="1">
        <v>45533</v>
      </c>
      <c r="H1892">
        <v>7</v>
      </c>
      <c r="I1892" t="s">
        <v>28</v>
      </c>
      <c r="J1892" t="s">
        <v>29</v>
      </c>
      <c r="K1892">
        <v>3</v>
      </c>
      <c r="L1892">
        <v>3</v>
      </c>
      <c r="M1892">
        <v>4</v>
      </c>
      <c r="N1892">
        <v>5</v>
      </c>
      <c r="O1892">
        <v>1</v>
      </c>
      <c r="P1892">
        <v>1</v>
      </c>
      <c r="Q1892">
        <v>4</v>
      </c>
      <c r="R1892">
        <v>2</v>
      </c>
      <c r="S1892">
        <v>5</v>
      </c>
      <c r="T1892">
        <v>2</v>
      </c>
      <c r="U1892" t="s">
        <v>37</v>
      </c>
      <c r="V1892" t="s">
        <v>31</v>
      </c>
      <c r="W1892" t="s">
        <v>32</v>
      </c>
      <c r="X1892" t="s">
        <v>40</v>
      </c>
      <c r="Y1892">
        <v>20</v>
      </c>
      <c r="Z1892" s="1">
        <v>45533</v>
      </c>
      <c r="AA1892" t="str" cm="1">
        <f t="array" ref="AA1892">_xlfn.IFS(AND(Table2[[#This Row],[Guest_Age]]&gt;=18,Table2[[#This Row],[Guest_Age]]&lt;=25),"Young Adults",AND(Table2[[#This Row],[Guest_Age]]&gt;=26,Table2[[#This Row],[Guest_Age]]&lt;=35),"Adults",AND(Table2[[#This Row],[Guest_Age]]&gt;=36,Table2[[#This Row],[Guest_Age]]&lt;=50),"Middle Aged Adults",Table2[[#This Row],[Guest_Age]]&gt;50,"Senior")</f>
        <v>Young Adults</v>
      </c>
      <c r="AB18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892" t="str" cm="1">
        <f t="array" ref="AC1892">_xlfn.IFS(Table2[[#This Row],[Satification_points]]&gt;=4.5,"GREAT",AND(Table2[[#This Row],[Satification_points]]&gt;=4,Table2[[#This Row],[Satification_points]]&lt;4.5),"GOOD",AND(Table2[[#This Row],[Satification_points]]&gt;=3,Table2[[#This Row],[Satification_points]]&lt;4),"AVERAGE",Table2[[#This Row],[Satification_points]]&lt;3,"POOR")</f>
        <v>AVERAGE</v>
      </c>
    </row>
    <row r="1893" spans="1:29" x14ac:dyDescent="0.3">
      <c r="A1893">
        <v>1892</v>
      </c>
      <c r="B1893">
        <v>71170</v>
      </c>
      <c r="C1893" t="s">
        <v>1928</v>
      </c>
      <c r="D1893" t="s">
        <v>26</v>
      </c>
      <c r="E1893" t="s">
        <v>52</v>
      </c>
      <c r="F1893" s="1">
        <v>45068</v>
      </c>
      <c r="G1893" s="1">
        <v>45589</v>
      </c>
      <c r="H1893">
        <v>8</v>
      </c>
      <c r="I1893" t="s">
        <v>49</v>
      </c>
      <c r="J1893" t="s">
        <v>43</v>
      </c>
      <c r="K1893">
        <v>2</v>
      </c>
      <c r="L1893">
        <v>4</v>
      </c>
      <c r="M1893">
        <v>2</v>
      </c>
      <c r="N1893">
        <v>5</v>
      </c>
      <c r="O1893">
        <v>1</v>
      </c>
      <c r="P1893">
        <v>5</v>
      </c>
      <c r="Q1893">
        <v>3</v>
      </c>
      <c r="R1893">
        <v>3</v>
      </c>
      <c r="S1893">
        <v>5</v>
      </c>
      <c r="T1893">
        <v>3</v>
      </c>
      <c r="U1893" t="s">
        <v>37</v>
      </c>
      <c r="V1893" t="s">
        <v>54</v>
      </c>
      <c r="W1893" t="s">
        <v>32</v>
      </c>
      <c r="X1893" t="s">
        <v>44</v>
      </c>
      <c r="Y1893">
        <v>38</v>
      </c>
      <c r="Z1893" s="1">
        <v>45589</v>
      </c>
      <c r="AA1893" t="str" cm="1">
        <f t="array" ref="AA1893">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893" t="str" cm="1">
        <f t="array" ref="AC1893">_xlfn.IFS(Table2[[#This Row],[Satification_points]]&gt;=4.5,"GREAT",AND(Table2[[#This Row],[Satification_points]]&gt;=4,Table2[[#This Row],[Satification_points]]&lt;4.5),"GOOD",AND(Table2[[#This Row],[Satification_points]]&gt;=3,Table2[[#This Row],[Satification_points]]&lt;4),"AVERAGE",Table2[[#This Row],[Satification_points]]&lt;3,"POOR")</f>
        <v>AVERAGE</v>
      </c>
    </row>
    <row r="1894" spans="1:29" x14ac:dyDescent="0.3">
      <c r="A1894">
        <v>1893</v>
      </c>
      <c r="B1894">
        <v>39362</v>
      </c>
      <c r="C1894" t="s">
        <v>1929</v>
      </c>
      <c r="D1894" t="s">
        <v>48</v>
      </c>
      <c r="E1894" t="s">
        <v>35</v>
      </c>
      <c r="F1894" s="1">
        <v>45302</v>
      </c>
      <c r="G1894" s="1">
        <v>45303</v>
      </c>
      <c r="H1894">
        <v>11</v>
      </c>
      <c r="I1894" t="s">
        <v>50</v>
      </c>
      <c r="J1894" t="s">
        <v>36</v>
      </c>
      <c r="K1894">
        <v>4</v>
      </c>
      <c r="L1894">
        <v>3</v>
      </c>
      <c r="M1894">
        <v>3</v>
      </c>
      <c r="N1894">
        <v>2</v>
      </c>
      <c r="O1894">
        <v>5</v>
      </c>
      <c r="P1894">
        <v>3</v>
      </c>
      <c r="Q1894">
        <v>4</v>
      </c>
      <c r="R1894">
        <v>1</v>
      </c>
      <c r="S1894">
        <v>3</v>
      </c>
      <c r="T1894">
        <v>3</v>
      </c>
      <c r="U1894" t="s">
        <v>37</v>
      </c>
      <c r="V1894" t="s">
        <v>31</v>
      </c>
      <c r="W1894" t="s">
        <v>56</v>
      </c>
      <c r="X1894" t="s">
        <v>40</v>
      </c>
      <c r="Y1894">
        <v>25</v>
      </c>
      <c r="Z1894" s="1">
        <v>45516</v>
      </c>
      <c r="AA1894" t="str" cm="1">
        <f t="array" ref="AA1894">_xlfn.IFS(AND(Table2[[#This Row],[Guest_Age]]&gt;=18,Table2[[#This Row],[Guest_Age]]&lt;=25),"Young Adults",AND(Table2[[#This Row],[Guest_Age]]&gt;=26,Table2[[#This Row],[Guest_Age]]&lt;=35),"Adults",AND(Table2[[#This Row],[Guest_Age]]&gt;=36,Table2[[#This Row],[Guest_Age]]&lt;=50),"Middle Aged Adults",Table2[[#This Row],[Guest_Age]]&gt;50,"Senior")</f>
        <v>Young Adults</v>
      </c>
      <c r="AB18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94" t="str" cm="1">
        <f t="array" ref="AC1894">_xlfn.IFS(Table2[[#This Row],[Satification_points]]&gt;=4.5,"GREAT",AND(Table2[[#This Row],[Satification_points]]&gt;=4,Table2[[#This Row],[Satification_points]]&lt;4.5),"GOOD",AND(Table2[[#This Row],[Satification_points]]&gt;=3,Table2[[#This Row],[Satification_points]]&lt;4),"AVERAGE",Table2[[#This Row],[Satification_points]]&lt;3,"POOR")</f>
        <v>AVERAGE</v>
      </c>
    </row>
    <row r="1895" spans="1:29" x14ac:dyDescent="0.3">
      <c r="A1895">
        <v>1894</v>
      </c>
      <c r="B1895">
        <v>61026</v>
      </c>
      <c r="C1895" t="s">
        <v>1930</v>
      </c>
      <c r="D1895" t="s">
        <v>48</v>
      </c>
      <c r="E1895" t="s">
        <v>35</v>
      </c>
      <c r="F1895" s="1">
        <v>45333</v>
      </c>
      <c r="G1895" s="1">
        <v>45596</v>
      </c>
      <c r="H1895">
        <v>2</v>
      </c>
      <c r="I1895" t="s">
        <v>50</v>
      </c>
      <c r="J1895" t="s">
        <v>53</v>
      </c>
      <c r="K1895">
        <v>3</v>
      </c>
      <c r="L1895">
        <v>4</v>
      </c>
      <c r="M1895">
        <v>3</v>
      </c>
      <c r="N1895">
        <v>2</v>
      </c>
      <c r="O1895">
        <v>2</v>
      </c>
      <c r="P1895">
        <v>5</v>
      </c>
      <c r="Q1895">
        <v>1</v>
      </c>
      <c r="R1895">
        <v>2</v>
      </c>
      <c r="S1895">
        <v>1</v>
      </c>
      <c r="T1895">
        <v>3</v>
      </c>
      <c r="U1895" t="s">
        <v>30</v>
      </c>
      <c r="V1895" t="s">
        <v>58</v>
      </c>
      <c r="W1895" t="s">
        <v>55</v>
      </c>
      <c r="X1895" t="s">
        <v>40</v>
      </c>
      <c r="Y1895">
        <v>18</v>
      </c>
      <c r="Z1895" s="1">
        <v>45596</v>
      </c>
      <c r="AA1895" t="str" cm="1">
        <f t="array" ref="AA1895">_xlfn.IFS(AND(Table2[[#This Row],[Guest_Age]]&gt;=18,Table2[[#This Row],[Guest_Age]]&lt;=25),"Young Adults",AND(Table2[[#This Row],[Guest_Age]]&gt;=26,Table2[[#This Row],[Guest_Age]]&lt;=35),"Adults",AND(Table2[[#This Row],[Guest_Age]]&gt;=36,Table2[[#This Row],[Guest_Age]]&lt;=50),"Middle Aged Adults",Table2[[#This Row],[Guest_Age]]&gt;50,"Senior")</f>
        <v>Young Adults</v>
      </c>
      <c r="AB18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895" t="str" cm="1">
        <f t="array" ref="AC1895">_xlfn.IFS(Table2[[#This Row],[Satification_points]]&gt;=4.5,"GREAT",AND(Table2[[#This Row],[Satification_points]]&gt;=4,Table2[[#This Row],[Satification_points]]&lt;4.5),"GOOD",AND(Table2[[#This Row],[Satification_points]]&gt;=3,Table2[[#This Row],[Satification_points]]&lt;4),"AVERAGE",Table2[[#This Row],[Satification_points]]&lt;3,"POOR")</f>
        <v>POOR</v>
      </c>
    </row>
    <row r="1896" spans="1:29" x14ac:dyDescent="0.3">
      <c r="A1896">
        <v>1895</v>
      </c>
      <c r="B1896">
        <v>57201</v>
      </c>
      <c r="C1896" t="s">
        <v>1931</v>
      </c>
      <c r="D1896" t="s">
        <v>51</v>
      </c>
      <c r="E1896" t="s">
        <v>52</v>
      </c>
      <c r="F1896" s="1">
        <v>45006</v>
      </c>
      <c r="G1896" s="1">
        <v>45655</v>
      </c>
      <c r="H1896">
        <v>2</v>
      </c>
      <c r="I1896" t="s">
        <v>42</v>
      </c>
      <c r="J1896" t="s">
        <v>53</v>
      </c>
      <c r="K1896">
        <v>4</v>
      </c>
      <c r="L1896">
        <v>4</v>
      </c>
      <c r="M1896">
        <v>5</v>
      </c>
      <c r="N1896">
        <v>3</v>
      </c>
      <c r="O1896">
        <v>1</v>
      </c>
      <c r="P1896">
        <v>2</v>
      </c>
      <c r="Q1896">
        <v>5</v>
      </c>
      <c r="R1896">
        <v>3</v>
      </c>
      <c r="S1896">
        <v>1</v>
      </c>
      <c r="T1896">
        <v>3</v>
      </c>
      <c r="U1896" t="s">
        <v>37</v>
      </c>
      <c r="V1896" t="s">
        <v>58</v>
      </c>
      <c r="W1896" t="s">
        <v>39</v>
      </c>
      <c r="X1896" t="s">
        <v>40</v>
      </c>
      <c r="Y1896">
        <v>34</v>
      </c>
      <c r="Z1896" s="1">
        <v>45655</v>
      </c>
      <c r="AA1896" t="str" cm="1">
        <f t="array" ref="AA1896">_xlfn.IFS(AND(Table2[[#This Row],[Guest_Age]]&gt;=18,Table2[[#This Row],[Guest_Age]]&lt;=25),"Young Adults",AND(Table2[[#This Row],[Guest_Age]]&gt;=26,Table2[[#This Row],[Guest_Age]]&lt;=35),"Adults",AND(Table2[[#This Row],[Guest_Age]]&gt;=36,Table2[[#This Row],[Guest_Age]]&lt;=50),"Middle Aged Adults",Table2[[#This Row],[Guest_Age]]&gt;50,"Senior")</f>
        <v>Adults</v>
      </c>
      <c r="AB18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896" t="str" cm="1">
        <f t="array" ref="AC1896">_xlfn.IFS(Table2[[#This Row],[Satification_points]]&gt;=4.5,"GREAT",AND(Table2[[#This Row],[Satification_points]]&gt;=4,Table2[[#This Row],[Satification_points]]&lt;4.5),"GOOD",AND(Table2[[#This Row],[Satification_points]]&gt;=3,Table2[[#This Row],[Satification_points]]&lt;4),"AVERAGE",Table2[[#This Row],[Satification_points]]&lt;3,"POOR")</f>
        <v>AVERAGE</v>
      </c>
    </row>
    <row r="1897" spans="1:29" x14ac:dyDescent="0.3">
      <c r="A1897">
        <v>1896</v>
      </c>
      <c r="B1897">
        <v>58974</v>
      </c>
      <c r="C1897" t="s">
        <v>1932</v>
      </c>
      <c r="D1897" t="s">
        <v>26</v>
      </c>
      <c r="E1897" t="s">
        <v>27</v>
      </c>
      <c r="F1897" s="1">
        <v>45136</v>
      </c>
      <c r="G1897" s="1">
        <v>45187</v>
      </c>
      <c r="H1897">
        <v>4</v>
      </c>
      <c r="I1897" t="s">
        <v>49</v>
      </c>
      <c r="J1897" t="s">
        <v>53</v>
      </c>
      <c r="K1897">
        <v>5</v>
      </c>
      <c r="L1897">
        <v>3</v>
      </c>
      <c r="M1897">
        <v>5</v>
      </c>
      <c r="N1897">
        <v>2</v>
      </c>
      <c r="O1897">
        <v>4</v>
      </c>
      <c r="P1897">
        <v>5</v>
      </c>
      <c r="Q1897">
        <v>4</v>
      </c>
      <c r="R1897">
        <v>5</v>
      </c>
      <c r="S1897">
        <v>5</v>
      </c>
      <c r="T1897">
        <v>4</v>
      </c>
      <c r="U1897" t="s">
        <v>37</v>
      </c>
      <c r="V1897" t="s">
        <v>31</v>
      </c>
      <c r="W1897" t="s">
        <v>47</v>
      </c>
      <c r="X1897" t="s">
        <v>33</v>
      </c>
      <c r="Y1897">
        <v>43</v>
      </c>
      <c r="Z1897" s="1">
        <v>45657</v>
      </c>
      <c r="AA1897" t="str" cm="1">
        <f t="array" ref="AA189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1897" t="str" cm="1">
        <f t="array" ref="AC1897">_xlfn.IFS(Table2[[#This Row],[Satification_points]]&gt;=4.5,"GREAT",AND(Table2[[#This Row],[Satification_points]]&gt;=4,Table2[[#This Row],[Satification_points]]&lt;4.5),"GOOD",AND(Table2[[#This Row],[Satification_points]]&gt;=3,Table2[[#This Row],[Satification_points]]&lt;4),"AVERAGE",Table2[[#This Row],[Satification_points]]&lt;3,"POOR")</f>
        <v>GOOD</v>
      </c>
    </row>
    <row r="1898" spans="1:29" x14ac:dyDescent="0.3">
      <c r="A1898">
        <v>1897</v>
      </c>
      <c r="B1898">
        <v>22917</v>
      </c>
      <c r="C1898" t="s">
        <v>1933</v>
      </c>
      <c r="D1898" t="s">
        <v>41</v>
      </c>
      <c r="E1898" t="s">
        <v>45</v>
      </c>
      <c r="F1898" s="1">
        <v>45238</v>
      </c>
      <c r="G1898" s="1">
        <v>45361</v>
      </c>
      <c r="H1898">
        <v>1</v>
      </c>
      <c r="I1898" t="s">
        <v>49</v>
      </c>
      <c r="J1898" t="s">
        <v>53</v>
      </c>
      <c r="K1898">
        <v>2</v>
      </c>
      <c r="L1898">
        <v>2</v>
      </c>
      <c r="M1898">
        <v>4</v>
      </c>
      <c r="N1898">
        <v>4</v>
      </c>
      <c r="O1898">
        <v>5</v>
      </c>
      <c r="P1898">
        <v>2</v>
      </c>
      <c r="Q1898">
        <v>2</v>
      </c>
      <c r="R1898">
        <v>4</v>
      </c>
      <c r="S1898">
        <v>4</v>
      </c>
      <c r="T1898">
        <v>3</v>
      </c>
      <c r="U1898" t="s">
        <v>30</v>
      </c>
      <c r="V1898" t="s">
        <v>46</v>
      </c>
      <c r="W1898" t="s">
        <v>32</v>
      </c>
      <c r="X1898" t="s">
        <v>44</v>
      </c>
      <c r="Y1898">
        <v>46</v>
      </c>
      <c r="Z1898" s="1">
        <v>45361</v>
      </c>
      <c r="AA1898" t="str" cm="1">
        <f t="array" ref="AA1898">_xlfn.IFS(AND(Table2[[#This Row],[Guest_Age]]&gt;=18,Table2[[#This Row],[Guest_Age]]&lt;=25),"Young Adults",AND(Table2[[#This Row],[Guest_Age]]&gt;=26,Table2[[#This Row],[Guest_Age]]&lt;=35),"Adults",AND(Table2[[#This Row],[Guest_Age]]&gt;=36,Table2[[#This Row],[Guest_Age]]&lt;=50),"Middle Aged Adults",Table2[[#This Row],[Guest_Age]]&gt;50,"Senior")</f>
        <v>Middle Aged Adults</v>
      </c>
      <c r="AB18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898" t="str" cm="1">
        <f t="array" ref="AC1898">_xlfn.IFS(Table2[[#This Row],[Satification_points]]&gt;=4.5,"GREAT",AND(Table2[[#This Row],[Satification_points]]&gt;=4,Table2[[#This Row],[Satification_points]]&lt;4.5),"GOOD",AND(Table2[[#This Row],[Satification_points]]&gt;=3,Table2[[#This Row],[Satification_points]]&lt;4),"AVERAGE",Table2[[#This Row],[Satification_points]]&lt;3,"POOR")</f>
        <v>AVERAGE</v>
      </c>
    </row>
    <row r="1899" spans="1:29" x14ac:dyDescent="0.3">
      <c r="A1899">
        <v>1898</v>
      </c>
      <c r="B1899">
        <v>51577</v>
      </c>
      <c r="C1899" t="s">
        <v>1934</v>
      </c>
      <c r="D1899" t="s">
        <v>41</v>
      </c>
      <c r="E1899" t="s">
        <v>57</v>
      </c>
      <c r="F1899" s="1">
        <v>45303</v>
      </c>
      <c r="G1899" s="1">
        <v>45539</v>
      </c>
      <c r="H1899">
        <v>8</v>
      </c>
      <c r="I1899" t="s">
        <v>28</v>
      </c>
      <c r="J1899" t="s">
        <v>43</v>
      </c>
      <c r="K1899">
        <v>2</v>
      </c>
      <c r="L1899">
        <v>3</v>
      </c>
      <c r="M1899">
        <v>2</v>
      </c>
      <c r="N1899">
        <v>4</v>
      </c>
      <c r="O1899">
        <v>1</v>
      </c>
      <c r="P1899">
        <v>4</v>
      </c>
      <c r="Q1899">
        <v>3</v>
      </c>
      <c r="R1899">
        <v>2</v>
      </c>
      <c r="S1899">
        <v>2</v>
      </c>
      <c r="T1899">
        <v>5</v>
      </c>
      <c r="U1899" t="s">
        <v>37</v>
      </c>
      <c r="V1899" t="s">
        <v>54</v>
      </c>
      <c r="W1899" t="s">
        <v>39</v>
      </c>
      <c r="X1899" t="s">
        <v>33</v>
      </c>
      <c r="Y1899">
        <v>25</v>
      </c>
      <c r="Z1899" s="1">
        <v>45539</v>
      </c>
      <c r="AA1899" t="str" cm="1">
        <f t="array" ref="AA1899">_xlfn.IFS(AND(Table2[[#This Row],[Guest_Age]]&gt;=18,Table2[[#This Row],[Guest_Age]]&lt;=25),"Young Adults",AND(Table2[[#This Row],[Guest_Age]]&gt;=26,Table2[[#This Row],[Guest_Age]]&lt;=35),"Adults",AND(Table2[[#This Row],[Guest_Age]]&gt;=36,Table2[[#This Row],[Guest_Age]]&lt;=50),"Middle Aged Adults",Table2[[#This Row],[Guest_Age]]&gt;50,"Senior")</f>
        <v>Young Adults</v>
      </c>
      <c r="AB18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899" t="str" cm="1">
        <f t="array" ref="AC1899">_xlfn.IFS(Table2[[#This Row],[Satification_points]]&gt;=4.5,"GREAT",AND(Table2[[#This Row],[Satification_points]]&gt;=4,Table2[[#This Row],[Satification_points]]&lt;4.5),"GOOD",AND(Table2[[#This Row],[Satification_points]]&gt;=3,Table2[[#This Row],[Satification_points]]&lt;4),"AVERAGE",Table2[[#This Row],[Satification_points]]&lt;3,"POOR")</f>
        <v>POOR</v>
      </c>
    </row>
    <row r="1900" spans="1:29" x14ac:dyDescent="0.3">
      <c r="A1900">
        <v>1899</v>
      </c>
      <c r="B1900">
        <v>27955</v>
      </c>
      <c r="C1900" t="s">
        <v>1935</v>
      </c>
      <c r="D1900" t="s">
        <v>26</v>
      </c>
      <c r="E1900" t="s">
        <v>45</v>
      </c>
      <c r="F1900" s="1">
        <v>44966</v>
      </c>
      <c r="G1900" s="1">
        <v>45049</v>
      </c>
      <c r="H1900">
        <v>5</v>
      </c>
      <c r="I1900" t="s">
        <v>28</v>
      </c>
      <c r="J1900" t="s">
        <v>40</v>
      </c>
      <c r="K1900">
        <v>1</v>
      </c>
      <c r="L1900">
        <v>3</v>
      </c>
      <c r="M1900">
        <v>5</v>
      </c>
      <c r="N1900">
        <v>4</v>
      </c>
      <c r="O1900">
        <v>3</v>
      </c>
      <c r="P1900">
        <v>2</v>
      </c>
      <c r="Q1900">
        <v>3</v>
      </c>
      <c r="R1900">
        <v>5</v>
      </c>
      <c r="S1900">
        <v>4</v>
      </c>
      <c r="T1900">
        <v>4</v>
      </c>
      <c r="U1900" t="s">
        <v>30</v>
      </c>
      <c r="V1900" t="s">
        <v>58</v>
      </c>
      <c r="W1900" t="s">
        <v>39</v>
      </c>
      <c r="X1900" t="s">
        <v>33</v>
      </c>
      <c r="Y1900">
        <v>55</v>
      </c>
      <c r="Z1900" s="1">
        <v>45096</v>
      </c>
      <c r="AA1900" t="str" cm="1">
        <f t="array" ref="AA1900">_xlfn.IFS(AND(Table2[[#This Row],[Guest_Age]]&gt;=18,Table2[[#This Row],[Guest_Age]]&lt;=25),"Young Adults",AND(Table2[[#This Row],[Guest_Age]]&gt;=26,Table2[[#This Row],[Guest_Age]]&lt;=35),"Adults",AND(Table2[[#This Row],[Guest_Age]]&gt;=36,Table2[[#This Row],[Guest_Age]]&lt;=50),"Middle Aged Adults",Table2[[#This Row],[Guest_Age]]&gt;50,"Senior")</f>
        <v>Senior</v>
      </c>
      <c r="AB19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00" t="str" cm="1">
        <f t="array" ref="AC1900">_xlfn.IFS(Table2[[#This Row],[Satification_points]]&gt;=4.5,"GREAT",AND(Table2[[#This Row],[Satification_points]]&gt;=4,Table2[[#This Row],[Satification_points]]&lt;4.5),"GOOD",AND(Table2[[#This Row],[Satification_points]]&gt;=3,Table2[[#This Row],[Satification_points]]&lt;4),"AVERAGE",Table2[[#This Row],[Satification_points]]&lt;3,"POOR")</f>
        <v>AVERAGE</v>
      </c>
    </row>
    <row r="1901" spans="1:29" x14ac:dyDescent="0.3">
      <c r="A1901">
        <v>1900</v>
      </c>
      <c r="B1901">
        <v>66365</v>
      </c>
      <c r="C1901" t="s">
        <v>1936</v>
      </c>
      <c r="D1901" t="s">
        <v>26</v>
      </c>
      <c r="E1901" t="s">
        <v>57</v>
      </c>
      <c r="F1901" s="1">
        <v>45279</v>
      </c>
      <c r="G1901" s="1">
        <v>45571</v>
      </c>
      <c r="H1901">
        <v>12</v>
      </c>
      <c r="I1901" t="s">
        <v>50</v>
      </c>
      <c r="J1901" t="s">
        <v>36</v>
      </c>
      <c r="K1901">
        <v>4</v>
      </c>
      <c r="L1901">
        <v>5</v>
      </c>
      <c r="M1901">
        <v>1</v>
      </c>
      <c r="N1901">
        <v>4</v>
      </c>
      <c r="O1901">
        <v>3</v>
      </c>
      <c r="P1901">
        <v>5</v>
      </c>
      <c r="Q1901">
        <v>4</v>
      </c>
      <c r="R1901">
        <v>2</v>
      </c>
      <c r="S1901">
        <v>3</v>
      </c>
      <c r="T1901">
        <v>2</v>
      </c>
      <c r="U1901" t="s">
        <v>30</v>
      </c>
      <c r="V1901" t="s">
        <v>31</v>
      </c>
      <c r="W1901" t="s">
        <v>32</v>
      </c>
      <c r="X1901" t="s">
        <v>40</v>
      </c>
      <c r="Y1901">
        <v>68</v>
      </c>
      <c r="Z1901" s="1">
        <v>45571</v>
      </c>
      <c r="AA1901" t="str" cm="1">
        <f t="array" ref="AA1901">_xlfn.IFS(AND(Table2[[#This Row],[Guest_Age]]&gt;=18,Table2[[#This Row],[Guest_Age]]&lt;=25),"Young Adults",AND(Table2[[#This Row],[Guest_Age]]&gt;=26,Table2[[#This Row],[Guest_Age]]&lt;=35),"Adults",AND(Table2[[#This Row],[Guest_Age]]&gt;=36,Table2[[#This Row],[Guest_Age]]&lt;=50),"Middle Aged Adults",Table2[[#This Row],[Guest_Age]]&gt;50,"Senior")</f>
        <v>Senior</v>
      </c>
      <c r="AB19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01" t="str" cm="1">
        <f t="array" ref="AC1901">_xlfn.IFS(Table2[[#This Row],[Satification_points]]&gt;=4.5,"GREAT",AND(Table2[[#This Row],[Satification_points]]&gt;=4,Table2[[#This Row],[Satification_points]]&lt;4.5),"GOOD",AND(Table2[[#This Row],[Satification_points]]&gt;=3,Table2[[#This Row],[Satification_points]]&lt;4),"AVERAGE",Table2[[#This Row],[Satification_points]]&lt;3,"POOR")</f>
        <v>AVERAGE</v>
      </c>
    </row>
    <row r="1902" spans="1:29" x14ac:dyDescent="0.3">
      <c r="A1902">
        <v>1901</v>
      </c>
      <c r="B1902">
        <v>94357</v>
      </c>
      <c r="C1902" t="s">
        <v>1937</v>
      </c>
      <c r="D1902" t="s">
        <v>48</v>
      </c>
      <c r="E1902" t="s">
        <v>27</v>
      </c>
      <c r="F1902" s="1">
        <v>45379</v>
      </c>
      <c r="G1902" s="1">
        <v>45444</v>
      </c>
      <c r="H1902">
        <v>14</v>
      </c>
      <c r="I1902" t="s">
        <v>50</v>
      </c>
      <c r="J1902" t="s">
        <v>40</v>
      </c>
      <c r="K1902">
        <v>2</v>
      </c>
      <c r="L1902">
        <v>1</v>
      </c>
      <c r="M1902">
        <v>3</v>
      </c>
      <c r="N1902">
        <v>3</v>
      </c>
      <c r="O1902">
        <v>1</v>
      </c>
      <c r="P1902">
        <v>3</v>
      </c>
      <c r="Q1902">
        <v>3</v>
      </c>
      <c r="R1902">
        <v>3</v>
      </c>
      <c r="S1902">
        <v>1</v>
      </c>
      <c r="T1902">
        <v>3</v>
      </c>
      <c r="U1902" t="s">
        <v>37</v>
      </c>
      <c r="V1902" t="s">
        <v>58</v>
      </c>
      <c r="W1902" t="s">
        <v>47</v>
      </c>
      <c r="X1902" t="s">
        <v>33</v>
      </c>
      <c r="Y1902">
        <v>60</v>
      </c>
      <c r="Z1902" s="1">
        <v>45444</v>
      </c>
      <c r="AA1902" t="str" cm="1">
        <f t="array" ref="AA1902">_xlfn.IFS(AND(Table2[[#This Row],[Guest_Age]]&gt;=18,Table2[[#This Row],[Guest_Age]]&lt;=25),"Young Adults",AND(Table2[[#This Row],[Guest_Age]]&gt;=26,Table2[[#This Row],[Guest_Age]]&lt;=35),"Adults",AND(Table2[[#This Row],[Guest_Age]]&gt;=36,Table2[[#This Row],[Guest_Age]]&lt;=50),"Middle Aged Adults",Table2[[#This Row],[Guest_Age]]&gt;50,"Senior")</f>
        <v>Senior</v>
      </c>
      <c r="AB190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902" t="str" cm="1">
        <f t="array" ref="AC1902">_xlfn.IFS(Table2[[#This Row],[Satification_points]]&gt;=4.5,"GREAT",AND(Table2[[#This Row],[Satification_points]]&gt;=4,Table2[[#This Row],[Satification_points]]&lt;4.5),"GOOD",AND(Table2[[#This Row],[Satification_points]]&gt;=3,Table2[[#This Row],[Satification_points]]&lt;4),"AVERAGE",Table2[[#This Row],[Satification_points]]&lt;3,"POOR")</f>
        <v>POOR</v>
      </c>
    </row>
    <row r="1903" spans="1:29" x14ac:dyDescent="0.3">
      <c r="A1903">
        <v>1902</v>
      </c>
      <c r="B1903">
        <v>33915</v>
      </c>
      <c r="C1903" t="s">
        <v>1938</v>
      </c>
      <c r="D1903" t="s">
        <v>51</v>
      </c>
      <c r="E1903" t="s">
        <v>35</v>
      </c>
      <c r="F1903" s="1">
        <v>45349</v>
      </c>
      <c r="G1903" s="1">
        <v>45606</v>
      </c>
      <c r="H1903">
        <v>7</v>
      </c>
      <c r="I1903" t="s">
        <v>42</v>
      </c>
      <c r="J1903" t="s">
        <v>40</v>
      </c>
      <c r="K1903">
        <v>5</v>
      </c>
      <c r="L1903">
        <v>1</v>
      </c>
      <c r="M1903">
        <v>1</v>
      </c>
      <c r="N1903">
        <v>2</v>
      </c>
      <c r="O1903">
        <v>3</v>
      </c>
      <c r="P1903">
        <v>1</v>
      </c>
      <c r="Q1903">
        <v>2</v>
      </c>
      <c r="R1903">
        <v>1</v>
      </c>
      <c r="S1903">
        <v>2</v>
      </c>
      <c r="T1903">
        <v>2</v>
      </c>
      <c r="U1903" t="s">
        <v>30</v>
      </c>
      <c r="V1903" t="s">
        <v>54</v>
      </c>
      <c r="W1903" t="s">
        <v>56</v>
      </c>
      <c r="X1903" t="s">
        <v>40</v>
      </c>
      <c r="Y1903">
        <v>25</v>
      </c>
      <c r="Z1903" s="1">
        <v>45606</v>
      </c>
      <c r="AA1903" t="str" cm="1">
        <f t="array" ref="AA1903">_xlfn.IFS(AND(Table2[[#This Row],[Guest_Age]]&gt;=18,Table2[[#This Row],[Guest_Age]]&lt;=25),"Young Adults",AND(Table2[[#This Row],[Guest_Age]]&gt;=26,Table2[[#This Row],[Guest_Age]]&lt;=35),"Adults",AND(Table2[[#This Row],[Guest_Age]]&gt;=36,Table2[[#This Row],[Guest_Age]]&lt;=50),"Middle Aged Adults",Table2[[#This Row],[Guest_Age]]&gt;50,"Senior")</f>
        <v>Young Adults</v>
      </c>
      <c r="AB190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903" t="str" cm="1">
        <f t="array" ref="AC1903">_xlfn.IFS(Table2[[#This Row],[Satification_points]]&gt;=4.5,"GREAT",AND(Table2[[#This Row],[Satification_points]]&gt;=4,Table2[[#This Row],[Satification_points]]&lt;4.5),"GOOD",AND(Table2[[#This Row],[Satification_points]]&gt;=3,Table2[[#This Row],[Satification_points]]&lt;4),"AVERAGE",Table2[[#This Row],[Satification_points]]&lt;3,"POOR")</f>
        <v>POOR</v>
      </c>
    </row>
    <row r="1904" spans="1:29" x14ac:dyDescent="0.3">
      <c r="A1904">
        <v>1903</v>
      </c>
      <c r="B1904">
        <v>71799</v>
      </c>
      <c r="C1904" t="s">
        <v>1939</v>
      </c>
      <c r="D1904" t="s">
        <v>51</v>
      </c>
      <c r="E1904" t="s">
        <v>52</v>
      </c>
      <c r="F1904" s="1">
        <v>45640</v>
      </c>
      <c r="G1904" s="1">
        <v>45641</v>
      </c>
      <c r="H1904">
        <v>12</v>
      </c>
      <c r="I1904" t="s">
        <v>50</v>
      </c>
      <c r="J1904" t="s">
        <v>43</v>
      </c>
      <c r="K1904">
        <v>1</v>
      </c>
      <c r="L1904">
        <v>2</v>
      </c>
      <c r="M1904">
        <v>3</v>
      </c>
      <c r="N1904">
        <v>2</v>
      </c>
      <c r="O1904">
        <v>4</v>
      </c>
      <c r="P1904">
        <v>5</v>
      </c>
      <c r="Q1904">
        <v>3</v>
      </c>
      <c r="R1904">
        <v>1</v>
      </c>
      <c r="S1904">
        <v>5</v>
      </c>
      <c r="T1904">
        <v>3</v>
      </c>
      <c r="U1904" t="s">
        <v>37</v>
      </c>
      <c r="V1904" t="s">
        <v>38</v>
      </c>
      <c r="W1904" t="s">
        <v>56</v>
      </c>
      <c r="X1904" t="s">
        <v>40</v>
      </c>
      <c r="Y1904">
        <v>25</v>
      </c>
      <c r="Z1904" s="1">
        <v>45641</v>
      </c>
      <c r="AA1904" t="str" cm="1">
        <f t="array" ref="AA1904">_xlfn.IFS(AND(Table2[[#This Row],[Guest_Age]]&gt;=18,Table2[[#This Row],[Guest_Age]]&lt;=25),"Young Adults",AND(Table2[[#This Row],[Guest_Age]]&gt;=26,Table2[[#This Row],[Guest_Age]]&lt;=35),"Adults",AND(Table2[[#This Row],[Guest_Age]]&gt;=36,Table2[[#This Row],[Guest_Age]]&lt;=50),"Middle Aged Adults",Table2[[#This Row],[Guest_Age]]&gt;50,"Senior")</f>
        <v>Young Adults</v>
      </c>
      <c r="AB190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04" t="str" cm="1">
        <f t="array" ref="AC1904">_xlfn.IFS(Table2[[#This Row],[Satification_points]]&gt;=4.5,"GREAT",AND(Table2[[#This Row],[Satification_points]]&gt;=4,Table2[[#This Row],[Satification_points]]&lt;4.5),"GOOD",AND(Table2[[#This Row],[Satification_points]]&gt;=3,Table2[[#This Row],[Satification_points]]&lt;4),"AVERAGE",Table2[[#This Row],[Satification_points]]&lt;3,"POOR")</f>
        <v>POOR</v>
      </c>
    </row>
    <row r="1905" spans="1:29" x14ac:dyDescent="0.3">
      <c r="A1905">
        <v>1904</v>
      </c>
      <c r="B1905">
        <v>84706</v>
      </c>
      <c r="C1905" t="s">
        <v>1940</v>
      </c>
      <c r="D1905" t="s">
        <v>48</v>
      </c>
      <c r="E1905" t="s">
        <v>27</v>
      </c>
      <c r="F1905" s="1">
        <v>45012</v>
      </c>
      <c r="G1905" s="1">
        <v>45470</v>
      </c>
      <c r="H1905">
        <v>2</v>
      </c>
      <c r="I1905" t="s">
        <v>42</v>
      </c>
      <c r="J1905" t="s">
        <v>53</v>
      </c>
      <c r="K1905">
        <v>2</v>
      </c>
      <c r="L1905">
        <v>2</v>
      </c>
      <c r="M1905">
        <v>1</v>
      </c>
      <c r="N1905">
        <v>2</v>
      </c>
      <c r="O1905">
        <v>5</v>
      </c>
      <c r="P1905">
        <v>1</v>
      </c>
      <c r="Q1905">
        <v>2</v>
      </c>
      <c r="R1905">
        <v>2</v>
      </c>
      <c r="S1905">
        <v>5</v>
      </c>
      <c r="T1905">
        <v>3</v>
      </c>
      <c r="U1905" t="s">
        <v>37</v>
      </c>
      <c r="V1905" t="s">
        <v>38</v>
      </c>
      <c r="W1905" t="s">
        <v>55</v>
      </c>
      <c r="X1905" t="s">
        <v>33</v>
      </c>
      <c r="Y1905">
        <v>42</v>
      </c>
      <c r="Z1905" s="1">
        <v>45470</v>
      </c>
      <c r="AA1905" t="str" cm="1">
        <f t="array" ref="AA190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0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905" t="str" cm="1">
        <f t="array" ref="AC1905">_xlfn.IFS(Table2[[#This Row],[Satification_points]]&gt;=4.5,"GREAT",AND(Table2[[#This Row],[Satification_points]]&gt;=4,Table2[[#This Row],[Satification_points]]&lt;4.5),"GOOD",AND(Table2[[#This Row],[Satification_points]]&gt;=3,Table2[[#This Row],[Satification_points]]&lt;4),"AVERAGE",Table2[[#This Row],[Satification_points]]&lt;3,"POOR")</f>
        <v>POOR</v>
      </c>
    </row>
    <row r="1906" spans="1:29" x14ac:dyDescent="0.3">
      <c r="A1906">
        <v>1905</v>
      </c>
      <c r="B1906">
        <v>18706</v>
      </c>
      <c r="C1906" t="s">
        <v>1941</v>
      </c>
      <c r="D1906" t="s">
        <v>34</v>
      </c>
      <c r="E1906" t="s">
        <v>57</v>
      </c>
      <c r="F1906" s="1">
        <v>45481</v>
      </c>
      <c r="G1906" s="1">
        <v>45482</v>
      </c>
      <c r="H1906">
        <v>5</v>
      </c>
      <c r="I1906" t="s">
        <v>42</v>
      </c>
      <c r="J1906" t="s">
        <v>53</v>
      </c>
      <c r="K1906">
        <v>5</v>
      </c>
      <c r="L1906">
        <v>2</v>
      </c>
      <c r="M1906">
        <v>3</v>
      </c>
      <c r="N1906">
        <v>3</v>
      </c>
      <c r="O1906">
        <v>4</v>
      </c>
      <c r="P1906">
        <v>2</v>
      </c>
      <c r="Q1906">
        <v>3</v>
      </c>
      <c r="R1906">
        <v>4</v>
      </c>
      <c r="S1906">
        <v>3</v>
      </c>
      <c r="T1906">
        <v>4</v>
      </c>
      <c r="U1906" t="s">
        <v>37</v>
      </c>
      <c r="V1906" t="s">
        <v>46</v>
      </c>
      <c r="W1906" t="s">
        <v>56</v>
      </c>
      <c r="X1906" t="s">
        <v>44</v>
      </c>
      <c r="Y1906">
        <v>59</v>
      </c>
      <c r="Z1906" s="1">
        <v>45482</v>
      </c>
      <c r="AA1906" t="str" cm="1">
        <f t="array" ref="AA1906">_xlfn.IFS(AND(Table2[[#This Row],[Guest_Age]]&gt;=18,Table2[[#This Row],[Guest_Age]]&lt;=25),"Young Adults",AND(Table2[[#This Row],[Guest_Age]]&gt;=26,Table2[[#This Row],[Guest_Age]]&lt;=35),"Adults",AND(Table2[[#This Row],[Guest_Age]]&gt;=36,Table2[[#This Row],[Guest_Age]]&lt;=50),"Middle Aged Adults",Table2[[#This Row],[Guest_Age]]&gt;50,"Senior")</f>
        <v>Senior</v>
      </c>
      <c r="AB190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06" t="str" cm="1">
        <f t="array" ref="AC1906">_xlfn.IFS(Table2[[#This Row],[Satification_points]]&gt;=4.5,"GREAT",AND(Table2[[#This Row],[Satification_points]]&gt;=4,Table2[[#This Row],[Satification_points]]&lt;4.5),"GOOD",AND(Table2[[#This Row],[Satification_points]]&gt;=3,Table2[[#This Row],[Satification_points]]&lt;4),"AVERAGE",Table2[[#This Row],[Satification_points]]&lt;3,"POOR")</f>
        <v>AVERAGE</v>
      </c>
    </row>
    <row r="1907" spans="1:29" x14ac:dyDescent="0.3">
      <c r="A1907">
        <v>1906</v>
      </c>
      <c r="B1907">
        <v>73409</v>
      </c>
      <c r="C1907" t="s">
        <v>1942</v>
      </c>
      <c r="D1907" t="s">
        <v>41</v>
      </c>
      <c r="E1907" t="s">
        <v>52</v>
      </c>
      <c r="F1907" s="1">
        <v>45162</v>
      </c>
      <c r="G1907" s="1">
        <v>45163</v>
      </c>
      <c r="H1907">
        <v>9</v>
      </c>
      <c r="I1907" t="s">
        <v>49</v>
      </c>
      <c r="J1907" t="s">
        <v>43</v>
      </c>
      <c r="K1907">
        <v>4</v>
      </c>
      <c r="L1907">
        <v>1</v>
      </c>
      <c r="M1907">
        <v>5</v>
      </c>
      <c r="N1907">
        <v>3</v>
      </c>
      <c r="O1907">
        <v>3</v>
      </c>
      <c r="P1907">
        <v>4</v>
      </c>
      <c r="Q1907">
        <v>3</v>
      </c>
      <c r="R1907">
        <v>3</v>
      </c>
      <c r="S1907">
        <v>3</v>
      </c>
      <c r="T1907">
        <v>3</v>
      </c>
      <c r="U1907" t="s">
        <v>37</v>
      </c>
      <c r="V1907" t="s">
        <v>46</v>
      </c>
      <c r="W1907" t="s">
        <v>39</v>
      </c>
      <c r="X1907" t="s">
        <v>44</v>
      </c>
      <c r="Y1907">
        <v>59</v>
      </c>
      <c r="Z1907" s="1">
        <v>45427</v>
      </c>
      <c r="AA1907" t="str" cm="1">
        <f t="array" ref="AA1907">_xlfn.IFS(AND(Table2[[#This Row],[Guest_Age]]&gt;=18,Table2[[#This Row],[Guest_Age]]&lt;=25),"Young Adults",AND(Table2[[#This Row],[Guest_Age]]&gt;=26,Table2[[#This Row],[Guest_Age]]&lt;=35),"Adults",AND(Table2[[#This Row],[Guest_Age]]&gt;=36,Table2[[#This Row],[Guest_Age]]&lt;=50),"Middle Aged Adults",Table2[[#This Row],[Guest_Age]]&gt;50,"Senior")</f>
        <v>Senior</v>
      </c>
      <c r="AB190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07" t="str" cm="1">
        <f t="array" ref="AC1907">_xlfn.IFS(Table2[[#This Row],[Satification_points]]&gt;=4.5,"GREAT",AND(Table2[[#This Row],[Satification_points]]&gt;=4,Table2[[#This Row],[Satification_points]]&lt;4.5),"GOOD",AND(Table2[[#This Row],[Satification_points]]&gt;=3,Table2[[#This Row],[Satification_points]]&lt;4),"AVERAGE",Table2[[#This Row],[Satification_points]]&lt;3,"POOR")</f>
        <v>AVERAGE</v>
      </c>
    </row>
    <row r="1908" spans="1:29" x14ac:dyDescent="0.3">
      <c r="A1908">
        <v>1907</v>
      </c>
      <c r="B1908">
        <v>27193</v>
      </c>
      <c r="C1908" t="s">
        <v>1943</v>
      </c>
      <c r="D1908" t="s">
        <v>26</v>
      </c>
      <c r="E1908" t="s">
        <v>57</v>
      </c>
      <c r="F1908" s="1">
        <v>45341</v>
      </c>
      <c r="G1908" s="1">
        <v>45342</v>
      </c>
      <c r="H1908">
        <v>9</v>
      </c>
      <c r="I1908" t="s">
        <v>49</v>
      </c>
      <c r="J1908" t="s">
        <v>43</v>
      </c>
      <c r="K1908">
        <v>5</v>
      </c>
      <c r="L1908">
        <v>2</v>
      </c>
      <c r="M1908">
        <v>1</v>
      </c>
      <c r="N1908">
        <v>4</v>
      </c>
      <c r="O1908">
        <v>1</v>
      </c>
      <c r="P1908">
        <v>4</v>
      </c>
      <c r="Q1908">
        <v>2</v>
      </c>
      <c r="R1908">
        <v>5</v>
      </c>
      <c r="S1908">
        <v>3</v>
      </c>
      <c r="T1908">
        <v>3</v>
      </c>
      <c r="U1908" t="s">
        <v>37</v>
      </c>
      <c r="V1908" t="s">
        <v>38</v>
      </c>
      <c r="W1908" t="s">
        <v>56</v>
      </c>
      <c r="X1908" t="s">
        <v>40</v>
      </c>
      <c r="Y1908">
        <v>62</v>
      </c>
      <c r="Z1908" s="1">
        <v>45342</v>
      </c>
      <c r="AA1908" t="str" cm="1">
        <f t="array" ref="AA1908">_xlfn.IFS(AND(Table2[[#This Row],[Guest_Age]]&gt;=18,Table2[[#This Row],[Guest_Age]]&lt;=25),"Young Adults",AND(Table2[[#This Row],[Guest_Age]]&gt;=26,Table2[[#This Row],[Guest_Age]]&lt;=35),"Adults",AND(Table2[[#This Row],[Guest_Age]]&gt;=36,Table2[[#This Row],[Guest_Age]]&lt;=50),"Middle Aged Adults",Table2[[#This Row],[Guest_Age]]&gt;50,"Senior")</f>
        <v>Senior</v>
      </c>
      <c r="AB190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08" t="str" cm="1">
        <f t="array" ref="AC1908">_xlfn.IFS(Table2[[#This Row],[Satification_points]]&gt;=4.5,"GREAT",AND(Table2[[#This Row],[Satification_points]]&gt;=4,Table2[[#This Row],[Satification_points]]&lt;4.5),"GOOD",AND(Table2[[#This Row],[Satification_points]]&gt;=3,Table2[[#This Row],[Satification_points]]&lt;4),"AVERAGE",Table2[[#This Row],[Satification_points]]&lt;3,"POOR")</f>
        <v>AVERAGE</v>
      </c>
    </row>
    <row r="1909" spans="1:29" x14ac:dyDescent="0.3">
      <c r="A1909">
        <v>1908</v>
      </c>
      <c r="B1909">
        <v>82934</v>
      </c>
      <c r="C1909" t="s">
        <v>1944</v>
      </c>
      <c r="D1909" t="s">
        <v>41</v>
      </c>
      <c r="E1909" t="s">
        <v>45</v>
      </c>
      <c r="F1909" s="1">
        <v>45508</v>
      </c>
      <c r="G1909" s="1">
        <v>45509</v>
      </c>
      <c r="H1909">
        <v>2</v>
      </c>
      <c r="I1909" t="s">
        <v>50</v>
      </c>
      <c r="J1909" t="s">
        <v>29</v>
      </c>
      <c r="K1909">
        <v>5</v>
      </c>
      <c r="L1909">
        <v>2</v>
      </c>
      <c r="M1909">
        <v>4</v>
      </c>
      <c r="N1909">
        <v>3</v>
      </c>
      <c r="O1909">
        <v>1</v>
      </c>
      <c r="P1909">
        <v>5</v>
      </c>
      <c r="Q1909">
        <v>5</v>
      </c>
      <c r="R1909">
        <v>3</v>
      </c>
      <c r="S1909">
        <v>3</v>
      </c>
      <c r="T1909">
        <v>1</v>
      </c>
      <c r="U1909" t="s">
        <v>30</v>
      </c>
      <c r="V1909" t="s">
        <v>54</v>
      </c>
      <c r="W1909" t="s">
        <v>55</v>
      </c>
      <c r="X1909" t="s">
        <v>33</v>
      </c>
      <c r="Y1909">
        <v>44</v>
      </c>
      <c r="Z1909" s="1">
        <v>45509</v>
      </c>
      <c r="AA1909" t="str" cm="1">
        <f t="array" ref="AA190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0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09" t="str" cm="1">
        <f t="array" ref="AC1909">_xlfn.IFS(Table2[[#This Row],[Satification_points]]&gt;=4.5,"GREAT",AND(Table2[[#This Row],[Satification_points]]&gt;=4,Table2[[#This Row],[Satification_points]]&lt;4.5),"GOOD",AND(Table2[[#This Row],[Satification_points]]&gt;=3,Table2[[#This Row],[Satification_points]]&lt;4),"AVERAGE",Table2[[#This Row],[Satification_points]]&lt;3,"POOR")</f>
        <v>AVERAGE</v>
      </c>
    </row>
    <row r="1910" spans="1:29" x14ac:dyDescent="0.3">
      <c r="A1910">
        <v>1909</v>
      </c>
      <c r="B1910">
        <v>93366</v>
      </c>
      <c r="C1910" t="s">
        <v>1945</v>
      </c>
      <c r="D1910" t="s">
        <v>41</v>
      </c>
      <c r="E1910" t="s">
        <v>45</v>
      </c>
      <c r="F1910" s="1">
        <v>45282</v>
      </c>
      <c r="G1910" s="1">
        <v>45652</v>
      </c>
      <c r="H1910">
        <v>14</v>
      </c>
      <c r="I1910" t="s">
        <v>50</v>
      </c>
      <c r="J1910" t="s">
        <v>53</v>
      </c>
      <c r="K1910">
        <v>5</v>
      </c>
      <c r="L1910">
        <v>3</v>
      </c>
      <c r="M1910">
        <v>4</v>
      </c>
      <c r="N1910">
        <v>3</v>
      </c>
      <c r="O1910">
        <v>5</v>
      </c>
      <c r="P1910">
        <v>2</v>
      </c>
      <c r="Q1910">
        <v>1</v>
      </c>
      <c r="R1910">
        <v>4</v>
      </c>
      <c r="S1910">
        <v>5</v>
      </c>
      <c r="T1910">
        <v>5</v>
      </c>
      <c r="U1910" t="s">
        <v>30</v>
      </c>
      <c r="V1910" t="s">
        <v>31</v>
      </c>
      <c r="W1910" t="s">
        <v>39</v>
      </c>
      <c r="X1910" t="s">
        <v>44</v>
      </c>
      <c r="Y1910">
        <v>39</v>
      </c>
      <c r="Z1910" s="1">
        <v>45652</v>
      </c>
      <c r="AA1910" t="str" cm="1">
        <f t="array" ref="AA191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1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910" t="str" cm="1">
        <f t="array" ref="AC1910">_xlfn.IFS(Table2[[#This Row],[Satification_points]]&gt;=4.5,"GREAT",AND(Table2[[#This Row],[Satification_points]]&gt;=4,Table2[[#This Row],[Satification_points]]&lt;4.5),"GOOD",AND(Table2[[#This Row],[Satification_points]]&gt;=3,Table2[[#This Row],[Satification_points]]&lt;4),"AVERAGE",Table2[[#This Row],[Satification_points]]&lt;3,"POOR")</f>
        <v>AVERAGE</v>
      </c>
    </row>
    <row r="1911" spans="1:29" x14ac:dyDescent="0.3">
      <c r="A1911">
        <v>1910</v>
      </c>
      <c r="B1911">
        <v>26852</v>
      </c>
      <c r="C1911" t="s">
        <v>1946</v>
      </c>
      <c r="D1911" t="s">
        <v>51</v>
      </c>
      <c r="E1911" t="s">
        <v>45</v>
      </c>
      <c r="F1911" s="1">
        <v>45569</v>
      </c>
      <c r="G1911" s="1">
        <v>45570</v>
      </c>
      <c r="H1911">
        <v>11</v>
      </c>
      <c r="I1911" t="s">
        <v>49</v>
      </c>
      <c r="J1911" t="s">
        <v>36</v>
      </c>
      <c r="K1911">
        <v>3</v>
      </c>
      <c r="L1911">
        <v>3</v>
      </c>
      <c r="M1911">
        <v>2</v>
      </c>
      <c r="N1911">
        <v>1</v>
      </c>
      <c r="O1911">
        <v>3</v>
      </c>
      <c r="P1911">
        <v>2</v>
      </c>
      <c r="Q1911">
        <v>2</v>
      </c>
      <c r="R1911">
        <v>5</v>
      </c>
      <c r="S1911">
        <v>5</v>
      </c>
      <c r="T1911">
        <v>5</v>
      </c>
      <c r="U1911" t="s">
        <v>37</v>
      </c>
      <c r="V1911" t="s">
        <v>31</v>
      </c>
      <c r="W1911" t="s">
        <v>39</v>
      </c>
      <c r="X1911" t="s">
        <v>33</v>
      </c>
      <c r="Y1911">
        <v>20</v>
      </c>
      <c r="Z1911" s="1">
        <v>45570</v>
      </c>
      <c r="AA1911" t="str" cm="1">
        <f t="array" ref="AA1911">_xlfn.IFS(AND(Table2[[#This Row],[Guest_Age]]&gt;=18,Table2[[#This Row],[Guest_Age]]&lt;=25),"Young Adults",AND(Table2[[#This Row],[Guest_Age]]&gt;=26,Table2[[#This Row],[Guest_Age]]&lt;=35),"Adults",AND(Table2[[#This Row],[Guest_Age]]&gt;=36,Table2[[#This Row],[Guest_Age]]&lt;=50),"Middle Aged Adults",Table2[[#This Row],[Guest_Age]]&gt;50,"Senior")</f>
        <v>Young Adults</v>
      </c>
      <c r="AB191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11" t="str" cm="1">
        <f t="array" ref="AC1911">_xlfn.IFS(Table2[[#This Row],[Satification_points]]&gt;=4.5,"GREAT",AND(Table2[[#This Row],[Satification_points]]&gt;=4,Table2[[#This Row],[Satification_points]]&lt;4.5),"GOOD",AND(Table2[[#This Row],[Satification_points]]&gt;=3,Table2[[#This Row],[Satification_points]]&lt;4),"AVERAGE",Table2[[#This Row],[Satification_points]]&lt;3,"POOR")</f>
        <v>AVERAGE</v>
      </c>
    </row>
    <row r="1912" spans="1:29" x14ac:dyDescent="0.3">
      <c r="A1912">
        <v>1911</v>
      </c>
      <c r="B1912">
        <v>27013</v>
      </c>
      <c r="C1912" t="s">
        <v>1947</v>
      </c>
      <c r="D1912" t="s">
        <v>48</v>
      </c>
      <c r="E1912" t="s">
        <v>52</v>
      </c>
      <c r="F1912" s="1">
        <v>45570</v>
      </c>
      <c r="G1912" s="1">
        <v>45571</v>
      </c>
      <c r="H1912">
        <v>2</v>
      </c>
      <c r="I1912" t="s">
        <v>50</v>
      </c>
      <c r="J1912" t="s">
        <v>29</v>
      </c>
      <c r="K1912">
        <v>2</v>
      </c>
      <c r="L1912">
        <v>1</v>
      </c>
      <c r="M1912">
        <v>2</v>
      </c>
      <c r="N1912">
        <v>4</v>
      </c>
      <c r="O1912">
        <v>3</v>
      </c>
      <c r="P1912">
        <v>1</v>
      </c>
      <c r="Q1912">
        <v>1</v>
      </c>
      <c r="R1912">
        <v>4</v>
      </c>
      <c r="S1912">
        <v>3</v>
      </c>
      <c r="T1912">
        <v>2</v>
      </c>
      <c r="U1912" t="s">
        <v>37</v>
      </c>
      <c r="V1912" t="s">
        <v>54</v>
      </c>
      <c r="W1912" t="s">
        <v>47</v>
      </c>
      <c r="X1912" t="s">
        <v>33</v>
      </c>
      <c r="Y1912">
        <v>66</v>
      </c>
      <c r="Z1912" s="1">
        <v>45571</v>
      </c>
      <c r="AA1912" t="str" cm="1">
        <f t="array" ref="AA1912">_xlfn.IFS(AND(Table2[[#This Row],[Guest_Age]]&gt;=18,Table2[[#This Row],[Guest_Age]]&lt;=25),"Young Adults",AND(Table2[[#This Row],[Guest_Age]]&gt;=26,Table2[[#This Row],[Guest_Age]]&lt;=35),"Adults",AND(Table2[[#This Row],[Guest_Age]]&gt;=36,Table2[[#This Row],[Guest_Age]]&lt;=50),"Middle Aged Adults",Table2[[#This Row],[Guest_Age]]&gt;50,"Senior")</f>
        <v>Senior</v>
      </c>
      <c r="AB191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912" t="str" cm="1">
        <f t="array" ref="AC1912">_xlfn.IFS(Table2[[#This Row],[Satification_points]]&gt;=4.5,"GREAT",AND(Table2[[#This Row],[Satification_points]]&gt;=4,Table2[[#This Row],[Satification_points]]&lt;4.5),"GOOD",AND(Table2[[#This Row],[Satification_points]]&gt;=3,Table2[[#This Row],[Satification_points]]&lt;4),"AVERAGE",Table2[[#This Row],[Satification_points]]&lt;3,"POOR")</f>
        <v>POOR</v>
      </c>
    </row>
    <row r="1913" spans="1:29" x14ac:dyDescent="0.3">
      <c r="A1913">
        <v>1912</v>
      </c>
      <c r="B1913">
        <v>95302</v>
      </c>
      <c r="C1913" t="s">
        <v>1948</v>
      </c>
      <c r="D1913" t="s">
        <v>34</v>
      </c>
      <c r="E1913" t="s">
        <v>35</v>
      </c>
      <c r="F1913" s="1">
        <v>45174</v>
      </c>
      <c r="G1913" s="1">
        <v>45637</v>
      </c>
      <c r="H1913">
        <v>5</v>
      </c>
      <c r="I1913" t="s">
        <v>49</v>
      </c>
      <c r="J1913" t="s">
        <v>40</v>
      </c>
      <c r="K1913">
        <v>5</v>
      </c>
      <c r="L1913">
        <v>3</v>
      </c>
      <c r="M1913">
        <v>2</v>
      </c>
      <c r="N1913">
        <v>4</v>
      </c>
      <c r="O1913">
        <v>3</v>
      </c>
      <c r="P1913">
        <v>2</v>
      </c>
      <c r="Q1913">
        <v>3</v>
      </c>
      <c r="R1913">
        <v>3</v>
      </c>
      <c r="S1913">
        <v>5</v>
      </c>
      <c r="T1913">
        <v>2</v>
      </c>
      <c r="U1913" t="s">
        <v>37</v>
      </c>
      <c r="V1913" t="s">
        <v>31</v>
      </c>
      <c r="W1913" t="s">
        <v>32</v>
      </c>
      <c r="X1913" t="s">
        <v>33</v>
      </c>
      <c r="Y1913">
        <v>64</v>
      </c>
      <c r="Z1913" s="1">
        <v>45637</v>
      </c>
      <c r="AA1913" t="str" cm="1">
        <f t="array" ref="AA1913">_xlfn.IFS(AND(Table2[[#This Row],[Guest_Age]]&gt;=18,Table2[[#This Row],[Guest_Age]]&lt;=25),"Young Adults",AND(Table2[[#This Row],[Guest_Age]]&gt;=26,Table2[[#This Row],[Guest_Age]]&lt;=35),"Adults",AND(Table2[[#This Row],[Guest_Age]]&gt;=36,Table2[[#This Row],[Guest_Age]]&lt;=50),"Middle Aged Adults",Table2[[#This Row],[Guest_Age]]&gt;50,"Senior")</f>
        <v>Senior</v>
      </c>
      <c r="AB191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13" t="str" cm="1">
        <f t="array" ref="AC1913">_xlfn.IFS(Table2[[#This Row],[Satification_points]]&gt;=4.5,"GREAT",AND(Table2[[#This Row],[Satification_points]]&gt;=4,Table2[[#This Row],[Satification_points]]&lt;4.5),"GOOD",AND(Table2[[#This Row],[Satification_points]]&gt;=3,Table2[[#This Row],[Satification_points]]&lt;4),"AVERAGE",Table2[[#This Row],[Satification_points]]&lt;3,"POOR")</f>
        <v>AVERAGE</v>
      </c>
    </row>
    <row r="1914" spans="1:29" x14ac:dyDescent="0.3">
      <c r="A1914">
        <v>1913</v>
      </c>
      <c r="B1914">
        <v>16538</v>
      </c>
      <c r="C1914" t="s">
        <v>1949</v>
      </c>
      <c r="D1914" t="s">
        <v>34</v>
      </c>
      <c r="E1914" t="s">
        <v>35</v>
      </c>
      <c r="F1914" s="1">
        <v>45593</v>
      </c>
      <c r="G1914" s="1">
        <v>45594</v>
      </c>
      <c r="H1914">
        <v>3</v>
      </c>
      <c r="I1914" t="s">
        <v>28</v>
      </c>
      <c r="J1914" t="s">
        <v>53</v>
      </c>
      <c r="K1914">
        <v>1</v>
      </c>
      <c r="L1914">
        <v>2</v>
      </c>
      <c r="M1914">
        <v>1</v>
      </c>
      <c r="N1914">
        <v>1</v>
      </c>
      <c r="O1914">
        <v>2</v>
      </c>
      <c r="P1914">
        <v>3</v>
      </c>
      <c r="Q1914">
        <v>5</v>
      </c>
      <c r="R1914">
        <v>3</v>
      </c>
      <c r="S1914">
        <v>3</v>
      </c>
      <c r="T1914">
        <v>4</v>
      </c>
      <c r="U1914" t="s">
        <v>37</v>
      </c>
      <c r="V1914" t="s">
        <v>46</v>
      </c>
      <c r="W1914" t="s">
        <v>32</v>
      </c>
      <c r="X1914" t="s">
        <v>40</v>
      </c>
      <c r="Y1914">
        <v>55</v>
      </c>
      <c r="Z1914" s="1">
        <v>45594</v>
      </c>
      <c r="AA1914" t="str" cm="1">
        <f t="array" ref="AA1914">_xlfn.IFS(AND(Table2[[#This Row],[Guest_Age]]&gt;=18,Table2[[#This Row],[Guest_Age]]&lt;=25),"Young Adults",AND(Table2[[#This Row],[Guest_Age]]&gt;=26,Table2[[#This Row],[Guest_Age]]&lt;=35),"Adults",AND(Table2[[#This Row],[Guest_Age]]&gt;=36,Table2[[#This Row],[Guest_Age]]&lt;=50),"Middle Aged Adults",Table2[[#This Row],[Guest_Age]]&gt;50,"Senior")</f>
        <v>Senior</v>
      </c>
      <c r="AB191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914" t="str" cm="1">
        <f t="array" ref="AC1914">_xlfn.IFS(Table2[[#This Row],[Satification_points]]&gt;=4.5,"GREAT",AND(Table2[[#This Row],[Satification_points]]&gt;=4,Table2[[#This Row],[Satification_points]]&lt;4.5),"GOOD",AND(Table2[[#This Row],[Satification_points]]&gt;=3,Table2[[#This Row],[Satification_points]]&lt;4),"AVERAGE",Table2[[#This Row],[Satification_points]]&lt;3,"POOR")</f>
        <v>POOR</v>
      </c>
    </row>
    <row r="1915" spans="1:29" x14ac:dyDescent="0.3">
      <c r="A1915">
        <v>1914</v>
      </c>
      <c r="B1915">
        <v>60377</v>
      </c>
      <c r="C1915" t="s">
        <v>1950</v>
      </c>
      <c r="D1915" t="s">
        <v>48</v>
      </c>
      <c r="E1915" t="s">
        <v>57</v>
      </c>
      <c r="F1915" s="1">
        <v>45527</v>
      </c>
      <c r="G1915" s="1">
        <v>45618</v>
      </c>
      <c r="H1915">
        <v>13</v>
      </c>
      <c r="I1915" t="s">
        <v>50</v>
      </c>
      <c r="J1915" t="s">
        <v>43</v>
      </c>
      <c r="K1915">
        <v>3</v>
      </c>
      <c r="L1915">
        <v>3</v>
      </c>
      <c r="M1915">
        <v>3</v>
      </c>
      <c r="N1915">
        <v>2</v>
      </c>
      <c r="O1915">
        <v>1</v>
      </c>
      <c r="P1915">
        <v>4</v>
      </c>
      <c r="Q1915">
        <v>2</v>
      </c>
      <c r="R1915">
        <v>2</v>
      </c>
      <c r="S1915">
        <v>2</v>
      </c>
      <c r="T1915">
        <v>2</v>
      </c>
      <c r="U1915" t="s">
        <v>30</v>
      </c>
      <c r="V1915" t="s">
        <v>31</v>
      </c>
      <c r="W1915" t="s">
        <v>32</v>
      </c>
      <c r="X1915" t="s">
        <v>40</v>
      </c>
      <c r="Y1915">
        <v>66</v>
      </c>
      <c r="Z1915" s="1">
        <v>45618</v>
      </c>
      <c r="AA1915" t="str" cm="1">
        <f t="array" ref="AA1915">_xlfn.IFS(AND(Table2[[#This Row],[Guest_Age]]&gt;=18,Table2[[#This Row],[Guest_Age]]&lt;=25),"Young Adults",AND(Table2[[#This Row],[Guest_Age]]&gt;=26,Table2[[#This Row],[Guest_Age]]&lt;=35),"Adults",AND(Table2[[#This Row],[Guest_Age]]&gt;=36,Table2[[#This Row],[Guest_Age]]&lt;=50),"Middle Aged Adults",Table2[[#This Row],[Guest_Age]]&gt;50,"Senior")</f>
        <v>Senior</v>
      </c>
      <c r="AB191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15" t="str" cm="1">
        <f t="array" ref="AC1915">_xlfn.IFS(Table2[[#This Row],[Satification_points]]&gt;=4.5,"GREAT",AND(Table2[[#This Row],[Satification_points]]&gt;=4,Table2[[#This Row],[Satification_points]]&lt;4.5),"GOOD",AND(Table2[[#This Row],[Satification_points]]&gt;=3,Table2[[#This Row],[Satification_points]]&lt;4),"AVERAGE",Table2[[#This Row],[Satification_points]]&lt;3,"POOR")</f>
        <v>POOR</v>
      </c>
    </row>
    <row r="1916" spans="1:29" x14ac:dyDescent="0.3">
      <c r="A1916">
        <v>1915</v>
      </c>
      <c r="B1916">
        <v>57645</v>
      </c>
      <c r="C1916" t="s">
        <v>1951</v>
      </c>
      <c r="D1916" t="s">
        <v>41</v>
      </c>
      <c r="E1916" t="s">
        <v>35</v>
      </c>
      <c r="F1916" s="1">
        <v>45155</v>
      </c>
      <c r="G1916" s="1">
        <v>45527</v>
      </c>
      <c r="H1916">
        <v>1</v>
      </c>
      <c r="I1916" t="s">
        <v>42</v>
      </c>
      <c r="J1916" t="s">
        <v>43</v>
      </c>
      <c r="K1916">
        <v>5</v>
      </c>
      <c r="L1916">
        <v>5</v>
      </c>
      <c r="M1916">
        <v>2</v>
      </c>
      <c r="N1916">
        <v>1</v>
      </c>
      <c r="O1916">
        <v>3</v>
      </c>
      <c r="P1916">
        <v>3</v>
      </c>
      <c r="Q1916">
        <v>5</v>
      </c>
      <c r="R1916">
        <v>4</v>
      </c>
      <c r="S1916">
        <v>3</v>
      </c>
      <c r="T1916">
        <v>1</v>
      </c>
      <c r="U1916" t="s">
        <v>37</v>
      </c>
      <c r="V1916" t="s">
        <v>31</v>
      </c>
      <c r="W1916" t="s">
        <v>55</v>
      </c>
      <c r="X1916" t="s">
        <v>40</v>
      </c>
      <c r="Y1916">
        <v>41</v>
      </c>
      <c r="Z1916" s="1">
        <v>45527</v>
      </c>
      <c r="AA1916" t="str" cm="1">
        <f t="array" ref="AA191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1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16" t="str" cm="1">
        <f t="array" ref="AC1916">_xlfn.IFS(Table2[[#This Row],[Satification_points]]&gt;=4.5,"GREAT",AND(Table2[[#This Row],[Satification_points]]&gt;=4,Table2[[#This Row],[Satification_points]]&lt;4.5),"GOOD",AND(Table2[[#This Row],[Satification_points]]&gt;=3,Table2[[#This Row],[Satification_points]]&lt;4),"AVERAGE",Table2[[#This Row],[Satification_points]]&lt;3,"POOR")</f>
        <v>AVERAGE</v>
      </c>
    </row>
    <row r="1917" spans="1:29" x14ac:dyDescent="0.3">
      <c r="A1917">
        <v>1916</v>
      </c>
      <c r="B1917">
        <v>31867</v>
      </c>
      <c r="C1917" t="s">
        <v>1952</v>
      </c>
      <c r="D1917" t="s">
        <v>48</v>
      </c>
      <c r="E1917" t="s">
        <v>35</v>
      </c>
      <c r="F1917" s="1">
        <v>45465</v>
      </c>
      <c r="G1917" s="1">
        <v>45466</v>
      </c>
      <c r="H1917">
        <v>11</v>
      </c>
      <c r="I1917" t="s">
        <v>28</v>
      </c>
      <c r="J1917" t="s">
        <v>43</v>
      </c>
      <c r="K1917">
        <v>5</v>
      </c>
      <c r="L1917">
        <v>3</v>
      </c>
      <c r="M1917">
        <v>5</v>
      </c>
      <c r="N1917">
        <v>1</v>
      </c>
      <c r="O1917">
        <v>5</v>
      </c>
      <c r="P1917">
        <v>3</v>
      </c>
      <c r="Q1917">
        <v>2</v>
      </c>
      <c r="R1917">
        <v>1</v>
      </c>
      <c r="S1917">
        <v>3</v>
      </c>
      <c r="T1917">
        <v>2</v>
      </c>
      <c r="U1917" t="s">
        <v>37</v>
      </c>
      <c r="V1917" t="s">
        <v>46</v>
      </c>
      <c r="W1917" t="s">
        <v>56</v>
      </c>
      <c r="X1917" t="s">
        <v>44</v>
      </c>
      <c r="Y1917">
        <v>50</v>
      </c>
      <c r="Z1917" s="1">
        <v>45466</v>
      </c>
      <c r="AA1917" t="str" cm="1">
        <f t="array" ref="AA191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1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17" t="str" cm="1">
        <f t="array" ref="AC1917">_xlfn.IFS(Table2[[#This Row],[Satification_points]]&gt;=4.5,"GREAT",AND(Table2[[#This Row],[Satification_points]]&gt;=4,Table2[[#This Row],[Satification_points]]&lt;4.5),"GOOD",AND(Table2[[#This Row],[Satification_points]]&gt;=3,Table2[[#This Row],[Satification_points]]&lt;4),"AVERAGE",Table2[[#This Row],[Satification_points]]&lt;3,"POOR")</f>
        <v>AVERAGE</v>
      </c>
    </row>
    <row r="1918" spans="1:29" x14ac:dyDescent="0.3">
      <c r="A1918">
        <v>1917</v>
      </c>
      <c r="B1918">
        <v>88070</v>
      </c>
      <c r="C1918" t="s">
        <v>1953</v>
      </c>
      <c r="D1918" t="s">
        <v>48</v>
      </c>
      <c r="E1918" t="s">
        <v>57</v>
      </c>
      <c r="F1918" s="1">
        <v>45287</v>
      </c>
      <c r="G1918" s="1">
        <v>45370</v>
      </c>
      <c r="H1918">
        <v>13</v>
      </c>
      <c r="I1918" t="s">
        <v>28</v>
      </c>
      <c r="J1918" t="s">
        <v>53</v>
      </c>
      <c r="K1918">
        <v>2</v>
      </c>
      <c r="L1918">
        <v>1</v>
      </c>
      <c r="M1918">
        <v>4</v>
      </c>
      <c r="N1918">
        <v>1</v>
      </c>
      <c r="O1918">
        <v>2</v>
      </c>
      <c r="P1918">
        <v>1</v>
      </c>
      <c r="Q1918">
        <v>4</v>
      </c>
      <c r="R1918">
        <v>4</v>
      </c>
      <c r="S1918">
        <v>2</v>
      </c>
      <c r="T1918">
        <v>3</v>
      </c>
      <c r="U1918" t="s">
        <v>30</v>
      </c>
      <c r="V1918" t="s">
        <v>58</v>
      </c>
      <c r="W1918" t="s">
        <v>32</v>
      </c>
      <c r="X1918" t="s">
        <v>33</v>
      </c>
      <c r="Y1918">
        <v>52</v>
      </c>
      <c r="Z1918" s="1">
        <v>45441</v>
      </c>
      <c r="AA1918" t="str" cm="1">
        <f t="array" ref="AA1918">_xlfn.IFS(AND(Table2[[#This Row],[Guest_Age]]&gt;=18,Table2[[#This Row],[Guest_Age]]&lt;=25),"Young Adults",AND(Table2[[#This Row],[Guest_Age]]&gt;=26,Table2[[#This Row],[Guest_Age]]&lt;=35),"Adults",AND(Table2[[#This Row],[Guest_Age]]&gt;=36,Table2[[#This Row],[Guest_Age]]&lt;=50),"Middle Aged Adults",Table2[[#This Row],[Guest_Age]]&gt;50,"Senior")</f>
        <v>Senior</v>
      </c>
      <c r="AB191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18" t="str" cm="1">
        <f t="array" ref="AC1918">_xlfn.IFS(Table2[[#This Row],[Satification_points]]&gt;=4.5,"GREAT",AND(Table2[[#This Row],[Satification_points]]&gt;=4,Table2[[#This Row],[Satification_points]]&lt;4.5),"GOOD",AND(Table2[[#This Row],[Satification_points]]&gt;=3,Table2[[#This Row],[Satification_points]]&lt;4),"AVERAGE",Table2[[#This Row],[Satification_points]]&lt;3,"POOR")</f>
        <v>POOR</v>
      </c>
    </row>
    <row r="1919" spans="1:29" x14ac:dyDescent="0.3">
      <c r="A1919">
        <v>1918</v>
      </c>
      <c r="B1919">
        <v>93536</v>
      </c>
      <c r="C1919" t="s">
        <v>1954</v>
      </c>
      <c r="D1919" t="s">
        <v>26</v>
      </c>
      <c r="E1919" t="s">
        <v>57</v>
      </c>
      <c r="F1919" s="1">
        <v>45101</v>
      </c>
      <c r="G1919" s="1">
        <v>45369</v>
      </c>
      <c r="H1919">
        <v>1</v>
      </c>
      <c r="I1919" t="s">
        <v>50</v>
      </c>
      <c r="J1919" t="s">
        <v>36</v>
      </c>
      <c r="K1919">
        <v>3</v>
      </c>
      <c r="L1919">
        <v>2</v>
      </c>
      <c r="M1919">
        <v>4</v>
      </c>
      <c r="N1919">
        <v>3</v>
      </c>
      <c r="O1919">
        <v>3</v>
      </c>
      <c r="P1919">
        <v>2</v>
      </c>
      <c r="Q1919">
        <v>2</v>
      </c>
      <c r="R1919">
        <v>4</v>
      </c>
      <c r="S1919">
        <v>1</v>
      </c>
      <c r="T1919">
        <v>2</v>
      </c>
      <c r="U1919" t="s">
        <v>30</v>
      </c>
      <c r="V1919" t="s">
        <v>38</v>
      </c>
      <c r="W1919" t="s">
        <v>56</v>
      </c>
      <c r="X1919" t="s">
        <v>40</v>
      </c>
      <c r="Y1919">
        <v>57</v>
      </c>
      <c r="Z1919" s="1">
        <v>45635</v>
      </c>
      <c r="AA1919" t="str" cm="1">
        <f t="array" ref="AA1919">_xlfn.IFS(AND(Table2[[#This Row],[Guest_Age]]&gt;=18,Table2[[#This Row],[Guest_Age]]&lt;=25),"Young Adults",AND(Table2[[#This Row],[Guest_Age]]&gt;=26,Table2[[#This Row],[Guest_Age]]&lt;=35),"Adults",AND(Table2[[#This Row],[Guest_Age]]&gt;=36,Table2[[#This Row],[Guest_Age]]&lt;=50),"Middle Aged Adults",Table2[[#This Row],[Guest_Age]]&gt;50,"Senior")</f>
        <v>Senior</v>
      </c>
      <c r="AB191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19" t="str" cm="1">
        <f t="array" ref="AC1919">_xlfn.IFS(Table2[[#This Row],[Satification_points]]&gt;=4.5,"GREAT",AND(Table2[[#This Row],[Satification_points]]&gt;=4,Table2[[#This Row],[Satification_points]]&lt;4.5),"GOOD",AND(Table2[[#This Row],[Satification_points]]&gt;=3,Table2[[#This Row],[Satification_points]]&lt;4),"AVERAGE",Table2[[#This Row],[Satification_points]]&lt;3,"POOR")</f>
        <v>POOR</v>
      </c>
    </row>
    <row r="1920" spans="1:29" x14ac:dyDescent="0.3">
      <c r="A1920">
        <v>1919</v>
      </c>
      <c r="B1920">
        <v>46085</v>
      </c>
      <c r="C1920" t="s">
        <v>206</v>
      </c>
      <c r="D1920" t="s">
        <v>26</v>
      </c>
      <c r="E1920" t="s">
        <v>57</v>
      </c>
      <c r="F1920" s="1">
        <v>45300</v>
      </c>
      <c r="G1920" s="1">
        <v>45301</v>
      </c>
      <c r="H1920">
        <v>5</v>
      </c>
      <c r="I1920" t="s">
        <v>49</v>
      </c>
      <c r="J1920" t="s">
        <v>43</v>
      </c>
      <c r="K1920">
        <v>5</v>
      </c>
      <c r="L1920">
        <v>2</v>
      </c>
      <c r="M1920">
        <v>5</v>
      </c>
      <c r="N1920">
        <v>1</v>
      </c>
      <c r="O1920">
        <v>1</v>
      </c>
      <c r="P1920">
        <v>1</v>
      </c>
      <c r="Q1920">
        <v>1</v>
      </c>
      <c r="R1920">
        <v>5</v>
      </c>
      <c r="S1920">
        <v>4</v>
      </c>
      <c r="T1920">
        <v>2</v>
      </c>
      <c r="U1920" t="s">
        <v>30</v>
      </c>
      <c r="V1920" t="s">
        <v>31</v>
      </c>
      <c r="W1920" t="s">
        <v>32</v>
      </c>
      <c r="X1920" t="s">
        <v>33</v>
      </c>
      <c r="Y1920">
        <v>46</v>
      </c>
      <c r="Z1920" s="1">
        <v>45301</v>
      </c>
      <c r="AA1920" t="str" cm="1">
        <f t="array" ref="AA192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2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20" t="str" cm="1">
        <f t="array" ref="AC1920">_xlfn.IFS(Table2[[#This Row],[Satification_points]]&gt;=4.5,"GREAT",AND(Table2[[#This Row],[Satification_points]]&gt;=4,Table2[[#This Row],[Satification_points]]&lt;4.5),"GOOD",AND(Table2[[#This Row],[Satification_points]]&gt;=3,Table2[[#This Row],[Satification_points]]&lt;4),"AVERAGE",Table2[[#This Row],[Satification_points]]&lt;3,"POOR")</f>
        <v>POOR</v>
      </c>
    </row>
    <row r="1921" spans="1:29" x14ac:dyDescent="0.3">
      <c r="A1921">
        <v>1920</v>
      </c>
      <c r="B1921">
        <v>99271</v>
      </c>
      <c r="C1921" t="s">
        <v>1955</v>
      </c>
      <c r="D1921" t="s">
        <v>41</v>
      </c>
      <c r="E1921" t="s">
        <v>52</v>
      </c>
      <c r="F1921" s="1">
        <v>44987</v>
      </c>
      <c r="G1921" s="1">
        <v>45603</v>
      </c>
      <c r="H1921">
        <v>3</v>
      </c>
      <c r="I1921" t="s">
        <v>42</v>
      </c>
      <c r="J1921" t="s">
        <v>53</v>
      </c>
      <c r="K1921">
        <v>5</v>
      </c>
      <c r="L1921">
        <v>1</v>
      </c>
      <c r="M1921">
        <v>4</v>
      </c>
      <c r="N1921">
        <v>5</v>
      </c>
      <c r="O1921">
        <v>2</v>
      </c>
      <c r="P1921">
        <v>4</v>
      </c>
      <c r="Q1921">
        <v>4</v>
      </c>
      <c r="R1921">
        <v>5</v>
      </c>
      <c r="S1921">
        <v>3</v>
      </c>
      <c r="T1921">
        <v>3</v>
      </c>
      <c r="U1921" t="s">
        <v>30</v>
      </c>
      <c r="V1921" t="s">
        <v>38</v>
      </c>
      <c r="W1921" t="s">
        <v>47</v>
      </c>
      <c r="X1921" t="s">
        <v>33</v>
      </c>
      <c r="Y1921">
        <v>25</v>
      </c>
      <c r="Z1921" s="1">
        <v>45607</v>
      </c>
      <c r="AA1921" t="str" cm="1">
        <f t="array" ref="AA1921">_xlfn.IFS(AND(Table2[[#This Row],[Guest_Age]]&gt;=18,Table2[[#This Row],[Guest_Age]]&lt;=25),"Young Adults",AND(Table2[[#This Row],[Guest_Age]]&gt;=26,Table2[[#This Row],[Guest_Age]]&lt;=35),"Adults",AND(Table2[[#This Row],[Guest_Age]]&gt;=36,Table2[[#This Row],[Guest_Age]]&lt;=50),"Middle Aged Adults",Table2[[#This Row],[Guest_Age]]&gt;50,"Senior")</f>
        <v>Young Adults</v>
      </c>
      <c r="AB192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921" t="str" cm="1">
        <f t="array" ref="AC1921">_xlfn.IFS(Table2[[#This Row],[Satification_points]]&gt;=4.5,"GREAT",AND(Table2[[#This Row],[Satification_points]]&gt;=4,Table2[[#This Row],[Satification_points]]&lt;4.5),"GOOD",AND(Table2[[#This Row],[Satification_points]]&gt;=3,Table2[[#This Row],[Satification_points]]&lt;4),"AVERAGE",Table2[[#This Row],[Satification_points]]&lt;3,"POOR")</f>
        <v>AVERAGE</v>
      </c>
    </row>
    <row r="1922" spans="1:29" x14ac:dyDescent="0.3">
      <c r="A1922">
        <v>1921</v>
      </c>
      <c r="B1922">
        <v>99500</v>
      </c>
      <c r="C1922" t="s">
        <v>1956</v>
      </c>
      <c r="D1922" t="s">
        <v>51</v>
      </c>
      <c r="E1922" t="s">
        <v>57</v>
      </c>
      <c r="F1922" s="1">
        <v>45096</v>
      </c>
      <c r="G1922" s="1">
        <v>45440</v>
      </c>
      <c r="H1922">
        <v>9</v>
      </c>
      <c r="I1922" t="s">
        <v>49</v>
      </c>
      <c r="J1922" t="s">
        <v>40</v>
      </c>
      <c r="K1922">
        <v>4</v>
      </c>
      <c r="L1922">
        <v>3</v>
      </c>
      <c r="M1922">
        <v>1</v>
      </c>
      <c r="N1922">
        <v>1</v>
      </c>
      <c r="O1922">
        <v>4</v>
      </c>
      <c r="P1922">
        <v>1</v>
      </c>
      <c r="Q1922">
        <v>3</v>
      </c>
      <c r="R1922">
        <v>2</v>
      </c>
      <c r="S1922">
        <v>2</v>
      </c>
      <c r="T1922">
        <v>1</v>
      </c>
      <c r="U1922" t="s">
        <v>30</v>
      </c>
      <c r="V1922" t="s">
        <v>38</v>
      </c>
      <c r="W1922" t="s">
        <v>56</v>
      </c>
      <c r="X1922" t="s">
        <v>40</v>
      </c>
      <c r="Y1922">
        <v>28</v>
      </c>
      <c r="Z1922" s="1">
        <v>45440</v>
      </c>
      <c r="AA1922" t="str" cm="1">
        <f t="array" ref="AA1922">_xlfn.IFS(AND(Table2[[#This Row],[Guest_Age]]&gt;=18,Table2[[#This Row],[Guest_Age]]&lt;=25),"Young Adults",AND(Table2[[#This Row],[Guest_Age]]&gt;=26,Table2[[#This Row],[Guest_Age]]&lt;=35),"Adults",AND(Table2[[#This Row],[Guest_Age]]&gt;=36,Table2[[#This Row],[Guest_Age]]&lt;=50),"Middle Aged Adults",Table2[[#This Row],[Guest_Age]]&gt;50,"Senior")</f>
        <v>Adults</v>
      </c>
      <c r="AB192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2.2000000000000002</v>
      </c>
      <c r="AC1922" t="str" cm="1">
        <f t="array" ref="AC1922">_xlfn.IFS(Table2[[#This Row],[Satification_points]]&gt;=4.5,"GREAT",AND(Table2[[#This Row],[Satification_points]]&gt;=4,Table2[[#This Row],[Satification_points]]&lt;4.5),"GOOD",AND(Table2[[#This Row],[Satification_points]]&gt;=3,Table2[[#This Row],[Satification_points]]&lt;4),"AVERAGE",Table2[[#This Row],[Satification_points]]&lt;3,"POOR")</f>
        <v>POOR</v>
      </c>
    </row>
    <row r="1923" spans="1:29" x14ac:dyDescent="0.3">
      <c r="A1923">
        <v>1922</v>
      </c>
      <c r="B1923">
        <v>63792</v>
      </c>
      <c r="C1923" t="s">
        <v>1957</v>
      </c>
      <c r="D1923" t="s">
        <v>34</v>
      </c>
      <c r="E1923" t="s">
        <v>52</v>
      </c>
      <c r="F1923" s="1">
        <v>45433</v>
      </c>
      <c r="G1923" s="1">
        <v>45434</v>
      </c>
      <c r="H1923">
        <v>13</v>
      </c>
      <c r="I1923" t="s">
        <v>50</v>
      </c>
      <c r="J1923" t="s">
        <v>29</v>
      </c>
      <c r="K1923">
        <v>1</v>
      </c>
      <c r="L1923">
        <v>2</v>
      </c>
      <c r="M1923">
        <v>5</v>
      </c>
      <c r="N1923">
        <v>2</v>
      </c>
      <c r="O1923">
        <v>5</v>
      </c>
      <c r="P1923">
        <v>3</v>
      </c>
      <c r="Q1923">
        <v>2</v>
      </c>
      <c r="R1923">
        <v>1</v>
      </c>
      <c r="S1923">
        <v>2</v>
      </c>
      <c r="T1923">
        <v>5</v>
      </c>
      <c r="U1923" t="s">
        <v>37</v>
      </c>
      <c r="V1923" t="s">
        <v>54</v>
      </c>
      <c r="W1923" t="s">
        <v>55</v>
      </c>
      <c r="X1923" t="s">
        <v>44</v>
      </c>
      <c r="Y1923">
        <v>33</v>
      </c>
      <c r="Z1923" s="1">
        <v>45608</v>
      </c>
      <c r="AA1923" t="str" cm="1">
        <f t="array" ref="AA1923">_xlfn.IFS(AND(Table2[[#This Row],[Guest_Age]]&gt;=18,Table2[[#This Row],[Guest_Age]]&lt;=25),"Young Adults",AND(Table2[[#This Row],[Guest_Age]]&gt;=26,Table2[[#This Row],[Guest_Age]]&lt;=35),"Adults",AND(Table2[[#This Row],[Guest_Age]]&gt;=36,Table2[[#This Row],[Guest_Age]]&lt;=50),"Middle Aged Adults",Table2[[#This Row],[Guest_Age]]&gt;50,"Senior")</f>
        <v>Adults</v>
      </c>
      <c r="AB192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923" t="str" cm="1">
        <f t="array" ref="AC1923">_xlfn.IFS(Table2[[#This Row],[Satification_points]]&gt;=4.5,"GREAT",AND(Table2[[#This Row],[Satification_points]]&gt;=4,Table2[[#This Row],[Satification_points]]&lt;4.5),"GOOD",AND(Table2[[#This Row],[Satification_points]]&gt;=3,Table2[[#This Row],[Satification_points]]&lt;4),"AVERAGE",Table2[[#This Row],[Satification_points]]&lt;3,"POOR")</f>
        <v>POOR</v>
      </c>
    </row>
    <row r="1924" spans="1:29" x14ac:dyDescent="0.3">
      <c r="A1924">
        <v>1923</v>
      </c>
      <c r="B1924">
        <v>15733</v>
      </c>
      <c r="C1924" t="s">
        <v>1958</v>
      </c>
      <c r="D1924" t="s">
        <v>26</v>
      </c>
      <c r="E1924" t="s">
        <v>52</v>
      </c>
      <c r="F1924" s="1">
        <v>45340</v>
      </c>
      <c r="G1924" s="1">
        <v>45611</v>
      </c>
      <c r="H1924">
        <v>12</v>
      </c>
      <c r="I1924" t="s">
        <v>49</v>
      </c>
      <c r="J1924" t="s">
        <v>53</v>
      </c>
      <c r="K1924">
        <v>1</v>
      </c>
      <c r="L1924">
        <v>2</v>
      </c>
      <c r="M1924">
        <v>1</v>
      </c>
      <c r="N1924">
        <v>2</v>
      </c>
      <c r="O1924">
        <v>1</v>
      </c>
      <c r="P1924">
        <v>1</v>
      </c>
      <c r="Q1924">
        <v>1</v>
      </c>
      <c r="R1924">
        <v>3</v>
      </c>
      <c r="S1924">
        <v>5</v>
      </c>
      <c r="T1924">
        <v>1</v>
      </c>
      <c r="U1924" t="s">
        <v>37</v>
      </c>
      <c r="V1924" t="s">
        <v>54</v>
      </c>
      <c r="W1924" t="s">
        <v>55</v>
      </c>
      <c r="X1924" t="s">
        <v>40</v>
      </c>
      <c r="Y1924">
        <v>50</v>
      </c>
      <c r="Z1924" s="1">
        <v>45611</v>
      </c>
      <c r="AA1924" t="str" cm="1">
        <f t="array" ref="AA192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2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1.8</v>
      </c>
      <c r="AC1924" t="str" cm="1">
        <f t="array" ref="AC1924">_xlfn.IFS(Table2[[#This Row],[Satification_points]]&gt;=4.5,"GREAT",AND(Table2[[#This Row],[Satification_points]]&gt;=4,Table2[[#This Row],[Satification_points]]&lt;4.5),"GOOD",AND(Table2[[#This Row],[Satification_points]]&gt;=3,Table2[[#This Row],[Satification_points]]&lt;4),"AVERAGE",Table2[[#This Row],[Satification_points]]&lt;3,"POOR")</f>
        <v>POOR</v>
      </c>
    </row>
    <row r="1925" spans="1:29" x14ac:dyDescent="0.3">
      <c r="A1925">
        <v>1924</v>
      </c>
      <c r="B1925">
        <v>96733</v>
      </c>
      <c r="C1925" t="s">
        <v>1959</v>
      </c>
      <c r="D1925" t="s">
        <v>41</v>
      </c>
      <c r="E1925" t="s">
        <v>52</v>
      </c>
      <c r="F1925" s="1">
        <v>45042</v>
      </c>
      <c r="G1925" s="1">
        <v>45283</v>
      </c>
      <c r="H1925">
        <v>3</v>
      </c>
      <c r="I1925" t="s">
        <v>50</v>
      </c>
      <c r="J1925" t="s">
        <v>53</v>
      </c>
      <c r="K1925">
        <v>2</v>
      </c>
      <c r="L1925">
        <v>5</v>
      </c>
      <c r="M1925">
        <v>4</v>
      </c>
      <c r="N1925">
        <v>2</v>
      </c>
      <c r="O1925">
        <v>4</v>
      </c>
      <c r="P1925">
        <v>2</v>
      </c>
      <c r="Q1925">
        <v>3</v>
      </c>
      <c r="R1925">
        <v>1</v>
      </c>
      <c r="S1925">
        <v>3</v>
      </c>
      <c r="T1925">
        <v>1</v>
      </c>
      <c r="U1925" t="s">
        <v>37</v>
      </c>
      <c r="V1925" t="s">
        <v>54</v>
      </c>
      <c r="W1925" t="s">
        <v>56</v>
      </c>
      <c r="X1925" t="s">
        <v>33</v>
      </c>
      <c r="Y1925">
        <v>28</v>
      </c>
      <c r="Z1925" s="1">
        <v>45404</v>
      </c>
      <c r="AA1925" t="str" cm="1">
        <f t="array" ref="AA1925">_xlfn.IFS(AND(Table2[[#This Row],[Guest_Age]]&gt;=18,Table2[[#This Row],[Guest_Age]]&lt;=25),"Young Adults",AND(Table2[[#This Row],[Guest_Age]]&gt;=26,Table2[[#This Row],[Guest_Age]]&lt;=35),"Adults",AND(Table2[[#This Row],[Guest_Age]]&gt;=36,Table2[[#This Row],[Guest_Age]]&lt;=50),"Middle Aged Adults",Table2[[#This Row],[Guest_Age]]&gt;50,"Senior")</f>
        <v>Adults</v>
      </c>
      <c r="AB192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25" t="str" cm="1">
        <f t="array" ref="AC1925">_xlfn.IFS(Table2[[#This Row],[Satification_points]]&gt;=4.5,"GREAT",AND(Table2[[#This Row],[Satification_points]]&gt;=4,Table2[[#This Row],[Satification_points]]&lt;4.5),"GOOD",AND(Table2[[#This Row],[Satification_points]]&gt;=3,Table2[[#This Row],[Satification_points]]&lt;4),"AVERAGE",Table2[[#This Row],[Satification_points]]&lt;3,"POOR")</f>
        <v>POOR</v>
      </c>
    </row>
    <row r="1926" spans="1:29" x14ac:dyDescent="0.3">
      <c r="A1926">
        <v>1925</v>
      </c>
      <c r="B1926">
        <v>88601</v>
      </c>
      <c r="C1926" t="s">
        <v>1960</v>
      </c>
      <c r="D1926" t="s">
        <v>48</v>
      </c>
      <c r="E1926" t="s">
        <v>57</v>
      </c>
      <c r="F1926" s="1">
        <v>45101</v>
      </c>
      <c r="G1926" s="1">
        <v>45581</v>
      </c>
      <c r="H1926">
        <v>3</v>
      </c>
      <c r="I1926" t="s">
        <v>50</v>
      </c>
      <c r="J1926" t="s">
        <v>43</v>
      </c>
      <c r="K1926">
        <v>3</v>
      </c>
      <c r="L1926">
        <v>1</v>
      </c>
      <c r="M1926">
        <v>5</v>
      </c>
      <c r="N1926">
        <v>1</v>
      </c>
      <c r="O1926">
        <v>1</v>
      </c>
      <c r="P1926">
        <v>1</v>
      </c>
      <c r="Q1926">
        <v>1</v>
      </c>
      <c r="R1926">
        <v>1</v>
      </c>
      <c r="S1926">
        <v>2</v>
      </c>
      <c r="T1926">
        <v>4</v>
      </c>
      <c r="U1926" t="s">
        <v>37</v>
      </c>
      <c r="V1926" t="s">
        <v>58</v>
      </c>
      <c r="W1926" t="s">
        <v>55</v>
      </c>
      <c r="X1926" t="s">
        <v>33</v>
      </c>
      <c r="Y1926">
        <v>46</v>
      </c>
      <c r="Z1926" s="1">
        <v>45581</v>
      </c>
      <c r="AA1926" t="str" cm="1">
        <f t="array" ref="AA192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2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926" t="str" cm="1">
        <f t="array" ref="AC1926">_xlfn.IFS(Table2[[#This Row],[Satification_points]]&gt;=4.5,"GREAT",AND(Table2[[#This Row],[Satification_points]]&gt;=4,Table2[[#This Row],[Satification_points]]&lt;4.5),"GOOD",AND(Table2[[#This Row],[Satification_points]]&gt;=3,Table2[[#This Row],[Satification_points]]&lt;4),"AVERAGE",Table2[[#This Row],[Satification_points]]&lt;3,"POOR")</f>
        <v>POOR</v>
      </c>
    </row>
    <row r="1927" spans="1:29" x14ac:dyDescent="0.3">
      <c r="A1927">
        <v>1926</v>
      </c>
      <c r="B1927">
        <v>45305</v>
      </c>
      <c r="C1927" t="s">
        <v>1961</v>
      </c>
      <c r="D1927" t="s">
        <v>26</v>
      </c>
      <c r="E1927" t="s">
        <v>35</v>
      </c>
      <c r="F1927" s="1">
        <v>45350</v>
      </c>
      <c r="G1927" s="1">
        <v>45351</v>
      </c>
      <c r="H1927">
        <v>3</v>
      </c>
      <c r="I1927" t="s">
        <v>42</v>
      </c>
      <c r="J1927" t="s">
        <v>29</v>
      </c>
      <c r="K1927">
        <v>5</v>
      </c>
      <c r="L1927">
        <v>3</v>
      </c>
      <c r="M1927">
        <v>5</v>
      </c>
      <c r="N1927">
        <v>4</v>
      </c>
      <c r="O1927">
        <v>5</v>
      </c>
      <c r="P1927">
        <v>2</v>
      </c>
      <c r="Q1927">
        <v>3</v>
      </c>
      <c r="R1927">
        <v>1</v>
      </c>
      <c r="S1927">
        <v>1</v>
      </c>
      <c r="T1927">
        <v>4</v>
      </c>
      <c r="U1927" t="s">
        <v>30</v>
      </c>
      <c r="V1927" t="s">
        <v>58</v>
      </c>
      <c r="W1927" t="s">
        <v>39</v>
      </c>
      <c r="X1927" t="s">
        <v>44</v>
      </c>
      <c r="Y1927">
        <v>66</v>
      </c>
      <c r="Z1927" s="1">
        <v>45405</v>
      </c>
      <c r="AA1927" t="str" cm="1">
        <f t="array" ref="AA1927">_xlfn.IFS(AND(Table2[[#This Row],[Guest_Age]]&gt;=18,Table2[[#This Row],[Guest_Age]]&lt;=25),"Young Adults",AND(Table2[[#This Row],[Guest_Age]]&gt;=26,Table2[[#This Row],[Guest_Age]]&lt;=35),"Adults",AND(Table2[[#This Row],[Guest_Age]]&gt;=36,Table2[[#This Row],[Guest_Age]]&lt;=50),"Middle Aged Adults",Table2[[#This Row],[Guest_Age]]&gt;50,"Senior")</f>
        <v>Senior</v>
      </c>
      <c r="AB192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27" t="str" cm="1">
        <f t="array" ref="AC1927">_xlfn.IFS(Table2[[#This Row],[Satification_points]]&gt;=4.5,"GREAT",AND(Table2[[#This Row],[Satification_points]]&gt;=4,Table2[[#This Row],[Satification_points]]&lt;4.5),"GOOD",AND(Table2[[#This Row],[Satification_points]]&gt;=3,Table2[[#This Row],[Satification_points]]&lt;4),"AVERAGE",Table2[[#This Row],[Satification_points]]&lt;3,"POOR")</f>
        <v>AVERAGE</v>
      </c>
    </row>
    <row r="1928" spans="1:29" x14ac:dyDescent="0.3">
      <c r="A1928">
        <v>1927</v>
      </c>
      <c r="B1928">
        <v>57318</v>
      </c>
      <c r="C1928" t="s">
        <v>1962</v>
      </c>
      <c r="D1928" t="s">
        <v>48</v>
      </c>
      <c r="E1928" t="s">
        <v>35</v>
      </c>
      <c r="F1928" s="1">
        <v>45054</v>
      </c>
      <c r="G1928" s="1">
        <v>45568</v>
      </c>
      <c r="H1928">
        <v>14</v>
      </c>
      <c r="I1928" t="s">
        <v>50</v>
      </c>
      <c r="J1928" t="s">
        <v>29</v>
      </c>
      <c r="K1928">
        <v>3</v>
      </c>
      <c r="L1928">
        <v>3</v>
      </c>
      <c r="M1928">
        <v>5</v>
      </c>
      <c r="N1928">
        <v>2</v>
      </c>
      <c r="O1928">
        <v>3</v>
      </c>
      <c r="P1928">
        <v>3</v>
      </c>
      <c r="Q1928">
        <v>2</v>
      </c>
      <c r="R1928">
        <v>2</v>
      </c>
      <c r="S1928">
        <v>1</v>
      </c>
      <c r="T1928">
        <v>3</v>
      </c>
      <c r="U1928" t="s">
        <v>30</v>
      </c>
      <c r="V1928" t="s">
        <v>38</v>
      </c>
      <c r="W1928" t="s">
        <v>55</v>
      </c>
      <c r="X1928" t="s">
        <v>40</v>
      </c>
      <c r="Y1928">
        <v>62</v>
      </c>
      <c r="Z1928" s="1">
        <v>45568</v>
      </c>
      <c r="AA1928" t="str" cm="1">
        <f t="array" ref="AA1928">_xlfn.IFS(AND(Table2[[#This Row],[Guest_Age]]&gt;=18,Table2[[#This Row],[Guest_Age]]&lt;=25),"Young Adults",AND(Table2[[#This Row],[Guest_Age]]&gt;=26,Table2[[#This Row],[Guest_Age]]&lt;=35),"Adults",AND(Table2[[#This Row],[Guest_Age]]&gt;=36,Table2[[#This Row],[Guest_Age]]&lt;=50),"Middle Aged Adults",Table2[[#This Row],[Guest_Age]]&gt;50,"Senior")</f>
        <v>Senior</v>
      </c>
      <c r="AB192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28" t="str" cm="1">
        <f t="array" ref="AC1928">_xlfn.IFS(Table2[[#This Row],[Satification_points]]&gt;=4.5,"GREAT",AND(Table2[[#This Row],[Satification_points]]&gt;=4,Table2[[#This Row],[Satification_points]]&lt;4.5),"GOOD",AND(Table2[[#This Row],[Satification_points]]&gt;=3,Table2[[#This Row],[Satification_points]]&lt;4),"AVERAGE",Table2[[#This Row],[Satification_points]]&lt;3,"POOR")</f>
        <v>POOR</v>
      </c>
    </row>
    <row r="1929" spans="1:29" x14ac:dyDescent="0.3">
      <c r="A1929">
        <v>1928</v>
      </c>
      <c r="B1929">
        <v>95094</v>
      </c>
      <c r="C1929" t="s">
        <v>1963</v>
      </c>
      <c r="D1929" t="s">
        <v>48</v>
      </c>
      <c r="E1929" t="s">
        <v>57</v>
      </c>
      <c r="F1929" s="1">
        <v>45415</v>
      </c>
      <c r="G1929" s="1">
        <v>45416</v>
      </c>
      <c r="H1929">
        <v>1</v>
      </c>
      <c r="I1929" t="s">
        <v>42</v>
      </c>
      <c r="J1929" t="s">
        <v>43</v>
      </c>
      <c r="K1929">
        <v>2</v>
      </c>
      <c r="L1929">
        <v>2</v>
      </c>
      <c r="M1929">
        <v>4</v>
      </c>
      <c r="N1929">
        <v>1</v>
      </c>
      <c r="O1929">
        <v>4</v>
      </c>
      <c r="P1929">
        <v>2</v>
      </c>
      <c r="Q1929">
        <v>5</v>
      </c>
      <c r="R1929">
        <v>2</v>
      </c>
      <c r="S1929">
        <v>4</v>
      </c>
      <c r="T1929">
        <v>4</v>
      </c>
      <c r="U1929" t="s">
        <v>30</v>
      </c>
      <c r="V1929" t="s">
        <v>38</v>
      </c>
      <c r="W1929" t="s">
        <v>47</v>
      </c>
      <c r="X1929" t="s">
        <v>33</v>
      </c>
      <c r="Y1929">
        <v>41</v>
      </c>
      <c r="Z1929" s="1">
        <v>45416</v>
      </c>
      <c r="AA1929" t="str" cm="1">
        <f t="array" ref="AA192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2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29" t="str" cm="1">
        <f t="array" ref="AC1929">_xlfn.IFS(Table2[[#This Row],[Satification_points]]&gt;=4.5,"GREAT",AND(Table2[[#This Row],[Satification_points]]&gt;=4,Table2[[#This Row],[Satification_points]]&lt;4.5),"GOOD",AND(Table2[[#This Row],[Satification_points]]&gt;=3,Table2[[#This Row],[Satification_points]]&lt;4),"AVERAGE",Table2[[#This Row],[Satification_points]]&lt;3,"POOR")</f>
        <v>AVERAGE</v>
      </c>
    </row>
    <row r="1930" spans="1:29" x14ac:dyDescent="0.3">
      <c r="A1930">
        <v>1929</v>
      </c>
      <c r="B1930">
        <v>67126</v>
      </c>
      <c r="C1930" t="s">
        <v>1964</v>
      </c>
      <c r="D1930" t="s">
        <v>26</v>
      </c>
      <c r="E1930" t="s">
        <v>35</v>
      </c>
      <c r="F1930" s="1">
        <v>44931</v>
      </c>
      <c r="G1930" s="1">
        <v>45038</v>
      </c>
      <c r="H1930">
        <v>3</v>
      </c>
      <c r="I1930" t="s">
        <v>28</v>
      </c>
      <c r="J1930" t="s">
        <v>36</v>
      </c>
      <c r="K1930">
        <v>4</v>
      </c>
      <c r="L1930">
        <v>4</v>
      </c>
      <c r="M1930">
        <v>4</v>
      </c>
      <c r="N1930">
        <v>2</v>
      </c>
      <c r="O1930">
        <v>4</v>
      </c>
      <c r="P1930">
        <v>2</v>
      </c>
      <c r="Q1930">
        <v>3</v>
      </c>
      <c r="R1930">
        <v>1</v>
      </c>
      <c r="S1930">
        <v>5</v>
      </c>
      <c r="T1930">
        <v>5</v>
      </c>
      <c r="U1930" t="s">
        <v>30</v>
      </c>
      <c r="V1930" t="s">
        <v>38</v>
      </c>
      <c r="W1930" t="s">
        <v>47</v>
      </c>
      <c r="X1930" t="s">
        <v>33</v>
      </c>
      <c r="Y1930">
        <v>19</v>
      </c>
      <c r="Z1930" s="1">
        <v>45038</v>
      </c>
      <c r="AA1930" t="str" cm="1">
        <f t="array" ref="AA1930">_xlfn.IFS(AND(Table2[[#This Row],[Guest_Age]]&gt;=18,Table2[[#This Row],[Guest_Age]]&lt;=25),"Young Adults",AND(Table2[[#This Row],[Guest_Age]]&gt;=26,Table2[[#This Row],[Guest_Age]]&lt;=35),"Adults",AND(Table2[[#This Row],[Guest_Age]]&gt;=36,Table2[[#This Row],[Guest_Age]]&lt;=50),"Middle Aged Adults",Table2[[#This Row],[Guest_Age]]&gt;50,"Senior")</f>
        <v>Young Adults</v>
      </c>
      <c r="AB193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30" t="str" cm="1">
        <f t="array" ref="AC1930">_xlfn.IFS(Table2[[#This Row],[Satification_points]]&gt;=4.5,"GREAT",AND(Table2[[#This Row],[Satification_points]]&gt;=4,Table2[[#This Row],[Satification_points]]&lt;4.5),"GOOD",AND(Table2[[#This Row],[Satification_points]]&gt;=3,Table2[[#This Row],[Satification_points]]&lt;4),"AVERAGE",Table2[[#This Row],[Satification_points]]&lt;3,"POOR")</f>
        <v>AVERAGE</v>
      </c>
    </row>
    <row r="1931" spans="1:29" x14ac:dyDescent="0.3">
      <c r="A1931">
        <v>1930</v>
      </c>
      <c r="B1931">
        <v>94142</v>
      </c>
      <c r="C1931" t="s">
        <v>1965</v>
      </c>
      <c r="D1931" t="s">
        <v>41</v>
      </c>
      <c r="E1931" t="s">
        <v>57</v>
      </c>
      <c r="F1931" s="1">
        <v>45252</v>
      </c>
      <c r="G1931" s="1">
        <v>45253</v>
      </c>
      <c r="H1931">
        <v>5</v>
      </c>
      <c r="I1931" t="s">
        <v>49</v>
      </c>
      <c r="J1931" t="s">
        <v>53</v>
      </c>
      <c r="K1931">
        <v>2</v>
      </c>
      <c r="L1931">
        <v>5</v>
      </c>
      <c r="M1931">
        <v>4</v>
      </c>
      <c r="N1931">
        <v>3</v>
      </c>
      <c r="O1931">
        <v>2</v>
      </c>
      <c r="P1931">
        <v>2</v>
      </c>
      <c r="Q1931">
        <v>5</v>
      </c>
      <c r="R1931">
        <v>3</v>
      </c>
      <c r="S1931">
        <v>5</v>
      </c>
      <c r="T1931">
        <v>3</v>
      </c>
      <c r="U1931" t="s">
        <v>30</v>
      </c>
      <c r="V1931" t="s">
        <v>38</v>
      </c>
      <c r="W1931" t="s">
        <v>56</v>
      </c>
      <c r="X1931" t="s">
        <v>33</v>
      </c>
      <c r="Y1931">
        <v>22</v>
      </c>
      <c r="Z1931" s="1">
        <v>45253</v>
      </c>
      <c r="AA1931" t="str" cm="1">
        <f t="array" ref="AA1931">_xlfn.IFS(AND(Table2[[#This Row],[Guest_Age]]&gt;=18,Table2[[#This Row],[Guest_Age]]&lt;=25),"Young Adults",AND(Table2[[#This Row],[Guest_Age]]&gt;=26,Table2[[#This Row],[Guest_Age]]&lt;=35),"Adults",AND(Table2[[#This Row],[Guest_Age]]&gt;=36,Table2[[#This Row],[Guest_Age]]&lt;=50),"Middle Aged Adults",Table2[[#This Row],[Guest_Age]]&gt;50,"Senior")</f>
        <v>Young Adults</v>
      </c>
      <c r="AB193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31" t="str" cm="1">
        <f t="array" ref="AC1931">_xlfn.IFS(Table2[[#This Row],[Satification_points]]&gt;=4.5,"GREAT",AND(Table2[[#This Row],[Satification_points]]&gt;=4,Table2[[#This Row],[Satification_points]]&lt;4.5),"GOOD",AND(Table2[[#This Row],[Satification_points]]&gt;=3,Table2[[#This Row],[Satification_points]]&lt;4),"AVERAGE",Table2[[#This Row],[Satification_points]]&lt;3,"POOR")</f>
        <v>AVERAGE</v>
      </c>
    </row>
    <row r="1932" spans="1:29" x14ac:dyDescent="0.3">
      <c r="A1932">
        <v>1931</v>
      </c>
      <c r="B1932">
        <v>75587</v>
      </c>
      <c r="C1932" t="s">
        <v>1966</v>
      </c>
      <c r="D1932" t="s">
        <v>34</v>
      </c>
      <c r="E1932" t="s">
        <v>52</v>
      </c>
      <c r="F1932" s="1">
        <v>45624</v>
      </c>
      <c r="G1932" s="1">
        <v>45625</v>
      </c>
      <c r="H1932">
        <v>8</v>
      </c>
      <c r="I1932" t="s">
        <v>50</v>
      </c>
      <c r="J1932" t="s">
        <v>43</v>
      </c>
      <c r="K1932">
        <v>1</v>
      </c>
      <c r="L1932">
        <v>5</v>
      </c>
      <c r="M1932">
        <v>2</v>
      </c>
      <c r="N1932">
        <v>3</v>
      </c>
      <c r="O1932">
        <v>3</v>
      </c>
      <c r="P1932">
        <v>2</v>
      </c>
      <c r="Q1932">
        <v>3</v>
      </c>
      <c r="R1932">
        <v>3</v>
      </c>
      <c r="S1932">
        <v>5</v>
      </c>
      <c r="T1932">
        <v>4</v>
      </c>
      <c r="U1932" t="s">
        <v>37</v>
      </c>
      <c r="V1932" t="s">
        <v>46</v>
      </c>
      <c r="W1932" t="s">
        <v>55</v>
      </c>
      <c r="X1932" t="s">
        <v>33</v>
      </c>
      <c r="Y1932">
        <v>41</v>
      </c>
      <c r="Z1932" s="1">
        <v>45625</v>
      </c>
      <c r="AA1932" t="str" cm="1">
        <f t="array" ref="AA1932">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3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32" t="str" cm="1">
        <f t="array" ref="AC1932">_xlfn.IFS(Table2[[#This Row],[Satification_points]]&gt;=4.5,"GREAT",AND(Table2[[#This Row],[Satification_points]]&gt;=4,Table2[[#This Row],[Satification_points]]&lt;4.5),"GOOD",AND(Table2[[#This Row],[Satification_points]]&gt;=3,Table2[[#This Row],[Satification_points]]&lt;4),"AVERAGE",Table2[[#This Row],[Satification_points]]&lt;3,"POOR")</f>
        <v>AVERAGE</v>
      </c>
    </row>
    <row r="1933" spans="1:29" x14ac:dyDescent="0.3">
      <c r="A1933">
        <v>1932</v>
      </c>
      <c r="B1933">
        <v>94264</v>
      </c>
      <c r="C1933" t="s">
        <v>1967</v>
      </c>
      <c r="D1933" t="s">
        <v>41</v>
      </c>
      <c r="E1933" t="s">
        <v>45</v>
      </c>
      <c r="F1933" s="1">
        <v>45098</v>
      </c>
      <c r="G1933" s="1">
        <v>45270</v>
      </c>
      <c r="H1933">
        <v>7</v>
      </c>
      <c r="I1933" t="s">
        <v>49</v>
      </c>
      <c r="J1933" t="s">
        <v>36</v>
      </c>
      <c r="K1933">
        <v>4</v>
      </c>
      <c r="L1933">
        <v>5</v>
      </c>
      <c r="M1933">
        <v>2</v>
      </c>
      <c r="N1933">
        <v>1</v>
      </c>
      <c r="O1933">
        <v>5</v>
      </c>
      <c r="P1933">
        <v>4</v>
      </c>
      <c r="Q1933">
        <v>5</v>
      </c>
      <c r="R1933">
        <v>3</v>
      </c>
      <c r="S1933">
        <v>3</v>
      </c>
      <c r="T1933">
        <v>2</v>
      </c>
      <c r="U1933" t="s">
        <v>37</v>
      </c>
      <c r="V1933" t="s">
        <v>38</v>
      </c>
      <c r="W1933" t="s">
        <v>56</v>
      </c>
      <c r="X1933" t="s">
        <v>40</v>
      </c>
      <c r="Y1933">
        <v>61</v>
      </c>
      <c r="Z1933" s="1">
        <v>45479</v>
      </c>
      <c r="AA1933" t="str" cm="1">
        <f t="array" ref="AA1933">_xlfn.IFS(AND(Table2[[#This Row],[Guest_Age]]&gt;=18,Table2[[#This Row],[Guest_Age]]&lt;=25),"Young Adults",AND(Table2[[#This Row],[Guest_Age]]&gt;=26,Table2[[#This Row],[Guest_Age]]&lt;=35),"Adults",AND(Table2[[#This Row],[Guest_Age]]&gt;=36,Table2[[#This Row],[Guest_Age]]&lt;=50),"Middle Aged Adults",Table2[[#This Row],[Guest_Age]]&gt;50,"Senior")</f>
        <v>Senior</v>
      </c>
      <c r="AB193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33" t="str" cm="1">
        <f t="array" ref="AC1933">_xlfn.IFS(Table2[[#This Row],[Satification_points]]&gt;=4.5,"GREAT",AND(Table2[[#This Row],[Satification_points]]&gt;=4,Table2[[#This Row],[Satification_points]]&lt;4.5),"GOOD",AND(Table2[[#This Row],[Satification_points]]&gt;=3,Table2[[#This Row],[Satification_points]]&lt;4),"AVERAGE",Table2[[#This Row],[Satification_points]]&lt;3,"POOR")</f>
        <v>AVERAGE</v>
      </c>
    </row>
    <row r="1934" spans="1:29" x14ac:dyDescent="0.3">
      <c r="A1934">
        <v>1933</v>
      </c>
      <c r="B1934">
        <v>89835</v>
      </c>
      <c r="C1934" t="s">
        <v>1302</v>
      </c>
      <c r="D1934" t="s">
        <v>51</v>
      </c>
      <c r="E1934" t="s">
        <v>27</v>
      </c>
      <c r="F1934" s="1">
        <v>45125</v>
      </c>
      <c r="G1934" s="1">
        <v>45286</v>
      </c>
      <c r="H1934">
        <v>12</v>
      </c>
      <c r="I1934" t="s">
        <v>49</v>
      </c>
      <c r="J1934" t="s">
        <v>43</v>
      </c>
      <c r="K1934">
        <v>5</v>
      </c>
      <c r="L1934">
        <v>2</v>
      </c>
      <c r="M1934">
        <v>3</v>
      </c>
      <c r="N1934">
        <v>2</v>
      </c>
      <c r="O1934">
        <v>2</v>
      </c>
      <c r="P1934">
        <v>5</v>
      </c>
      <c r="Q1934">
        <v>2</v>
      </c>
      <c r="R1934">
        <v>2</v>
      </c>
      <c r="S1934">
        <v>1</v>
      </c>
      <c r="T1934">
        <v>4</v>
      </c>
      <c r="U1934" t="s">
        <v>37</v>
      </c>
      <c r="V1934" t="s">
        <v>54</v>
      </c>
      <c r="W1934" t="s">
        <v>32</v>
      </c>
      <c r="X1934" t="s">
        <v>40</v>
      </c>
      <c r="Y1934">
        <v>64</v>
      </c>
      <c r="Z1934" s="1">
        <v>45286</v>
      </c>
      <c r="AA1934" t="str" cm="1">
        <f t="array" ref="AA1934">_xlfn.IFS(AND(Table2[[#This Row],[Guest_Age]]&gt;=18,Table2[[#This Row],[Guest_Age]]&lt;=25),"Young Adults",AND(Table2[[#This Row],[Guest_Age]]&gt;=26,Table2[[#This Row],[Guest_Age]]&lt;=35),"Adults",AND(Table2[[#This Row],[Guest_Age]]&gt;=36,Table2[[#This Row],[Guest_Age]]&lt;=50),"Middle Aged Adults",Table2[[#This Row],[Guest_Age]]&gt;50,"Senior")</f>
        <v>Senior</v>
      </c>
      <c r="AB193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934" t="str" cm="1">
        <f t="array" ref="AC1934">_xlfn.IFS(Table2[[#This Row],[Satification_points]]&gt;=4.5,"GREAT",AND(Table2[[#This Row],[Satification_points]]&gt;=4,Table2[[#This Row],[Satification_points]]&lt;4.5),"GOOD",AND(Table2[[#This Row],[Satification_points]]&gt;=3,Table2[[#This Row],[Satification_points]]&lt;4),"AVERAGE",Table2[[#This Row],[Satification_points]]&lt;3,"POOR")</f>
        <v>POOR</v>
      </c>
    </row>
    <row r="1935" spans="1:29" x14ac:dyDescent="0.3">
      <c r="A1935">
        <v>1934</v>
      </c>
      <c r="B1935">
        <v>96984</v>
      </c>
      <c r="C1935" t="s">
        <v>1968</v>
      </c>
      <c r="D1935" t="s">
        <v>51</v>
      </c>
      <c r="E1935" t="s">
        <v>57</v>
      </c>
      <c r="F1935" s="1">
        <v>45157</v>
      </c>
      <c r="G1935" s="1">
        <v>45288</v>
      </c>
      <c r="H1935">
        <v>13</v>
      </c>
      <c r="I1935" t="s">
        <v>42</v>
      </c>
      <c r="J1935" t="s">
        <v>40</v>
      </c>
      <c r="K1935">
        <v>2</v>
      </c>
      <c r="L1935">
        <v>1</v>
      </c>
      <c r="M1935">
        <v>5</v>
      </c>
      <c r="N1935">
        <v>2</v>
      </c>
      <c r="O1935">
        <v>4</v>
      </c>
      <c r="P1935">
        <v>4</v>
      </c>
      <c r="Q1935">
        <v>1</v>
      </c>
      <c r="R1935">
        <v>5</v>
      </c>
      <c r="S1935">
        <v>3</v>
      </c>
      <c r="T1935">
        <v>5</v>
      </c>
      <c r="U1935" t="s">
        <v>30</v>
      </c>
      <c r="V1935" t="s">
        <v>38</v>
      </c>
      <c r="W1935" t="s">
        <v>39</v>
      </c>
      <c r="X1935" t="s">
        <v>40</v>
      </c>
      <c r="Y1935">
        <v>24</v>
      </c>
      <c r="Z1935" s="1">
        <v>45454</v>
      </c>
      <c r="AA1935" t="str" cm="1">
        <f t="array" ref="AA1935">_xlfn.IFS(AND(Table2[[#This Row],[Guest_Age]]&gt;=18,Table2[[#This Row],[Guest_Age]]&lt;=25),"Young Adults",AND(Table2[[#This Row],[Guest_Age]]&gt;=26,Table2[[#This Row],[Guest_Age]]&lt;=35),"Adults",AND(Table2[[#This Row],[Guest_Age]]&gt;=36,Table2[[#This Row],[Guest_Age]]&lt;=50),"Middle Aged Adults",Table2[[#This Row],[Guest_Age]]&gt;50,"Senior")</f>
        <v>Young Adults</v>
      </c>
      <c r="AB193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35" t="str" cm="1">
        <f t="array" ref="AC1935">_xlfn.IFS(Table2[[#This Row],[Satification_points]]&gt;=4.5,"GREAT",AND(Table2[[#This Row],[Satification_points]]&gt;=4,Table2[[#This Row],[Satification_points]]&lt;4.5),"GOOD",AND(Table2[[#This Row],[Satification_points]]&gt;=3,Table2[[#This Row],[Satification_points]]&lt;4),"AVERAGE",Table2[[#This Row],[Satification_points]]&lt;3,"POOR")</f>
        <v>AVERAGE</v>
      </c>
    </row>
    <row r="1936" spans="1:29" x14ac:dyDescent="0.3">
      <c r="A1936">
        <v>1935</v>
      </c>
      <c r="B1936">
        <v>98406</v>
      </c>
      <c r="C1936" t="s">
        <v>1969</v>
      </c>
      <c r="D1936" t="s">
        <v>34</v>
      </c>
      <c r="E1936" t="s">
        <v>52</v>
      </c>
      <c r="F1936" s="1">
        <v>45553</v>
      </c>
      <c r="G1936" s="1">
        <v>45554</v>
      </c>
      <c r="H1936">
        <v>13</v>
      </c>
      <c r="I1936" t="s">
        <v>49</v>
      </c>
      <c r="J1936" t="s">
        <v>36</v>
      </c>
      <c r="K1936">
        <v>3</v>
      </c>
      <c r="L1936">
        <v>1</v>
      </c>
      <c r="M1936">
        <v>4</v>
      </c>
      <c r="N1936">
        <v>5</v>
      </c>
      <c r="O1936">
        <v>1</v>
      </c>
      <c r="P1936">
        <v>1</v>
      </c>
      <c r="Q1936">
        <v>2</v>
      </c>
      <c r="R1936">
        <v>3</v>
      </c>
      <c r="S1936">
        <v>2</v>
      </c>
      <c r="T1936">
        <v>4</v>
      </c>
      <c r="U1936" t="s">
        <v>37</v>
      </c>
      <c r="V1936" t="s">
        <v>54</v>
      </c>
      <c r="W1936" t="s">
        <v>56</v>
      </c>
      <c r="X1936" t="s">
        <v>40</v>
      </c>
      <c r="Y1936">
        <v>48</v>
      </c>
      <c r="Z1936" s="1">
        <v>45554</v>
      </c>
      <c r="AA1936" t="str" cm="1">
        <f t="array" ref="AA193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3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36" t="str" cm="1">
        <f t="array" ref="AC1936">_xlfn.IFS(Table2[[#This Row],[Satification_points]]&gt;=4.5,"GREAT",AND(Table2[[#This Row],[Satification_points]]&gt;=4,Table2[[#This Row],[Satification_points]]&lt;4.5),"GOOD",AND(Table2[[#This Row],[Satification_points]]&gt;=3,Table2[[#This Row],[Satification_points]]&lt;4),"AVERAGE",Table2[[#This Row],[Satification_points]]&lt;3,"POOR")</f>
        <v>POOR</v>
      </c>
    </row>
    <row r="1937" spans="1:29" x14ac:dyDescent="0.3">
      <c r="A1937">
        <v>1936</v>
      </c>
      <c r="B1937">
        <v>97750</v>
      </c>
      <c r="C1937" t="s">
        <v>1970</v>
      </c>
      <c r="D1937" t="s">
        <v>51</v>
      </c>
      <c r="E1937" t="s">
        <v>45</v>
      </c>
      <c r="F1937" s="1">
        <v>45259</v>
      </c>
      <c r="G1937" s="1">
        <v>45338</v>
      </c>
      <c r="H1937">
        <v>11</v>
      </c>
      <c r="I1937" t="s">
        <v>49</v>
      </c>
      <c r="J1937" t="s">
        <v>36</v>
      </c>
      <c r="K1937">
        <v>3</v>
      </c>
      <c r="L1937">
        <v>5</v>
      </c>
      <c r="M1937">
        <v>5</v>
      </c>
      <c r="N1937">
        <v>2</v>
      </c>
      <c r="O1937">
        <v>5</v>
      </c>
      <c r="P1937">
        <v>4</v>
      </c>
      <c r="Q1937">
        <v>3</v>
      </c>
      <c r="R1937">
        <v>5</v>
      </c>
      <c r="S1937">
        <v>4</v>
      </c>
      <c r="T1937">
        <v>3</v>
      </c>
      <c r="U1937" t="s">
        <v>37</v>
      </c>
      <c r="V1937" t="s">
        <v>54</v>
      </c>
      <c r="W1937" t="s">
        <v>56</v>
      </c>
      <c r="X1937" t="s">
        <v>40</v>
      </c>
      <c r="Y1937">
        <v>47</v>
      </c>
      <c r="Z1937" s="1">
        <v>45338</v>
      </c>
      <c r="AA1937" t="str" cm="1">
        <f t="array" ref="AA1937">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3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937" t="str" cm="1">
        <f t="array" ref="AC1937">_xlfn.IFS(Table2[[#This Row],[Satification_points]]&gt;=4.5,"GREAT",AND(Table2[[#This Row],[Satification_points]]&gt;=4,Table2[[#This Row],[Satification_points]]&lt;4.5),"GOOD",AND(Table2[[#This Row],[Satification_points]]&gt;=3,Table2[[#This Row],[Satification_points]]&lt;4),"AVERAGE",Table2[[#This Row],[Satification_points]]&lt;3,"POOR")</f>
        <v>AVERAGE</v>
      </c>
    </row>
    <row r="1938" spans="1:29" x14ac:dyDescent="0.3">
      <c r="A1938">
        <v>1937</v>
      </c>
      <c r="B1938">
        <v>79802</v>
      </c>
      <c r="C1938" t="s">
        <v>1971</v>
      </c>
      <c r="D1938" t="s">
        <v>48</v>
      </c>
      <c r="E1938" t="s">
        <v>52</v>
      </c>
      <c r="F1938" s="1">
        <v>45392</v>
      </c>
      <c r="G1938" s="1">
        <v>45435</v>
      </c>
      <c r="H1938">
        <v>4</v>
      </c>
      <c r="I1938" t="s">
        <v>49</v>
      </c>
      <c r="J1938" t="s">
        <v>29</v>
      </c>
      <c r="K1938">
        <v>1</v>
      </c>
      <c r="L1938">
        <v>4</v>
      </c>
      <c r="M1938">
        <v>1</v>
      </c>
      <c r="N1938">
        <v>4</v>
      </c>
      <c r="O1938">
        <v>2</v>
      </c>
      <c r="P1938">
        <v>4</v>
      </c>
      <c r="Q1938">
        <v>4</v>
      </c>
      <c r="R1938">
        <v>1</v>
      </c>
      <c r="S1938">
        <v>4</v>
      </c>
      <c r="T1938">
        <v>2</v>
      </c>
      <c r="U1938" t="s">
        <v>37</v>
      </c>
      <c r="V1938" t="s">
        <v>38</v>
      </c>
      <c r="W1938" t="s">
        <v>56</v>
      </c>
      <c r="X1938" t="s">
        <v>44</v>
      </c>
      <c r="Y1938">
        <v>23</v>
      </c>
      <c r="Z1938" s="1">
        <v>45435</v>
      </c>
      <c r="AA1938" t="str" cm="1">
        <f t="array" ref="AA1938">_xlfn.IFS(AND(Table2[[#This Row],[Guest_Age]]&gt;=18,Table2[[#This Row],[Guest_Age]]&lt;=25),"Young Adults",AND(Table2[[#This Row],[Guest_Age]]&gt;=26,Table2[[#This Row],[Guest_Age]]&lt;=35),"Adults",AND(Table2[[#This Row],[Guest_Age]]&gt;=36,Table2[[#This Row],[Guest_Age]]&lt;=50),"Middle Aged Adults",Table2[[#This Row],[Guest_Age]]&gt;50,"Senior")</f>
        <v>Young Adults</v>
      </c>
      <c r="AB193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38" t="str" cm="1">
        <f t="array" ref="AC1938">_xlfn.IFS(Table2[[#This Row],[Satification_points]]&gt;=4.5,"GREAT",AND(Table2[[#This Row],[Satification_points]]&gt;=4,Table2[[#This Row],[Satification_points]]&lt;4.5),"GOOD",AND(Table2[[#This Row],[Satification_points]]&gt;=3,Table2[[#This Row],[Satification_points]]&lt;4),"AVERAGE",Table2[[#This Row],[Satification_points]]&lt;3,"POOR")</f>
        <v>POOR</v>
      </c>
    </row>
    <row r="1939" spans="1:29" x14ac:dyDescent="0.3">
      <c r="A1939">
        <v>1938</v>
      </c>
      <c r="B1939">
        <v>21300</v>
      </c>
      <c r="C1939" t="s">
        <v>1972</v>
      </c>
      <c r="D1939" t="s">
        <v>51</v>
      </c>
      <c r="E1939" t="s">
        <v>27</v>
      </c>
      <c r="F1939" s="1">
        <v>45350</v>
      </c>
      <c r="G1939" s="1">
        <v>45351</v>
      </c>
      <c r="H1939">
        <v>4</v>
      </c>
      <c r="I1939" t="s">
        <v>50</v>
      </c>
      <c r="J1939" t="s">
        <v>53</v>
      </c>
      <c r="K1939">
        <v>1</v>
      </c>
      <c r="L1939">
        <v>4</v>
      </c>
      <c r="M1939">
        <v>1</v>
      </c>
      <c r="N1939">
        <v>3</v>
      </c>
      <c r="O1939">
        <v>3</v>
      </c>
      <c r="P1939">
        <v>2</v>
      </c>
      <c r="Q1939">
        <v>1</v>
      </c>
      <c r="R1939">
        <v>3</v>
      </c>
      <c r="S1939">
        <v>3</v>
      </c>
      <c r="T1939">
        <v>3</v>
      </c>
      <c r="U1939" t="s">
        <v>30</v>
      </c>
      <c r="V1939" t="s">
        <v>38</v>
      </c>
      <c r="W1939" t="s">
        <v>56</v>
      </c>
      <c r="X1939" t="s">
        <v>40</v>
      </c>
      <c r="Y1939">
        <v>22</v>
      </c>
      <c r="Z1939" s="1">
        <v>45351</v>
      </c>
      <c r="AA1939" t="str" cm="1">
        <f t="array" ref="AA1939">_xlfn.IFS(AND(Table2[[#This Row],[Guest_Age]]&gt;=18,Table2[[#This Row],[Guest_Age]]&lt;=25),"Young Adults",AND(Table2[[#This Row],[Guest_Age]]&gt;=26,Table2[[#This Row],[Guest_Age]]&lt;=35),"Adults",AND(Table2[[#This Row],[Guest_Age]]&gt;=36,Table2[[#This Row],[Guest_Age]]&lt;=50),"Middle Aged Adults",Table2[[#This Row],[Guest_Age]]&gt;50,"Senior")</f>
        <v>Young Adults</v>
      </c>
      <c r="AB193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39" t="str" cm="1">
        <f t="array" ref="AC1939">_xlfn.IFS(Table2[[#This Row],[Satification_points]]&gt;=4.5,"GREAT",AND(Table2[[#This Row],[Satification_points]]&gt;=4,Table2[[#This Row],[Satification_points]]&lt;4.5),"GOOD",AND(Table2[[#This Row],[Satification_points]]&gt;=3,Table2[[#This Row],[Satification_points]]&lt;4),"AVERAGE",Table2[[#This Row],[Satification_points]]&lt;3,"POOR")</f>
        <v>POOR</v>
      </c>
    </row>
    <row r="1940" spans="1:29" x14ac:dyDescent="0.3">
      <c r="A1940">
        <v>1939</v>
      </c>
      <c r="B1940">
        <v>77194</v>
      </c>
      <c r="C1940" t="s">
        <v>1973</v>
      </c>
      <c r="D1940" t="s">
        <v>26</v>
      </c>
      <c r="E1940" t="s">
        <v>35</v>
      </c>
      <c r="F1940" s="1">
        <v>45239</v>
      </c>
      <c r="G1940" s="1">
        <v>45240</v>
      </c>
      <c r="H1940">
        <v>12</v>
      </c>
      <c r="I1940" t="s">
        <v>49</v>
      </c>
      <c r="J1940" t="s">
        <v>43</v>
      </c>
      <c r="K1940">
        <v>1</v>
      </c>
      <c r="L1940">
        <v>3</v>
      </c>
      <c r="M1940">
        <v>4</v>
      </c>
      <c r="N1940">
        <v>2</v>
      </c>
      <c r="O1940">
        <v>1</v>
      </c>
      <c r="P1940">
        <v>1</v>
      </c>
      <c r="Q1940">
        <v>5</v>
      </c>
      <c r="R1940">
        <v>1</v>
      </c>
      <c r="S1940">
        <v>4</v>
      </c>
      <c r="T1940">
        <v>2</v>
      </c>
      <c r="U1940" t="s">
        <v>30</v>
      </c>
      <c r="V1940" t="s">
        <v>31</v>
      </c>
      <c r="W1940" t="s">
        <v>47</v>
      </c>
      <c r="X1940" t="s">
        <v>33</v>
      </c>
      <c r="Y1940">
        <v>32</v>
      </c>
      <c r="Z1940" s="1">
        <v>45459</v>
      </c>
      <c r="AA1940" t="str" cm="1">
        <f t="array" ref="AA1940">_xlfn.IFS(AND(Table2[[#This Row],[Guest_Age]]&gt;=18,Table2[[#This Row],[Guest_Age]]&lt;=25),"Young Adults",AND(Table2[[#This Row],[Guest_Age]]&gt;=26,Table2[[#This Row],[Guest_Age]]&lt;=35),"Adults",AND(Table2[[#This Row],[Guest_Age]]&gt;=36,Table2[[#This Row],[Guest_Age]]&lt;=50),"Middle Aged Adults",Table2[[#This Row],[Guest_Age]]&gt;50,"Senior")</f>
        <v>Adults</v>
      </c>
      <c r="AB194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40" t="str" cm="1">
        <f t="array" ref="AC1940">_xlfn.IFS(Table2[[#This Row],[Satification_points]]&gt;=4.5,"GREAT",AND(Table2[[#This Row],[Satification_points]]&gt;=4,Table2[[#This Row],[Satification_points]]&lt;4.5),"GOOD",AND(Table2[[#This Row],[Satification_points]]&gt;=3,Table2[[#This Row],[Satification_points]]&lt;4),"AVERAGE",Table2[[#This Row],[Satification_points]]&lt;3,"POOR")</f>
        <v>POOR</v>
      </c>
    </row>
    <row r="1941" spans="1:29" x14ac:dyDescent="0.3">
      <c r="A1941">
        <v>1940</v>
      </c>
      <c r="B1941">
        <v>99288</v>
      </c>
      <c r="C1941" t="s">
        <v>1974</v>
      </c>
      <c r="D1941" t="s">
        <v>48</v>
      </c>
      <c r="E1941" t="s">
        <v>35</v>
      </c>
      <c r="F1941" s="1">
        <v>45449</v>
      </c>
      <c r="G1941" s="1">
        <v>45450</v>
      </c>
      <c r="H1941">
        <v>4</v>
      </c>
      <c r="I1941" t="s">
        <v>28</v>
      </c>
      <c r="J1941" t="s">
        <v>43</v>
      </c>
      <c r="K1941">
        <v>1</v>
      </c>
      <c r="L1941">
        <v>4</v>
      </c>
      <c r="M1941">
        <v>2</v>
      </c>
      <c r="N1941">
        <v>4</v>
      </c>
      <c r="O1941">
        <v>2</v>
      </c>
      <c r="P1941">
        <v>1</v>
      </c>
      <c r="Q1941">
        <v>1</v>
      </c>
      <c r="R1941">
        <v>1</v>
      </c>
      <c r="S1941">
        <v>3</v>
      </c>
      <c r="T1941">
        <v>2</v>
      </c>
      <c r="U1941" t="s">
        <v>30</v>
      </c>
      <c r="V1941" t="s">
        <v>54</v>
      </c>
      <c r="W1941" t="s">
        <v>39</v>
      </c>
      <c r="X1941" t="s">
        <v>40</v>
      </c>
      <c r="Y1941">
        <v>44</v>
      </c>
      <c r="Z1941" s="1">
        <v>45647</v>
      </c>
      <c r="AA1941" t="str" cm="1">
        <f t="array" ref="AA1941">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4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941" t="str" cm="1">
        <f t="array" ref="AC1941">_xlfn.IFS(Table2[[#This Row],[Satification_points]]&gt;=4.5,"GREAT",AND(Table2[[#This Row],[Satification_points]]&gt;=4,Table2[[#This Row],[Satification_points]]&lt;4.5),"GOOD",AND(Table2[[#This Row],[Satification_points]]&gt;=3,Table2[[#This Row],[Satification_points]]&lt;4),"AVERAGE",Table2[[#This Row],[Satification_points]]&lt;3,"POOR")</f>
        <v>POOR</v>
      </c>
    </row>
    <row r="1942" spans="1:29" x14ac:dyDescent="0.3">
      <c r="A1942">
        <v>1941</v>
      </c>
      <c r="B1942">
        <v>38133</v>
      </c>
      <c r="C1942" t="s">
        <v>1975</v>
      </c>
      <c r="D1942" t="s">
        <v>41</v>
      </c>
      <c r="E1942" t="s">
        <v>52</v>
      </c>
      <c r="F1942" s="1">
        <v>45350</v>
      </c>
      <c r="G1942" s="1">
        <v>45351</v>
      </c>
      <c r="H1942">
        <v>8</v>
      </c>
      <c r="I1942" t="s">
        <v>42</v>
      </c>
      <c r="J1942" t="s">
        <v>53</v>
      </c>
      <c r="K1942">
        <v>5</v>
      </c>
      <c r="L1942">
        <v>5</v>
      </c>
      <c r="M1942">
        <v>3</v>
      </c>
      <c r="N1942">
        <v>1</v>
      </c>
      <c r="O1942">
        <v>5</v>
      </c>
      <c r="P1942">
        <v>3</v>
      </c>
      <c r="Q1942">
        <v>1</v>
      </c>
      <c r="R1942">
        <v>4</v>
      </c>
      <c r="S1942">
        <v>5</v>
      </c>
      <c r="T1942">
        <v>5</v>
      </c>
      <c r="U1942" t="s">
        <v>37</v>
      </c>
      <c r="V1942" t="s">
        <v>38</v>
      </c>
      <c r="W1942" t="s">
        <v>32</v>
      </c>
      <c r="X1942" t="s">
        <v>44</v>
      </c>
      <c r="Y1942">
        <v>52</v>
      </c>
      <c r="Z1942" s="1">
        <v>45351</v>
      </c>
      <c r="AA1942" t="str" cm="1">
        <f t="array" ref="AA1942">_xlfn.IFS(AND(Table2[[#This Row],[Guest_Age]]&gt;=18,Table2[[#This Row],[Guest_Age]]&lt;=25),"Young Adults",AND(Table2[[#This Row],[Guest_Age]]&gt;=26,Table2[[#This Row],[Guest_Age]]&lt;=35),"Adults",AND(Table2[[#This Row],[Guest_Age]]&gt;=36,Table2[[#This Row],[Guest_Age]]&lt;=50),"Middle Aged Adults",Table2[[#This Row],[Guest_Age]]&gt;50,"Senior")</f>
        <v>Senior</v>
      </c>
      <c r="AB194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942" t="str" cm="1">
        <f t="array" ref="AC1942">_xlfn.IFS(Table2[[#This Row],[Satification_points]]&gt;=4.5,"GREAT",AND(Table2[[#This Row],[Satification_points]]&gt;=4,Table2[[#This Row],[Satification_points]]&lt;4.5),"GOOD",AND(Table2[[#This Row],[Satification_points]]&gt;=3,Table2[[#This Row],[Satification_points]]&lt;4),"AVERAGE",Table2[[#This Row],[Satification_points]]&lt;3,"POOR")</f>
        <v>AVERAGE</v>
      </c>
    </row>
    <row r="1943" spans="1:29" x14ac:dyDescent="0.3">
      <c r="A1943">
        <v>1942</v>
      </c>
      <c r="B1943">
        <v>88278</v>
      </c>
      <c r="C1943" t="s">
        <v>1976</v>
      </c>
      <c r="D1943" t="s">
        <v>34</v>
      </c>
      <c r="E1943" t="s">
        <v>27</v>
      </c>
      <c r="F1943" s="1">
        <v>45542</v>
      </c>
      <c r="G1943" s="1">
        <v>45543</v>
      </c>
      <c r="H1943">
        <v>8</v>
      </c>
      <c r="I1943" t="s">
        <v>28</v>
      </c>
      <c r="J1943" t="s">
        <v>53</v>
      </c>
      <c r="K1943">
        <v>4</v>
      </c>
      <c r="L1943">
        <v>3</v>
      </c>
      <c r="M1943">
        <v>2</v>
      </c>
      <c r="N1943">
        <v>3</v>
      </c>
      <c r="O1943">
        <v>1</v>
      </c>
      <c r="P1943">
        <v>2</v>
      </c>
      <c r="Q1943">
        <v>2</v>
      </c>
      <c r="R1943">
        <v>1</v>
      </c>
      <c r="S1943">
        <v>2</v>
      </c>
      <c r="T1943">
        <v>1</v>
      </c>
      <c r="U1943" t="s">
        <v>37</v>
      </c>
      <c r="V1943" t="s">
        <v>38</v>
      </c>
      <c r="W1943" t="s">
        <v>39</v>
      </c>
      <c r="X1943" t="s">
        <v>33</v>
      </c>
      <c r="Y1943">
        <v>26</v>
      </c>
      <c r="Z1943" s="1">
        <v>45543</v>
      </c>
      <c r="AA1943" t="str" cm="1">
        <f t="array" ref="AA1943">_xlfn.IFS(AND(Table2[[#This Row],[Guest_Age]]&gt;=18,Table2[[#This Row],[Guest_Age]]&lt;=25),"Young Adults",AND(Table2[[#This Row],[Guest_Age]]&gt;=26,Table2[[#This Row],[Guest_Age]]&lt;=35),"Adults",AND(Table2[[#This Row],[Guest_Age]]&gt;=36,Table2[[#This Row],[Guest_Age]]&lt;=50),"Middle Aged Adults",Table2[[#This Row],[Guest_Age]]&gt;50,"Senior")</f>
        <v>Adults</v>
      </c>
      <c r="AB194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943" t="str" cm="1">
        <f t="array" ref="AC1943">_xlfn.IFS(Table2[[#This Row],[Satification_points]]&gt;=4.5,"GREAT",AND(Table2[[#This Row],[Satification_points]]&gt;=4,Table2[[#This Row],[Satification_points]]&lt;4.5),"GOOD",AND(Table2[[#This Row],[Satification_points]]&gt;=3,Table2[[#This Row],[Satification_points]]&lt;4),"AVERAGE",Table2[[#This Row],[Satification_points]]&lt;3,"POOR")</f>
        <v>POOR</v>
      </c>
    </row>
    <row r="1944" spans="1:29" x14ac:dyDescent="0.3">
      <c r="A1944">
        <v>1943</v>
      </c>
      <c r="B1944">
        <v>26059</v>
      </c>
      <c r="C1944" t="s">
        <v>1977</v>
      </c>
      <c r="D1944" t="s">
        <v>26</v>
      </c>
      <c r="E1944" t="s">
        <v>52</v>
      </c>
      <c r="F1944" s="1">
        <v>45101</v>
      </c>
      <c r="G1944" s="1">
        <v>45229</v>
      </c>
      <c r="H1944">
        <v>2</v>
      </c>
      <c r="I1944" t="s">
        <v>42</v>
      </c>
      <c r="J1944" t="s">
        <v>29</v>
      </c>
      <c r="K1944">
        <v>1</v>
      </c>
      <c r="L1944">
        <v>5</v>
      </c>
      <c r="M1944">
        <v>5</v>
      </c>
      <c r="N1944">
        <v>1</v>
      </c>
      <c r="O1944">
        <v>2</v>
      </c>
      <c r="P1944">
        <v>4</v>
      </c>
      <c r="Q1944">
        <v>3</v>
      </c>
      <c r="R1944">
        <v>1</v>
      </c>
      <c r="S1944">
        <v>5</v>
      </c>
      <c r="T1944">
        <v>5</v>
      </c>
      <c r="U1944" t="s">
        <v>30</v>
      </c>
      <c r="V1944" t="s">
        <v>31</v>
      </c>
      <c r="W1944" t="s">
        <v>56</v>
      </c>
      <c r="X1944" t="s">
        <v>44</v>
      </c>
      <c r="Y1944">
        <v>40</v>
      </c>
      <c r="Z1944" s="1">
        <v>45229</v>
      </c>
      <c r="AA1944" t="str" cm="1">
        <f t="array" ref="AA194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4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44" t="str" cm="1">
        <f t="array" ref="AC1944">_xlfn.IFS(Table2[[#This Row],[Satification_points]]&gt;=4.5,"GREAT",AND(Table2[[#This Row],[Satification_points]]&gt;=4,Table2[[#This Row],[Satification_points]]&lt;4.5),"GOOD",AND(Table2[[#This Row],[Satification_points]]&gt;=3,Table2[[#This Row],[Satification_points]]&lt;4),"AVERAGE",Table2[[#This Row],[Satification_points]]&lt;3,"POOR")</f>
        <v>AVERAGE</v>
      </c>
    </row>
    <row r="1945" spans="1:29" x14ac:dyDescent="0.3">
      <c r="A1945">
        <v>1944</v>
      </c>
      <c r="B1945">
        <v>72166</v>
      </c>
      <c r="C1945" t="s">
        <v>1978</v>
      </c>
      <c r="D1945" t="s">
        <v>26</v>
      </c>
      <c r="E1945" t="s">
        <v>35</v>
      </c>
      <c r="F1945" s="1">
        <v>45300</v>
      </c>
      <c r="G1945" s="1">
        <v>45301</v>
      </c>
      <c r="H1945">
        <v>7</v>
      </c>
      <c r="I1945" t="s">
        <v>49</v>
      </c>
      <c r="J1945" t="s">
        <v>53</v>
      </c>
      <c r="K1945">
        <v>2</v>
      </c>
      <c r="L1945">
        <v>1</v>
      </c>
      <c r="M1945">
        <v>2</v>
      </c>
      <c r="N1945">
        <v>2</v>
      </c>
      <c r="O1945">
        <v>2</v>
      </c>
      <c r="P1945">
        <v>3</v>
      </c>
      <c r="Q1945">
        <v>2</v>
      </c>
      <c r="R1945">
        <v>2</v>
      </c>
      <c r="S1945">
        <v>4</v>
      </c>
      <c r="T1945">
        <v>1</v>
      </c>
      <c r="U1945" t="s">
        <v>37</v>
      </c>
      <c r="V1945" t="s">
        <v>46</v>
      </c>
      <c r="W1945" t="s">
        <v>47</v>
      </c>
      <c r="X1945" t="s">
        <v>33</v>
      </c>
      <c r="Y1945">
        <v>34</v>
      </c>
      <c r="Z1945" s="1">
        <v>45345</v>
      </c>
      <c r="AA1945" t="str" cm="1">
        <f t="array" ref="AA1945">_xlfn.IFS(AND(Table2[[#This Row],[Guest_Age]]&gt;=18,Table2[[#This Row],[Guest_Age]]&lt;=25),"Young Adults",AND(Table2[[#This Row],[Guest_Age]]&gt;=26,Table2[[#This Row],[Guest_Age]]&lt;=35),"Adults",AND(Table2[[#This Row],[Guest_Age]]&gt;=36,Table2[[#This Row],[Guest_Age]]&lt;=50),"Middle Aged Adults",Table2[[#This Row],[Guest_Age]]&gt;50,"Senior")</f>
        <v>Adults</v>
      </c>
      <c r="AB194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945" t="str" cm="1">
        <f t="array" ref="AC1945">_xlfn.IFS(Table2[[#This Row],[Satification_points]]&gt;=4.5,"GREAT",AND(Table2[[#This Row],[Satification_points]]&gt;=4,Table2[[#This Row],[Satification_points]]&lt;4.5),"GOOD",AND(Table2[[#This Row],[Satification_points]]&gt;=3,Table2[[#This Row],[Satification_points]]&lt;4),"AVERAGE",Table2[[#This Row],[Satification_points]]&lt;3,"POOR")</f>
        <v>POOR</v>
      </c>
    </row>
    <row r="1946" spans="1:29" x14ac:dyDescent="0.3">
      <c r="A1946">
        <v>1945</v>
      </c>
      <c r="B1946">
        <v>23720</v>
      </c>
      <c r="C1946" t="s">
        <v>1979</v>
      </c>
      <c r="D1946" t="s">
        <v>34</v>
      </c>
      <c r="E1946" t="s">
        <v>52</v>
      </c>
      <c r="F1946" s="1">
        <v>45558</v>
      </c>
      <c r="G1946" s="1">
        <v>45559</v>
      </c>
      <c r="H1946">
        <v>12</v>
      </c>
      <c r="I1946" t="s">
        <v>42</v>
      </c>
      <c r="J1946" t="s">
        <v>40</v>
      </c>
      <c r="K1946">
        <v>5</v>
      </c>
      <c r="L1946">
        <v>5</v>
      </c>
      <c r="M1946">
        <v>4</v>
      </c>
      <c r="N1946">
        <v>1</v>
      </c>
      <c r="O1946">
        <v>5</v>
      </c>
      <c r="P1946">
        <v>3</v>
      </c>
      <c r="Q1946">
        <v>3</v>
      </c>
      <c r="R1946">
        <v>1</v>
      </c>
      <c r="S1946">
        <v>2</v>
      </c>
      <c r="T1946">
        <v>1</v>
      </c>
      <c r="U1946" t="s">
        <v>37</v>
      </c>
      <c r="V1946" t="s">
        <v>54</v>
      </c>
      <c r="W1946" t="s">
        <v>32</v>
      </c>
      <c r="X1946" t="s">
        <v>33</v>
      </c>
      <c r="Y1946">
        <v>40</v>
      </c>
      <c r="Z1946" s="1">
        <v>45559</v>
      </c>
      <c r="AA1946" t="str" cm="1">
        <f t="array" ref="AA194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4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46" t="str" cm="1">
        <f t="array" ref="AC1946">_xlfn.IFS(Table2[[#This Row],[Satification_points]]&gt;=4.5,"GREAT",AND(Table2[[#This Row],[Satification_points]]&gt;=4,Table2[[#This Row],[Satification_points]]&lt;4.5),"GOOD",AND(Table2[[#This Row],[Satification_points]]&gt;=3,Table2[[#This Row],[Satification_points]]&lt;4),"AVERAGE",Table2[[#This Row],[Satification_points]]&lt;3,"POOR")</f>
        <v>AVERAGE</v>
      </c>
    </row>
    <row r="1947" spans="1:29" x14ac:dyDescent="0.3">
      <c r="A1947">
        <v>1946</v>
      </c>
      <c r="B1947">
        <v>68230</v>
      </c>
      <c r="C1947" t="s">
        <v>1980</v>
      </c>
      <c r="D1947" t="s">
        <v>51</v>
      </c>
      <c r="E1947" t="s">
        <v>45</v>
      </c>
      <c r="F1947" s="1">
        <v>45163</v>
      </c>
      <c r="G1947" s="1">
        <v>45235</v>
      </c>
      <c r="H1947">
        <v>11</v>
      </c>
      <c r="I1947" t="s">
        <v>50</v>
      </c>
      <c r="J1947" t="s">
        <v>29</v>
      </c>
      <c r="K1947">
        <v>4</v>
      </c>
      <c r="L1947">
        <v>3</v>
      </c>
      <c r="M1947">
        <v>2</v>
      </c>
      <c r="N1947">
        <v>3</v>
      </c>
      <c r="O1947">
        <v>3</v>
      </c>
      <c r="P1947">
        <v>4</v>
      </c>
      <c r="Q1947">
        <v>4</v>
      </c>
      <c r="R1947">
        <v>3</v>
      </c>
      <c r="S1947">
        <v>1</v>
      </c>
      <c r="T1947">
        <v>5</v>
      </c>
      <c r="U1947" t="s">
        <v>37</v>
      </c>
      <c r="V1947" t="s">
        <v>54</v>
      </c>
      <c r="W1947" t="s">
        <v>56</v>
      </c>
      <c r="X1947" t="s">
        <v>40</v>
      </c>
      <c r="Y1947">
        <v>63</v>
      </c>
      <c r="Z1947" s="1">
        <v>45417</v>
      </c>
      <c r="AA1947" t="str" cm="1">
        <f t="array" ref="AA1947">_xlfn.IFS(AND(Table2[[#This Row],[Guest_Age]]&gt;=18,Table2[[#This Row],[Guest_Age]]&lt;=25),"Young Adults",AND(Table2[[#This Row],[Guest_Age]]&gt;=26,Table2[[#This Row],[Guest_Age]]&lt;=35),"Adults",AND(Table2[[#This Row],[Guest_Age]]&gt;=36,Table2[[#This Row],[Guest_Age]]&lt;=50),"Middle Aged Adults",Table2[[#This Row],[Guest_Age]]&gt;50,"Senior")</f>
        <v>Senior</v>
      </c>
      <c r="AB194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47" t="str" cm="1">
        <f t="array" ref="AC1947">_xlfn.IFS(Table2[[#This Row],[Satification_points]]&gt;=4.5,"GREAT",AND(Table2[[#This Row],[Satification_points]]&gt;=4,Table2[[#This Row],[Satification_points]]&lt;4.5),"GOOD",AND(Table2[[#This Row],[Satification_points]]&gt;=3,Table2[[#This Row],[Satification_points]]&lt;4),"AVERAGE",Table2[[#This Row],[Satification_points]]&lt;3,"POOR")</f>
        <v>AVERAGE</v>
      </c>
    </row>
    <row r="1948" spans="1:29" x14ac:dyDescent="0.3">
      <c r="A1948">
        <v>1947</v>
      </c>
      <c r="B1948">
        <v>86530</v>
      </c>
      <c r="C1948" t="s">
        <v>1981</v>
      </c>
      <c r="D1948" t="s">
        <v>34</v>
      </c>
      <c r="E1948" t="s">
        <v>27</v>
      </c>
      <c r="F1948" s="1">
        <v>45369</v>
      </c>
      <c r="G1948" s="1">
        <v>45627</v>
      </c>
      <c r="H1948">
        <v>14</v>
      </c>
      <c r="I1948" t="s">
        <v>50</v>
      </c>
      <c r="J1948" t="s">
        <v>36</v>
      </c>
      <c r="K1948">
        <v>5</v>
      </c>
      <c r="L1948">
        <v>5</v>
      </c>
      <c r="M1948">
        <v>1</v>
      </c>
      <c r="N1948">
        <v>1</v>
      </c>
      <c r="O1948">
        <v>1</v>
      </c>
      <c r="P1948">
        <v>1</v>
      </c>
      <c r="Q1948">
        <v>2</v>
      </c>
      <c r="R1948">
        <v>2</v>
      </c>
      <c r="S1948">
        <v>3</v>
      </c>
      <c r="T1948">
        <v>4</v>
      </c>
      <c r="U1948" t="s">
        <v>37</v>
      </c>
      <c r="V1948" t="s">
        <v>31</v>
      </c>
      <c r="W1948" t="s">
        <v>56</v>
      </c>
      <c r="X1948" t="s">
        <v>44</v>
      </c>
      <c r="Y1948">
        <v>56</v>
      </c>
      <c r="Z1948" s="1">
        <v>45627</v>
      </c>
      <c r="AA1948" t="str" cm="1">
        <f t="array" ref="AA1948">_xlfn.IFS(AND(Table2[[#This Row],[Guest_Age]]&gt;=18,Table2[[#This Row],[Guest_Age]]&lt;=25),"Young Adults",AND(Table2[[#This Row],[Guest_Age]]&gt;=26,Table2[[#This Row],[Guest_Age]]&lt;=35),"Adults",AND(Table2[[#This Row],[Guest_Age]]&gt;=36,Table2[[#This Row],[Guest_Age]]&lt;=50),"Middle Aged Adults",Table2[[#This Row],[Guest_Age]]&gt;50,"Senior")</f>
        <v>Senior</v>
      </c>
      <c r="AB194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2.5</v>
      </c>
      <c r="AC1948" t="str" cm="1">
        <f t="array" ref="AC1948">_xlfn.IFS(Table2[[#This Row],[Satification_points]]&gt;=4.5,"GREAT",AND(Table2[[#This Row],[Satification_points]]&gt;=4,Table2[[#This Row],[Satification_points]]&lt;4.5),"GOOD",AND(Table2[[#This Row],[Satification_points]]&gt;=3,Table2[[#This Row],[Satification_points]]&lt;4),"AVERAGE",Table2[[#This Row],[Satification_points]]&lt;3,"POOR")</f>
        <v>POOR</v>
      </c>
    </row>
    <row r="1949" spans="1:29" x14ac:dyDescent="0.3">
      <c r="A1949">
        <v>1948</v>
      </c>
      <c r="B1949">
        <v>97541</v>
      </c>
      <c r="C1949" t="s">
        <v>1982</v>
      </c>
      <c r="D1949" t="s">
        <v>34</v>
      </c>
      <c r="E1949" t="s">
        <v>35</v>
      </c>
      <c r="F1949" s="1">
        <v>44964</v>
      </c>
      <c r="G1949" s="1">
        <v>45314</v>
      </c>
      <c r="H1949">
        <v>12</v>
      </c>
      <c r="I1949" t="s">
        <v>28</v>
      </c>
      <c r="J1949" t="s">
        <v>53</v>
      </c>
      <c r="K1949">
        <v>3</v>
      </c>
      <c r="L1949">
        <v>2</v>
      </c>
      <c r="M1949">
        <v>4</v>
      </c>
      <c r="N1949">
        <v>1</v>
      </c>
      <c r="O1949">
        <v>2</v>
      </c>
      <c r="P1949">
        <v>2</v>
      </c>
      <c r="Q1949">
        <v>4</v>
      </c>
      <c r="R1949">
        <v>4</v>
      </c>
      <c r="S1949">
        <v>2</v>
      </c>
      <c r="T1949">
        <v>5</v>
      </c>
      <c r="U1949" t="s">
        <v>30</v>
      </c>
      <c r="V1949" t="s">
        <v>46</v>
      </c>
      <c r="W1949" t="s">
        <v>55</v>
      </c>
      <c r="X1949" t="s">
        <v>44</v>
      </c>
      <c r="Y1949">
        <v>64</v>
      </c>
      <c r="Z1949" s="1">
        <v>45314</v>
      </c>
      <c r="AA1949" t="str" cm="1">
        <f t="array" ref="AA1949">_xlfn.IFS(AND(Table2[[#This Row],[Guest_Age]]&gt;=18,Table2[[#This Row],[Guest_Age]]&lt;=25),"Young Adults",AND(Table2[[#This Row],[Guest_Age]]&gt;=26,Table2[[#This Row],[Guest_Age]]&lt;=35),"Adults",AND(Table2[[#This Row],[Guest_Age]]&gt;=36,Table2[[#This Row],[Guest_Age]]&lt;=50),"Middle Aged Adults",Table2[[#This Row],[Guest_Age]]&gt;50,"Senior")</f>
        <v>Senior</v>
      </c>
      <c r="AB194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49" t="str" cm="1">
        <f t="array" ref="AC1949">_xlfn.IFS(Table2[[#This Row],[Satification_points]]&gt;=4.5,"GREAT",AND(Table2[[#This Row],[Satification_points]]&gt;=4,Table2[[#This Row],[Satification_points]]&lt;4.5),"GOOD",AND(Table2[[#This Row],[Satification_points]]&gt;=3,Table2[[#This Row],[Satification_points]]&lt;4),"AVERAGE",Table2[[#This Row],[Satification_points]]&lt;3,"POOR")</f>
        <v>POOR</v>
      </c>
    </row>
    <row r="1950" spans="1:29" x14ac:dyDescent="0.3">
      <c r="A1950">
        <v>1949</v>
      </c>
      <c r="B1950">
        <v>30394</v>
      </c>
      <c r="C1950" t="s">
        <v>1983</v>
      </c>
      <c r="D1950" t="s">
        <v>51</v>
      </c>
      <c r="E1950" t="s">
        <v>52</v>
      </c>
      <c r="F1950" s="1">
        <v>45465</v>
      </c>
      <c r="G1950" s="1">
        <v>45466</v>
      </c>
      <c r="H1950">
        <v>5</v>
      </c>
      <c r="I1950" t="s">
        <v>50</v>
      </c>
      <c r="J1950" t="s">
        <v>36</v>
      </c>
      <c r="K1950">
        <v>5</v>
      </c>
      <c r="L1950">
        <v>3</v>
      </c>
      <c r="M1950">
        <v>4</v>
      </c>
      <c r="N1950">
        <v>1</v>
      </c>
      <c r="O1950">
        <v>5</v>
      </c>
      <c r="P1950">
        <v>2</v>
      </c>
      <c r="Q1950">
        <v>3</v>
      </c>
      <c r="R1950">
        <v>4</v>
      </c>
      <c r="S1950">
        <v>3</v>
      </c>
      <c r="T1950">
        <v>3</v>
      </c>
      <c r="U1950" t="s">
        <v>37</v>
      </c>
      <c r="V1950" t="s">
        <v>58</v>
      </c>
      <c r="W1950" t="s">
        <v>39</v>
      </c>
      <c r="X1950" t="s">
        <v>33</v>
      </c>
      <c r="Y1950">
        <v>46</v>
      </c>
      <c r="Z1950" s="1">
        <v>45466</v>
      </c>
      <c r="AA1950" t="str" cm="1">
        <f t="array" ref="AA195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5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50" t="str" cm="1">
        <f t="array" ref="AC1950">_xlfn.IFS(Table2[[#This Row],[Satification_points]]&gt;=4.5,"GREAT",AND(Table2[[#This Row],[Satification_points]]&gt;=4,Table2[[#This Row],[Satification_points]]&lt;4.5),"GOOD",AND(Table2[[#This Row],[Satification_points]]&gt;=3,Table2[[#This Row],[Satification_points]]&lt;4),"AVERAGE",Table2[[#This Row],[Satification_points]]&lt;3,"POOR")</f>
        <v>AVERAGE</v>
      </c>
    </row>
    <row r="1951" spans="1:29" x14ac:dyDescent="0.3">
      <c r="A1951">
        <v>1950</v>
      </c>
      <c r="B1951">
        <v>10635</v>
      </c>
      <c r="C1951" t="s">
        <v>1984</v>
      </c>
      <c r="D1951" t="s">
        <v>41</v>
      </c>
      <c r="E1951" t="s">
        <v>27</v>
      </c>
      <c r="F1951" s="1">
        <v>45561</v>
      </c>
      <c r="G1951" s="1">
        <v>45562</v>
      </c>
      <c r="H1951">
        <v>2</v>
      </c>
      <c r="I1951" t="s">
        <v>49</v>
      </c>
      <c r="J1951" t="s">
        <v>29</v>
      </c>
      <c r="K1951">
        <v>5</v>
      </c>
      <c r="L1951">
        <v>4</v>
      </c>
      <c r="M1951">
        <v>4</v>
      </c>
      <c r="N1951">
        <v>4</v>
      </c>
      <c r="O1951">
        <v>2</v>
      </c>
      <c r="P1951">
        <v>4</v>
      </c>
      <c r="Q1951">
        <v>1</v>
      </c>
      <c r="R1951">
        <v>1</v>
      </c>
      <c r="S1951">
        <v>2</v>
      </c>
      <c r="T1951">
        <v>3</v>
      </c>
      <c r="U1951" t="s">
        <v>30</v>
      </c>
      <c r="V1951" t="s">
        <v>31</v>
      </c>
      <c r="W1951" t="s">
        <v>39</v>
      </c>
      <c r="X1951" t="s">
        <v>40</v>
      </c>
      <c r="Y1951">
        <v>56</v>
      </c>
      <c r="Z1951" s="1">
        <v>45562</v>
      </c>
      <c r="AA1951" t="str" cm="1">
        <f t="array" ref="AA1951">_xlfn.IFS(AND(Table2[[#This Row],[Guest_Age]]&gt;=18,Table2[[#This Row],[Guest_Age]]&lt;=25),"Young Adults",AND(Table2[[#This Row],[Guest_Age]]&gt;=26,Table2[[#This Row],[Guest_Age]]&lt;=35),"Adults",AND(Table2[[#This Row],[Guest_Age]]&gt;=36,Table2[[#This Row],[Guest_Age]]&lt;=50),"Middle Aged Adults",Table2[[#This Row],[Guest_Age]]&gt;50,"Senior")</f>
        <v>Senior</v>
      </c>
      <c r="AB195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51" t="str" cm="1">
        <f t="array" ref="AC1951">_xlfn.IFS(Table2[[#This Row],[Satification_points]]&gt;=4.5,"GREAT",AND(Table2[[#This Row],[Satification_points]]&gt;=4,Table2[[#This Row],[Satification_points]]&lt;4.5),"GOOD",AND(Table2[[#This Row],[Satification_points]]&gt;=3,Table2[[#This Row],[Satification_points]]&lt;4),"AVERAGE",Table2[[#This Row],[Satification_points]]&lt;3,"POOR")</f>
        <v>AVERAGE</v>
      </c>
    </row>
    <row r="1952" spans="1:29" x14ac:dyDescent="0.3">
      <c r="A1952">
        <v>1951</v>
      </c>
      <c r="B1952">
        <v>86742</v>
      </c>
      <c r="C1952" t="s">
        <v>1014</v>
      </c>
      <c r="D1952" t="s">
        <v>34</v>
      </c>
      <c r="E1952" t="s">
        <v>52</v>
      </c>
      <c r="F1952" s="1">
        <v>45082</v>
      </c>
      <c r="G1952" s="1">
        <v>45163</v>
      </c>
      <c r="H1952">
        <v>13</v>
      </c>
      <c r="I1952" t="s">
        <v>28</v>
      </c>
      <c r="J1952" t="s">
        <v>40</v>
      </c>
      <c r="K1952">
        <v>3</v>
      </c>
      <c r="L1952">
        <v>1</v>
      </c>
      <c r="M1952">
        <v>2</v>
      </c>
      <c r="N1952">
        <v>4</v>
      </c>
      <c r="O1952">
        <v>5</v>
      </c>
      <c r="P1952">
        <v>2</v>
      </c>
      <c r="Q1952">
        <v>4</v>
      </c>
      <c r="R1952">
        <v>5</v>
      </c>
      <c r="S1952">
        <v>4</v>
      </c>
      <c r="T1952">
        <v>3</v>
      </c>
      <c r="U1952" t="s">
        <v>30</v>
      </c>
      <c r="V1952" t="s">
        <v>38</v>
      </c>
      <c r="W1952" t="s">
        <v>39</v>
      </c>
      <c r="X1952" t="s">
        <v>33</v>
      </c>
      <c r="Y1952">
        <v>62</v>
      </c>
      <c r="Z1952" s="1">
        <v>45163</v>
      </c>
      <c r="AA1952" t="str" cm="1">
        <f t="array" ref="AA1952">_xlfn.IFS(AND(Table2[[#This Row],[Guest_Age]]&gt;=18,Table2[[#This Row],[Guest_Age]]&lt;=25),"Young Adults",AND(Table2[[#This Row],[Guest_Age]]&gt;=26,Table2[[#This Row],[Guest_Age]]&lt;=35),"Adults",AND(Table2[[#This Row],[Guest_Age]]&gt;=36,Table2[[#This Row],[Guest_Age]]&lt;=50),"Middle Aged Adults",Table2[[#This Row],[Guest_Age]]&gt;50,"Senior")</f>
        <v>Senior</v>
      </c>
      <c r="AB195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52" t="str" cm="1">
        <f t="array" ref="AC1952">_xlfn.IFS(Table2[[#This Row],[Satification_points]]&gt;=4.5,"GREAT",AND(Table2[[#This Row],[Satification_points]]&gt;=4,Table2[[#This Row],[Satification_points]]&lt;4.5),"GOOD",AND(Table2[[#This Row],[Satification_points]]&gt;=3,Table2[[#This Row],[Satification_points]]&lt;4),"AVERAGE",Table2[[#This Row],[Satification_points]]&lt;3,"POOR")</f>
        <v>AVERAGE</v>
      </c>
    </row>
    <row r="1953" spans="1:29" x14ac:dyDescent="0.3">
      <c r="A1953">
        <v>1952</v>
      </c>
      <c r="B1953">
        <v>74197</v>
      </c>
      <c r="C1953" t="s">
        <v>1985</v>
      </c>
      <c r="D1953" t="s">
        <v>51</v>
      </c>
      <c r="E1953" t="s">
        <v>35</v>
      </c>
      <c r="F1953" s="1">
        <v>45655</v>
      </c>
      <c r="G1953" s="1">
        <v>45656</v>
      </c>
      <c r="H1953">
        <v>3</v>
      </c>
      <c r="I1953" t="s">
        <v>28</v>
      </c>
      <c r="J1953" t="s">
        <v>40</v>
      </c>
      <c r="K1953">
        <v>3</v>
      </c>
      <c r="L1953">
        <v>4</v>
      </c>
      <c r="M1953">
        <v>1</v>
      </c>
      <c r="N1953">
        <v>2</v>
      </c>
      <c r="O1953">
        <v>5</v>
      </c>
      <c r="P1953">
        <v>5</v>
      </c>
      <c r="Q1953">
        <v>4</v>
      </c>
      <c r="R1953">
        <v>4</v>
      </c>
      <c r="S1953">
        <v>5</v>
      </c>
      <c r="T1953">
        <v>3</v>
      </c>
      <c r="U1953" t="s">
        <v>37</v>
      </c>
      <c r="V1953" t="s">
        <v>38</v>
      </c>
      <c r="W1953" t="s">
        <v>55</v>
      </c>
      <c r="X1953" t="s">
        <v>44</v>
      </c>
      <c r="Y1953">
        <v>63</v>
      </c>
      <c r="Z1953" s="1">
        <v>45656</v>
      </c>
      <c r="AA1953" t="str" cm="1">
        <f t="array" ref="AA1953">_xlfn.IFS(AND(Table2[[#This Row],[Guest_Age]]&gt;=18,Table2[[#This Row],[Guest_Age]]&lt;=25),"Young Adults",AND(Table2[[#This Row],[Guest_Age]]&gt;=26,Table2[[#This Row],[Guest_Age]]&lt;=35),"Adults",AND(Table2[[#This Row],[Guest_Age]]&gt;=36,Table2[[#This Row],[Guest_Age]]&lt;=50),"Middle Aged Adults",Table2[[#This Row],[Guest_Age]]&gt;50,"Senior")</f>
        <v>Senior</v>
      </c>
      <c r="AB195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3.6</v>
      </c>
      <c r="AC1953" t="str" cm="1">
        <f t="array" ref="AC1953">_xlfn.IFS(Table2[[#This Row],[Satification_points]]&gt;=4.5,"GREAT",AND(Table2[[#This Row],[Satification_points]]&gt;=4,Table2[[#This Row],[Satification_points]]&lt;4.5),"GOOD",AND(Table2[[#This Row],[Satification_points]]&gt;=3,Table2[[#This Row],[Satification_points]]&lt;4),"AVERAGE",Table2[[#This Row],[Satification_points]]&lt;3,"POOR")</f>
        <v>AVERAGE</v>
      </c>
    </row>
    <row r="1954" spans="1:29" x14ac:dyDescent="0.3">
      <c r="A1954">
        <v>1953</v>
      </c>
      <c r="B1954">
        <v>54845</v>
      </c>
      <c r="C1954" t="s">
        <v>1986</v>
      </c>
      <c r="D1954" t="s">
        <v>26</v>
      </c>
      <c r="E1954" t="s">
        <v>27</v>
      </c>
      <c r="F1954" s="1">
        <v>45120</v>
      </c>
      <c r="G1954" s="1">
        <v>45121</v>
      </c>
      <c r="H1954">
        <v>11</v>
      </c>
      <c r="I1954" t="s">
        <v>28</v>
      </c>
      <c r="J1954" t="s">
        <v>53</v>
      </c>
      <c r="K1954">
        <v>3</v>
      </c>
      <c r="L1954">
        <v>5</v>
      </c>
      <c r="M1954">
        <v>2</v>
      </c>
      <c r="N1954">
        <v>1</v>
      </c>
      <c r="O1954">
        <v>2</v>
      </c>
      <c r="P1954">
        <v>3</v>
      </c>
      <c r="Q1954">
        <v>3</v>
      </c>
      <c r="R1954">
        <v>4</v>
      </c>
      <c r="S1954">
        <v>4</v>
      </c>
      <c r="T1954">
        <v>1</v>
      </c>
      <c r="U1954" t="s">
        <v>30</v>
      </c>
      <c r="V1954" t="s">
        <v>38</v>
      </c>
      <c r="W1954" t="s">
        <v>47</v>
      </c>
      <c r="X1954" t="s">
        <v>33</v>
      </c>
      <c r="Y1954">
        <v>28</v>
      </c>
      <c r="Z1954" s="1">
        <v>45654</v>
      </c>
      <c r="AA1954" t="str" cm="1">
        <f t="array" ref="AA1954">_xlfn.IFS(AND(Table2[[#This Row],[Guest_Age]]&gt;=18,Table2[[#This Row],[Guest_Age]]&lt;=25),"Young Adults",AND(Table2[[#This Row],[Guest_Age]]&gt;=26,Table2[[#This Row],[Guest_Age]]&lt;=35),"Adults",AND(Table2[[#This Row],[Guest_Age]]&gt;=36,Table2[[#This Row],[Guest_Age]]&lt;=50),"Middle Aged Adults",Table2[[#This Row],[Guest_Age]]&gt;50,"Senior")</f>
        <v>Adults</v>
      </c>
      <c r="AB195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954" t="str" cm="1">
        <f t="array" ref="AC1954">_xlfn.IFS(Table2[[#This Row],[Satification_points]]&gt;=4.5,"GREAT",AND(Table2[[#This Row],[Satification_points]]&gt;=4,Table2[[#This Row],[Satification_points]]&lt;4.5),"GOOD",AND(Table2[[#This Row],[Satification_points]]&gt;=3,Table2[[#This Row],[Satification_points]]&lt;4),"AVERAGE",Table2[[#This Row],[Satification_points]]&lt;3,"POOR")</f>
        <v>POOR</v>
      </c>
    </row>
    <row r="1955" spans="1:29" x14ac:dyDescent="0.3">
      <c r="A1955">
        <v>1954</v>
      </c>
      <c r="B1955">
        <v>32805</v>
      </c>
      <c r="C1955" t="s">
        <v>1987</v>
      </c>
      <c r="D1955" t="s">
        <v>34</v>
      </c>
      <c r="E1955" t="s">
        <v>35</v>
      </c>
      <c r="F1955" s="1">
        <v>45087</v>
      </c>
      <c r="G1955" s="1">
        <v>45617</v>
      </c>
      <c r="H1955">
        <v>7</v>
      </c>
      <c r="I1955" t="s">
        <v>50</v>
      </c>
      <c r="J1955" t="s">
        <v>40</v>
      </c>
      <c r="K1955">
        <v>5</v>
      </c>
      <c r="L1955">
        <v>4</v>
      </c>
      <c r="M1955">
        <v>5</v>
      </c>
      <c r="N1955">
        <v>4</v>
      </c>
      <c r="O1955">
        <v>5</v>
      </c>
      <c r="P1955">
        <v>3</v>
      </c>
      <c r="Q1955">
        <v>3</v>
      </c>
      <c r="R1955">
        <v>4</v>
      </c>
      <c r="S1955">
        <v>1</v>
      </c>
      <c r="T1955">
        <v>1</v>
      </c>
      <c r="U1955" t="s">
        <v>30</v>
      </c>
      <c r="V1955" t="s">
        <v>58</v>
      </c>
      <c r="W1955" t="s">
        <v>47</v>
      </c>
      <c r="X1955" t="s">
        <v>40</v>
      </c>
      <c r="Y1955">
        <v>67</v>
      </c>
      <c r="Z1955" s="1">
        <v>45617</v>
      </c>
      <c r="AA1955" t="str" cm="1">
        <f t="array" ref="AA1955">_xlfn.IFS(AND(Table2[[#This Row],[Guest_Age]]&gt;=18,Table2[[#This Row],[Guest_Age]]&lt;=25),"Young Adults",AND(Table2[[#This Row],[Guest_Age]]&gt;=26,Table2[[#This Row],[Guest_Age]]&lt;=35),"Adults",AND(Table2[[#This Row],[Guest_Age]]&gt;=36,Table2[[#This Row],[Guest_Age]]&lt;=50),"Middle Aged Adults",Table2[[#This Row],[Guest_Age]]&gt;50,"Senior")</f>
        <v>Senior</v>
      </c>
      <c r="AB195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955" t="str" cm="1">
        <f t="array" ref="AC1955">_xlfn.IFS(Table2[[#This Row],[Satification_points]]&gt;=4.5,"GREAT",AND(Table2[[#This Row],[Satification_points]]&gt;=4,Table2[[#This Row],[Satification_points]]&lt;4.5),"GOOD",AND(Table2[[#This Row],[Satification_points]]&gt;=3,Table2[[#This Row],[Satification_points]]&lt;4),"AVERAGE",Table2[[#This Row],[Satification_points]]&lt;3,"POOR")</f>
        <v>AVERAGE</v>
      </c>
    </row>
    <row r="1956" spans="1:29" x14ac:dyDescent="0.3">
      <c r="A1956">
        <v>1955</v>
      </c>
      <c r="B1956">
        <v>69426</v>
      </c>
      <c r="C1956" t="s">
        <v>1988</v>
      </c>
      <c r="D1956" t="s">
        <v>34</v>
      </c>
      <c r="E1956" t="s">
        <v>45</v>
      </c>
      <c r="F1956" s="1">
        <v>45566</v>
      </c>
      <c r="G1956" s="1">
        <v>45659</v>
      </c>
      <c r="H1956">
        <v>6</v>
      </c>
      <c r="I1956" t="s">
        <v>42</v>
      </c>
      <c r="J1956" t="s">
        <v>43</v>
      </c>
      <c r="K1956">
        <v>3</v>
      </c>
      <c r="L1956">
        <v>3</v>
      </c>
      <c r="M1956">
        <v>3</v>
      </c>
      <c r="N1956">
        <v>3</v>
      </c>
      <c r="O1956">
        <v>1</v>
      </c>
      <c r="P1956">
        <v>5</v>
      </c>
      <c r="Q1956">
        <v>2</v>
      </c>
      <c r="R1956">
        <v>3</v>
      </c>
      <c r="S1956">
        <v>4</v>
      </c>
      <c r="T1956">
        <v>5</v>
      </c>
      <c r="U1956" t="s">
        <v>37</v>
      </c>
      <c r="V1956" t="s">
        <v>38</v>
      </c>
      <c r="W1956" t="s">
        <v>47</v>
      </c>
      <c r="X1956" t="s">
        <v>44</v>
      </c>
      <c r="Y1956">
        <v>30</v>
      </c>
      <c r="Z1956" s="1">
        <v>45659</v>
      </c>
      <c r="AA1956" t="str" cm="1">
        <f t="array" ref="AA1956">_xlfn.IFS(AND(Table2[[#This Row],[Guest_Age]]&gt;=18,Table2[[#This Row],[Guest_Age]]&lt;=25),"Young Adults",AND(Table2[[#This Row],[Guest_Age]]&gt;=26,Table2[[#This Row],[Guest_Age]]&lt;=35),"Adults",AND(Table2[[#This Row],[Guest_Age]]&gt;=36,Table2[[#This Row],[Guest_Age]]&lt;=50),"Middle Aged Adults",Table2[[#This Row],[Guest_Age]]&gt;50,"Senior")</f>
        <v>Adults</v>
      </c>
      <c r="AB195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56" t="str" cm="1">
        <f t="array" ref="AC1956">_xlfn.IFS(Table2[[#This Row],[Satification_points]]&gt;=4.5,"GREAT",AND(Table2[[#This Row],[Satification_points]]&gt;=4,Table2[[#This Row],[Satification_points]]&lt;4.5),"GOOD",AND(Table2[[#This Row],[Satification_points]]&gt;=3,Table2[[#This Row],[Satification_points]]&lt;4),"AVERAGE",Table2[[#This Row],[Satification_points]]&lt;3,"POOR")</f>
        <v>AVERAGE</v>
      </c>
    </row>
    <row r="1957" spans="1:29" x14ac:dyDescent="0.3">
      <c r="A1957">
        <v>1956</v>
      </c>
      <c r="B1957">
        <v>35632</v>
      </c>
      <c r="C1957" t="s">
        <v>1989</v>
      </c>
      <c r="D1957" t="s">
        <v>41</v>
      </c>
      <c r="E1957" t="s">
        <v>45</v>
      </c>
      <c r="F1957" s="1">
        <v>45616</v>
      </c>
      <c r="G1957" s="1">
        <v>45617</v>
      </c>
      <c r="H1957">
        <v>6</v>
      </c>
      <c r="I1957" t="s">
        <v>50</v>
      </c>
      <c r="J1957" t="s">
        <v>29</v>
      </c>
      <c r="K1957">
        <v>1</v>
      </c>
      <c r="L1957">
        <v>2</v>
      </c>
      <c r="M1957">
        <v>3</v>
      </c>
      <c r="N1957">
        <v>3</v>
      </c>
      <c r="O1957">
        <v>5</v>
      </c>
      <c r="P1957">
        <v>2</v>
      </c>
      <c r="Q1957">
        <v>2</v>
      </c>
      <c r="R1957">
        <v>5</v>
      </c>
      <c r="S1957">
        <v>2</v>
      </c>
      <c r="T1957">
        <v>2</v>
      </c>
      <c r="U1957" t="s">
        <v>30</v>
      </c>
      <c r="V1957" t="s">
        <v>58</v>
      </c>
      <c r="W1957" t="s">
        <v>32</v>
      </c>
      <c r="X1957" t="s">
        <v>33</v>
      </c>
      <c r="Y1957">
        <v>29</v>
      </c>
      <c r="Z1957" s="1">
        <v>45617</v>
      </c>
      <c r="AA1957" t="str" cm="1">
        <f t="array" ref="AA1957">_xlfn.IFS(AND(Table2[[#This Row],[Guest_Age]]&gt;=18,Table2[[#This Row],[Guest_Age]]&lt;=25),"Young Adults",AND(Table2[[#This Row],[Guest_Age]]&gt;=26,Table2[[#This Row],[Guest_Age]]&lt;=35),"Adults",AND(Table2[[#This Row],[Guest_Age]]&gt;=36,Table2[[#This Row],[Guest_Age]]&lt;=50),"Middle Aged Adults",Table2[[#This Row],[Guest_Age]]&gt;50,"Senior")</f>
        <v>Adults</v>
      </c>
      <c r="AB195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57" t="str" cm="1">
        <f t="array" ref="AC1957">_xlfn.IFS(Table2[[#This Row],[Satification_points]]&gt;=4.5,"GREAT",AND(Table2[[#This Row],[Satification_points]]&gt;=4,Table2[[#This Row],[Satification_points]]&lt;4.5),"GOOD",AND(Table2[[#This Row],[Satification_points]]&gt;=3,Table2[[#This Row],[Satification_points]]&lt;4),"AVERAGE",Table2[[#This Row],[Satification_points]]&lt;3,"POOR")</f>
        <v>POOR</v>
      </c>
    </row>
    <row r="1958" spans="1:29" x14ac:dyDescent="0.3">
      <c r="A1958">
        <v>1957</v>
      </c>
      <c r="B1958">
        <v>21660</v>
      </c>
      <c r="C1958" t="s">
        <v>1990</v>
      </c>
      <c r="D1958" t="s">
        <v>41</v>
      </c>
      <c r="E1958" t="s">
        <v>57</v>
      </c>
      <c r="F1958" s="1">
        <v>45052</v>
      </c>
      <c r="G1958" s="1">
        <v>45098</v>
      </c>
      <c r="H1958">
        <v>12</v>
      </c>
      <c r="I1958" t="s">
        <v>28</v>
      </c>
      <c r="J1958" t="s">
        <v>40</v>
      </c>
      <c r="K1958">
        <v>2</v>
      </c>
      <c r="L1958">
        <v>4</v>
      </c>
      <c r="M1958">
        <v>3</v>
      </c>
      <c r="N1958">
        <v>1</v>
      </c>
      <c r="O1958">
        <v>3</v>
      </c>
      <c r="P1958">
        <v>1</v>
      </c>
      <c r="Q1958">
        <v>3</v>
      </c>
      <c r="R1958">
        <v>1</v>
      </c>
      <c r="S1958">
        <v>1</v>
      </c>
      <c r="T1958">
        <v>2</v>
      </c>
      <c r="U1958" t="s">
        <v>37</v>
      </c>
      <c r="V1958" t="s">
        <v>31</v>
      </c>
      <c r="W1958" t="s">
        <v>55</v>
      </c>
      <c r="X1958" t="s">
        <v>40</v>
      </c>
      <c r="Y1958">
        <v>19</v>
      </c>
      <c r="Z1958" s="1">
        <v>45196</v>
      </c>
      <c r="AA1958" t="str" cm="1">
        <f t="array" ref="AA1958">_xlfn.IFS(AND(Table2[[#This Row],[Guest_Age]]&gt;=18,Table2[[#This Row],[Guest_Age]]&lt;=25),"Young Adults",AND(Table2[[#This Row],[Guest_Age]]&gt;=26,Table2[[#This Row],[Guest_Age]]&lt;=35),"Adults",AND(Table2[[#This Row],[Guest_Age]]&gt;=36,Table2[[#This Row],[Guest_Age]]&lt;=50),"Middle Aged Adults",Table2[[#This Row],[Guest_Age]]&gt;50,"Senior")</f>
        <v>Young Adults</v>
      </c>
      <c r="AB195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2.1</v>
      </c>
      <c r="AC1958" t="str" cm="1">
        <f t="array" ref="AC1958">_xlfn.IFS(Table2[[#This Row],[Satification_points]]&gt;=4.5,"GREAT",AND(Table2[[#This Row],[Satification_points]]&gt;=4,Table2[[#This Row],[Satification_points]]&lt;4.5),"GOOD",AND(Table2[[#This Row],[Satification_points]]&gt;=3,Table2[[#This Row],[Satification_points]]&lt;4),"AVERAGE",Table2[[#This Row],[Satification_points]]&lt;3,"POOR")</f>
        <v>POOR</v>
      </c>
    </row>
    <row r="1959" spans="1:29" x14ac:dyDescent="0.3">
      <c r="A1959">
        <v>1958</v>
      </c>
      <c r="B1959">
        <v>36877</v>
      </c>
      <c r="C1959" t="s">
        <v>1991</v>
      </c>
      <c r="D1959" t="s">
        <v>26</v>
      </c>
      <c r="E1959" t="s">
        <v>27</v>
      </c>
      <c r="F1959" s="1">
        <v>45612</v>
      </c>
      <c r="G1959" s="1">
        <v>45613</v>
      </c>
      <c r="H1959">
        <v>7</v>
      </c>
      <c r="I1959" t="s">
        <v>42</v>
      </c>
      <c r="J1959" t="s">
        <v>29</v>
      </c>
      <c r="K1959">
        <v>2</v>
      </c>
      <c r="L1959">
        <v>5</v>
      </c>
      <c r="M1959">
        <v>5</v>
      </c>
      <c r="N1959">
        <v>2</v>
      </c>
      <c r="O1959">
        <v>3</v>
      </c>
      <c r="P1959">
        <v>5</v>
      </c>
      <c r="Q1959">
        <v>4</v>
      </c>
      <c r="R1959">
        <v>1</v>
      </c>
      <c r="S1959">
        <v>2</v>
      </c>
      <c r="T1959">
        <v>1</v>
      </c>
      <c r="U1959" t="s">
        <v>37</v>
      </c>
      <c r="V1959" t="s">
        <v>58</v>
      </c>
      <c r="W1959" t="s">
        <v>55</v>
      </c>
      <c r="X1959" t="s">
        <v>44</v>
      </c>
      <c r="Y1959">
        <v>59</v>
      </c>
      <c r="Z1959" s="1">
        <v>45613</v>
      </c>
      <c r="AA1959" t="str" cm="1">
        <f t="array" ref="AA1959">_xlfn.IFS(AND(Table2[[#This Row],[Guest_Age]]&gt;=18,Table2[[#This Row],[Guest_Age]]&lt;=25),"Young Adults",AND(Table2[[#This Row],[Guest_Age]]&gt;=26,Table2[[#This Row],[Guest_Age]]&lt;=35),"Adults",AND(Table2[[#This Row],[Guest_Age]]&gt;=36,Table2[[#This Row],[Guest_Age]]&lt;=50),"Middle Aged Adults",Table2[[#This Row],[Guest_Age]]&gt;50,"Senior")</f>
        <v>Senior</v>
      </c>
      <c r="AB195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59" t="str" cm="1">
        <f t="array" ref="AC1959">_xlfn.IFS(Table2[[#This Row],[Satification_points]]&gt;=4.5,"GREAT",AND(Table2[[#This Row],[Satification_points]]&gt;=4,Table2[[#This Row],[Satification_points]]&lt;4.5),"GOOD",AND(Table2[[#This Row],[Satification_points]]&gt;=3,Table2[[#This Row],[Satification_points]]&lt;4),"AVERAGE",Table2[[#This Row],[Satification_points]]&lt;3,"POOR")</f>
        <v>AVERAGE</v>
      </c>
    </row>
    <row r="1960" spans="1:29" x14ac:dyDescent="0.3">
      <c r="A1960">
        <v>1959</v>
      </c>
      <c r="B1960">
        <v>84295</v>
      </c>
      <c r="C1960" t="s">
        <v>1992</v>
      </c>
      <c r="D1960" t="s">
        <v>41</v>
      </c>
      <c r="E1960" t="s">
        <v>45</v>
      </c>
      <c r="F1960" s="1">
        <v>45473</v>
      </c>
      <c r="G1960" s="1">
        <v>45521</v>
      </c>
      <c r="H1960">
        <v>6</v>
      </c>
      <c r="I1960" t="s">
        <v>28</v>
      </c>
      <c r="J1960" t="s">
        <v>29</v>
      </c>
      <c r="K1960">
        <v>3</v>
      </c>
      <c r="L1960">
        <v>4</v>
      </c>
      <c r="M1960">
        <v>5</v>
      </c>
      <c r="N1960">
        <v>4</v>
      </c>
      <c r="O1960">
        <v>5</v>
      </c>
      <c r="P1960">
        <v>5</v>
      </c>
      <c r="Q1960">
        <v>5</v>
      </c>
      <c r="R1960">
        <v>2</v>
      </c>
      <c r="S1960">
        <v>5</v>
      </c>
      <c r="T1960">
        <v>4</v>
      </c>
      <c r="U1960" t="s">
        <v>37</v>
      </c>
      <c r="V1960" t="s">
        <v>38</v>
      </c>
      <c r="W1960" t="s">
        <v>47</v>
      </c>
      <c r="X1960" t="s">
        <v>40</v>
      </c>
      <c r="Y1960">
        <v>28</v>
      </c>
      <c r="Z1960" s="1">
        <v>45589</v>
      </c>
      <c r="AA1960" t="str" cm="1">
        <f t="array" ref="AA1960">_xlfn.IFS(AND(Table2[[#This Row],[Guest_Age]]&gt;=18,Table2[[#This Row],[Guest_Age]]&lt;=25),"Young Adults",AND(Table2[[#This Row],[Guest_Age]]&gt;=26,Table2[[#This Row],[Guest_Age]]&lt;=35),"Adults",AND(Table2[[#This Row],[Guest_Age]]&gt;=36,Table2[[#This Row],[Guest_Age]]&lt;=50),"Middle Aged Adults",Table2[[#This Row],[Guest_Age]]&gt;50,"Senior")</f>
        <v>Adults</v>
      </c>
      <c r="AB196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4.2</v>
      </c>
      <c r="AC1960" t="str" cm="1">
        <f t="array" ref="AC1960">_xlfn.IFS(Table2[[#This Row],[Satification_points]]&gt;=4.5,"GREAT",AND(Table2[[#This Row],[Satification_points]]&gt;=4,Table2[[#This Row],[Satification_points]]&lt;4.5),"GOOD",AND(Table2[[#This Row],[Satification_points]]&gt;=3,Table2[[#This Row],[Satification_points]]&lt;4),"AVERAGE",Table2[[#This Row],[Satification_points]]&lt;3,"POOR")</f>
        <v>GOOD</v>
      </c>
    </row>
    <row r="1961" spans="1:29" x14ac:dyDescent="0.3">
      <c r="A1961">
        <v>1960</v>
      </c>
      <c r="B1961">
        <v>48924</v>
      </c>
      <c r="C1961" t="s">
        <v>1510</v>
      </c>
      <c r="D1961" t="s">
        <v>26</v>
      </c>
      <c r="E1961" t="s">
        <v>57</v>
      </c>
      <c r="F1961" s="1">
        <v>45165</v>
      </c>
      <c r="G1961" s="1">
        <v>45166</v>
      </c>
      <c r="H1961">
        <v>11</v>
      </c>
      <c r="I1961" t="s">
        <v>28</v>
      </c>
      <c r="J1961" t="s">
        <v>43</v>
      </c>
      <c r="K1961">
        <v>4</v>
      </c>
      <c r="L1961">
        <v>4</v>
      </c>
      <c r="M1961">
        <v>5</v>
      </c>
      <c r="N1961">
        <v>4</v>
      </c>
      <c r="O1961">
        <v>1</v>
      </c>
      <c r="P1961">
        <v>3</v>
      </c>
      <c r="Q1961">
        <v>2</v>
      </c>
      <c r="R1961">
        <v>3</v>
      </c>
      <c r="S1961">
        <v>3</v>
      </c>
      <c r="T1961">
        <v>1</v>
      </c>
      <c r="U1961" t="s">
        <v>37</v>
      </c>
      <c r="V1961" t="s">
        <v>54</v>
      </c>
      <c r="W1961" t="s">
        <v>47</v>
      </c>
      <c r="X1961" t="s">
        <v>33</v>
      </c>
      <c r="Y1961">
        <v>65</v>
      </c>
      <c r="Z1961" s="1">
        <v>45200</v>
      </c>
      <c r="AA1961" t="str" cm="1">
        <f t="array" ref="AA1961">_xlfn.IFS(AND(Table2[[#This Row],[Guest_Age]]&gt;=18,Table2[[#This Row],[Guest_Age]]&lt;=25),"Young Adults",AND(Table2[[#This Row],[Guest_Age]]&gt;=26,Table2[[#This Row],[Guest_Age]]&lt;=35),"Adults",AND(Table2[[#This Row],[Guest_Age]]&gt;=36,Table2[[#This Row],[Guest_Age]]&lt;=50),"Middle Aged Adults",Table2[[#This Row],[Guest_Age]]&gt;50,"Senior")</f>
        <v>Senior</v>
      </c>
      <c r="AB196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61" t="str" cm="1">
        <f t="array" ref="AC1961">_xlfn.IFS(Table2[[#This Row],[Satification_points]]&gt;=4.5,"GREAT",AND(Table2[[#This Row],[Satification_points]]&gt;=4,Table2[[#This Row],[Satification_points]]&lt;4.5),"GOOD",AND(Table2[[#This Row],[Satification_points]]&gt;=3,Table2[[#This Row],[Satification_points]]&lt;4),"AVERAGE",Table2[[#This Row],[Satification_points]]&lt;3,"POOR")</f>
        <v>AVERAGE</v>
      </c>
    </row>
    <row r="1962" spans="1:29" x14ac:dyDescent="0.3">
      <c r="A1962">
        <v>1961</v>
      </c>
      <c r="B1962">
        <v>57153</v>
      </c>
      <c r="C1962" t="s">
        <v>1993</v>
      </c>
      <c r="D1962" t="s">
        <v>34</v>
      </c>
      <c r="E1962" t="s">
        <v>27</v>
      </c>
      <c r="F1962" s="1">
        <v>44967</v>
      </c>
      <c r="G1962" s="1">
        <v>45197</v>
      </c>
      <c r="H1962">
        <v>2</v>
      </c>
      <c r="I1962" t="s">
        <v>42</v>
      </c>
      <c r="J1962" t="s">
        <v>53</v>
      </c>
      <c r="K1962">
        <v>5</v>
      </c>
      <c r="L1962">
        <v>3</v>
      </c>
      <c r="M1962">
        <v>1</v>
      </c>
      <c r="N1962">
        <v>4</v>
      </c>
      <c r="O1962">
        <v>4</v>
      </c>
      <c r="P1962">
        <v>1</v>
      </c>
      <c r="Q1962">
        <v>3</v>
      </c>
      <c r="R1962">
        <v>5</v>
      </c>
      <c r="S1962">
        <v>5</v>
      </c>
      <c r="T1962">
        <v>4</v>
      </c>
      <c r="U1962" t="s">
        <v>37</v>
      </c>
      <c r="V1962" t="s">
        <v>38</v>
      </c>
      <c r="W1962" t="s">
        <v>47</v>
      </c>
      <c r="X1962" t="s">
        <v>44</v>
      </c>
      <c r="Y1962">
        <v>66</v>
      </c>
      <c r="Z1962" s="1">
        <v>45197</v>
      </c>
      <c r="AA1962" t="str" cm="1">
        <f t="array" ref="AA1962">_xlfn.IFS(AND(Table2[[#This Row],[Guest_Age]]&gt;=18,Table2[[#This Row],[Guest_Age]]&lt;=25),"Young Adults",AND(Table2[[#This Row],[Guest_Age]]&gt;=26,Table2[[#This Row],[Guest_Age]]&lt;=35),"Adults",AND(Table2[[#This Row],[Guest_Age]]&gt;=36,Table2[[#This Row],[Guest_Age]]&lt;=50),"Middle Aged Adults",Table2[[#This Row],[Guest_Age]]&gt;50,"Senior")</f>
        <v>Senior</v>
      </c>
      <c r="AB196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962" t="str" cm="1">
        <f t="array" ref="AC1962">_xlfn.IFS(Table2[[#This Row],[Satification_points]]&gt;=4.5,"GREAT",AND(Table2[[#This Row],[Satification_points]]&gt;=4,Table2[[#This Row],[Satification_points]]&lt;4.5),"GOOD",AND(Table2[[#This Row],[Satification_points]]&gt;=3,Table2[[#This Row],[Satification_points]]&lt;4),"AVERAGE",Table2[[#This Row],[Satification_points]]&lt;3,"POOR")</f>
        <v>AVERAGE</v>
      </c>
    </row>
    <row r="1963" spans="1:29" x14ac:dyDescent="0.3">
      <c r="A1963">
        <v>1962</v>
      </c>
      <c r="B1963">
        <v>69127</v>
      </c>
      <c r="C1963" t="s">
        <v>1994</v>
      </c>
      <c r="D1963" t="s">
        <v>51</v>
      </c>
      <c r="E1963" t="s">
        <v>35</v>
      </c>
      <c r="F1963" s="1">
        <v>45112</v>
      </c>
      <c r="G1963" s="1">
        <v>45113</v>
      </c>
      <c r="H1963">
        <v>8</v>
      </c>
      <c r="I1963" t="s">
        <v>42</v>
      </c>
      <c r="J1963" t="s">
        <v>29</v>
      </c>
      <c r="K1963">
        <v>2</v>
      </c>
      <c r="L1963">
        <v>5</v>
      </c>
      <c r="M1963">
        <v>4</v>
      </c>
      <c r="N1963">
        <v>2</v>
      </c>
      <c r="O1963">
        <v>4</v>
      </c>
      <c r="P1963">
        <v>1</v>
      </c>
      <c r="Q1963">
        <v>5</v>
      </c>
      <c r="R1963">
        <v>2</v>
      </c>
      <c r="S1963">
        <v>5</v>
      </c>
      <c r="T1963">
        <v>2</v>
      </c>
      <c r="U1963" t="s">
        <v>30</v>
      </c>
      <c r="V1963" t="s">
        <v>58</v>
      </c>
      <c r="W1963" t="s">
        <v>55</v>
      </c>
      <c r="X1963" t="s">
        <v>40</v>
      </c>
      <c r="Y1963">
        <v>31</v>
      </c>
      <c r="Z1963" s="1">
        <v>45506</v>
      </c>
      <c r="AA1963" t="str" cm="1">
        <f t="array" ref="AA1963">_xlfn.IFS(AND(Table2[[#This Row],[Guest_Age]]&gt;=18,Table2[[#This Row],[Guest_Age]]&lt;=25),"Young Adults",AND(Table2[[#This Row],[Guest_Age]]&gt;=26,Table2[[#This Row],[Guest_Age]]&lt;=35),"Adults",AND(Table2[[#This Row],[Guest_Age]]&gt;=36,Table2[[#This Row],[Guest_Age]]&lt;=50),"Middle Aged Adults",Table2[[#This Row],[Guest_Age]]&gt;50,"Senior")</f>
        <v>Adults</v>
      </c>
      <c r="AB196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63" t="str" cm="1">
        <f t="array" ref="AC1963">_xlfn.IFS(Table2[[#This Row],[Satification_points]]&gt;=4.5,"GREAT",AND(Table2[[#This Row],[Satification_points]]&gt;=4,Table2[[#This Row],[Satification_points]]&lt;4.5),"GOOD",AND(Table2[[#This Row],[Satification_points]]&gt;=3,Table2[[#This Row],[Satification_points]]&lt;4),"AVERAGE",Table2[[#This Row],[Satification_points]]&lt;3,"POOR")</f>
        <v>AVERAGE</v>
      </c>
    </row>
    <row r="1964" spans="1:29" x14ac:dyDescent="0.3">
      <c r="A1964">
        <v>1963</v>
      </c>
      <c r="B1964">
        <v>58360</v>
      </c>
      <c r="C1964" t="s">
        <v>1995</v>
      </c>
      <c r="D1964" t="s">
        <v>41</v>
      </c>
      <c r="E1964" t="s">
        <v>52</v>
      </c>
      <c r="F1964" s="1">
        <v>45387</v>
      </c>
      <c r="G1964" s="1">
        <v>45388</v>
      </c>
      <c r="H1964">
        <v>7</v>
      </c>
      <c r="I1964" t="s">
        <v>28</v>
      </c>
      <c r="J1964" t="s">
        <v>43</v>
      </c>
      <c r="K1964">
        <v>1</v>
      </c>
      <c r="L1964">
        <v>5</v>
      </c>
      <c r="M1964">
        <v>5</v>
      </c>
      <c r="N1964">
        <v>5</v>
      </c>
      <c r="O1964">
        <v>1</v>
      </c>
      <c r="P1964">
        <v>2</v>
      </c>
      <c r="Q1964">
        <v>5</v>
      </c>
      <c r="R1964">
        <v>5</v>
      </c>
      <c r="S1964">
        <v>5</v>
      </c>
      <c r="T1964">
        <v>1</v>
      </c>
      <c r="U1964" t="s">
        <v>30</v>
      </c>
      <c r="V1964" t="s">
        <v>58</v>
      </c>
      <c r="W1964" t="s">
        <v>47</v>
      </c>
      <c r="X1964" t="s">
        <v>44</v>
      </c>
      <c r="Y1964">
        <v>39</v>
      </c>
      <c r="Z1964" s="1">
        <v>45388</v>
      </c>
      <c r="AA1964" t="str" cm="1">
        <f t="array" ref="AA196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6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3.5</v>
      </c>
      <c r="AC1964" t="str" cm="1">
        <f t="array" ref="AC1964">_xlfn.IFS(Table2[[#This Row],[Satification_points]]&gt;=4.5,"GREAT",AND(Table2[[#This Row],[Satification_points]]&gt;=4,Table2[[#This Row],[Satification_points]]&lt;4.5),"GOOD",AND(Table2[[#This Row],[Satification_points]]&gt;=3,Table2[[#This Row],[Satification_points]]&lt;4),"AVERAGE",Table2[[#This Row],[Satification_points]]&lt;3,"POOR")</f>
        <v>AVERAGE</v>
      </c>
    </row>
    <row r="1965" spans="1:29" x14ac:dyDescent="0.3">
      <c r="A1965">
        <v>1964</v>
      </c>
      <c r="B1965">
        <v>58097</v>
      </c>
      <c r="C1965" t="s">
        <v>1996</v>
      </c>
      <c r="D1965" t="s">
        <v>26</v>
      </c>
      <c r="E1965" t="s">
        <v>52</v>
      </c>
      <c r="F1965" s="1">
        <v>45621</v>
      </c>
      <c r="G1965" s="1">
        <v>45622</v>
      </c>
      <c r="H1965">
        <v>6</v>
      </c>
      <c r="I1965" t="s">
        <v>28</v>
      </c>
      <c r="J1965" t="s">
        <v>40</v>
      </c>
      <c r="K1965">
        <v>4</v>
      </c>
      <c r="L1965">
        <v>2</v>
      </c>
      <c r="M1965">
        <v>3</v>
      </c>
      <c r="N1965">
        <v>4</v>
      </c>
      <c r="O1965">
        <v>3</v>
      </c>
      <c r="P1965">
        <v>1</v>
      </c>
      <c r="Q1965">
        <v>5</v>
      </c>
      <c r="R1965">
        <v>4</v>
      </c>
      <c r="S1965">
        <v>2</v>
      </c>
      <c r="T1965">
        <v>5</v>
      </c>
      <c r="U1965" t="s">
        <v>30</v>
      </c>
      <c r="V1965" t="s">
        <v>46</v>
      </c>
      <c r="W1965" t="s">
        <v>39</v>
      </c>
      <c r="X1965" t="s">
        <v>33</v>
      </c>
      <c r="Y1965">
        <v>38</v>
      </c>
      <c r="Z1965" s="1">
        <v>45622</v>
      </c>
      <c r="AA1965" t="str" cm="1">
        <f t="array" ref="AA196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6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65" t="str" cm="1">
        <f t="array" ref="AC1965">_xlfn.IFS(Table2[[#This Row],[Satification_points]]&gt;=4.5,"GREAT",AND(Table2[[#This Row],[Satification_points]]&gt;=4,Table2[[#This Row],[Satification_points]]&lt;4.5),"GOOD",AND(Table2[[#This Row],[Satification_points]]&gt;=3,Table2[[#This Row],[Satification_points]]&lt;4),"AVERAGE",Table2[[#This Row],[Satification_points]]&lt;3,"POOR")</f>
        <v>AVERAGE</v>
      </c>
    </row>
    <row r="1966" spans="1:29" x14ac:dyDescent="0.3">
      <c r="A1966">
        <v>1965</v>
      </c>
      <c r="B1966">
        <v>34091</v>
      </c>
      <c r="C1966" t="s">
        <v>1997</v>
      </c>
      <c r="D1966" t="s">
        <v>41</v>
      </c>
      <c r="E1966" t="s">
        <v>35</v>
      </c>
      <c r="F1966" s="1">
        <v>45315</v>
      </c>
      <c r="G1966" s="1">
        <v>45537</v>
      </c>
      <c r="H1966">
        <v>5</v>
      </c>
      <c r="I1966" t="s">
        <v>50</v>
      </c>
      <c r="J1966" t="s">
        <v>36</v>
      </c>
      <c r="K1966">
        <v>4</v>
      </c>
      <c r="L1966">
        <v>3</v>
      </c>
      <c r="M1966">
        <v>3</v>
      </c>
      <c r="N1966">
        <v>1</v>
      </c>
      <c r="O1966">
        <v>5</v>
      </c>
      <c r="P1966">
        <v>2</v>
      </c>
      <c r="Q1966">
        <v>5</v>
      </c>
      <c r="R1966">
        <v>5</v>
      </c>
      <c r="S1966">
        <v>3</v>
      </c>
      <c r="T1966">
        <v>3</v>
      </c>
      <c r="U1966" t="s">
        <v>30</v>
      </c>
      <c r="V1966" t="s">
        <v>46</v>
      </c>
      <c r="W1966" t="s">
        <v>47</v>
      </c>
      <c r="X1966" t="s">
        <v>33</v>
      </c>
      <c r="Y1966">
        <v>62</v>
      </c>
      <c r="Z1966" s="1">
        <v>45537</v>
      </c>
      <c r="AA1966" t="str" cm="1">
        <f t="array" ref="AA1966">_xlfn.IFS(AND(Table2[[#This Row],[Guest_Age]]&gt;=18,Table2[[#This Row],[Guest_Age]]&lt;=25),"Young Adults",AND(Table2[[#This Row],[Guest_Age]]&gt;=26,Table2[[#This Row],[Guest_Age]]&lt;=35),"Adults",AND(Table2[[#This Row],[Guest_Age]]&gt;=36,Table2[[#This Row],[Guest_Age]]&lt;=50),"Middle Aged Adults",Table2[[#This Row],[Guest_Age]]&gt;50,"Senior")</f>
        <v>Senior</v>
      </c>
      <c r="AB196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66" t="str" cm="1">
        <f t="array" ref="AC1966">_xlfn.IFS(Table2[[#This Row],[Satification_points]]&gt;=4.5,"GREAT",AND(Table2[[#This Row],[Satification_points]]&gt;=4,Table2[[#This Row],[Satification_points]]&lt;4.5),"GOOD",AND(Table2[[#This Row],[Satification_points]]&gt;=3,Table2[[#This Row],[Satification_points]]&lt;4),"AVERAGE",Table2[[#This Row],[Satification_points]]&lt;3,"POOR")</f>
        <v>AVERAGE</v>
      </c>
    </row>
    <row r="1967" spans="1:29" x14ac:dyDescent="0.3">
      <c r="A1967">
        <v>1966</v>
      </c>
      <c r="B1967">
        <v>41335</v>
      </c>
      <c r="C1967" t="s">
        <v>1998</v>
      </c>
      <c r="D1967" t="s">
        <v>41</v>
      </c>
      <c r="E1967" t="s">
        <v>45</v>
      </c>
      <c r="F1967" s="1">
        <v>45187</v>
      </c>
      <c r="G1967" s="1">
        <v>45640</v>
      </c>
      <c r="H1967">
        <v>11</v>
      </c>
      <c r="I1967" t="s">
        <v>50</v>
      </c>
      <c r="J1967" t="s">
        <v>53</v>
      </c>
      <c r="K1967">
        <v>1</v>
      </c>
      <c r="L1967">
        <v>3</v>
      </c>
      <c r="M1967">
        <v>2</v>
      </c>
      <c r="N1967">
        <v>4</v>
      </c>
      <c r="O1967">
        <v>2</v>
      </c>
      <c r="P1967">
        <v>4</v>
      </c>
      <c r="Q1967">
        <v>1</v>
      </c>
      <c r="R1967">
        <v>2</v>
      </c>
      <c r="S1967">
        <v>2</v>
      </c>
      <c r="T1967">
        <v>2</v>
      </c>
      <c r="U1967" t="s">
        <v>37</v>
      </c>
      <c r="V1967" t="s">
        <v>46</v>
      </c>
      <c r="W1967" t="s">
        <v>39</v>
      </c>
      <c r="X1967" t="s">
        <v>40</v>
      </c>
      <c r="Y1967">
        <v>66</v>
      </c>
      <c r="Z1967" s="1">
        <v>45640</v>
      </c>
      <c r="AA1967" t="str" cm="1">
        <f t="array" ref="AA1967">_xlfn.IFS(AND(Table2[[#This Row],[Guest_Age]]&gt;=18,Table2[[#This Row],[Guest_Age]]&lt;=25),"Young Adults",AND(Table2[[#This Row],[Guest_Age]]&gt;=26,Table2[[#This Row],[Guest_Age]]&lt;=35),"Adults",AND(Table2[[#This Row],[Guest_Age]]&gt;=36,Table2[[#This Row],[Guest_Age]]&lt;=50),"Middle Aged Adults",Table2[[#This Row],[Guest_Age]]&gt;50,"Senior")</f>
        <v>Senior</v>
      </c>
      <c r="AB196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967" t="str" cm="1">
        <f t="array" ref="AC1967">_xlfn.IFS(Table2[[#This Row],[Satification_points]]&gt;=4.5,"GREAT",AND(Table2[[#This Row],[Satification_points]]&gt;=4,Table2[[#This Row],[Satification_points]]&lt;4.5),"GOOD",AND(Table2[[#This Row],[Satification_points]]&gt;=3,Table2[[#This Row],[Satification_points]]&lt;4),"AVERAGE",Table2[[#This Row],[Satification_points]]&lt;3,"POOR")</f>
        <v>POOR</v>
      </c>
    </row>
    <row r="1968" spans="1:29" x14ac:dyDescent="0.3">
      <c r="A1968">
        <v>1967</v>
      </c>
      <c r="B1968">
        <v>82545</v>
      </c>
      <c r="C1968" t="s">
        <v>1999</v>
      </c>
      <c r="D1968" t="s">
        <v>48</v>
      </c>
      <c r="E1968" t="s">
        <v>52</v>
      </c>
      <c r="F1968" s="1">
        <v>45332</v>
      </c>
      <c r="G1968" s="1">
        <v>45660</v>
      </c>
      <c r="H1968">
        <v>6</v>
      </c>
      <c r="I1968" t="s">
        <v>50</v>
      </c>
      <c r="J1968" t="s">
        <v>36</v>
      </c>
      <c r="K1968">
        <v>5</v>
      </c>
      <c r="L1968">
        <v>1</v>
      </c>
      <c r="M1968">
        <v>4</v>
      </c>
      <c r="N1968">
        <v>4</v>
      </c>
      <c r="O1968">
        <v>5</v>
      </c>
      <c r="P1968">
        <v>5</v>
      </c>
      <c r="Q1968">
        <v>2</v>
      </c>
      <c r="R1968">
        <v>3</v>
      </c>
      <c r="S1968">
        <v>1</v>
      </c>
      <c r="T1968">
        <v>1</v>
      </c>
      <c r="U1968" t="s">
        <v>30</v>
      </c>
      <c r="V1968" t="s">
        <v>38</v>
      </c>
      <c r="W1968" t="s">
        <v>56</v>
      </c>
      <c r="X1968" t="s">
        <v>44</v>
      </c>
      <c r="Y1968">
        <v>54</v>
      </c>
      <c r="Z1968" s="1">
        <v>45660</v>
      </c>
      <c r="AA1968" t="str" cm="1">
        <f t="array" ref="AA1968">_xlfn.IFS(AND(Table2[[#This Row],[Guest_Age]]&gt;=18,Table2[[#This Row],[Guest_Age]]&lt;=25),"Young Adults",AND(Table2[[#This Row],[Guest_Age]]&gt;=26,Table2[[#This Row],[Guest_Age]]&lt;=35),"Adults",AND(Table2[[#This Row],[Guest_Age]]&gt;=36,Table2[[#This Row],[Guest_Age]]&lt;=50),"Middle Aged Adults",Table2[[#This Row],[Guest_Age]]&gt;50,"Senior")</f>
        <v>Senior</v>
      </c>
      <c r="AB196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68" t="str" cm="1">
        <f t="array" ref="AC1968">_xlfn.IFS(Table2[[#This Row],[Satification_points]]&gt;=4.5,"GREAT",AND(Table2[[#This Row],[Satification_points]]&gt;=4,Table2[[#This Row],[Satification_points]]&lt;4.5),"GOOD",AND(Table2[[#This Row],[Satification_points]]&gt;=3,Table2[[#This Row],[Satification_points]]&lt;4),"AVERAGE",Table2[[#This Row],[Satification_points]]&lt;3,"POOR")</f>
        <v>AVERAGE</v>
      </c>
    </row>
    <row r="1969" spans="1:29" x14ac:dyDescent="0.3">
      <c r="A1969">
        <v>1968</v>
      </c>
      <c r="B1969">
        <v>77679</v>
      </c>
      <c r="C1969" t="s">
        <v>2000</v>
      </c>
      <c r="D1969" t="s">
        <v>34</v>
      </c>
      <c r="E1969" t="s">
        <v>35</v>
      </c>
      <c r="F1969" s="1">
        <v>45472</v>
      </c>
      <c r="G1969" s="1">
        <v>45473</v>
      </c>
      <c r="H1969">
        <v>14</v>
      </c>
      <c r="I1969" t="s">
        <v>49</v>
      </c>
      <c r="J1969" t="s">
        <v>43</v>
      </c>
      <c r="K1969">
        <v>5</v>
      </c>
      <c r="L1969">
        <v>2</v>
      </c>
      <c r="M1969">
        <v>5</v>
      </c>
      <c r="N1969">
        <v>5</v>
      </c>
      <c r="O1969">
        <v>5</v>
      </c>
      <c r="P1969">
        <v>5</v>
      </c>
      <c r="Q1969">
        <v>5</v>
      </c>
      <c r="R1969">
        <v>3</v>
      </c>
      <c r="S1969">
        <v>2</v>
      </c>
      <c r="T1969">
        <v>1</v>
      </c>
      <c r="U1969" t="s">
        <v>30</v>
      </c>
      <c r="V1969" t="s">
        <v>58</v>
      </c>
      <c r="W1969" t="s">
        <v>56</v>
      </c>
      <c r="X1969" t="s">
        <v>33</v>
      </c>
      <c r="Y1969">
        <v>53</v>
      </c>
      <c r="Z1969" s="1">
        <v>45473</v>
      </c>
      <c r="AA1969" t="str" cm="1">
        <f t="array" ref="AA1969">_xlfn.IFS(AND(Table2[[#This Row],[Guest_Age]]&gt;=18,Table2[[#This Row],[Guest_Age]]&lt;=25),"Young Adults",AND(Table2[[#This Row],[Guest_Age]]&gt;=26,Table2[[#This Row],[Guest_Age]]&lt;=35),"Adults",AND(Table2[[#This Row],[Guest_Age]]&gt;=36,Table2[[#This Row],[Guest_Age]]&lt;=50),"Middle Aged Adults",Table2[[#This Row],[Guest_Age]]&gt;50,"Senior")</f>
        <v>Senior</v>
      </c>
      <c r="AB196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3.8</v>
      </c>
      <c r="AC1969" t="str" cm="1">
        <f t="array" ref="AC1969">_xlfn.IFS(Table2[[#This Row],[Satification_points]]&gt;=4.5,"GREAT",AND(Table2[[#This Row],[Satification_points]]&gt;=4,Table2[[#This Row],[Satification_points]]&lt;4.5),"GOOD",AND(Table2[[#This Row],[Satification_points]]&gt;=3,Table2[[#This Row],[Satification_points]]&lt;4),"AVERAGE",Table2[[#This Row],[Satification_points]]&lt;3,"POOR")</f>
        <v>AVERAGE</v>
      </c>
    </row>
    <row r="1970" spans="1:29" x14ac:dyDescent="0.3">
      <c r="A1970">
        <v>1969</v>
      </c>
      <c r="B1970">
        <v>49767</v>
      </c>
      <c r="C1970" t="s">
        <v>2001</v>
      </c>
      <c r="D1970" t="s">
        <v>41</v>
      </c>
      <c r="E1970" t="s">
        <v>57</v>
      </c>
      <c r="F1970" s="1">
        <v>45375</v>
      </c>
      <c r="G1970" s="1">
        <v>45556</v>
      </c>
      <c r="H1970">
        <v>3</v>
      </c>
      <c r="I1970" t="s">
        <v>28</v>
      </c>
      <c r="J1970" t="s">
        <v>29</v>
      </c>
      <c r="K1970">
        <v>3</v>
      </c>
      <c r="L1970">
        <v>2</v>
      </c>
      <c r="M1970">
        <v>4</v>
      </c>
      <c r="N1970">
        <v>1</v>
      </c>
      <c r="O1970">
        <v>4</v>
      </c>
      <c r="P1970">
        <v>2</v>
      </c>
      <c r="Q1970">
        <v>5</v>
      </c>
      <c r="R1970">
        <v>4</v>
      </c>
      <c r="S1970">
        <v>5</v>
      </c>
      <c r="T1970">
        <v>3</v>
      </c>
      <c r="U1970" t="s">
        <v>37</v>
      </c>
      <c r="V1970" t="s">
        <v>46</v>
      </c>
      <c r="W1970" t="s">
        <v>55</v>
      </c>
      <c r="X1970" t="s">
        <v>40</v>
      </c>
      <c r="Y1970">
        <v>42</v>
      </c>
      <c r="Z1970" s="1">
        <v>45556</v>
      </c>
      <c r="AA1970" t="str" cm="1">
        <f t="array" ref="AA1970">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7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3.3</v>
      </c>
      <c r="AC1970" t="str" cm="1">
        <f t="array" ref="AC1970">_xlfn.IFS(Table2[[#This Row],[Satification_points]]&gt;=4.5,"GREAT",AND(Table2[[#This Row],[Satification_points]]&gt;=4,Table2[[#This Row],[Satification_points]]&lt;4.5),"GOOD",AND(Table2[[#This Row],[Satification_points]]&gt;=3,Table2[[#This Row],[Satification_points]]&lt;4),"AVERAGE",Table2[[#This Row],[Satification_points]]&lt;3,"POOR")</f>
        <v>AVERAGE</v>
      </c>
    </row>
    <row r="1971" spans="1:29" x14ac:dyDescent="0.3">
      <c r="A1971">
        <v>1970</v>
      </c>
      <c r="B1971">
        <v>69584</v>
      </c>
      <c r="C1971" t="s">
        <v>2002</v>
      </c>
      <c r="D1971" t="s">
        <v>51</v>
      </c>
      <c r="E1971" t="s">
        <v>57</v>
      </c>
      <c r="F1971" s="1">
        <v>45625</v>
      </c>
      <c r="G1971" s="1">
        <v>45626</v>
      </c>
      <c r="H1971">
        <v>2</v>
      </c>
      <c r="I1971" t="s">
        <v>50</v>
      </c>
      <c r="J1971" t="s">
        <v>43</v>
      </c>
      <c r="K1971">
        <v>1</v>
      </c>
      <c r="L1971">
        <v>5</v>
      </c>
      <c r="M1971">
        <v>5</v>
      </c>
      <c r="N1971">
        <v>1</v>
      </c>
      <c r="O1971">
        <v>5</v>
      </c>
      <c r="P1971">
        <v>2</v>
      </c>
      <c r="Q1971">
        <v>3</v>
      </c>
      <c r="R1971">
        <v>1</v>
      </c>
      <c r="S1971">
        <v>4</v>
      </c>
      <c r="T1971">
        <v>2</v>
      </c>
      <c r="U1971" t="s">
        <v>37</v>
      </c>
      <c r="V1971" t="s">
        <v>54</v>
      </c>
      <c r="W1971" t="s">
        <v>32</v>
      </c>
      <c r="X1971" t="s">
        <v>40</v>
      </c>
      <c r="Y1971">
        <v>60</v>
      </c>
      <c r="Z1971" s="1">
        <v>45626</v>
      </c>
      <c r="AA1971" t="str" cm="1">
        <f t="array" ref="AA1971">_xlfn.IFS(AND(Table2[[#This Row],[Guest_Age]]&gt;=18,Table2[[#This Row],[Guest_Age]]&lt;=25),"Young Adults",AND(Table2[[#This Row],[Guest_Age]]&gt;=26,Table2[[#This Row],[Guest_Age]]&lt;=35),"Adults",AND(Table2[[#This Row],[Guest_Age]]&gt;=36,Table2[[#This Row],[Guest_Age]]&lt;=50),"Middle Aged Adults",Table2[[#This Row],[Guest_Age]]&gt;50,"Senior")</f>
        <v>Senior</v>
      </c>
      <c r="AB197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71" t="str" cm="1">
        <f t="array" ref="AC1971">_xlfn.IFS(Table2[[#This Row],[Satification_points]]&gt;=4.5,"GREAT",AND(Table2[[#This Row],[Satification_points]]&gt;=4,Table2[[#This Row],[Satification_points]]&lt;4.5),"GOOD",AND(Table2[[#This Row],[Satification_points]]&gt;=3,Table2[[#This Row],[Satification_points]]&lt;4),"AVERAGE",Table2[[#This Row],[Satification_points]]&lt;3,"POOR")</f>
        <v>POOR</v>
      </c>
    </row>
    <row r="1972" spans="1:29" x14ac:dyDescent="0.3">
      <c r="A1972">
        <v>1971</v>
      </c>
      <c r="B1972">
        <v>53518</v>
      </c>
      <c r="C1972" t="s">
        <v>2003</v>
      </c>
      <c r="D1972" t="s">
        <v>48</v>
      </c>
      <c r="E1972" t="s">
        <v>35</v>
      </c>
      <c r="F1972" s="1">
        <v>45327</v>
      </c>
      <c r="G1972" s="1">
        <v>45631</v>
      </c>
      <c r="H1972">
        <v>9</v>
      </c>
      <c r="I1972" t="s">
        <v>28</v>
      </c>
      <c r="J1972" t="s">
        <v>53</v>
      </c>
      <c r="K1972">
        <v>1</v>
      </c>
      <c r="L1972">
        <v>5</v>
      </c>
      <c r="M1972">
        <v>3</v>
      </c>
      <c r="N1972">
        <v>1</v>
      </c>
      <c r="O1972">
        <v>4</v>
      </c>
      <c r="P1972">
        <v>2</v>
      </c>
      <c r="Q1972">
        <v>3</v>
      </c>
      <c r="R1972">
        <v>2</v>
      </c>
      <c r="S1972">
        <v>4</v>
      </c>
      <c r="T1972">
        <v>5</v>
      </c>
      <c r="U1972" t="s">
        <v>30</v>
      </c>
      <c r="V1972" t="s">
        <v>31</v>
      </c>
      <c r="W1972" t="s">
        <v>56</v>
      </c>
      <c r="X1972" t="s">
        <v>40</v>
      </c>
      <c r="Y1972">
        <v>66</v>
      </c>
      <c r="Z1972" s="1">
        <v>45631</v>
      </c>
      <c r="AA1972" t="str" cm="1">
        <f t="array" ref="AA1972">_xlfn.IFS(AND(Table2[[#This Row],[Guest_Age]]&gt;=18,Table2[[#This Row],[Guest_Age]]&lt;=25),"Young Adults",AND(Table2[[#This Row],[Guest_Age]]&gt;=26,Table2[[#This Row],[Guest_Age]]&lt;=35),"Adults",AND(Table2[[#This Row],[Guest_Age]]&gt;=36,Table2[[#This Row],[Guest_Age]]&lt;=50),"Middle Aged Adults",Table2[[#This Row],[Guest_Age]]&gt;50,"Senior")</f>
        <v>Senior</v>
      </c>
      <c r="AB197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72" t="str" cm="1">
        <f t="array" ref="AC1972">_xlfn.IFS(Table2[[#This Row],[Satification_points]]&gt;=4.5,"GREAT",AND(Table2[[#This Row],[Satification_points]]&gt;=4,Table2[[#This Row],[Satification_points]]&lt;4.5),"GOOD",AND(Table2[[#This Row],[Satification_points]]&gt;=3,Table2[[#This Row],[Satification_points]]&lt;4),"AVERAGE",Table2[[#This Row],[Satification_points]]&lt;3,"POOR")</f>
        <v>AVERAGE</v>
      </c>
    </row>
    <row r="1973" spans="1:29" x14ac:dyDescent="0.3">
      <c r="A1973">
        <v>1972</v>
      </c>
      <c r="B1973">
        <v>93394</v>
      </c>
      <c r="C1973" t="s">
        <v>2004</v>
      </c>
      <c r="D1973" t="s">
        <v>26</v>
      </c>
      <c r="E1973" t="s">
        <v>27</v>
      </c>
      <c r="F1973" s="1">
        <v>45233</v>
      </c>
      <c r="G1973" s="1">
        <v>45354</v>
      </c>
      <c r="H1973">
        <v>1</v>
      </c>
      <c r="I1973" t="s">
        <v>49</v>
      </c>
      <c r="J1973" t="s">
        <v>53</v>
      </c>
      <c r="K1973">
        <v>1</v>
      </c>
      <c r="L1973">
        <v>2</v>
      </c>
      <c r="M1973">
        <v>4</v>
      </c>
      <c r="N1973">
        <v>4</v>
      </c>
      <c r="O1973">
        <v>2</v>
      </c>
      <c r="P1973">
        <v>5</v>
      </c>
      <c r="Q1973">
        <v>1</v>
      </c>
      <c r="R1973">
        <v>1</v>
      </c>
      <c r="S1973">
        <v>2</v>
      </c>
      <c r="T1973">
        <v>5</v>
      </c>
      <c r="U1973" t="s">
        <v>37</v>
      </c>
      <c r="V1973" t="s">
        <v>31</v>
      </c>
      <c r="W1973" t="s">
        <v>55</v>
      </c>
      <c r="X1973" t="s">
        <v>44</v>
      </c>
      <c r="Y1973">
        <v>20</v>
      </c>
      <c r="Z1973" s="1">
        <v>45354</v>
      </c>
      <c r="AA1973" t="str" cm="1">
        <f t="array" ref="AA1973">_xlfn.IFS(AND(Table2[[#This Row],[Guest_Age]]&gt;=18,Table2[[#This Row],[Guest_Age]]&lt;=25),"Young Adults",AND(Table2[[#This Row],[Guest_Age]]&gt;=26,Table2[[#This Row],[Guest_Age]]&lt;=35),"Adults",AND(Table2[[#This Row],[Guest_Age]]&gt;=36,Table2[[#This Row],[Guest_Age]]&lt;=50),"Middle Aged Adults",Table2[[#This Row],[Guest_Age]]&gt;50,"Senior")</f>
        <v>Young Adults</v>
      </c>
      <c r="AB197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73" t="str" cm="1">
        <f t="array" ref="AC1973">_xlfn.IFS(Table2[[#This Row],[Satification_points]]&gt;=4.5,"GREAT",AND(Table2[[#This Row],[Satification_points]]&gt;=4,Table2[[#This Row],[Satification_points]]&lt;4.5),"GOOD",AND(Table2[[#This Row],[Satification_points]]&gt;=3,Table2[[#This Row],[Satification_points]]&lt;4),"AVERAGE",Table2[[#This Row],[Satification_points]]&lt;3,"POOR")</f>
        <v>POOR</v>
      </c>
    </row>
    <row r="1974" spans="1:29" x14ac:dyDescent="0.3">
      <c r="A1974">
        <v>1973</v>
      </c>
      <c r="B1974">
        <v>99168</v>
      </c>
      <c r="C1974" t="s">
        <v>2005</v>
      </c>
      <c r="D1974" t="s">
        <v>26</v>
      </c>
      <c r="E1974" t="s">
        <v>45</v>
      </c>
      <c r="F1974" s="1">
        <v>45063</v>
      </c>
      <c r="G1974" s="1">
        <v>45064</v>
      </c>
      <c r="H1974">
        <v>2</v>
      </c>
      <c r="I1974" t="s">
        <v>50</v>
      </c>
      <c r="J1974" t="s">
        <v>40</v>
      </c>
      <c r="K1974">
        <v>3</v>
      </c>
      <c r="L1974">
        <v>3</v>
      </c>
      <c r="M1974">
        <v>4</v>
      </c>
      <c r="N1974">
        <v>4</v>
      </c>
      <c r="O1974">
        <v>5</v>
      </c>
      <c r="P1974">
        <v>2</v>
      </c>
      <c r="Q1974">
        <v>5</v>
      </c>
      <c r="R1974">
        <v>4</v>
      </c>
      <c r="S1974">
        <v>5</v>
      </c>
      <c r="T1974">
        <v>5</v>
      </c>
      <c r="U1974" t="s">
        <v>37</v>
      </c>
      <c r="V1974" t="s">
        <v>46</v>
      </c>
      <c r="W1974" t="s">
        <v>55</v>
      </c>
      <c r="X1974" t="s">
        <v>33</v>
      </c>
      <c r="Y1974">
        <v>19</v>
      </c>
      <c r="Z1974" s="1">
        <v>45201</v>
      </c>
      <c r="AA1974" t="str" cm="1">
        <f t="array" ref="AA1974">_xlfn.IFS(AND(Table2[[#This Row],[Guest_Age]]&gt;=18,Table2[[#This Row],[Guest_Age]]&lt;=25),"Young Adults",AND(Table2[[#This Row],[Guest_Age]]&gt;=26,Table2[[#This Row],[Guest_Age]]&lt;=35),"Adults",AND(Table2[[#This Row],[Guest_Age]]&gt;=36,Table2[[#This Row],[Guest_Age]]&lt;=50),"Middle Aged Adults",Table2[[#This Row],[Guest_Age]]&gt;50,"Senior")</f>
        <v>Young Adults</v>
      </c>
      <c r="AB197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v>
      </c>
      <c r="AC1974" t="str" cm="1">
        <f t="array" ref="AC1974">_xlfn.IFS(Table2[[#This Row],[Satification_points]]&gt;=4.5,"GREAT",AND(Table2[[#This Row],[Satification_points]]&gt;=4,Table2[[#This Row],[Satification_points]]&lt;4.5),"GOOD",AND(Table2[[#This Row],[Satification_points]]&gt;=3,Table2[[#This Row],[Satification_points]]&lt;4),"AVERAGE",Table2[[#This Row],[Satification_points]]&lt;3,"POOR")</f>
        <v>GOOD</v>
      </c>
    </row>
    <row r="1975" spans="1:29" x14ac:dyDescent="0.3">
      <c r="A1975">
        <v>1974</v>
      </c>
      <c r="B1975">
        <v>96022</v>
      </c>
      <c r="C1975" t="s">
        <v>2006</v>
      </c>
      <c r="D1975" t="s">
        <v>51</v>
      </c>
      <c r="E1975" t="s">
        <v>45</v>
      </c>
      <c r="F1975" s="1">
        <v>45128</v>
      </c>
      <c r="G1975" s="1">
        <v>45163</v>
      </c>
      <c r="H1975">
        <v>11</v>
      </c>
      <c r="I1975" t="s">
        <v>50</v>
      </c>
      <c r="J1975" t="s">
        <v>43</v>
      </c>
      <c r="K1975">
        <v>2</v>
      </c>
      <c r="L1975">
        <v>1</v>
      </c>
      <c r="M1975">
        <v>5</v>
      </c>
      <c r="N1975">
        <v>3</v>
      </c>
      <c r="O1975">
        <v>1</v>
      </c>
      <c r="P1975">
        <v>5</v>
      </c>
      <c r="Q1975">
        <v>1</v>
      </c>
      <c r="R1975">
        <v>5</v>
      </c>
      <c r="S1975">
        <v>5</v>
      </c>
      <c r="T1975">
        <v>2</v>
      </c>
      <c r="U1975" t="s">
        <v>30</v>
      </c>
      <c r="V1975" t="s">
        <v>46</v>
      </c>
      <c r="W1975" t="s">
        <v>39</v>
      </c>
      <c r="X1975" t="s">
        <v>33</v>
      </c>
      <c r="Y1975">
        <v>44</v>
      </c>
      <c r="Z1975" s="1">
        <v>45163</v>
      </c>
      <c r="AA1975" t="str" cm="1">
        <f t="array" ref="AA197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7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75" t="str" cm="1">
        <f t="array" ref="AC1975">_xlfn.IFS(Table2[[#This Row],[Satification_points]]&gt;=4.5,"GREAT",AND(Table2[[#This Row],[Satification_points]]&gt;=4,Table2[[#This Row],[Satification_points]]&lt;4.5),"GOOD",AND(Table2[[#This Row],[Satification_points]]&gt;=3,Table2[[#This Row],[Satification_points]]&lt;4),"AVERAGE",Table2[[#This Row],[Satification_points]]&lt;3,"POOR")</f>
        <v>AVERAGE</v>
      </c>
    </row>
    <row r="1976" spans="1:29" x14ac:dyDescent="0.3">
      <c r="A1976">
        <v>1975</v>
      </c>
      <c r="B1976">
        <v>75865</v>
      </c>
      <c r="C1976" t="s">
        <v>2007</v>
      </c>
      <c r="D1976" t="s">
        <v>51</v>
      </c>
      <c r="E1976" t="s">
        <v>35</v>
      </c>
      <c r="F1976" s="1">
        <v>45581</v>
      </c>
      <c r="G1976" s="1">
        <v>45582</v>
      </c>
      <c r="H1976">
        <v>10</v>
      </c>
      <c r="I1976" t="s">
        <v>28</v>
      </c>
      <c r="J1976" t="s">
        <v>53</v>
      </c>
      <c r="K1976">
        <v>5</v>
      </c>
      <c r="L1976">
        <v>5</v>
      </c>
      <c r="M1976">
        <v>5</v>
      </c>
      <c r="N1976">
        <v>5</v>
      </c>
      <c r="O1976">
        <v>5</v>
      </c>
      <c r="P1976">
        <v>5</v>
      </c>
      <c r="Q1976">
        <v>3</v>
      </c>
      <c r="R1976">
        <v>5</v>
      </c>
      <c r="S1976">
        <v>4</v>
      </c>
      <c r="T1976">
        <v>5</v>
      </c>
      <c r="U1976" t="s">
        <v>30</v>
      </c>
      <c r="V1976" t="s">
        <v>46</v>
      </c>
      <c r="W1976" t="s">
        <v>39</v>
      </c>
      <c r="X1976" t="s">
        <v>44</v>
      </c>
      <c r="Y1976">
        <v>50</v>
      </c>
      <c r="Z1976" s="1">
        <v>45582</v>
      </c>
      <c r="AA1976" t="str" cm="1">
        <f t="array" ref="AA197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7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4.7</v>
      </c>
      <c r="AC1976" t="str" cm="1">
        <f t="array" ref="AC1976">_xlfn.IFS(Table2[[#This Row],[Satification_points]]&gt;=4.5,"GREAT",AND(Table2[[#This Row],[Satification_points]]&gt;=4,Table2[[#This Row],[Satification_points]]&lt;4.5),"GOOD",AND(Table2[[#This Row],[Satification_points]]&gt;=3,Table2[[#This Row],[Satification_points]]&lt;4),"AVERAGE",Table2[[#This Row],[Satification_points]]&lt;3,"POOR")</f>
        <v>GREAT</v>
      </c>
    </row>
    <row r="1977" spans="1:29" x14ac:dyDescent="0.3">
      <c r="A1977">
        <v>1976</v>
      </c>
      <c r="B1977">
        <v>22370</v>
      </c>
      <c r="C1977" t="s">
        <v>2008</v>
      </c>
      <c r="D1977" t="s">
        <v>34</v>
      </c>
      <c r="E1977" t="s">
        <v>52</v>
      </c>
      <c r="F1977" s="1">
        <v>45547</v>
      </c>
      <c r="G1977" s="1">
        <v>45548</v>
      </c>
      <c r="H1977">
        <v>10</v>
      </c>
      <c r="I1977" t="s">
        <v>28</v>
      </c>
      <c r="J1977" t="s">
        <v>43</v>
      </c>
      <c r="K1977">
        <v>3</v>
      </c>
      <c r="L1977">
        <v>1</v>
      </c>
      <c r="M1977">
        <v>4</v>
      </c>
      <c r="N1977">
        <v>1</v>
      </c>
      <c r="O1977">
        <v>1</v>
      </c>
      <c r="P1977">
        <v>3</v>
      </c>
      <c r="Q1977">
        <v>2</v>
      </c>
      <c r="R1977">
        <v>4</v>
      </c>
      <c r="S1977">
        <v>3</v>
      </c>
      <c r="T1977">
        <v>4</v>
      </c>
      <c r="U1977" t="s">
        <v>30</v>
      </c>
      <c r="V1977" t="s">
        <v>31</v>
      </c>
      <c r="W1977" t="s">
        <v>47</v>
      </c>
      <c r="X1977" t="s">
        <v>33</v>
      </c>
      <c r="Y1977">
        <v>35</v>
      </c>
      <c r="Z1977" s="1">
        <v>45548</v>
      </c>
      <c r="AA1977" t="str" cm="1">
        <f t="array" ref="AA1977">_xlfn.IFS(AND(Table2[[#This Row],[Guest_Age]]&gt;=18,Table2[[#This Row],[Guest_Age]]&lt;=25),"Young Adults",AND(Table2[[#This Row],[Guest_Age]]&gt;=26,Table2[[#This Row],[Guest_Age]]&lt;=35),"Adults",AND(Table2[[#This Row],[Guest_Age]]&gt;=36,Table2[[#This Row],[Guest_Age]]&lt;=50),"Middle Aged Adults",Table2[[#This Row],[Guest_Age]]&gt;50,"Senior")</f>
        <v>Adults</v>
      </c>
      <c r="AB197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77" t="str" cm="1">
        <f t="array" ref="AC1977">_xlfn.IFS(Table2[[#This Row],[Satification_points]]&gt;=4.5,"GREAT",AND(Table2[[#This Row],[Satification_points]]&gt;=4,Table2[[#This Row],[Satification_points]]&lt;4.5),"GOOD",AND(Table2[[#This Row],[Satification_points]]&gt;=3,Table2[[#This Row],[Satification_points]]&lt;4),"AVERAGE",Table2[[#This Row],[Satification_points]]&lt;3,"POOR")</f>
        <v>POOR</v>
      </c>
    </row>
    <row r="1978" spans="1:29" x14ac:dyDescent="0.3">
      <c r="A1978">
        <v>1977</v>
      </c>
      <c r="B1978">
        <v>23847</v>
      </c>
      <c r="C1978" t="s">
        <v>2009</v>
      </c>
      <c r="D1978" t="s">
        <v>51</v>
      </c>
      <c r="E1978" t="s">
        <v>45</v>
      </c>
      <c r="F1978" s="1">
        <v>45083</v>
      </c>
      <c r="G1978" s="1">
        <v>45145</v>
      </c>
      <c r="H1978">
        <v>1</v>
      </c>
      <c r="I1978" t="s">
        <v>42</v>
      </c>
      <c r="J1978" t="s">
        <v>40</v>
      </c>
      <c r="K1978">
        <v>3</v>
      </c>
      <c r="L1978">
        <v>2</v>
      </c>
      <c r="M1978">
        <v>5</v>
      </c>
      <c r="N1978">
        <v>1</v>
      </c>
      <c r="O1978">
        <v>4</v>
      </c>
      <c r="P1978">
        <v>3</v>
      </c>
      <c r="Q1978">
        <v>4</v>
      </c>
      <c r="R1978">
        <v>3</v>
      </c>
      <c r="S1978">
        <v>3</v>
      </c>
      <c r="T1978">
        <v>1</v>
      </c>
      <c r="U1978" t="s">
        <v>37</v>
      </c>
      <c r="V1978" t="s">
        <v>46</v>
      </c>
      <c r="W1978" t="s">
        <v>56</v>
      </c>
      <c r="X1978" t="s">
        <v>40</v>
      </c>
      <c r="Y1978">
        <v>65</v>
      </c>
      <c r="Z1978" s="1">
        <v>45426</v>
      </c>
      <c r="AA1978" t="str" cm="1">
        <f t="array" ref="AA1978">_xlfn.IFS(AND(Table2[[#This Row],[Guest_Age]]&gt;=18,Table2[[#This Row],[Guest_Age]]&lt;=25),"Young Adults",AND(Table2[[#This Row],[Guest_Age]]&gt;=26,Table2[[#This Row],[Guest_Age]]&lt;=35),"Adults",AND(Table2[[#This Row],[Guest_Age]]&gt;=36,Table2[[#This Row],[Guest_Age]]&lt;=50),"Middle Aged Adults",Table2[[#This Row],[Guest_Age]]&gt;50,"Senior")</f>
        <v>Senior</v>
      </c>
      <c r="AB197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78" t="str" cm="1">
        <f t="array" ref="AC1978">_xlfn.IFS(Table2[[#This Row],[Satification_points]]&gt;=4.5,"GREAT",AND(Table2[[#This Row],[Satification_points]]&gt;=4,Table2[[#This Row],[Satification_points]]&lt;4.5),"GOOD",AND(Table2[[#This Row],[Satification_points]]&gt;=3,Table2[[#This Row],[Satification_points]]&lt;4),"AVERAGE",Table2[[#This Row],[Satification_points]]&lt;3,"POOR")</f>
        <v>POOR</v>
      </c>
    </row>
    <row r="1979" spans="1:29" x14ac:dyDescent="0.3">
      <c r="A1979">
        <v>1978</v>
      </c>
      <c r="B1979">
        <v>61825</v>
      </c>
      <c r="C1979" t="s">
        <v>2010</v>
      </c>
      <c r="D1979" t="s">
        <v>26</v>
      </c>
      <c r="E1979" t="s">
        <v>45</v>
      </c>
      <c r="F1979" s="1">
        <v>45181</v>
      </c>
      <c r="G1979" s="1">
        <v>45256</v>
      </c>
      <c r="H1979">
        <v>8</v>
      </c>
      <c r="I1979" t="s">
        <v>42</v>
      </c>
      <c r="J1979" t="s">
        <v>40</v>
      </c>
      <c r="K1979">
        <v>3</v>
      </c>
      <c r="L1979">
        <v>3</v>
      </c>
      <c r="M1979">
        <v>4</v>
      </c>
      <c r="N1979">
        <v>3</v>
      </c>
      <c r="O1979">
        <v>5</v>
      </c>
      <c r="P1979">
        <v>4</v>
      </c>
      <c r="Q1979">
        <v>4</v>
      </c>
      <c r="R1979">
        <v>2</v>
      </c>
      <c r="S1979">
        <v>5</v>
      </c>
      <c r="T1979">
        <v>4</v>
      </c>
      <c r="U1979" t="s">
        <v>30</v>
      </c>
      <c r="V1979" t="s">
        <v>54</v>
      </c>
      <c r="W1979" t="s">
        <v>39</v>
      </c>
      <c r="X1979" t="s">
        <v>40</v>
      </c>
      <c r="Y1979">
        <v>28</v>
      </c>
      <c r="Z1979" s="1">
        <v>45256</v>
      </c>
      <c r="AA1979" t="str" cm="1">
        <f t="array" ref="AA1979">_xlfn.IFS(AND(Table2[[#This Row],[Guest_Age]]&gt;=18,Table2[[#This Row],[Guest_Age]]&lt;=25),"Young Adults",AND(Table2[[#This Row],[Guest_Age]]&gt;=26,Table2[[#This Row],[Guest_Age]]&lt;=35),"Adults",AND(Table2[[#This Row],[Guest_Age]]&gt;=36,Table2[[#This Row],[Guest_Age]]&lt;=50),"Middle Aged Adults",Table2[[#This Row],[Guest_Age]]&gt;50,"Senior")</f>
        <v>Adults</v>
      </c>
      <c r="AB197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979" t="str" cm="1">
        <f t="array" ref="AC1979">_xlfn.IFS(Table2[[#This Row],[Satification_points]]&gt;=4.5,"GREAT",AND(Table2[[#This Row],[Satification_points]]&gt;=4,Table2[[#This Row],[Satification_points]]&lt;4.5),"GOOD",AND(Table2[[#This Row],[Satification_points]]&gt;=3,Table2[[#This Row],[Satification_points]]&lt;4),"AVERAGE",Table2[[#This Row],[Satification_points]]&lt;3,"POOR")</f>
        <v>AVERAGE</v>
      </c>
    </row>
    <row r="1980" spans="1:29" x14ac:dyDescent="0.3">
      <c r="A1980">
        <v>1979</v>
      </c>
      <c r="B1980">
        <v>80158</v>
      </c>
      <c r="C1980" t="s">
        <v>2011</v>
      </c>
      <c r="D1980" t="s">
        <v>34</v>
      </c>
      <c r="E1980" t="s">
        <v>57</v>
      </c>
      <c r="F1980" s="1">
        <v>45107</v>
      </c>
      <c r="G1980" s="1">
        <v>45108</v>
      </c>
      <c r="H1980">
        <v>4</v>
      </c>
      <c r="I1980" t="s">
        <v>50</v>
      </c>
      <c r="J1980" t="s">
        <v>43</v>
      </c>
      <c r="K1980">
        <v>1</v>
      </c>
      <c r="L1980">
        <v>1</v>
      </c>
      <c r="M1980">
        <v>2</v>
      </c>
      <c r="N1980">
        <v>4</v>
      </c>
      <c r="O1980">
        <v>4</v>
      </c>
      <c r="P1980">
        <v>4</v>
      </c>
      <c r="Q1980">
        <v>1</v>
      </c>
      <c r="R1980">
        <v>4</v>
      </c>
      <c r="S1980">
        <v>1</v>
      </c>
      <c r="T1980">
        <v>2</v>
      </c>
      <c r="U1980" t="s">
        <v>30</v>
      </c>
      <c r="V1980" t="s">
        <v>54</v>
      </c>
      <c r="W1980" t="s">
        <v>32</v>
      </c>
      <c r="X1980" t="s">
        <v>44</v>
      </c>
      <c r="Y1980">
        <v>24</v>
      </c>
      <c r="Z1980" s="1">
        <v>45157</v>
      </c>
      <c r="AA1980" t="str" cm="1">
        <f t="array" ref="AA1980">_xlfn.IFS(AND(Table2[[#This Row],[Guest_Age]]&gt;=18,Table2[[#This Row],[Guest_Age]]&lt;=25),"Young Adults",AND(Table2[[#This Row],[Guest_Age]]&gt;=26,Table2[[#This Row],[Guest_Age]]&lt;=35),"Adults",AND(Table2[[#This Row],[Guest_Age]]&gt;=36,Table2[[#This Row],[Guest_Age]]&lt;=50),"Middle Aged Adults",Table2[[#This Row],[Guest_Age]]&gt;50,"Senior")</f>
        <v>Young Adults</v>
      </c>
      <c r="AB198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2.4</v>
      </c>
      <c r="AC1980" t="str" cm="1">
        <f t="array" ref="AC1980">_xlfn.IFS(Table2[[#This Row],[Satification_points]]&gt;=4.5,"GREAT",AND(Table2[[#This Row],[Satification_points]]&gt;=4,Table2[[#This Row],[Satification_points]]&lt;4.5),"GOOD",AND(Table2[[#This Row],[Satification_points]]&gt;=3,Table2[[#This Row],[Satification_points]]&lt;4),"AVERAGE",Table2[[#This Row],[Satification_points]]&lt;3,"POOR")</f>
        <v>POOR</v>
      </c>
    </row>
    <row r="1981" spans="1:29" x14ac:dyDescent="0.3">
      <c r="A1981">
        <v>1980</v>
      </c>
      <c r="B1981">
        <v>48000</v>
      </c>
      <c r="C1981" t="s">
        <v>2012</v>
      </c>
      <c r="D1981" t="s">
        <v>51</v>
      </c>
      <c r="E1981" t="s">
        <v>57</v>
      </c>
      <c r="F1981" s="1">
        <v>45335</v>
      </c>
      <c r="G1981" s="1">
        <v>45336</v>
      </c>
      <c r="H1981">
        <v>6</v>
      </c>
      <c r="I1981" t="s">
        <v>42</v>
      </c>
      <c r="J1981" t="s">
        <v>53</v>
      </c>
      <c r="K1981">
        <v>3</v>
      </c>
      <c r="L1981">
        <v>4</v>
      </c>
      <c r="M1981">
        <v>4</v>
      </c>
      <c r="N1981">
        <v>3</v>
      </c>
      <c r="O1981">
        <v>1</v>
      </c>
      <c r="P1981">
        <v>1</v>
      </c>
      <c r="Q1981">
        <v>3</v>
      </c>
      <c r="R1981">
        <v>4</v>
      </c>
      <c r="S1981">
        <v>1</v>
      </c>
      <c r="T1981">
        <v>5</v>
      </c>
      <c r="U1981" t="s">
        <v>30</v>
      </c>
      <c r="V1981" t="s">
        <v>54</v>
      </c>
      <c r="W1981" t="s">
        <v>55</v>
      </c>
      <c r="X1981" t="s">
        <v>40</v>
      </c>
      <c r="Y1981">
        <v>54</v>
      </c>
      <c r="Z1981" s="1">
        <v>45336</v>
      </c>
      <c r="AA1981" t="str" cm="1">
        <f t="array" ref="AA1981">_xlfn.IFS(AND(Table2[[#This Row],[Guest_Age]]&gt;=18,Table2[[#This Row],[Guest_Age]]&lt;=25),"Young Adults",AND(Table2[[#This Row],[Guest_Age]]&gt;=26,Table2[[#This Row],[Guest_Age]]&lt;=35),"Adults",AND(Table2[[#This Row],[Guest_Age]]&gt;=36,Table2[[#This Row],[Guest_Age]]&lt;=50),"Middle Aged Adults",Table2[[#This Row],[Guest_Age]]&gt;50,"Senior")</f>
        <v>Senior</v>
      </c>
      <c r="AB198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81" t="str" cm="1">
        <f t="array" ref="AC1981">_xlfn.IFS(Table2[[#This Row],[Satification_points]]&gt;=4.5,"GREAT",AND(Table2[[#This Row],[Satification_points]]&gt;=4,Table2[[#This Row],[Satification_points]]&lt;4.5),"GOOD",AND(Table2[[#This Row],[Satification_points]]&gt;=3,Table2[[#This Row],[Satification_points]]&lt;4),"AVERAGE",Table2[[#This Row],[Satification_points]]&lt;3,"POOR")</f>
        <v>POOR</v>
      </c>
    </row>
    <row r="1982" spans="1:29" x14ac:dyDescent="0.3">
      <c r="A1982">
        <v>1981</v>
      </c>
      <c r="B1982">
        <v>99941</v>
      </c>
      <c r="C1982" t="s">
        <v>2013</v>
      </c>
      <c r="D1982" t="s">
        <v>51</v>
      </c>
      <c r="E1982" t="s">
        <v>57</v>
      </c>
      <c r="F1982" s="1">
        <v>45657</v>
      </c>
      <c r="G1982" s="1">
        <v>45658</v>
      </c>
      <c r="H1982">
        <v>11</v>
      </c>
      <c r="I1982" t="s">
        <v>50</v>
      </c>
      <c r="J1982" t="s">
        <v>29</v>
      </c>
      <c r="K1982">
        <v>2</v>
      </c>
      <c r="L1982">
        <v>2</v>
      </c>
      <c r="M1982">
        <v>1</v>
      </c>
      <c r="N1982">
        <v>3</v>
      </c>
      <c r="O1982">
        <v>4</v>
      </c>
      <c r="P1982">
        <v>2</v>
      </c>
      <c r="Q1982">
        <v>4</v>
      </c>
      <c r="R1982">
        <v>2</v>
      </c>
      <c r="S1982">
        <v>1</v>
      </c>
      <c r="T1982">
        <v>5</v>
      </c>
      <c r="U1982" t="s">
        <v>30</v>
      </c>
      <c r="V1982" t="s">
        <v>54</v>
      </c>
      <c r="W1982" t="s">
        <v>47</v>
      </c>
      <c r="X1982" t="s">
        <v>33</v>
      </c>
      <c r="Y1982">
        <v>67</v>
      </c>
      <c r="Z1982" s="1">
        <v>45658</v>
      </c>
      <c r="AA1982" t="str" cm="1">
        <f t="array" ref="AA1982">_xlfn.IFS(AND(Table2[[#This Row],[Guest_Age]]&gt;=18,Table2[[#This Row],[Guest_Age]]&lt;=25),"Young Adults",AND(Table2[[#This Row],[Guest_Age]]&gt;=26,Table2[[#This Row],[Guest_Age]]&lt;=35),"Adults",AND(Table2[[#This Row],[Guest_Age]]&gt;=36,Table2[[#This Row],[Guest_Age]]&lt;=50),"Middle Aged Adults",Table2[[#This Row],[Guest_Age]]&gt;50,"Senior")</f>
        <v>Senior</v>
      </c>
      <c r="AB198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82" t="str" cm="1">
        <f t="array" ref="AC1982">_xlfn.IFS(Table2[[#This Row],[Satification_points]]&gt;=4.5,"GREAT",AND(Table2[[#This Row],[Satification_points]]&gt;=4,Table2[[#This Row],[Satification_points]]&lt;4.5),"GOOD",AND(Table2[[#This Row],[Satification_points]]&gt;=3,Table2[[#This Row],[Satification_points]]&lt;4),"AVERAGE",Table2[[#This Row],[Satification_points]]&lt;3,"POOR")</f>
        <v>POOR</v>
      </c>
    </row>
    <row r="1983" spans="1:29" x14ac:dyDescent="0.3">
      <c r="A1983">
        <v>1982</v>
      </c>
      <c r="B1983">
        <v>68367</v>
      </c>
      <c r="C1983" t="s">
        <v>2014</v>
      </c>
      <c r="D1983" t="s">
        <v>26</v>
      </c>
      <c r="E1983" t="s">
        <v>45</v>
      </c>
      <c r="F1983" s="1">
        <v>44954</v>
      </c>
      <c r="G1983" s="1">
        <v>45031</v>
      </c>
      <c r="H1983">
        <v>5</v>
      </c>
      <c r="I1983" t="s">
        <v>28</v>
      </c>
      <c r="J1983" t="s">
        <v>29</v>
      </c>
      <c r="K1983">
        <v>4</v>
      </c>
      <c r="L1983">
        <v>3</v>
      </c>
      <c r="M1983">
        <v>4</v>
      </c>
      <c r="N1983">
        <v>4</v>
      </c>
      <c r="O1983">
        <v>3</v>
      </c>
      <c r="P1983">
        <v>5</v>
      </c>
      <c r="Q1983">
        <v>5</v>
      </c>
      <c r="R1983">
        <v>3</v>
      </c>
      <c r="S1983">
        <v>1</v>
      </c>
      <c r="T1983">
        <v>5</v>
      </c>
      <c r="U1983" t="s">
        <v>30</v>
      </c>
      <c r="V1983" t="s">
        <v>58</v>
      </c>
      <c r="W1983" t="s">
        <v>39</v>
      </c>
      <c r="X1983" t="s">
        <v>33</v>
      </c>
      <c r="Y1983">
        <v>53</v>
      </c>
      <c r="Z1983" s="1">
        <v>45376</v>
      </c>
      <c r="AA1983" t="str" cm="1">
        <f t="array" ref="AA1983">_xlfn.IFS(AND(Table2[[#This Row],[Guest_Age]]&gt;=18,Table2[[#This Row],[Guest_Age]]&lt;=25),"Young Adults",AND(Table2[[#This Row],[Guest_Age]]&gt;=26,Table2[[#This Row],[Guest_Age]]&lt;=35),"Adults",AND(Table2[[#This Row],[Guest_Age]]&gt;=36,Table2[[#This Row],[Guest_Age]]&lt;=50),"Middle Aged Adults",Table2[[#This Row],[Guest_Age]]&gt;50,"Senior")</f>
        <v>Senior</v>
      </c>
      <c r="AB198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3.7</v>
      </c>
      <c r="AC1983" t="str" cm="1">
        <f t="array" ref="AC1983">_xlfn.IFS(Table2[[#This Row],[Satification_points]]&gt;=4.5,"GREAT",AND(Table2[[#This Row],[Satification_points]]&gt;=4,Table2[[#This Row],[Satification_points]]&lt;4.5),"GOOD",AND(Table2[[#This Row],[Satification_points]]&gt;=3,Table2[[#This Row],[Satification_points]]&lt;4),"AVERAGE",Table2[[#This Row],[Satification_points]]&lt;3,"POOR")</f>
        <v>AVERAGE</v>
      </c>
    </row>
    <row r="1984" spans="1:29" x14ac:dyDescent="0.3">
      <c r="A1984">
        <v>1983</v>
      </c>
      <c r="B1984">
        <v>77216</v>
      </c>
      <c r="C1984" t="s">
        <v>2015</v>
      </c>
      <c r="D1984" t="s">
        <v>34</v>
      </c>
      <c r="E1984" t="s">
        <v>45</v>
      </c>
      <c r="F1984" s="1">
        <v>45589</v>
      </c>
      <c r="G1984" s="1">
        <v>45590</v>
      </c>
      <c r="H1984">
        <v>8</v>
      </c>
      <c r="I1984" t="s">
        <v>42</v>
      </c>
      <c r="J1984" t="s">
        <v>40</v>
      </c>
      <c r="K1984">
        <v>3</v>
      </c>
      <c r="L1984">
        <v>2</v>
      </c>
      <c r="M1984">
        <v>2</v>
      </c>
      <c r="N1984">
        <v>2</v>
      </c>
      <c r="O1984">
        <v>1</v>
      </c>
      <c r="P1984">
        <v>1</v>
      </c>
      <c r="Q1984">
        <v>2</v>
      </c>
      <c r="R1984">
        <v>3</v>
      </c>
      <c r="S1984">
        <v>1</v>
      </c>
      <c r="T1984">
        <v>3</v>
      </c>
      <c r="U1984" t="s">
        <v>30</v>
      </c>
      <c r="V1984" t="s">
        <v>46</v>
      </c>
      <c r="W1984" t="s">
        <v>39</v>
      </c>
      <c r="X1984" t="s">
        <v>44</v>
      </c>
      <c r="Y1984">
        <v>44</v>
      </c>
      <c r="Z1984" s="1">
        <v>45590</v>
      </c>
      <c r="AA1984" t="str" cm="1">
        <f t="array" ref="AA1984">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8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v>
      </c>
      <c r="AC1984" t="str" cm="1">
        <f t="array" ref="AC1984">_xlfn.IFS(Table2[[#This Row],[Satification_points]]&gt;=4.5,"GREAT",AND(Table2[[#This Row],[Satification_points]]&gt;=4,Table2[[#This Row],[Satification_points]]&lt;4.5),"GOOD",AND(Table2[[#This Row],[Satification_points]]&gt;=3,Table2[[#This Row],[Satification_points]]&lt;4),"AVERAGE",Table2[[#This Row],[Satification_points]]&lt;3,"POOR")</f>
        <v>POOR</v>
      </c>
    </row>
    <row r="1985" spans="1:29" x14ac:dyDescent="0.3">
      <c r="A1985">
        <v>1984</v>
      </c>
      <c r="B1985">
        <v>57112</v>
      </c>
      <c r="C1985" t="s">
        <v>2016</v>
      </c>
      <c r="D1985" t="s">
        <v>48</v>
      </c>
      <c r="E1985" t="s">
        <v>45</v>
      </c>
      <c r="F1985" s="1">
        <v>45538</v>
      </c>
      <c r="G1985" s="1">
        <v>45539</v>
      </c>
      <c r="H1985">
        <v>10</v>
      </c>
      <c r="I1985" t="s">
        <v>50</v>
      </c>
      <c r="J1985" t="s">
        <v>53</v>
      </c>
      <c r="K1985">
        <v>2</v>
      </c>
      <c r="L1985">
        <v>2</v>
      </c>
      <c r="M1985">
        <v>2</v>
      </c>
      <c r="N1985">
        <v>5</v>
      </c>
      <c r="O1985">
        <v>4</v>
      </c>
      <c r="P1985">
        <v>3</v>
      </c>
      <c r="Q1985">
        <v>3</v>
      </c>
      <c r="R1985">
        <v>2</v>
      </c>
      <c r="S1985">
        <v>4</v>
      </c>
      <c r="T1985">
        <v>3</v>
      </c>
      <c r="U1985" t="s">
        <v>30</v>
      </c>
      <c r="V1985" t="s">
        <v>38</v>
      </c>
      <c r="W1985" t="s">
        <v>39</v>
      </c>
      <c r="X1985" t="s">
        <v>40</v>
      </c>
      <c r="Y1985">
        <v>39</v>
      </c>
      <c r="Z1985" s="1">
        <v>45539</v>
      </c>
      <c r="AA1985" t="str" cm="1">
        <f t="array" ref="AA1985">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8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85" t="str" cm="1">
        <f t="array" ref="AC1985">_xlfn.IFS(Table2[[#This Row],[Satification_points]]&gt;=4.5,"GREAT",AND(Table2[[#This Row],[Satification_points]]&gt;=4,Table2[[#This Row],[Satification_points]]&lt;4.5),"GOOD",AND(Table2[[#This Row],[Satification_points]]&gt;=3,Table2[[#This Row],[Satification_points]]&lt;4),"AVERAGE",Table2[[#This Row],[Satification_points]]&lt;3,"POOR")</f>
        <v>AVERAGE</v>
      </c>
    </row>
    <row r="1986" spans="1:29" x14ac:dyDescent="0.3">
      <c r="A1986">
        <v>1985</v>
      </c>
      <c r="B1986">
        <v>48719</v>
      </c>
      <c r="C1986" t="s">
        <v>2017</v>
      </c>
      <c r="D1986" t="s">
        <v>48</v>
      </c>
      <c r="E1986" t="s">
        <v>52</v>
      </c>
      <c r="F1986" s="1">
        <v>45441</v>
      </c>
      <c r="G1986" s="1">
        <v>45541</v>
      </c>
      <c r="H1986">
        <v>7</v>
      </c>
      <c r="I1986" t="s">
        <v>28</v>
      </c>
      <c r="J1986" t="s">
        <v>40</v>
      </c>
      <c r="K1986">
        <v>1</v>
      </c>
      <c r="L1986">
        <v>1</v>
      </c>
      <c r="M1986">
        <v>3</v>
      </c>
      <c r="N1986">
        <v>2</v>
      </c>
      <c r="O1986">
        <v>5</v>
      </c>
      <c r="P1986">
        <v>5</v>
      </c>
      <c r="Q1986">
        <v>1</v>
      </c>
      <c r="R1986">
        <v>1</v>
      </c>
      <c r="S1986">
        <v>5</v>
      </c>
      <c r="T1986">
        <v>5</v>
      </c>
      <c r="U1986" t="s">
        <v>30</v>
      </c>
      <c r="V1986" t="s">
        <v>58</v>
      </c>
      <c r="W1986" t="s">
        <v>56</v>
      </c>
      <c r="X1986" t="s">
        <v>33</v>
      </c>
      <c r="Y1986">
        <v>48</v>
      </c>
      <c r="Z1986" s="1">
        <v>45541</v>
      </c>
      <c r="AA1986" t="str" cm="1">
        <f t="array" ref="AA1986">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8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86" t="str" cm="1">
        <f t="array" ref="AC1986">_xlfn.IFS(Table2[[#This Row],[Satification_points]]&gt;=4.5,"GREAT",AND(Table2[[#This Row],[Satification_points]]&gt;=4,Table2[[#This Row],[Satification_points]]&lt;4.5),"GOOD",AND(Table2[[#This Row],[Satification_points]]&gt;=3,Table2[[#This Row],[Satification_points]]&lt;4),"AVERAGE",Table2[[#This Row],[Satification_points]]&lt;3,"POOR")</f>
        <v>POOR</v>
      </c>
    </row>
    <row r="1987" spans="1:29" x14ac:dyDescent="0.3">
      <c r="A1987">
        <v>1986</v>
      </c>
      <c r="B1987">
        <v>37832</v>
      </c>
      <c r="C1987" t="s">
        <v>2018</v>
      </c>
      <c r="D1987" t="s">
        <v>34</v>
      </c>
      <c r="E1987" t="s">
        <v>52</v>
      </c>
      <c r="F1987" s="1">
        <v>45471</v>
      </c>
      <c r="G1987" s="1">
        <v>45472</v>
      </c>
      <c r="H1987">
        <v>1</v>
      </c>
      <c r="I1987" t="s">
        <v>50</v>
      </c>
      <c r="J1987" t="s">
        <v>40</v>
      </c>
      <c r="K1987">
        <v>4</v>
      </c>
      <c r="L1987">
        <v>1</v>
      </c>
      <c r="M1987">
        <v>3</v>
      </c>
      <c r="N1987">
        <v>2</v>
      </c>
      <c r="O1987">
        <v>4</v>
      </c>
      <c r="P1987">
        <v>1</v>
      </c>
      <c r="Q1987">
        <v>3</v>
      </c>
      <c r="R1987">
        <v>5</v>
      </c>
      <c r="S1987">
        <v>2</v>
      </c>
      <c r="T1987">
        <v>1</v>
      </c>
      <c r="U1987" t="s">
        <v>37</v>
      </c>
      <c r="V1987" t="s">
        <v>38</v>
      </c>
      <c r="W1987" t="s">
        <v>39</v>
      </c>
      <c r="X1987" t="s">
        <v>33</v>
      </c>
      <c r="Y1987">
        <v>57</v>
      </c>
      <c r="Z1987" s="1">
        <v>45472</v>
      </c>
      <c r="AA1987" t="str" cm="1">
        <f t="array" ref="AA1987">_xlfn.IFS(AND(Table2[[#This Row],[Guest_Age]]&gt;=18,Table2[[#This Row],[Guest_Age]]&lt;=25),"Young Adults",AND(Table2[[#This Row],[Guest_Age]]&gt;=26,Table2[[#This Row],[Guest_Age]]&lt;=35),"Adults",AND(Table2[[#This Row],[Guest_Age]]&gt;=36,Table2[[#This Row],[Guest_Age]]&lt;=50),"Middle Aged Adults",Table2[[#This Row],[Guest_Age]]&gt;50,"Senior")</f>
        <v>Senior</v>
      </c>
      <c r="AB198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87" t="str" cm="1">
        <f t="array" ref="AC1987">_xlfn.IFS(Table2[[#This Row],[Satification_points]]&gt;=4.5,"GREAT",AND(Table2[[#This Row],[Satification_points]]&gt;=4,Table2[[#This Row],[Satification_points]]&lt;4.5),"GOOD",AND(Table2[[#This Row],[Satification_points]]&gt;=3,Table2[[#This Row],[Satification_points]]&lt;4),"AVERAGE",Table2[[#This Row],[Satification_points]]&lt;3,"POOR")</f>
        <v>POOR</v>
      </c>
    </row>
    <row r="1988" spans="1:29" x14ac:dyDescent="0.3">
      <c r="A1988">
        <v>1987</v>
      </c>
      <c r="B1988">
        <v>82402</v>
      </c>
      <c r="C1988" t="s">
        <v>2019</v>
      </c>
      <c r="D1988" t="s">
        <v>51</v>
      </c>
      <c r="E1988" t="s">
        <v>52</v>
      </c>
      <c r="F1988" s="1">
        <v>45125</v>
      </c>
      <c r="G1988" s="1">
        <v>45306</v>
      </c>
      <c r="H1988">
        <v>8</v>
      </c>
      <c r="I1988" t="s">
        <v>49</v>
      </c>
      <c r="J1988" t="s">
        <v>40</v>
      </c>
      <c r="K1988">
        <v>5</v>
      </c>
      <c r="L1988">
        <v>4</v>
      </c>
      <c r="M1988">
        <v>1</v>
      </c>
      <c r="N1988">
        <v>5</v>
      </c>
      <c r="O1988">
        <v>2</v>
      </c>
      <c r="P1988">
        <v>3</v>
      </c>
      <c r="Q1988">
        <v>2</v>
      </c>
      <c r="R1988">
        <v>2</v>
      </c>
      <c r="S1988">
        <v>4</v>
      </c>
      <c r="T1988">
        <v>3</v>
      </c>
      <c r="U1988" t="s">
        <v>37</v>
      </c>
      <c r="V1988" t="s">
        <v>38</v>
      </c>
      <c r="W1988" t="s">
        <v>55</v>
      </c>
      <c r="X1988" t="s">
        <v>33</v>
      </c>
      <c r="Y1988">
        <v>23</v>
      </c>
      <c r="Z1988" s="1">
        <v>45641</v>
      </c>
      <c r="AA1988" t="str" cm="1">
        <f t="array" ref="AA1988">_xlfn.IFS(AND(Table2[[#This Row],[Guest_Age]]&gt;=18,Table2[[#This Row],[Guest_Age]]&lt;=25),"Young Adults",AND(Table2[[#This Row],[Guest_Age]]&gt;=26,Table2[[#This Row],[Guest_Age]]&lt;=35),"Adults",AND(Table2[[#This Row],[Guest_Age]]&gt;=36,Table2[[#This Row],[Guest_Age]]&lt;=50),"Middle Aged Adults",Table2[[#This Row],[Guest_Age]]&gt;50,"Senior")</f>
        <v>Young Adults</v>
      </c>
      <c r="AB198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1988" t="str" cm="1">
        <f t="array" ref="AC1988">_xlfn.IFS(Table2[[#This Row],[Satification_points]]&gt;=4.5,"GREAT",AND(Table2[[#This Row],[Satification_points]]&gt;=4,Table2[[#This Row],[Satification_points]]&lt;4.5),"GOOD",AND(Table2[[#This Row],[Satification_points]]&gt;=3,Table2[[#This Row],[Satification_points]]&lt;4),"AVERAGE",Table2[[#This Row],[Satification_points]]&lt;3,"POOR")</f>
        <v>AVERAGE</v>
      </c>
    </row>
    <row r="1989" spans="1:29" x14ac:dyDescent="0.3">
      <c r="A1989">
        <v>1988</v>
      </c>
      <c r="B1989">
        <v>35479</v>
      </c>
      <c r="C1989" t="s">
        <v>2020</v>
      </c>
      <c r="D1989" t="s">
        <v>51</v>
      </c>
      <c r="E1989" t="s">
        <v>27</v>
      </c>
      <c r="F1989" s="1">
        <v>44995</v>
      </c>
      <c r="G1989" s="1">
        <v>45665</v>
      </c>
      <c r="H1989">
        <v>4</v>
      </c>
      <c r="I1989" t="s">
        <v>42</v>
      </c>
      <c r="J1989" t="s">
        <v>40</v>
      </c>
      <c r="K1989">
        <v>5</v>
      </c>
      <c r="L1989">
        <v>5</v>
      </c>
      <c r="M1989">
        <v>5</v>
      </c>
      <c r="N1989">
        <v>2</v>
      </c>
      <c r="O1989">
        <v>1</v>
      </c>
      <c r="P1989">
        <v>4</v>
      </c>
      <c r="Q1989">
        <v>3</v>
      </c>
      <c r="R1989">
        <v>3</v>
      </c>
      <c r="S1989">
        <v>4</v>
      </c>
      <c r="T1989">
        <v>2</v>
      </c>
      <c r="U1989" t="s">
        <v>37</v>
      </c>
      <c r="V1989" t="s">
        <v>58</v>
      </c>
      <c r="W1989" t="s">
        <v>39</v>
      </c>
      <c r="X1989" t="s">
        <v>40</v>
      </c>
      <c r="Y1989">
        <v>50</v>
      </c>
      <c r="Z1989" s="1">
        <v>45665</v>
      </c>
      <c r="AA1989" t="str" cm="1">
        <f t="array" ref="AA1989">_xlfn.IFS(AND(Table2[[#This Row],[Guest_Age]]&gt;=18,Table2[[#This Row],[Guest_Age]]&lt;=25),"Young Adults",AND(Table2[[#This Row],[Guest_Age]]&gt;=26,Table2[[#This Row],[Guest_Age]]&lt;=35),"Adults",AND(Table2[[#This Row],[Guest_Age]]&gt;=36,Table2[[#This Row],[Guest_Age]]&lt;=50),"Middle Aged Adults",Table2[[#This Row],[Guest_Age]]&gt;50,"Senior")</f>
        <v>Middle Aged Adults</v>
      </c>
      <c r="AB198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89" t="str" cm="1">
        <f t="array" ref="AC1989">_xlfn.IFS(Table2[[#This Row],[Satification_points]]&gt;=4.5,"GREAT",AND(Table2[[#This Row],[Satification_points]]&gt;=4,Table2[[#This Row],[Satification_points]]&lt;4.5),"GOOD",AND(Table2[[#This Row],[Satification_points]]&gt;=3,Table2[[#This Row],[Satification_points]]&lt;4),"AVERAGE",Table2[[#This Row],[Satification_points]]&lt;3,"POOR")</f>
        <v>AVERAGE</v>
      </c>
    </row>
    <row r="1990" spans="1:29" x14ac:dyDescent="0.3">
      <c r="A1990">
        <v>1989</v>
      </c>
      <c r="B1990">
        <v>59285</v>
      </c>
      <c r="C1990" t="s">
        <v>2021</v>
      </c>
      <c r="D1990" t="s">
        <v>34</v>
      </c>
      <c r="E1990" t="s">
        <v>45</v>
      </c>
      <c r="F1990" s="1">
        <v>45528</v>
      </c>
      <c r="G1990" s="1">
        <v>45529</v>
      </c>
      <c r="H1990">
        <v>7</v>
      </c>
      <c r="I1990" t="s">
        <v>49</v>
      </c>
      <c r="J1990" t="s">
        <v>43</v>
      </c>
      <c r="K1990">
        <v>1</v>
      </c>
      <c r="L1990">
        <v>4</v>
      </c>
      <c r="M1990">
        <v>5</v>
      </c>
      <c r="N1990">
        <v>4</v>
      </c>
      <c r="O1990">
        <v>4</v>
      </c>
      <c r="P1990">
        <v>2</v>
      </c>
      <c r="Q1990">
        <v>1</v>
      </c>
      <c r="R1990">
        <v>1</v>
      </c>
      <c r="S1990">
        <v>5</v>
      </c>
      <c r="T1990">
        <v>5</v>
      </c>
      <c r="U1990" t="s">
        <v>37</v>
      </c>
      <c r="V1990" t="s">
        <v>46</v>
      </c>
      <c r="W1990" t="s">
        <v>32</v>
      </c>
      <c r="X1990" t="s">
        <v>33</v>
      </c>
      <c r="Y1990">
        <v>24</v>
      </c>
      <c r="Z1990" s="1">
        <v>45575</v>
      </c>
      <c r="AA1990" t="str" cm="1">
        <f t="array" ref="AA1990">_xlfn.IFS(AND(Table2[[#This Row],[Guest_Age]]&gt;=18,Table2[[#This Row],[Guest_Age]]&lt;=25),"Young Adults",AND(Table2[[#This Row],[Guest_Age]]&gt;=26,Table2[[#This Row],[Guest_Age]]&lt;=35),"Adults",AND(Table2[[#This Row],[Guest_Age]]&gt;=36,Table2[[#This Row],[Guest_Age]]&lt;=50),"Middle Aged Adults",Table2[[#This Row],[Guest_Age]]&gt;50,"Senior")</f>
        <v>Young Adults</v>
      </c>
      <c r="AB199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3.2</v>
      </c>
      <c r="AC1990" t="str" cm="1">
        <f t="array" ref="AC1990">_xlfn.IFS(Table2[[#This Row],[Satification_points]]&gt;=4.5,"GREAT",AND(Table2[[#This Row],[Satification_points]]&gt;=4,Table2[[#This Row],[Satification_points]]&lt;4.5),"GOOD",AND(Table2[[#This Row],[Satification_points]]&gt;=3,Table2[[#This Row],[Satification_points]]&lt;4),"AVERAGE",Table2[[#This Row],[Satification_points]]&lt;3,"POOR")</f>
        <v>AVERAGE</v>
      </c>
    </row>
    <row r="1991" spans="1:29" x14ac:dyDescent="0.3">
      <c r="A1991">
        <v>1990</v>
      </c>
      <c r="B1991">
        <v>93045</v>
      </c>
      <c r="C1991" t="s">
        <v>2022</v>
      </c>
      <c r="D1991" t="s">
        <v>48</v>
      </c>
      <c r="E1991" t="s">
        <v>45</v>
      </c>
      <c r="F1991" s="1">
        <v>44943</v>
      </c>
      <c r="G1991" s="1">
        <v>45102</v>
      </c>
      <c r="H1991">
        <v>3</v>
      </c>
      <c r="I1991" t="s">
        <v>28</v>
      </c>
      <c r="J1991" t="s">
        <v>43</v>
      </c>
      <c r="K1991">
        <v>1</v>
      </c>
      <c r="L1991">
        <v>3</v>
      </c>
      <c r="M1991">
        <v>2</v>
      </c>
      <c r="N1991">
        <v>2</v>
      </c>
      <c r="O1991">
        <v>3</v>
      </c>
      <c r="P1991">
        <v>2</v>
      </c>
      <c r="Q1991">
        <v>5</v>
      </c>
      <c r="R1991">
        <v>4</v>
      </c>
      <c r="S1991">
        <v>3</v>
      </c>
      <c r="T1991">
        <v>1</v>
      </c>
      <c r="U1991" t="s">
        <v>37</v>
      </c>
      <c r="V1991" t="s">
        <v>58</v>
      </c>
      <c r="W1991" t="s">
        <v>39</v>
      </c>
      <c r="X1991" t="s">
        <v>40</v>
      </c>
      <c r="Y1991">
        <v>23</v>
      </c>
      <c r="Z1991" s="1">
        <v>45102</v>
      </c>
      <c r="AA1991" t="str" cm="1">
        <f t="array" ref="AA1991">_xlfn.IFS(AND(Table2[[#This Row],[Guest_Age]]&gt;=18,Table2[[#This Row],[Guest_Age]]&lt;=25),"Young Adults",AND(Table2[[#This Row],[Guest_Age]]&gt;=26,Table2[[#This Row],[Guest_Age]]&lt;=35),"Adults",AND(Table2[[#This Row],[Guest_Age]]&gt;=36,Table2[[#This Row],[Guest_Age]]&lt;=50),"Middle Aged Adults",Table2[[#This Row],[Guest_Age]]&gt;50,"Senior")</f>
        <v>Young Adults</v>
      </c>
      <c r="AB199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2.6</v>
      </c>
      <c r="AC1991" t="str" cm="1">
        <f t="array" ref="AC1991">_xlfn.IFS(Table2[[#This Row],[Satification_points]]&gt;=4.5,"GREAT",AND(Table2[[#This Row],[Satification_points]]&gt;=4,Table2[[#This Row],[Satification_points]]&lt;4.5),"GOOD",AND(Table2[[#This Row],[Satification_points]]&gt;=3,Table2[[#This Row],[Satification_points]]&lt;4),"AVERAGE",Table2[[#This Row],[Satification_points]]&lt;3,"POOR")</f>
        <v>POOR</v>
      </c>
    </row>
    <row r="1992" spans="1:29" x14ac:dyDescent="0.3">
      <c r="A1992">
        <v>1991</v>
      </c>
      <c r="B1992">
        <v>56228</v>
      </c>
      <c r="C1992" t="s">
        <v>2023</v>
      </c>
      <c r="D1992" t="s">
        <v>41</v>
      </c>
      <c r="E1992" t="s">
        <v>35</v>
      </c>
      <c r="F1992" s="1">
        <v>45472</v>
      </c>
      <c r="G1992" s="1">
        <v>45473</v>
      </c>
      <c r="H1992">
        <v>2</v>
      </c>
      <c r="I1992" t="s">
        <v>50</v>
      </c>
      <c r="J1992" t="s">
        <v>53</v>
      </c>
      <c r="K1992">
        <v>5</v>
      </c>
      <c r="L1992">
        <v>3</v>
      </c>
      <c r="M1992">
        <v>2</v>
      </c>
      <c r="N1992">
        <v>2</v>
      </c>
      <c r="O1992">
        <v>2</v>
      </c>
      <c r="P1992">
        <v>1</v>
      </c>
      <c r="Q1992">
        <v>3</v>
      </c>
      <c r="R1992">
        <v>4</v>
      </c>
      <c r="S1992">
        <v>4</v>
      </c>
      <c r="T1992">
        <v>3</v>
      </c>
      <c r="U1992" t="s">
        <v>30</v>
      </c>
      <c r="V1992" t="s">
        <v>31</v>
      </c>
      <c r="W1992" t="s">
        <v>47</v>
      </c>
      <c r="X1992" t="s">
        <v>33</v>
      </c>
      <c r="Y1992">
        <v>18</v>
      </c>
      <c r="Z1992" s="1">
        <v>45553</v>
      </c>
      <c r="AA1992" t="str" cm="1">
        <f t="array" ref="AA1992">_xlfn.IFS(AND(Table2[[#This Row],[Guest_Age]]&gt;=18,Table2[[#This Row],[Guest_Age]]&lt;=25),"Young Adults",AND(Table2[[#This Row],[Guest_Age]]&gt;=26,Table2[[#This Row],[Guest_Age]]&lt;=35),"Adults",AND(Table2[[#This Row],[Guest_Age]]&gt;=36,Table2[[#This Row],[Guest_Age]]&lt;=50),"Middle Aged Adults",Table2[[#This Row],[Guest_Age]]&gt;50,"Senior")</f>
        <v>Young Adults</v>
      </c>
      <c r="AB1992">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2.9</v>
      </c>
      <c r="AC1992" t="str" cm="1">
        <f t="array" ref="AC1992">_xlfn.IFS(Table2[[#This Row],[Satification_points]]&gt;=4.5,"GREAT",AND(Table2[[#This Row],[Satification_points]]&gt;=4,Table2[[#This Row],[Satification_points]]&lt;4.5),"GOOD",AND(Table2[[#This Row],[Satification_points]]&gt;=3,Table2[[#This Row],[Satification_points]]&lt;4),"AVERAGE",Table2[[#This Row],[Satification_points]]&lt;3,"POOR")</f>
        <v>POOR</v>
      </c>
    </row>
    <row r="1993" spans="1:29" x14ac:dyDescent="0.3">
      <c r="A1993">
        <v>1992</v>
      </c>
      <c r="B1993">
        <v>61191</v>
      </c>
      <c r="C1993" t="s">
        <v>2024</v>
      </c>
      <c r="D1993" t="s">
        <v>26</v>
      </c>
      <c r="E1993" t="s">
        <v>35</v>
      </c>
      <c r="F1993" s="1">
        <v>44986</v>
      </c>
      <c r="G1993" s="1">
        <v>45332</v>
      </c>
      <c r="H1993">
        <v>1</v>
      </c>
      <c r="I1993" t="s">
        <v>50</v>
      </c>
      <c r="J1993" t="s">
        <v>53</v>
      </c>
      <c r="K1993">
        <v>1</v>
      </c>
      <c r="L1993">
        <v>2</v>
      </c>
      <c r="M1993">
        <v>3</v>
      </c>
      <c r="N1993">
        <v>2</v>
      </c>
      <c r="O1993">
        <v>1</v>
      </c>
      <c r="P1993">
        <v>3</v>
      </c>
      <c r="Q1993">
        <v>1</v>
      </c>
      <c r="R1993">
        <v>4</v>
      </c>
      <c r="S1993">
        <v>4</v>
      </c>
      <c r="T1993">
        <v>2</v>
      </c>
      <c r="U1993" t="s">
        <v>30</v>
      </c>
      <c r="V1993" t="s">
        <v>54</v>
      </c>
      <c r="W1993" t="s">
        <v>47</v>
      </c>
      <c r="X1993" t="s">
        <v>40</v>
      </c>
      <c r="Y1993">
        <v>56</v>
      </c>
      <c r="Z1993" s="1">
        <v>45494</v>
      </c>
      <c r="AA1993" t="str" cm="1">
        <f t="array" ref="AA1993">_xlfn.IFS(AND(Table2[[#This Row],[Guest_Age]]&gt;=18,Table2[[#This Row],[Guest_Age]]&lt;=25),"Young Adults",AND(Table2[[#This Row],[Guest_Age]]&gt;=26,Table2[[#This Row],[Guest_Age]]&lt;=35),"Adults",AND(Table2[[#This Row],[Guest_Age]]&gt;=36,Table2[[#This Row],[Guest_Age]]&lt;=50),"Middle Aged Adults",Table2[[#This Row],[Guest_Age]]&gt;50,"Senior")</f>
        <v>Senior</v>
      </c>
      <c r="AB1993">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2.2999999999999998</v>
      </c>
      <c r="AC1993" t="str" cm="1">
        <f t="array" ref="AC1993">_xlfn.IFS(Table2[[#This Row],[Satification_points]]&gt;=4.5,"GREAT",AND(Table2[[#This Row],[Satification_points]]&gt;=4,Table2[[#This Row],[Satification_points]]&lt;4.5),"GOOD",AND(Table2[[#This Row],[Satification_points]]&gt;=3,Table2[[#This Row],[Satification_points]]&lt;4),"AVERAGE",Table2[[#This Row],[Satification_points]]&lt;3,"POOR")</f>
        <v>POOR</v>
      </c>
    </row>
    <row r="1994" spans="1:29" x14ac:dyDescent="0.3">
      <c r="A1994">
        <v>1993</v>
      </c>
      <c r="B1994">
        <v>14188</v>
      </c>
      <c r="C1994" t="s">
        <v>2025</v>
      </c>
      <c r="D1994" t="s">
        <v>34</v>
      </c>
      <c r="E1994" t="s">
        <v>27</v>
      </c>
      <c r="F1994" s="1">
        <v>45110</v>
      </c>
      <c r="G1994" s="1">
        <v>45111</v>
      </c>
      <c r="H1994">
        <v>10</v>
      </c>
      <c r="I1994" t="s">
        <v>28</v>
      </c>
      <c r="J1994" t="s">
        <v>36</v>
      </c>
      <c r="K1994">
        <v>5</v>
      </c>
      <c r="L1994">
        <v>1</v>
      </c>
      <c r="M1994">
        <v>2</v>
      </c>
      <c r="N1994">
        <v>4</v>
      </c>
      <c r="O1994">
        <v>2</v>
      </c>
      <c r="P1994">
        <v>1</v>
      </c>
      <c r="Q1994">
        <v>5</v>
      </c>
      <c r="R1994">
        <v>5</v>
      </c>
      <c r="S1994">
        <v>2</v>
      </c>
      <c r="T1994">
        <v>3</v>
      </c>
      <c r="U1994" t="s">
        <v>30</v>
      </c>
      <c r="V1994" t="s">
        <v>58</v>
      </c>
      <c r="W1994" t="s">
        <v>32</v>
      </c>
      <c r="X1994" t="s">
        <v>33</v>
      </c>
      <c r="Y1994">
        <v>63</v>
      </c>
      <c r="Z1994" s="1">
        <v>45111</v>
      </c>
      <c r="AA1994" t="str" cm="1">
        <f t="array" ref="AA1994">_xlfn.IFS(AND(Table2[[#This Row],[Guest_Age]]&gt;=18,Table2[[#This Row],[Guest_Age]]&lt;=25),"Young Adults",AND(Table2[[#This Row],[Guest_Age]]&gt;=26,Table2[[#This Row],[Guest_Age]]&lt;=35),"Adults",AND(Table2[[#This Row],[Guest_Age]]&gt;=36,Table2[[#This Row],[Guest_Age]]&lt;=50),"Middle Aged Adults",Table2[[#This Row],[Guest_Age]]&gt;50,"Senior")</f>
        <v>Senior</v>
      </c>
      <c r="AB1994">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v>
      </c>
      <c r="AC1994" t="str" cm="1">
        <f t="array" ref="AC1994">_xlfn.IFS(Table2[[#This Row],[Satification_points]]&gt;=4.5,"GREAT",AND(Table2[[#This Row],[Satification_points]]&gt;=4,Table2[[#This Row],[Satification_points]]&lt;4.5),"GOOD",AND(Table2[[#This Row],[Satification_points]]&gt;=3,Table2[[#This Row],[Satification_points]]&lt;4),"AVERAGE",Table2[[#This Row],[Satification_points]]&lt;3,"POOR")</f>
        <v>AVERAGE</v>
      </c>
    </row>
    <row r="1995" spans="1:29" x14ac:dyDescent="0.3">
      <c r="A1995">
        <v>1994</v>
      </c>
      <c r="B1995">
        <v>45617</v>
      </c>
      <c r="C1995" t="s">
        <v>2026</v>
      </c>
      <c r="D1995" t="s">
        <v>41</v>
      </c>
      <c r="E1995" t="s">
        <v>35</v>
      </c>
      <c r="F1995" s="1">
        <v>45291</v>
      </c>
      <c r="G1995" s="1">
        <v>45557</v>
      </c>
      <c r="H1995">
        <v>5</v>
      </c>
      <c r="I1995" t="s">
        <v>49</v>
      </c>
      <c r="J1995" t="s">
        <v>29</v>
      </c>
      <c r="K1995">
        <v>1</v>
      </c>
      <c r="L1995">
        <v>2</v>
      </c>
      <c r="M1995">
        <v>4</v>
      </c>
      <c r="N1995">
        <v>3</v>
      </c>
      <c r="O1995">
        <v>5</v>
      </c>
      <c r="P1995">
        <v>3</v>
      </c>
      <c r="Q1995">
        <v>4</v>
      </c>
      <c r="R1995">
        <v>3</v>
      </c>
      <c r="S1995">
        <v>1</v>
      </c>
      <c r="T1995">
        <v>2</v>
      </c>
      <c r="U1995" t="s">
        <v>37</v>
      </c>
      <c r="V1995" t="s">
        <v>58</v>
      </c>
      <c r="W1995" t="s">
        <v>47</v>
      </c>
      <c r="X1995" t="s">
        <v>40</v>
      </c>
      <c r="Y1995">
        <v>55</v>
      </c>
      <c r="Z1995" s="1">
        <v>45557</v>
      </c>
      <c r="AA1995" t="str" cm="1">
        <f t="array" ref="AA1995">_xlfn.IFS(AND(Table2[[#This Row],[Guest_Age]]&gt;=18,Table2[[#This Row],[Guest_Age]]&lt;=25),"Young Adults",AND(Table2[[#This Row],[Guest_Age]]&gt;=26,Table2[[#This Row],[Guest_Age]]&lt;=35),"Adults",AND(Table2[[#This Row],[Guest_Age]]&gt;=36,Table2[[#This Row],[Guest_Age]]&lt;=50),"Middle Aged Adults",Table2[[#This Row],[Guest_Age]]&gt;50,"Senior")</f>
        <v>Senior</v>
      </c>
      <c r="AB1995">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2.8</v>
      </c>
      <c r="AC1995" t="str" cm="1">
        <f t="array" ref="AC1995">_xlfn.IFS(Table2[[#This Row],[Satification_points]]&gt;=4.5,"GREAT",AND(Table2[[#This Row],[Satification_points]]&gt;=4,Table2[[#This Row],[Satification_points]]&lt;4.5),"GOOD",AND(Table2[[#This Row],[Satification_points]]&gt;=3,Table2[[#This Row],[Satification_points]]&lt;4),"AVERAGE",Table2[[#This Row],[Satification_points]]&lt;3,"POOR")</f>
        <v>POOR</v>
      </c>
    </row>
    <row r="1996" spans="1:29" x14ac:dyDescent="0.3">
      <c r="A1996">
        <v>1995</v>
      </c>
      <c r="B1996">
        <v>13366</v>
      </c>
      <c r="C1996" t="s">
        <v>2027</v>
      </c>
      <c r="D1996" t="s">
        <v>26</v>
      </c>
      <c r="E1996" t="s">
        <v>52</v>
      </c>
      <c r="F1996" s="1">
        <v>45360</v>
      </c>
      <c r="G1996" s="1">
        <v>45580</v>
      </c>
      <c r="H1996">
        <v>11</v>
      </c>
      <c r="I1996" t="s">
        <v>50</v>
      </c>
      <c r="J1996" t="s">
        <v>43</v>
      </c>
      <c r="K1996">
        <v>5</v>
      </c>
      <c r="L1996">
        <v>5</v>
      </c>
      <c r="M1996">
        <v>4</v>
      </c>
      <c r="N1996">
        <v>1</v>
      </c>
      <c r="O1996">
        <v>3</v>
      </c>
      <c r="P1996">
        <v>3</v>
      </c>
      <c r="Q1996">
        <v>3</v>
      </c>
      <c r="R1996">
        <v>1</v>
      </c>
      <c r="S1996">
        <v>4</v>
      </c>
      <c r="T1996">
        <v>5</v>
      </c>
      <c r="U1996" t="s">
        <v>37</v>
      </c>
      <c r="V1996" t="s">
        <v>31</v>
      </c>
      <c r="W1996" t="s">
        <v>56</v>
      </c>
      <c r="X1996" t="s">
        <v>44</v>
      </c>
      <c r="Y1996">
        <v>59</v>
      </c>
      <c r="Z1996" s="1">
        <v>45580</v>
      </c>
      <c r="AA1996" t="str" cm="1">
        <f t="array" ref="AA1996">_xlfn.IFS(AND(Table2[[#This Row],[Guest_Age]]&gt;=18,Table2[[#This Row],[Guest_Age]]&lt;=25),"Young Adults",AND(Table2[[#This Row],[Guest_Age]]&gt;=26,Table2[[#This Row],[Guest_Age]]&lt;=35),"Adults",AND(Table2[[#This Row],[Guest_Age]]&gt;=36,Table2[[#This Row],[Guest_Age]]&lt;=50),"Middle Aged Adults",Table2[[#This Row],[Guest_Age]]&gt;50,"Senior")</f>
        <v>Senior</v>
      </c>
      <c r="AB1996">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96" t="str" cm="1">
        <f t="array" ref="AC1996">_xlfn.IFS(Table2[[#This Row],[Satification_points]]&gt;=4.5,"GREAT",AND(Table2[[#This Row],[Satification_points]]&gt;=4,Table2[[#This Row],[Satification_points]]&lt;4.5),"GOOD",AND(Table2[[#This Row],[Satification_points]]&gt;=3,Table2[[#This Row],[Satification_points]]&lt;4),"AVERAGE",Table2[[#This Row],[Satification_points]]&lt;3,"POOR")</f>
        <v>AVERAGE</v>
      </c>
    </row>
    <row r="1997" spans="1:29" x14ac:dyDescent="0.3">
      <c r="A1997">
        <v>1996</v>
      </c>
      <c r="B1997">
        <v>62063</v>
      </c>
      <c r="C1997" t="s">
        <v>2028</v>
      </c>
      <c r="D1997" t="s">
        <v>41</v>
      </c>
      <c r="E1997" t="s">
        <v>27</v>
      </c>
      <c r="F1997" s="1">
        <v>45125</v>
      </c>
      <c r="G1997" s="1">
        <v>45552</v>
      </c>
      <c r="H1997">
        <v>14</v>
      </c>
      <c r="I1997" t="s">
        <v>49</v>
      </c>
      <c r="J1997" t="s">
        <v>53</v>
      </c>
      <c r="K1997">
        <v>2</v>
      </c>
      <c r="L1997">
        <v>2</v>
      </c>
      <c r="M1997">
        <v>1</v>
      </c>
      <c r="N1997">
        <v>5</v>
      </c>
      <c r="O1997">
        <v>5</v>
      </c>
      <c r="P1997">
        <v>2</v>
      </c>
      <c r="Q1997">
        <v>5</v>
      </c>
      <c r="R1997">
        <v>3</v>
      </c>
      <c r="S1997">
        <v>1</v>
      </c>
      <c r="T1997">
        <v>1</v>
      </c>
      <c r="U1997" t="s">
        <v>30</v>
      </c>
      <c r="V1997" t="s">
        <v>54</v>
      </c>
      <c r="W1997" t="s">
        <v>55</v>
      </c>
      <c r="X1997" t="s">
        <v>44</v>
      </c>
      <c r="Y1997">
        <v>67</v>
      </c>
      <c r="Z1997" s="1">
        <v>45552</v>
      </c>
      <c r="AA1997" t="str" cm="1">
        <f t="array" ref="AA1997">_xlfn.IFS(AND(Table2[[#This Row],[Guest_Age]]&gt;=18,Table2[[#This Row],[Guest_Age]]&lt;=25),"Young Adults",AND(Table2[[#This Row],[Guest_Age]]&gt;=26,Table2[[#This Row],[Guest_Age]]&lt;=35),"Adults",AND(Table2[[#This Row],[Guest_Age]]&gt;=36,Table2[[#This Row],[Guest_Age]]&lt;=50),"Middle Aged Adults",Table2[[#This Row],[Guest_Age]]&gt;50,"Senior")</f>
        <v>Senior</v>
      </c>
      <c r="AB1997">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1997" t="str" cm="1">
        <f t="array" ref="AC1997">_xlfn.IFS(Table2[[#This Row],[Satification_points]]&gt;=4.5,"GREAT",AND(Table2[[#This Row],[Satification_points]]&gt;=4,Table2[[#This Row],[Satification_points]]&lt;4.5),"GOOD",AND(Table2[[#This Row],[Satification_points]]&gt;=3,Table2[[#This Row],[Satification_points]]&lt;4),"AVERAGE",Table2[[#This Row],[Satification_points]]&lt;3,"POOR")</f>
        <v>POOR</v>
      </c>
    </row>
    <row r="1998" spans="1:29" x14ac:dyDescent="0.3">
      <c r="A1998">
        <v>1997</v>
      </c>
      <c r="B1998">
        <v>88597</v>
      </c>
      <c r="C1998" t="s">
        <v>2029</v>
      </c>
      <c r="D1998" t="s">
        <v>41</v>
      </c>
      <c r="E1998" t="s">
        <v>27</v>
      </c>
      <c r="F1998" s="1">
        <v>45158</v>
      </c>
      <c r="G1998" s="1">
        <v>45176</v>
      </c>
      <c r="H1998">
        <v>3</v>
      </c>
      <c r="I1998" t="s">
        <v>49</v>
      </c>
      <c r="J1998" t="s">
        <v>40</v>
      </c>
      <c r="K1998">
        <v>1</v>
      </c>
      <c r="L1998">
        <v>3</v>
      </c>
      <c r="M1998">
        <v>4</v>
      </c>
      <c r="N1998">
        <v>5</v>
      </c>
      <c r="O1998">
        <v>4</v>
      </c>
      <c r="P1998">
        <v>4</v>
      </c>
      <c r="Q1998">
        <v>4</v>
      </c>
      <c r="R1998">
        <v>5</v>
      </c>
      <c r="S1998">
        <v>5</v>
      </c>
      <c r="T1998">
        <v>4</v>
      </c>
      <c r="U1998" t="s">
        <v>37</v>
      </c>
      <c r="V1998" t="s">
        <v>38</v>
      </c>
      <c r="W1998" t="s">
        <v>55</v>
      </c>
      <c r="X1998" t="s">
        <v>44</v>
      </c>
      <c r="Y1998">
        <v>65</v>
      </c>
      <c r="Z1998" s="1">
        <v>45262</v>
      </c>
      <c r="AA1998" t="str" cm="1">
        <f t="array" ref="AA1998">_xlfn.IFS(AND(Table2[[#This Row],[Guest_Age]]&gt;=18,Table2[[#This Row],[Guest_Age]]&lt;=25),"Young Adults",AND(Table2[[#This Row],[Guest_Age]]&gt;=26,Table2[[#This Row],[Guest_Age]]&lt;=35),"Adults",AND(Table2[[#This Row],[Guest_Age]]&gt;=36,Table2[[#This Row],[Guest_Age]]&lt;=50),"Middle Aged Adults",Table2[[#This Row],[Guest_Age]]&gt;50,"Senior")</f>
        <v>Senior</v>
      </c>
      <c r="AB1998">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3.9</v>
      </c>
      <c r="AC1998" t="str" cm="1">
        <f t="array" ref="AC1998">_xlfn.IFS(Table2[[#This Row],[Satification_points]]&gt;=4.5,"GREAT",AND(Table2[[#This Row],[Satification_points]]&gt;=4,Table2[[#This Row],[Satification_points]]&lt;4.5),"GOOD",AND(Table2[[#This Row],[Satification_points]]&gt;=3,Table2[[#This Row],[Satification_points]]&lt;4),"AVERAGE",Table2[[#This Row],[Satification_points]]&lt;3,"POOR")</f>
        <v>AVERAGE</v>
      </c>
    </row>
    <row r="1999" spans="1:29" x14ac:dyDescent="0.3">
      <c r="A1999">
        <v>1998</v>
      </c>
      <c r="B1999">
        <v>25952</v>
      </c>
      <c r="C1999" t="s">
        <v>2030</v>
      </c>
      <c r="D1999" t="s">
        <v>26</v>
      </c>
      <c r="E1999" t="s">
        <v>27</v>
      </c>
      <c r="F1999" s="1">
        <v>45649</v>
      </c>
      <c r="G1999" s="1">
        <v>45650</v>
      </c>
      <c r="H1999">
        <v>11</v>
      </c>
      <c r="I1999" t="s">
        <v>49</v>
      </c>
      <c r="J1999" t="s">
        <v>43</v>
      </c>
      <c r="K1999">
        <v>5</v>
      </c>
      <c r="L1999">
        <v>3</v>
      </c>
      <c r="M1999">
        <v>1</v>
      </c>
      <c r="N1999">
        <v>4</v>
      </c>
      <c r="O1999">
        <v>2</v>
      </c>
      <c r="P1999">
        <v>4</v>
      </c>
      <c r="Q1999">
        <v>3</v>
      </c>
      <c r="R1999">
        <v>5</v>
      </c>
      <c r="S1999">
        <v>4</v>
      </c>
      <c r="T1999">
        <v>3</v>
      </c>
      <c r="U1999" t="s">
        <v>30</v>
      </c>
      <c r="V1999" t="s">
        <v>31</v>
      </c>
      <c r="W1999" t="s">
        <v>56</v>
      </c>
      <c r="X1999" t="s">
        <v>33</v>
      </c>
      <c r="Y1999">
        <v>61</v>
      </c>
      <c r="Z1999" s="1">
        <v>45650</v>
      </c>
      <c r="AA1999" t="str" cm="1">
        <f t="array" ref="AA1999">_xlfn.IFS(AND(Table2[[#This Row],[Guest_Age]]&gt;=18,Table2[[#This Row],[Guest_Age]]&lt;=25),"Young Adults",AND(Table2[[#This Row],[Guest_Age]]&gt;=26,Table2[[#This Row],[Guest_Age]]&lt;=35),"Adults",AND(Table2[[#This Row],[Guest_Age]]&gt;=36,Table2[[#This Row],[Guest_Age]]&lt;=50),"Middle Aged Adults",Table2[[#This Row],[Guest_Age]]&gt;50,"Senior")</f>
        <v>Senior</v>
      </c>
      <c r="AB1999">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3.4</v>
      </c>
      <c r="AC1999" t="str" cm="1">
        <f t="array" ref="AC1999">_xlfn.IFS(Table2[[#This Row],[Satification_points]]&gt;=4.5,"GREAT",AND(Table2[[#This Row],[Satification_points]]&gt;=4,Table2[[#This Row],[Satification_points]]&lt;4.5),"GOOD",AND(Table2[[#This Row],[Satification_points]]&gt;=3,Table2[[#This Row],[Satification_points]]&lt;4),"AVERAGE",Table2[[#This Row],[Satification_points]]&lt;3,"POOR")</f>
        <v>AVERAGE</v>
      </c>
    </row>
    <row r="2000" spans="1:29" x14ac:dyDescent="0.3">
      <c r="A2000">
        <v>1999</v>
      </c>
      <c r="B2000">
        <v>28975</v>
      </c>
      <c r="C2000" t="s">
        <v>2031</v>
      </c>
      <c r="D2000" t="s">
        <v>41</v>
      </c>
      <c r="E2000" t="s">
        <v>57</v>
      </c>
      <c r="F2000" s="1">
        <v>45294</v>
      </c>
      <c r="G2000" s="1">
        <v>45295</v>
      </c>
      <c r="H2000">
        <v>3</v>
      </c>
      <c r="I2000" t="s">
        <v>42</v>
      </c>
      <c r="J2000" t="s">
        <v>29</v>
      </c>
      <c r="K2000">
        <v>1</v>
      </c>
      <c r="L2000">
        <v>4</v>
      </c>
      <c r="M2000">
        <v>3</v>
      </c>
      <c r="N2000">
        <v>1</v>
      </c>
      <c r="O2000">
        <v>5</v>
      </c>
      <c r="P2000">
        <v>5</v>
      </c>
      <c r="Q2000">
        <v>3</v>
      </c>
      <c r="R2000">
        <v>2</v>
      </c>
      <c r="S2000">
        <v>2</v>
      </c>
      <c r="T2000">
        <v>1</v>
      </c>
      <c r="U2000" t="s">
        <v>30</v>
      </c>
      <c r="V2000" t="s">
        <v>46</v>
      </c>
      <c r="W2000" t="s">
        <v>47</v>
      </c>
      <c r="X2000" t="s">
        <v>40</v>
      </c>
      <c r="Y2000">
        <v>46</v>
      </c>
      <c r="Z2000" s="1">
        <v>45295</v>
      </c>
      <c r="AA2000" t="str" cm="1">
        <f t="array" ref="AA2000">_xlfn.IFS(AND(Table2[[#This Row],[Guest_Age]]&gt;=18,Table2[[#This Row],[Guest_Age]]&lt;=25),"Young Adults",AND(Table2[[#This Row],[Guest_Age]]&gt;=26,Table2[[#This Row],[Guest_Age]]&lt;=35),"Adults",AND(Table2[[#This Row],[Guest_Age]]&gt;=36,Table2[[#This Row],[Guest_Age]]&lt;=50),"Middle Aged Adults",Table2[[#This Row],[Guest_Age]]&gt;50,"Senior")</f>
        <v>Middle Aged Adults</v>
      </c>
      <c r="AB2000">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2.7</v>
      </c>
      <c r="AC2000" t="str" cm="1">
        <f t="array" ref="AC2000">_xlfn.IFS(Table2[[#This Row],[Satification_points]]&gt;=4.5,"GREAT",AND(Table2[[#This Row],[Satification_points]]&gt;=4,Table2[[#This Row],[Satification_points]]&lt;4.5),"GOOD",AND(Table2[[#This Row],[Satification_points]]&gt;=3,Table2[[#This Row],[Satification_points]]&lt;4),"AVERAGE",Table2[[#This Row],[Satification_points]]&lt;3,"POOR")</f>
        <v>POOR</v>
      </c>
    </row>
    <row r="2001" spans="1:29" x14ac:dyDescent="0.3">
      <c r="A2001">
        <v>2000</v>
      </c>
      <c r="B2001">
        <v>14283</v>
      </c>
      <c r="C2001" t="s">
        <v>1834</v>
      </c>
      <c r="D2001" t="s">
        <v>48</v>
      </c>
      <c r="E2001" t="s">
        <v>35</v>
      </c>
      <c r="F2001" s="1">
        <v>45356</v>
      </c>
      <c r="G2001" s="1">
        <v>45659</v>
      </c>
      <c r="H2001">
        <v>8</v>
      </c>
      <c r="I2001" t="s">
        <v>49</v>
      </c>
      <c r="J2001" t="s">
        <v>43</v>
      </c>
      <c r="K2001">
        <v>5</v>
      </c>
      <c r="L2001">
        <v>2</v>
      </c>
      <c r="M2001">
        <v>4</v>
      </c>
      <c r="N2001">
        <v>2</v>
      </c>
      <c r="O2001">
        <v>4</v>
      </c>
      <c r="P2001">
        <v>3</v>
      </c>
      <c r="Q2001">
        <v>2</v>
      </c>
      <c r="R2001">
        <v>3</v>
      </c>
      <c r="S2001">
        <v>2</v>
      </c>
      <c r="T2001">
        <v>4</v>
      </c>
      <c r="U2001" t="s">
        <v>37</v>
      </c>
      <c r="V2001" t="s">
        <v>58</v>
      </c>
      <c r="W2001" t="s">
        <v>32</v>
      </c>
      <c r="X2001" t="s">
        <v>33</v>
      </c>
      <c r="Y2001">
        <v>28</v>
      </c>
      <c r="Z2001" s="1">
        <v>45659</v>
      </c>
      <c r="AA2001" t="str" cm="1">
        <f t="array" ref="AA2001">_xlfn.IFS(AND(Table2[[#This Row],[Guest_Age]]&gt;=18,Table2[[#This Row],[Guest_Age]]&lt;=25),"Young Adults",AND(Table2[[#This Row],[Guest_Age]]&gt;=26,Table2[[#This Row],[Guest_Age]]&lt;=35),"Adults",AND(Table2[[#This Row],[Guest_Age]]&gt;=36,Table2[[#This Row],[Guest_Age]]&lt;=50),"Middle Aged Adults",Table2[[#This Row],[Guest_Age]]&gt;50,"Senior")</f>
        <v>Adults</v>
      </c>
      <c r="AB2001">
        <f>AVERAGE(Table2[[#This Row],[Room_Cleanliness]],Table2[[#This Row],[Staff_Courtesy]],Table2[[#This Row],[Food_Quality]],Table2[[#This Row],[Checkin_Experience]],Table2[[#This Row],[Checkout_Experience]],Table2[[#This Row],[Amenities_Satisfaction]],Table2[[#This Row],[Value_for_Money]],Table2[[#This Row],[Safety_Measures]],Table2[[#This Row],[WiFi_Quality]],Table2[[#This Row],[Noise_Levels]])</f>
        <v>3.1</v>
      </c>
      <c r="AC2001" t="str" cm="1">
        <f t="array" ref="AC2001">_xlfn.IFS(Table2[[#This Row],[Satification_points]]&gt;=4.5,"GREAT",AND(Table2[[#This Row],[Satification_points]]&gt;=4,Table2[[#This Row],[Satification_points]]&lt;4.5),"GOOD",AND(Table2[[#This Row],[Satification_points]]&gt;=3,Table2[[#This Row],[Satification_points]]&lt;4),"AVERAGE",Table2[[#This Row],[Satification_points]]&lt;3,"POOR")</f>
        <v>AVERAGE</v>
      </c>
    </row>
  </sheetData>
  <phoneticPr fontId="18" type="noConversion"/>
  <conditionalFormatting sqref="B1:B2001">
    <cfRule type="duplicateValues" dxfId="27" priority="11"/>
  </conditionalFormatting>
  <conditionalFormatting sqref="U2:U2001">
    <cfRule type="containsText" dxfId="26" priority="1" operator="containsText" text="NO">
      <formula>NOT(ISERROR(SEARCH("NO",U2)))</formula>
    </cfRule>
    <cfRule type="containsText" dxfId="25" priority="2" operator="containsText" text="Yes">
      <formula>NOT(ISERROR(SEARCH("Yes",U2)))</formula>
    </cfRule>
  </conditionalFormatting>
  <conditionalFormatting sqref="AB2:AB2001">
    <cfRule type="dataBar" priority="10">
      <dataBar>
        <cfvo type="min"/>
        <cfvo type="max"/>
        <color rgb="FFFF555A"/>
      </dataBar>
      <extLst>
        <ext xmlns:x14="http://schemas.microsoft.com/office/spreadsheetml/2009/9/main" uri="{B025F937-C7B1-47D3-B67F-A62EFF666E3E}">
          <x14:id>{7A80B29B-8D41-4EB2-AE67-AF183F6A7CBA}</x14:id>
        </ext>
      </extLst>
    </cfRule>
  </conditionalFormatting>
  <conditionalFormatting sqref="AC2:AC2001">
    <cfRule type="containsText" dxfId="24" priority="3" operator="containsText" text="GOOD">
      <formula>NOT(ISERROR(SEARCH("GOOD",AC2)))</formula>
    </cfRule>
    <cfRule type="containsText" dxfId="23" priority="4" operator="containsText" text="GREAT">
      <formula>NOT(ISERROR(SEARCH("GREAT",AC2)))</formula>
    </cfRule>
    <cfRule type="containsText" dxfId="22" priority="5" operator="containsText" text="POOR">
      <formula>NOT(ISERROR(SEARCH("POOR",AC2)))</formula>
    </cfRule>
    <cfRule type="containsText" dxfId="21" priority="6" operator="containsText" text="AVERAGE">
      <formula>NOT(ISERROR(SEARCH("AVERAGE",AC2)))</formula>
    </cfRule>
    <cfRule type="containsText" dxfId="20" priority="7" operator="containsText" text="GREAT">
      <formula>NOT(ISERROR(SEARCH("GREAT",AC2)))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A80B29B-8D41-4EB2-AE67-AF183F6A7CBA}">
            <x14:dataBar minLength="0" maxLength="100" border="1" negativeBarBorderColorSameAsPositive="0">
              <x14:cfvo type="autoMin"/>
              <x14:cfvo type="autoMax"/>
              <x14:borderColor rgb="FFFF555A"/>
              <x14:negativeFillColor rgb="FFFF0000"/>
              <x14:negativeBorderColor rgb="FFFF0000"/>
              <x14:axisColor rgb="FF000000"/>
            </x14:dataBar>
          </x14:cfRule>
          <xm:sqref>AB2:AB2001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ANALYSIS</vt:lpstr>
      <vt:lpstr>SUMMARY</vt:lpstr>
      <vt:lpstr>QUALITY ANALYSIS</vt:lpstr>
      <vt:lpstr>DATA ANALYSIS</vt:lpstr>
      <vt:lpstr>Guest_Feedback_Hospitality_Indu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DEVA.V</dc:creator>
  <cp:lastModifiedBy>Midhun M</cp:lastModifiedBy>
  <dcterms:created xsi:type="dcterms:W3CDTF">2025-07-14T12:32:27Z</dcterms:created>
  <dcterms:modified xsi:type="dcterms:W3CDTF">2025-12-28T11:12:58Z</dcterms:modified>
</cp:coreProperties>
</file>